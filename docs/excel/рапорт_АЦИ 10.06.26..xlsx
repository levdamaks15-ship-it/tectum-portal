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Наталия\.gemini\antigravity-ide\scratch\m365-integration\tectum_portal\docs\excel\"/>
    </mc:Choice>
  </mc:AlternateContent>
  <xr:revisionPtr revIDLastSave="0" documentId="13_ncr:1_{98B6913D-D488-4665-B797-C2214EE05EBA}" xr6:coauthVersionLast="47" xr6:coauthVersionMax="47" xr10:uidLastSave="{00000000-0000-0000-0000-000000000000}"/>
  <bookViews>
    <workbookView xWindow="-120" yWindow="-120" windowWidth="24240" windowHeight="13140" tabRatio="790" xr2:uid="{00000000-000D-0000-FFFF-FFFF00000000}"/>
  </bookViews>
  <sheets>
    <sheet name="рапорт" sheetId="1" r:id="rId1"/>
    <sheet name="Простои" sheetId="9" r:id="rId2"/>
    <sheet name="сырье" sheetId="3" r:id="rId3"/>
    <sheet name="инфо" sheetId="5" r:id="rId4"/>
  </sheets>
  <definedNames>
    <definedName name="_xlnm._FilterDatabase" localSheetId="0" hidden="1">рапорт!$A$2:$AV$1259</definedName>
    <definedName name="Линия">инфо!$C$34:$C$35</definedName>
    <definedName name="Мастер">инфо!$A$34:$A$37</definedName>
    <definedName name="Продукт">инфо!$A$15:$A$29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2" i="1" l="1"/>
  <c r="I253" i="1"/>
  <c r="I254" i="1"/>
  <c r="I255" i="1"/>
  <c r="I256" i="1"/>
  <c r="I257" i="1"/>
  <c r="I258" i="1"/>
  <c r="I259" i="1"/>
  <c r="I260" i="1"/>
  <c r="I261" i="1"/>
  <c r="I262" i="1"/>
  <c r="I263" i="1"/>
  <c r="I264" i="1"/>
  <c r="I247" i="1"/>
  <c r="I248" i="1"/>
  <c r="I249" i="1"/>
  <c r="I250" i="1"/>
  <c r="I251" i="1"/>
  <c r="S253" i="1"/>
  <c r="A244" i="1"/>
  <c r="AF249" i="1"/>
  <c r="AI249" i="1"/>
  <c r="AL249" i="1"/>
  <c r="AO249" i="1"/>
  <c r="S249" i="1"/>
  <c r="I24" i="1" l="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4" i="1"/>
  <c r="I5" i="1"/>
  <c r="I6" i="1"/>
  <c r="I7" i="1"/>
  <c r="I8" i="1"/>
  <c r="I9" i="1"/>
  <c r="I10" i="1"/>
  <c r="I11" i="1"/>
  <c r="I12" i="1"/>
  <c r="I13" i="1"/>
  <c r="I14" i="1"/>
  <c r="I15" i="1"/>
  <c r="I16" i="1"/>
  <c r="I17" i="1"/>
  <c r="I18" i="1"/>
  <c r="I19" i="1"/>
  <c r="I20" i="1"/>
  <c r="I21" i="1"/>
  <c r="I22" i="1"/>
  <c r="I23" i="1"/>
  <c r="I3" i="1"/>
  <c r="S237" i="1" l="1"/>
  <c r="G920" i="9"/>
  <c r="G910" i="9"/>
  <c r="G900" i="9"/>
  <c r="G860" i="9"/>
  <c r="G870" i="9"/>
  <c r="G871" i="9"/>
  <c r="G880" i="9"/>
  <c r="G890" i="9"/>
  <c r="O1139" i="9"/>
  <c r="O1138" i="9"/>
  <c r="O1137" i="9"/>
  <c r="O1136" i="9"/>
  <c r="O1133" i="9"/>
  <c r="O1132" i="9"/>
  <c r="O1131" i="9"/>
  <c r="O1140" i="9" s="1"/>
  <c r="O1129" i="9"/>
  <c r="O1128" i="9"/>
  <c r="O1127" i="9"/>
  <c r="O1126" i="9"/>
  <c r="O1124" i="9"/>
  <c r="O1123" i="9"/>
  <c r="O1122" i="9"/>
  <c r="O1121" i="9"/>
  <c r="O1130" i="9" s="1"/>
  <c r="O1119" i="9"/>
  <c r="O1118" i="9"/>
  <c r="O1117" i="9"/>
  <c r="O1116" i="9"/>
  <c r="O1114" i="9"/>
  <c r="O1113" i="9"/>
  <c r="O1112" i="9"/>
  <c r="O1111" i="9"/>
  <c r="O1120" i="9" s="1"/>
  <c r="O1109" i="9"/>
  <c r="O1108" i="9"/>
  <c r="O1107" i="9"/>
  <c r="O1106" i="9"/>
  <c r="O1104" i="9"/>
  <c r="O1103" i="9"/>
  <c r="O1102" i="9"/>
  <c r="O1101" i="9"/>
  <c r="O1110" i="9" s="1"/>
  <c r="O1099" i="9"/>
  <c r="O1098" i="9"/>
  <c r="O1097" i="9"/>
  <c r="O1096" i="9"/>
  <c r="O1094" i="9"/>
  <c r="O1093" i="9"/>
  <c r="O1092" i="9"/>
  <c r="O1091" i="9"/>
  <c r="O1100" i="9" s="1"/>
  <c r="O1089" i="9"/>
  <c r="O1088" i="9"/>
  <c r="O1087" i="9"/>
  <c r="O1086" i="9"/>
  <c r="O1084" i="9"/>
  <c r="O1083" i="9"/>
  <c r="O1082" i="9"/>
  <c r="O1081" i="9"/>
  <c r="O1090" i="9" s="1"/>
  <c r="O1079" i="9"/>
  <c r="O1078" i="9"/>
  <c r="O1077" i="9"/>
  <c r="O1076" i="9"/>
  <c r="O1074" i="9"/>
  <c r="O1073" i="9"/>
  <c r="O1072" i="9"/>
  <c r="O1071" i="9"/>
  <c r="O1080" i="9" s="1"/>
  <c r="O1069" i="9"/>
  <c r="O1068" i="9"/>
  <c r="O1067" i="9"/>
  <c r="O1066" i="9"/>
  <c r="O1064" i="9"/>
  <c r="O1063" i="9"/>
  <c r="O1062" i="9"/>
  <c r="O1061" i="9"/>
  <c r="O1070" i="9" s="1"/>
  <c r="O1059" i="9"/>
  <c r="O1058" i="9"/>
  <c r="O1057" i="9"/>
  <c r="O1056" i="9"/>
  <c r="O1054" i="9"/>
  <c r="O1053" i="9"/>
  <c r="O1052" i="9"/>
  <c r="O1051" i="9"/>
  <c r="O1060" i="9" s="1"/>
  <c r="O1049" i="9"/>
  <c r="O1048" i="9"/>
  <c r="O1047" i="9"/>
  <c r="O1046" i="9"/>
  <c r="O1044" i="9"/>
  <c r="O1043" i="9"/>
  <c r="O1042" i="9"/>
  <c r="O1041" i="9"/>
  <c r="O1039" i="9"/>
  <c r="O1038" i="9"/>
  <c r="O1037" i="9"/>
  <c r="O1036" i="9"/>
  <c r="O1034" i="9"/>
  <c r="O1033" i="9"/>
  <c r="O1032" i="9"/>
  <c r="O1031" i="9"/>
  <c r="O1029" i="9"/>
  <c r="O1028" i="9"/>
  <c r="O1027" i="9"/>
  <c r="O1026" i="9"/>
  <c r="O1024" i="9"/>
  <c r="O1023" i="9"/>
  <c r="O1022" i="9"/>
  <c r="O1021" i="9"/>
  <c r="O1019" i="9"/>
  <c r="O1018" i="9"/>
  <c r="O1017" i="9"/>
  <c r="O1016" i="9"/>
  <c r="O1014" i="9"/>
  <c r="O1013" i="9"/>
  <c r="O1012" i="9"/>
  <c r="O1011" i="9"/>
  <c r="O1020" i="9" s="1"/>
  <c r="O1009" i="9"/>
  <c r="O1008" i="9"/>
  <c r="O1007" i="9"/>
  <c r="O1006" i="9"/>
  <c r="O1004" i="9"/>
  <c r="O1003" i="9"/>
  <c r="O1002" i="9"/>
  <c r="O1001" i="9"/>
  <c r="O999" i="9"/>
  <c r="O998" i="9"/>
  <c r="O997" i="9"/>
  <c r="O996" i="9"/>
  <c r="O994" i="9"/>
  <c r="O993" i="9"/>
  <c r="O992" i="9"/>
  <c r="O991" i="9"/>
  <c r="O1000" i="9" s="1"/>
  <c r="O989" i="9"/>
  <c r="O988" i="9"/>
  <c r="O987" i="9"/>
  <c r="O986" i="9"/>
  <c r="O984" i="9"/>
  <c r="O983" i="9"/>
  <c r="O982" i="9"/>
  <c r="O981" i="9"/>
  <c r="O979" i="9"/>
  <c r="O978" i="9"/>
  <c r="O977" i="9"/>
  <c r="O976" i="9"/>
  <c r="O974" i="9"/>
  <c r="O973" i="9"/>
  <c r="O972" i="9"/>
  <c r="O971" i="9"/>
  <c r="O969" i="9"/>
  <c r="O968" i="9"/>
  <c r="O967" i="9"/>
  <c r="O966" i="9"/>
  <c r="O964" i="9"/>
  <c r="O963" i="9"/>
  <c r="O962" i="9"/>
  <c r="O961" i="9"/>
  <c r="O970" i="9" s="1"/>
  <c r="O959" i="9"/>
  <c r="O958" i="9"/>
  <c r="O957" i="9"/>
  <c r="O956" i="9"/>
  <c r="O954" i="9"/>
  <c r="O953" i="9"/>
  <c r="O952" i="9"/>
  <c r="O951" i="9"/>
  <c r="O960" i="9" s="1"/>
  <c r="O949" i="9"/>
  <c r="O948" i="9"/>
  <c r="O947" i="9"/>
  <c r="O946" i="9"/>
  <c r="O944" i="9"/>
  <c r="O943" i="9"/>
  <c r="O942" i="9"/>
  <c r="O941" i="9"/>
  <c r="O939" i="9"/>
  <c r="O938" i="9"/>
  <c r="O937" i="9"/>
  <c r="O936" i="9"/>
  <c r="O934" i="9"/>
  <c r="O933" i="9"/>
  <c r="O932" i="9"/>
  <c r="O931" i="9"/>
  <c r="O929" i="9"/>
  <c r="O928" i="9"/>
  <c r="O927" i="9"/>
  <c r="O926" i="9"/>
  <c r="O924" i="9"/>
  <c r="O923" i="9"/>
  <c r="O922" i="9"/>
  <c r="O921" i="9"/>
  <c r="O919" i="9"/>
  <c r="O918" i="9"/>
  <c r="O917" i="9"/>
  <c r="O916" i="9"/>
  <c r="O914" i="9"/>
  <c r="O913" i="9"/>
  <c r="O912" i="9"/>
  <c r="O911" i="9"/>
  <c r="O920" i="9" s="1"/>
  <c r="O909" i="9"/>
  <c r="O908" i="9"/>
  <c r="O907" i="9"/>
  <c r="O906" i="9"/>
  <c r="O904" i="9"/>
  <c r="O903" i="9"/>
  <c r="O902" i="9"/>
  <c r="O901" i="9"/>
  <c r="O910" i="9" s="1"/>
  <c r="O899" i="9"/>
  <c r="O898" i="9"/>
  <c r="O897" i="9"/>
  <c r="O896" i="9"/>
  <c r="O894" i="9"/>
  <c r="O893" i="9"/>
  <c r="O892" i="9"/>
  <c r="O891" i="9"/>
  <c r="O889" i="9"/>
  <c r="O888" i="9"/>
  <c r="O887" i="9"/>
  <c r="O886" i="9"/>
  <c r="O884" i="9"/>
  <c r="O883" i="9"/>
  <c r="O882" i="9"/>
  <c r="O881" i="9"/>
  <c r="O879" i="9"/>
  <c r="O878" i="9"/>
  <c r="O877" i="9"/>
  <c r="O876" i="9"/>
  <c r="O874" i="9"/>
  <c r="O873" i="9"/>
  <c r="O872" i="9"/>
  <c r="O871" i="9"/>
  <c r="O869" i="9"/>
  <c r="O868" i="9"/>
  <c r="O867" i="9"/>
  <c r="O866" i="9"/>
  <c r="O864" i="9"/>
  <c r="O863" i="9"/>
  <c r="O862" i="9"/>
  <c r="O861" i="9"/>
  <c r="O859" i="9"/>
  <c r="O858" i="9"/>
  <c r="O857" i="9"/>
  <c r="O856" i="9"/>
  <c r="O854" i="9"/>
  <c r="O853" i="9"/>
  <c r="O852" i="9"/>
  <c r="O851" i="9"/>
  <c r="G1139" i="9"/>
  <c r="G1138" i="9"/>
  <c r="G1137" i="9"/>
  <c r="G1136" i="9"/>
  <c r="G1134" i="9"/>
  <c r="G1133" i="9"/>
  <c r="G1132" i="9"/>
  <c r="G1131" i="9"/>
  <c r="G1140" i="9" s="1"/>
  <c r="G1129" i="9"/>
  <c r="G1128" i="9"/>
  <c r="G1127" i="9"/>
  <c r="G1126" i="9"/>
  <c r="G1124" i="9"/>
  <c r="G1123" i="9"/>
  <c r="G1122" i="9"/>
  <c r="G1121" i="9"/>
  <c r="G1130" i="9" s="1"/>
  <c r="G1119" i="9"/>
  <c r="G1118" i="9"/>
  <c r="G1117" i="9"/>
  <c r="G1116" i="9"/>
  <c r="G1114" i="9"/>
  <c r="G1113" i="9"/>
  <c r="G1112" i="9"/>
  <c r="G1111" i="9"/>
  <c r="G1109" i="9"/>
  <c r="G1108" i="9"/>
  <c r="G1107" i="9"/>
  <c r="G1106" i="9"/>
  <c r="G1104" i="9"/>
  <c r="G1103" i="9"/>
  <c r="G1102" i="9"/>
  <c r="G1101" i="9"/>
  <c r="G1099" i="9"/>
  <c r="G1098" i="9"/>
  <c r="G1097" i="9"/>
  <c r="G1096" i="9"/>
  <c r="G1094" i="9"/>
  <c r="G1093" i="9"/>
  <c r="G1092" i="9"/>
  <c r="G1091" i="9"/>
  <c r="G1089" i="9"/>
  <c r="G1088" i="9"/>
  <c r="G1087" i="9"/>
  <c r="G1086" i="9"/>
  <c r="G1084" i="9"/>
  <c r="G1083" i="9"/>
  <c r="G1082" i="9"/>
  <c r="G1081" i="9"/>
  <c r="G1079" i="9"/>
  <c r="G1078" i="9"/>
  <c r="G1077" i="9"/>
  <c r="G1076" i="9"/>
  <c r="G1074" i="9"/>
  <c r="G1073" i="9"/>
  <c r="G1072" i="9"/>
  <c r="G1071" i="9"/>
  <c r="G1069" i="9"/>
  <c r="G1068" i="9"/>
  <c r="G1067" i="9"/>
  <c r="G1066" i="9"/>
  <c r="G1064" i="9"/>
  <c r="G1063" i="9"/>
  <c r="G1062" i="9"/>
  <c r="G1061" i="9"/>
  <c r="G1059" i="9"/>
  <c r="G1058" i="9"/>
  <c r="G1057" i="9"/>
  <c r="G1056" i="9"/>
  <c r="G1054" i="9"/>
  <c r="G1053" i="9"/>
  <c r="G1052" i="9"/>
  <c r="G1051" i="9"/>
  <c r="G1049" i="9"/>
  <c r="G1048" i="9"/>
  <c r="G1047" i="9"/>
  <c r="G1046" i="9"/>
  <c r="G1044" i="9"/>
  <c r="G1043" i="9"/>
  <c r="G1042" i="9"/>
  <c r="G1041" i="9"/>
  <c r="G1039" i="9"/>
  <c r="G1038" i="9"/>
  <c r="G1037" i="9"/>
  <c r="G1036" i="9"/>
  <c r="G1034" i="9"/>
  <c r="G1033" i="9"/>
  <c r="G1032" i="9"/>
  <c r="G1031" i="9"/>
  <c r="G1029" i="9"/>
  <c r="G1028" i="9"/>
  <c r="G1027" i="9"/>
  <c r="G1026" i="9"/>
  <c r="G1024" i="9"/>
  <c r="G1023" i="9"/>
  <c r="G1022" i="9"/>
  <c r="G1021" i="9"/>
  <c r="G1019" i="9"/>
  <c r="G1018" i="9"/>
  <c r="G1017" i="9"/>
  <c r="G1016" i="9"/>
  <c r="G1014" i="9"/>
  <c r="G1013" i="9"/>
  <c r="G1012" i="9"/>
  <c r="G1011" i="9"/>
  <c r="G1009" i="9"/>
  <c r="G1008" i="9"/>
  <c r="G1007" i="9"/>
  <c r="G1006" i="9"/>
  <c r="G1004" i="9"/>
  <c r="G1003" i="9"/>
  <c r="G1002" i="9"/>
  <c r="G1001" i="9"/>
  <c r="G999" i="9"/>
  <c r="G998" i="9"/>
  <c r="G997" i="9"/>
  <c r="G996" i="9"/>
  <c r="G994" i="9"/>
  <c r="G993" i="9"/>
  <c r="G992" i="9"/>
  <c r="G991" i="9"/>
  <c r="G989" i="9"/>
  <c r="G988" i="9"/>
  <c r="G987" i="9"/>
  <c r="G986" i="9"/>
  <c r="G984" i="9"/>
  <c r="G983" i="9"/>
  <c r="G982" i="9"/>
  <c r="G981" i="9"/>
  <c r="G979" i="9"/>
  <c r="G978" i="9"/>
  <c r="G977" i="9"/>
  <c r="G976" i="9"/>
  <c r="G974" i="9"/>
  <c r="G973" i="9"/>
  <c r="G972" i="9"/>
  <c r="G971" i="9"/>
  <c r="G969" i="9"/>
  <c r="G968" i="9"/>
  <c r="G967" i="9"/>
  <c r="G966" i="9"/>
  <c r="G964" i="9"/>
  <c r="G963" i="9"/>
  <c r="G962" i="9"/>
  <c r="G961" i="9"/>
  <c r="G959" i="9"/>
  <c r="G958" i="9"/>
  <c r="G957" i="9"/>
  <c r="G956" i="9"/>
  <c r="G954" i="9"/>
  <c r="G953" i="9"/>
  <c r="G952" i="9"/>
  <c r="G951" i="9"/>
  <c r="G949" i="9"/>
  <c r="G948" i="9"/>
  <c r="G947" i="9"/>
  <c r="G946" i="9"/>
  <c r="G944" i="9"/>
  <c r="G943" i="9"/>
  <c r="G942" i="9"/>
  <c r="G941" i="9"/>
  <c r="G939" i="9"/>
  <c r="G938" i="9"/>
  <c r="G937" i="9"/>
  <c r="G936" i="9"/>
  <c r="G934" i="9"/>
  <c r="G933" i="9"/>
  <c r="G932" i="9"/>
  <c r="G931" i="9"/>
  <c r="G929" i="9"/>
  <c r="G928" i="9"/>
  <c r="G927" i="9"/>
  <c r="G926" i="9"/>
  <c r="G924" i="9"/>
  <c r="G923" i="9"/>
  <c r="G922" i="9"/>
  <c r="G921" i="9"/>
  <c r="G919" i="9"/>
  <c r="G918" i="9"/>
  <c r="G917" i="9"/>
  <c r="G916" i="9"/>
  <c r="G914" i="9"/>
  <c r="G913" i="9"/>
  <c r="G912" i="9"/>
  <c r="G911" i="9"/>
  <c r="G909" i="9"/>
  <c r="G908" i="9"/>
  <c r="G907" i="9"/>
  <c r="G906" i="9"/>
  <c r="G904" i="9"/>
  <c r="G903" i="9"/>
  <c r="G902" i="9"/>
  <c r="G901" i="9"/>
  <c r="G899" i="9"/>
  <c r="G898" i="9"/>
  <c r="G897" i="9"/>
  <c r="G896" i="9"/>
  <c r="G894" i="9"/>
  <c r="G893" i="9"/>
  <c r="G889" i="9"/>
  <c r="G888" i="9"/>
  <c r="G887" i="9"/>
  <c r="G886" i="9"/>
  <c r="G884" i="9"/>
  <c r="G883" i="9"/>
  <c r="G882" i="9"/>
  <c r="G881" i="9"/>
  <c r="G879" i="9"/>
  <c r="G878" i="9"/>
  <c r="G877" i="9"/>
  <c r="G876" i="9"/>
  <c r="G874" i="9"/>
  <c r="G873" i="9"/>
  <c r="G872" i="9"/>
  <c r="G869" i="9"/>
  <c r="G868" i="9"/>
  <c r="G867" i="9"/>
  <c r="G866" i="9"/>
  <c r="G863" i="9"/>
  <c r="G862" i="9"/>
  <c r="G861" i="9"/>
  <c r="G859" i="9"/>
  <c r="G858" i="9"/>
  <c r="G857" i="9"/>
  <c r="G856" i="9"/>
  <c r="G854" i="9"/>
  <c r="G853" i="9"/>
  <c r="G852" i="9"/>
  <c r="G851" i="9"/>
  <c r="O846" i="9"/>
  <c r="O847" i="9"/>
  <c r="G845" i="9"/>
  <c r="G846" i="9"/>
  <c r="G847" i="9"/>
  <c r="O849" i="9"/>
  <c r="G849" i="9"/>
  <c r="O848" i="9"/>
  <c r="G848" i="9"/>
  <c r="O844" i="9"/>
  <c r="G844" i="9"/>
  <c r="O843" i="9"/>
  <c r="O842" i="9"/>
  <c r="G842" i="9"/>
  <c r="O841" i="9"/>
  <c r="G841" i="9"/>
  <c r="O840" i="9"/>
  <c r="G840" i="9"/>
  <c r="O839" i="9"/>
  <c r="G839" i="9"/>
  <c r="AF201" i="1"/>
  <c r="AL201" i="1"/>
  <c r="AO201" i="1"/>
  <c r="AU201" i="1"/>
  <c r="S201" i="1"/>
  <c r="AI201" i="1" s="1"/>
  <c r="AL116" i="1"/>
  <c r="AU103" i="1"/>
  <c r="AU104" i="1"/>
  <c r="AU105" i="1"/>
  <c r="AU106" i="1"/>
  <c r="AU107" i="1"/>
  <c r="AU108" i="1"/>
  <c r="AU109" i="1"/>
  <c r="AU110" i="1"/>
  <c r="AU111" i="1"/>
  <c r="AU112" i="1"/>
  <c r="AU113" i="1"/>
  <c r="AU114" i="1"/>
  <c r="AU115" i="1"/>
  <c r="AU117" i="1"/>
  <c r="AU118" i="1"/>
  <c r="AU119" i="1"/>
  <c r="AU120" i="1"/>
  <c r="AU121" i="1"/>
  <c r="AU122" i="1"/>
  <c r="AU123" i="1"/>
  <c r="AU124" i="1"/>
  <c r="AU125" i="1"/>
  <c r="AU126" i="1"/>
  <c r="AU127" i="1"/>
  <c r="AU128" i="1"/>
  <c r="AU129" i="1"/>
  <c r="AU130" i="1"/>
  <c r="AU131" i="1"/>
  <c r="AU132" i="1"/>
  <c r="AU133" i="1"/>
  <c r="AU134" i="1"/>
  <c r="AU135" i="1"/>
  <c r="AU136" i="1"/>
  <c r="AU137" i="1"/>
  <c r="AU138" i="1"/>
  <c r="AU139" i="1"/>
  <c r="AU140" i="1"/>
  <c r="AU141" i="1"/>
  <c r="AU142" i="1"/>
  <c r="AU143" i="1"/>
  <c r="AU144" i="1"/>
  <c r="AU145" i="1"/>
  <c r="AU146" i="1"/>
  <c r="AU147" i="1"/>
  <c r="AU148" i="1"/>
  <c r="AU149" i="1"/>
  <c r="AU150" i="1"/>
  <c r="AU151" i="1"/>
  <c r="AU152" i="1"/>
  <c r="AU153" i="1"/>
  <c r="AU154" i="1"/>
  <c r="AU155" i="1"/>
  <c r="AU156" i="1"/>
  <c r="AU157" i="1"/>
  <c r="AU158" i="1"/>
  <c r="AU159" i="1"/>
  <c r="AU160" i="1"/>
  <c r="AU161" i="1"/>
  <c r="AU162" i="1"/>
  <c r="AU163" i="1"/>
  <c r="AU164" i="1"/>
  <c r="AU165" i="1"/>
  <c r="AU166" i="1"/>
  <c r="AU167" i="1"/>
  <c r="AU168" i="1"/>
  <c r="AU169" i="1"/>
  <c r="AU170" i="1"/>
  <c r="AU171" i="1"/>
  <c r="AU172" i="1"/>
  <c r="AU173" i="1"/>
  <c r="AU174" i="1"/>
  <c r="AU175" i="1"/>
  <c r="AU176" i="1"/>
  <c r="AU177" i="1"/>
  <c r="AU178" i="1"/>
  <c r="AU179" i="1"/>
  <c r="AU180" i="1"/>
  <c r="AU181" i="1"/>
  <c r="AU182" i="1"/>
  <c r="AU183" i="1"/>
  <c r="AU184" i="1"/>
  <c r="AU185" i="1"/>
  <c r="AU186" i="1"/>
  <c r="AU187" i="1"/>
  <c r="AU188" i="1"/>
  <c r="AU189" i="1"/>
  <c r="AU190" i="1"/>
  <c r="AU191" i="1"/>
  <c r="AU192" i="1"/>
  <c r="AU193" i="1"/>
  <c r="AU194" i="1"/>
  <c r="AU195" i="1"/>
  <c r="AU196" i="1"/>
  <c r="AU197" i="1"/>
  <c r="AU198" i="1"/>
  <c r="AU199" i="1"/>
  <c r="AU200" i="1"/>
  <c r="AU202" i="1"/>
  <c r="AU203" i="1"/>
  <c r="AU204" i="1"/>
  <c r="AU205" i="1"/>
  <c r="AU206" i="1"/>
  <c r="AU207" i="1"/>
  <c r="AU208" i="1"/>
  <c r="AU209" i="1"/>
  <c r="AU210" i="1"/>
  <c r="AU211" i="1"/>
  <c r="AU212" i="1"/>
  <c r="AU213" i="1"/>
  <c r="AU214" i="1"/>
  <c r="AU215" i="1"/>
  <c r="AU216" i="1"/>
  <c r="AU217" i="1"/>
  <c r="AU218" i="1"/>
  <c r="AU219" i="1"/>
  <c r="AU220" i="1"/>
  <c r="AU221" i="1"/>
  <c r="AU222" i="1"/>
  <c r="AU223" i="1"/>
  <c r="AU224" i="1"/>
  <c r="AU226" i="1"/>
  <c r="AU227" i="1"/>
  <c r="AU228" i="1"/>
  <c r="AU229" i="1"/>
  <c r="AU230" i="1"/>
  <c r="AU231" i="1"/>
  <c r="AU232" i="1"/>
  <c r="AU233" i="1"/>
  <c r="AU234" i="1"/>
  <c r="AU235" i="1"/>
  <c r="AU236" i="1"/>
  <c r="AU238" i="1"/>
  <c r="AU239" i="1"/>
  <c r="AU240" i="1"/>
  <c r="AU241" i="1"/>
  <c r="AU242" i="1"/>
  <c r="AU243" i="1"/>
  <c r="AU244" i="1"/>
  <c r="AU245" i="1"/>
  <c r="AU246" i="1"/>
  <c r="AU247" i="1"/>
  <c r="AU248" i="1"/>
  <c r="AU250" i="1"/>
  <c r="AU251" i="1"/>
  <c r="AU252" i="1"/>
  <c r="AU253" i="1"/>
  <c r="AU254" i="1"/>
  <c r="AU255" i="1"/>
  <c r="AU256" i="1"/>
  <c r="AU257" i="1"/>
  <c r="AU258" i="1"/>
  <c r="AU259" i="1"/>
  <c r="AU260" i="1"/>
  <c r="AU261" i="1"/>
  <c r="AU262" i="1"/>
  <c r="AU263" i="1"/>
  <c r="AU264" i="1"/>
  <c r="AU265" i="1"/>
  <c r="AU266" i="1"/>
  <c r="AU267" i="1"/>
  <c r="AU268" i="1"/>
  <c r="AU269" i="1"/>
  <c r="AU270" i="1"/>
  <c r="AU271" i="1"/>
  <c r="AU272" i="1"/>
  <c r="AU273" i="1"/>
  <c r="AU274" i="1"/>
  <c r="AU275" i="1"/>
  <c r="AU276" i="1"/>
  <c r="AU277" i="1"/>
  <c r="AU278" i="1"/>
  <c r="AU279" i="1"/>
  <c r="AU280" i="1"/>
  <c r="AU281" i="1"/>
  <c r="AU282" i="1"/>
  <c r="AU283" i="1"/>
  <c r="AU284" i="1"/>
  <c r="AU285" i="1"/>
  <c r="AU286" i="1"/>
  <c r="AU287" i="1"/>
  <c r="AU288" i="1"/>
  <c r="AU289" i="1"/>
  <c r="AU290" i="1"/>
  <c r="AU291" i="1"/>
  <c r="AU292" i="1"/>
  <c r="AU293" i="1"/>
  <c r="AU294" i="1"/>
  <c r="AU295" i="1"/>
  <c r="AU296" i="1"/>
  <c r="AU297" i="1"/>
  <c r="AU298" i="1"/>
  <c r="AU299" i="1"/>
  <c r="AU300" i="1"/>
  <c r="AU301" i="1"/>
  <c r="AU302" i="1"/>
  <c r="AU303" i="1"/>
  <c r="AU304" i="1"/>
  <c r="AU305" i="1"/>
  <c r="AU306" i="1"/>
  <c r="AU307" i="1"/>
  <c r="AU308" i="1"/>
  <c r="AU309" i="1"/>
  <c r="AU310" i="1"/>
  <c r="AU311" i="1"/>
  <c r="AU312" i="1"/>
  <c r="AU313" i="1"/>
  <c r="AU314" i="1"/>
  <c r="AU315" i="1"/>
  <c r="AU316" i="1"/>
  <c r="AU317" i="1"/>
  <c r="AU318" i="1"/>
  <c r="AU319" i="1"/>
  <c r="AU320" i="1"/>
  <c r="AU321" i="1"/>
  <c r="AU322" i="1"/>
  <c r="AU323" i="1"/>
  <c r="AU324" i="1"/>
  <c r="AU325" i="1"/>
  <c r="AU326" i="1"/>
  <c r="AU327" i="1"/>
  <c r="AU328" i="1"/>
  <c r="AU329" i="1"/>
  <c r="AU330" i="1"/>
  <c r="AU331" i="1"/>
  <c r="AU332" i="1"/>
  <c r="AU333" i="1"/>
  <c r="AU334" i="1"/>
  <c r="AU335" i="1"/>
  <c r="AU336" i="1"/>
  <c r="AU337" i="1"/>
  <c r="AU338" i="1"/>
  <c r="AU339" i="1"/>
  <c r="AU340" i="1"/>
  <c r="AU341" i="1"/>
  <c r="AU342" i="1"/>
  <c r="AU343" i="1"/>
  <c r="AU344" i="1"/>
  <c r="AU345" i="1"/>
  <c r="AU346" i="1"/>
  <c r="AU347" i="1"/>
  <c r="AU348" i="1"/>
  <c r="AU349" i="1"/>
  <c r="AU350" i="1"/>
  <c r="AU351" i="1"/>
  <c r="AU352" i="1"/>
  <c r="AU353" i="1"/>
  <c r="AU354" i="1"/>
  <c r="AU355" i="1"/>
  <c r="AU356" i="1"/>
  <c r="AU357" i="1"/>
  <c r="AU358" i="1"/>
  <c r="AU359" i="1"/>
  <c r="AU360" i="1"/>
  <c r="AU361" i="1"/>
  <c r="AU362" i="1"/>
  <c r="AU363" i="1"/>
  <c r="AU364" i="1"/>
  <c r="AU365" i="1"/>
  <c r="AU366" i="1"/>
  <c r="AU367" i="1"/>
  <c r="AU368" i="1"/>
  <c r="AU369" i="1"/>
  <c r="AU370" i="1"/>
  <c r="AU371" i="1"/>
  <c r="AU372" i="1"/>
  <c r="AU373" i="1"/>
  <c r="AU374" i="1"/>
  <c r="AU375" i="1"/>
  <c r="AU376" i="1"/>
  <c r="AU377" i="1"/>
  <c r="AU378" i="1"/>
  <c r="AU379" i="1"/>
  <c r="AU380" i="1"/>
  <c r="AU381" i="1"/>
  <c r="AU382" i="1"/>
  <c r="AU383" i="1"/>
  <c r="AU384" i="1"/>
  <c r="AU385" i="1"/>
  <c r="AU386" i="1"/>
  <c r="AU387" i="1"/>
  <c r="AU388" i="1"/>
  <c r="AU389" i="1"/>
  <c r="AU390" i="1"/>
  <c r="AU391" i="1"/>
  <c r="AU392" i="1"/>
  <c r="AU393" i="1"/>
  <c r="AU394" i="1"/>
  <c r="AU395" i="1"/>
  <c r="AU396" i="1"/>
  <c r="AU397" i="1"/>
  <c r="AU398" i="1"/>
  <c r="AU399" i="1"/>
  <c r="AU400" i="1"/>
  <c r="AU401" i="1"/>
  <c r="AU402" i="1"/>
  <c r="AU403" i="1"/>
  <c r="AU404" i="1"/>
  <c r="AU405" i="1"/>
  <c r="AU406" i="1"/>
  <c r="AU407" i="1"/>
  <c r="AU408" i="1"/>
  <c r="AU409" i="1"/>
  <c r="AU410" i="1"/>
  <c r="AU411" i="1"/>
  <c r="AU412" i="1"/>
  <c r="AU413" i="1"/>
  <c r="AU414" i="1"/>
  <c r="AU415" i="1"/>
  <c r="AU416" i="1"/>
  <c r="AU417" i="1"/>
  <c r="AU418" i="1"/>
  <c r="AU419" i="1"/>
  <c r="AU420" i="1"/>
  <c r="AU421" i="1"/>
  <c r="AU422" i="1"/>
  <c r="AU423" i="1"/>
  <c r="AU424" i="1"/>
  <c r="AU425" i="1"/>
  <c r="AU426" i="1"/>
  <c r="AU427" i="1"/>
  <c r="AU428" i="1"/>
  <c r="AU429" i="1"/>
  <c r="AU430" i="1"/>
  <c r="AU431" i="1"/>
  <c r="AU432" i="1"/>
  <c r="AU433" i="1"/>
  <c r="AU434" i="1"/>
  <c r="AU435" i="1"/>
  <c r="AU436" i="1"/>
  <c r="AU437" i="1"/>
  <c r="AU438" i="1"/>
  <c r="AU439" i="1"/>
  <c r="AU440" i="1"/>
  <c r="AU441" i="1"/>
  <c r="AU442" i="1"/>
  <c r="AU443" i="1"/>
  <c r="AU444" i="1"/>
  <c r="AU445" i="1"/>
  <c r="AU446" i="1"/>
  <c r="AU447" i="1"/>
  <c r="AU448" i="1"/>
  <c r="AU449" i="1"/>
  <c r="AU450" i="1"/>
  <c r="AU451" i="1"/>
  <c r="AU452" i="1"/>
  <c r="AU453" i="1"/>
  <c r="AU454" i="1"/>
  <c r="AU455" i="1"/>
  <c r="AU456" i="1"/>
  <c r="AU457" i="1"/>
  <c r="AU458" i="1"/>
  <c r="AU459" i="1"/>
  <c r="AU460" i="1"/>
  <c r="AU461" i="1"/>
  <c r="AU462" i="1"/>
  <c r="AU463" i="1"/>
  <c r="AU464" i="1"/>
  <c r="AU465" i="1"/>
  <c r="AU466" i="1"/>
  <c r="AU467" i="1"/>
  <c r="AU468" i="1"/>
  <c r="AU469" i="1"/>
  <c r="AU470" i="1"/>
  <c r="AU471" i="1"/>
  <c r="AU472" i="1"/>
  <c r="AU473" i="1"/>
  <c r="AU474" i="1"/>
  <c r="AU475" i="1"/>
  <c r="AU476" i="1"/>
  <c r="AU477" i="1"/>
  <c r="AU478" i="1"/>
  <c r="AU479" i="1"/>
  <c r="AU480" i="1"/>
  <c r="AU481" i="1"/>
  <c r="AU482" i="1"/>
  <c r="AU483" i="1"/>
  <c r="AU484" i="1"/>
  <c r="AU485" i="1"/>
  <c r="AU486" i="1"/>
  <c r="AU487" i="1"/>
  <c r="AU488" i="1"/>
  <c r="AU489" i="1"/>
  <c r="AU490" i="1"/>
  <c r="AU491" i="1"/>
  <c r="AU492" i="1"/>
  <c r="AU493" i="1"/>
  <c r="AU494" i="1"/>
  <c r="AU495" i="1"/>
  <c r="AU496" i="1"/>
  <c r="AU497" i="1"/>
  <c r="AU498" i="1"/>
  <c r="AU499" i="1"/>
  <c r="AU500" i="1"/>
  <c r="AU501" i="1"/>
  <c r="AU502" i="1"/>
  <c r="AU503" i="1"/>
  <c r="AU504" i="1"/>
  <c r="AU505" i="1"/>
  <c r="AU506" i="1"/>
  <c r="AU507" i="1"/>
  <c r="AU508" i="1"/>
  <c r="AU509" i="1"/>
  <c r="AU510" i="1"/>
  <c r="AU511" i="1"/>
  <c r="AU512" i="1"/>
  <c r="AU513" i="1"/>
  <c r="AU514" i="1"/>
  <c r="AU515" i="1"/>
  <c r="AU516" i="1"/>
  <c r="AU517" i="1"/>
  <c r="AU518" i="1"/>
  <c r="AU519" i="1"/>
  <c r="AU520" i="1"/>
  <c r="AU521" i="1"/>
  <c r="AU522" i="1"/>
  <c r="AU523" i="1"/>
  <c r="AU524" i="1"/>
  <c r="AU525" i="1"/>
  <c r="AU526" i="1"/>
  <c r="AU527" i="1"/>
  <c r="AU528" i="1"/>
  <c r="AU529" i="1"/>
  <c r="AU530" i="1"/>
  <c r="AU531" i="1"/>
  <c r="AU532" i="1"/>
  <c r="AU533" i="1"/>
  <c r="AU534" i="1"/>
  <c r="AU535" i="1"/>
  <c r="AU536" i="1"/>
  <c r="AU537" i="1"/>
  <c r="AU538" i="1"/>
  <c r="AU539" i="1"/>
  <c r="AU540" i="1"/>
  <c r="AU541" i="1"/>
  <c r="AU542" i="1"/>
  <c r="AU543" i="1"/>
  <c r="AU544" i="1"/>
  <c r="AU545" i="1"/>
  <c r="AU546" i="1"/>
  <c r="AU547" i="1"/>
  <c r="AU548" i="1"/>
  <c r="AU549" i="1"/>
  <c r="AU550" i="1"/>
  <c r="AU551" i="1"/>
  <c r="AU552" i="1"/>
  <c r="AU553" i="1"/>
  <c r="AU554" i="1"/>
  <c r="AU555" i="1"/>
  <c r="AU556" i="1"/>
  <c r="AU557" i="1"/>
  <c r="AU558" i="1"/>
  <c r="AU559" i="1"/>
  <c r="AU560" i="1"/>
  <c r="AU561" i="1"/>
  <c r="AU562" i="1"/>
  <c r="AU563" i="1"/>
  <c r="AU564" i="1"/>
  <c r="AU565" i="1"/>
  <c r="AU566" i="1"/>
  <c r="AU567" i="1"/>
  <c r="AU568" i="1"/>
  <c r="AU569" i="1"/>
  <c r="AU570" i="1"/>
  <c r="AU571" i="1"/>
  <c r="AU572" i="1"/>
  <c r="AU573" i="1"/>
  <c r="AU574" i="1"/>
  <c r="AU575" i="1"/>
  <c r="AU576" i="1"/>
  <c r="AU577" i="1"/>
  <c r="AU578" i="1"/>
  <c r="AU579" i="1"/>
  <c r="AU580" i="1"/>
  <c r="AU581" i="1"/>
  <c r="AU582" i="1"/>
  <c r="AU583" i="1"/>
  <c r="AU584" i="1"/>
  <c r="AU585" i="1"/>
  <c r="AU586" i="1"/>
  <c r="AU587" i="1"/>
  <c r="AU588" i="1"/>
  <c r="AU589" i="1"/>
  <c r="AU590" i="1"/>
  <c r="AU591" i="1"/>
  <c r="AU592" i="1"/>
  <c r="AU593" i="1"/>
  <c r="AU594" i="1"/>
  <c r="AU595" i="1"/>
  <c r="AU596" i="1"/>
  <c r="AU597" i="1"/>
  <c r="AU598" i="1"/>
  <c r="AU599" i="1"/>
  <c r="AU600" i="1"/>
  <c r="AU601" i="1"/>
  <c r="AU602" i="1"/>
  <c r="AU603" i="1"/>
  <c r="AU604" i="1"/>
  <c r="AU605" i="1"/>
  <c r="AU606" i="1"/>
  <c r="AU607" i="1"/>
  <c r="AU608" i="1"/>
  <c r="AU609" i="1"/>
  <c r="AU610" i="1"/>
  <c r="AU611" i="1"/>
  <c r="AU612" i="1"/>
  <c r="AU613" i="1"/>
  <c r="AU614" i="1"/>
  <c r="AU615" i="1"/>
  <c r="AU616" i="1"/>
  <c r="AU617" i="1"/>
  <c r="AU618" i="1"/>
  <c r="AU619" i="1"/>
  <c r="AU620" i="1"/>
  <c r="AU621" i="1"/>
  <c r="AU622" i="1"/>
  <c r="AU623" i="1"/>
  <c r="AU624" i="1"/>
  <c r="AU625" i="1"/>
  <c r="AU626" i="1"/>
  <c r="AU627" i="1"/>
  <c r="AU628" i="1"/>
  <c r="AU629" i="1"/>
  <c r="AU630" i="1"/>
  <c r="AU631" i="1"/>
  <c r="AU632" i="1"/>
  <c r="AU633" i="1"/>
  <c r="AU634" i="1"/>
  <c r="AU635" i="1"/>
  <c r="AU636" i="1"/>
  <c r="AU637" i="1"/>
  <c r="AU638" i="1"/>
  <c r="AU639" i="1"/>
  <c r="AU640" i="1"/>
  <c r="AU641" i="1"/>
  <c r="AU642" i="1"/>
  <c r="AU643" i="1"/>
  <c r="AU644" i="1"/>
  <c r="AU645" i="1"/>
  <c r="AU646" i="1"/>
  <c r="AU647" i="1"/>
  <c r="AU648" i="1"/>
  <c r="AU649" i="1"/>
  <c r="AU650" i="1"/>
  <c r="AU651" i="1"/>
  <c r="AU652" i="1"/>
  <c r="AU653" i="1"/>
  <c r="AU654" i="1"/>
  <c r="AU655" i="1"/>
  <c r="AU656" i="1"/>
  <c r="AU657" i="1"/>
  <c r="AU658" i="1"/>
  <c r="AU659" i="1"/>
  <c r="AU660" i="1"/>
  <c r="AU661" i="1"/>
  <c r="AU662" i="1"/>
  <c r="AU663" i="1"/>
  <c r="AU664" i="1"/>
  <c r="AU665" i="1"/>
  <c r="AU666" i="1"/>
  <c r="AU667" i="1"/>
  <c r="AU668" i="1"/>
  <c r="AU669" i="1"/>
  <c r="AU670" i="1"/>
  <c r="AU671" i="1"/>
  <c r="AU672" i="1"/>
  <c r="AU673" i="1"/>
  <c r="AU674" i="1"/>
  <c r="AU675" i="1"/>
  <c r="AU676" i="1"/>
  <c r="AU677" i="1"/>
  <c r="AU678" i="1"/>
  <c r="AU679" i="1"/>
  <c r="AU680" i="1"/>
  <c r="AU681" i="1"/>
  <c r="AU682" i="1"/>
  <c r="AU683" i="1"/>
  <c r="AU684" i="1"/>
  <c r="AU685" i="1"/>
  <c r="AU686" i="1"/>
  <c r="AU687" i="1"/>
  <c r="AU688" i="1"/>
  <c r="AU689" i="1"/>
  <c r="AU690" i="1"/>
  <c r="AU691" i="1"/>
  <c r="AU692" i="1"/>
  <c r="AU693" i="1"/>
  <c r="AU694" i="1"/>
  <c r="AU695" i="1"/>
  <c r="AU696" i="1"/>
  <c r="AU697" i="1"/>
  <c r="AU698" i="1"/>
  <c r="AU699" i="1"/>
  <c r="AU700" i="1"/>
  <c r="AU701" i="1"/>
  <c r="AU702" i="1"/>
  <c r="AU703" i="1"/>
  <c r="AU704" i="1"/>
  <c r="AU705" i="1"/>
  <c r="AU706" i="1"/>
  <c r="AU707" i="1"/>
  <c r="AU708" i="1"/>
  <c r="AU709" i="1"/>
  <c r="AU710" i="1"/>
  <c r="AU711" i="1"/>
  <c r="AU712" i="1"/>
  <c r="AU713" i="1"/>
  <c r="AU714" i="1"/>
  <c r="AU715" i="1"/>
  <c r="AU716" i="1"/>
  <c r="AU717" i="1"/>
  <c r="AU718" i="1"/>
  <c r="AU719" i="1"/>
  <c r="AU720" i="1"/>
  <c r="AU721" i="1"/>
  <c r="AU722" i="1"/>
  <c r="AU723" i="1"/>
  <c r="AU724" i="1"/>
  <c r="AU725" i="1"/>
  <c r="AU726" i="1"/>
  <c r="AU727" i="1"/>
  <c r="AU728" i="1"/>
  <c r="AU729" i="1"/>
  <c r="AU730" i="1"/>
  <c r="AU731" i="1"/>
  <c r="AU732" i="1"/>
  <c r="AU733" i="1"/>
  <c r="AU734" i="1"/>
  <c r="AU735" i="1"/>
  <c r="AU736" i="1"/>
  <c r="AU737" i="1"/>
  <c r="AU738" i="1"/>
  <c r="AU739" i="1"/>
  <c r="AU740" i="1"/>
  <c r="AU741" i="1"/>
  <c r="AU742" i="1"/>
  <c r="AU743" i="1"/>
  <c r="AU744" i="1"/>
  <c r="AU745" i="1"/>
  <c r="AU746" i="1"/>
  <c r="AU747" i="1"/>
  <c r="AU748" i="1"/>
  <c r="AU749" i="1"/>
  <c r="AU750" i="1"/>
  <c r="AU751" i="1"/>
  <c r="AU752" i="1"/>
  <c r="AU753" i="1"/>
  <c r="AU754" i="1"/>
  <c r="AU755" i="1"/>
  <c r="AU756" i="1"/>
  <c r="AU757" i="1"/>
  <c r="AU758" i="1"/>
  <c r="AU759" i="1"/>
  <c r="AU760" i="1"/>
  <c r="AU761" i="1"/>
  <c r="AU762" i="1"/>
  <c r="AU763" i="1"/>
  <c r="AU764" i="1"/>
  <c r="AU765" i="1"/>
  <c r="AU766" i="1"/>
  <c r="AU767" i="1"/>
  <c r="AU768" i="1"/>
  <c r="AU769" i="1"/>
  <c r="AU770" i="1"/>
  <c r="AU771" i="1"/>
  <c r="AU772" i="1"/>
  <c r="AU773" i="1"/>
  <c r="AU774" i="1"/>
  <c r="AU775" i="1"/>
  <c r="AU776" i="1"/>
  <c r="AU777" i="1"/>
  <c r="AU778" i="1"/>
  <c r="AU779" i="1"/>
  <c r="AU780" i="1"/>
  <c r="AU781" i="1"/>
  <c r="AU782" i="1"/>
  <c r="AU783" i="1"/>
  <c r="AU784" i="1"/>
  <c r="AU785" i="1"/>
  <c r="AU786" i="1"/>
  <c r="AU787" i="1"/>
  <c r="AU788" i="1"/>
  <c r="AU789" i="1"/>
  <c r="AU790" i="1"/>
  <c r="AU791" i="1"/>
  <c r="AU792" i="1"/>
  <c r="AU793" i="1"/>
  <c r="AU794" i="1"/>
  <c r="AU795" i="1"/>
  <c r="AU796" i="1"/>
  <c r="AU797" i="1"/>
  <c r="AU798" i="1"/>
  <c r="AU799" i="1"/>
  <c r="AU800" i="1"/>
  <c r="AU801" i="1"/>
  <c r="AU802" i="1"/>
  <c r="AU803" i="1"/>
  <c r="AU804" i="1"/>
  <c r="AU805" i="1"/>
  <c r="AU806" i="1"/>
  <c r="AU807" i="1"/>
  <c r="AU808" i="1"/>
  <c r="AU809" i="1"/>
  <c r="AU810" i="1"/>
  <c r="AU811" i="1"/>
  <c r="AU812" i="1"/>
  <c r="AU813" i="1"/>
  <c r="AU814" i="1"/>
  <c r="AU815" i="1"/>
  <c r="AU816" i="1"/>
  <c r="AU817" i="1"/>
  <c r="AU818" i="1"/>
  <c r="AU819" i="1"/>
  <c r="AU820" i="1"/>
  <c r="AU821" i="1"/>
  <c r="AU822" i="1"/>
  <c r="AU823" i="1"/>
  <c r="AU824" i="1"/>
  <c r="AU825" i="1"/>
  <c r="AU826" i="1"/>
  <c r="AU827" i="1"/>
  <c r="AU828" i="1"/>
  <c r="AU829" i="1"/>
  <c r="AU830" i="1"/>
  <c r="AU831" i="1"/>
  <c r="AU832" i="1"/>
  <c r="AU833" i="1"/>
  <c r="AU834" i="1"/>
  <c r="AU835" i="1"/>
  <c r="AU836" i="1"/>
  <c r="AU837" i="1"/>
  <c r="AU838" i="1"/>
  <c r="AU839" i="1"/>
  <c r="AU840" i="1"/>
  <c r="AU841" i="1"/>
  <c r="AU842" i="1"/>
  <c r="AU843" i="1"/>
  <c r="AU844" i="1"/>
  <c r="AU845" i="1"/>
  <c r="AU846" i="1"/>
  <c r="AU847" i="1"/>
  <c r="AU848" i="1"/>
  <c r="AU849" i="1"/>
  <c r="AU850" i="1"/>
  <c r="AU851" i="1"/>
  <c r="AU852" i="1"/>
  <c r="AU853" i="1"/>
  <c r="AU854" i="1"/>
  <c r="AU855" i="1"/>
  <c r="AU856" i="1"/>
  <c r="AU857" i="1"/>
  <c r="AU858" i="1"/>
  <c r="AU859" i="1"/>
  <c r="AU860" i="1"/>
  <c r="AU861" i="1"/>
  <c r="AU862" i="1"/>
  <c r="AU863" i="1"/>
  <c r="AU864" i="1"/>
  <c r="AU865" i="1"/>
  <c r="AU866" i="1"/>
  <c r="AU867" i="1"/>
  <c r="AU868" i="1"/>
  <c r="AU869" i="1"/>
  <c r="AU870" i="1"/>
  <c r="AU871" i="1"/>
  <c r="AU872" i="1"/>
  <c r="AU873" i="1"/>
  <c r="AU874" i="1"/>
  <c r="AU875" i="1"/>
  <c r="AU876" i="1"/>
  <c r="AU877" i="1"/>
  <c r="AU878" i="1"/>
  <c r="AU879" i="1"/>
  <c r="AU880" i="1"/>
  <c r="AU881" i="1"/>
  <c r="AU882" i="1"/>
  <c r="AU883" i="1"/>
  <c r="AU884" i="1"/>
  <c r="AU885" i="1"/>
  <c r="AU886" i="1"/>
  <c r="AU887" i="1"/>
  <c r="AU888" i="1"/>
  <c r="AU889" i="1"/>
  <c r="AU890" i="1"/>
  <c r="AU891" i="1"/>
  <c r="AU892" i="1"/>
  <c r="AU893" i="1"/>
  <c r="AU894" i="1"/>
  <c r="AU895" i="1"/>
  <c r="AU896" i="1"/>
  <c r="AU897" i="1"/>
  <c r="AU898" i="1"/>
  <c r="AU899" i="1"/>
  <c r="AU900" i="1"/>
  <c r="AU901" i="1"/>
  <c r="AU902" i="1"/>
  <c r="AU903" i="1"/>
  <c r="AU904" i="1"/>
  <c r="AU905" i="1"/>
  <c r="AU906" i="1"/>
  <c r="AU907" i="1"/>
  <c r="AU908" i="1"/>
  <c r="AU909" i="1"/>
  <c r="AU910" i="1"/>
  <c r="AU911" i="1"/>
  <c r="AU912" i="1"/>
  <c r="AU913" i="1"/>
  <c r="AU914" i="1"/>
  <c r="AU915" i="1"/>
  <c r="AU916" i="1"/>
  <c r="AU917" i="1"/>
  <c r="AU918" i="1"/>
  <c r="AU919" i="1"/>
  <c r="AU920" i="1"/>
  <c r="AU921" i="1"/>
  <c r="AU922" i="1"/>
  <c r="AU923" i="1"/>
  <c r="AU924" i="1"/>
  <c r="AU925" i="1"/>
  <c r="AU926" i="1"/>
  <c r="AU927" i="1"/>
  <c r="AU928" i="1"/>
  <c r="AU929" i="1"/>
  <c r="AU930" i="1"/>
  <c r="AU931" i="1"/>
  <c r="AU932" i="1"/>
  <c r="AU933" i="1"/>
  <c r="AU934" i="1"/>
  <c r="AU935" i="1"/>
  <c r="AU936" i="1"/>
  <c r="AU937" i="1"/>
  <c r="AU938" i="1"/>
  <c r="AU939" i="1"/>
  <c r="AU940" i="1"/>
  <c r="AU941" i="1"/>
  <c r="AU942" i="1"/>
  <c r="AU943" i="1"/>
  <c r="AU944" i="1"/>
  <c r="AU945" i="1"/>
  <c r="AU946" i="1"/>
  <c r="AU947" i="1"/>
  <c r="AU948" i="1"/>
  <c r="AU949" i="1"/>
  <c r="AU950" i="1"/>
  <c r="AU951" i="1"/>
  <c r="AU952" i="1"/>
  <c r="AU953" i="1"/>
  <c r="AU954" i="1"/>
  <c r="AU955" i="1"/>
  <c r="AU956" i="1"/>
  <c r="AU957" i="1"/>
  <c r="AU958" i="1"/>
  <c r="AU959" i="1"/>
  <c r="AU960" i="1"/>
  <c r="AU961" i="1"/>
  <c r="AU962" i="1"/>
  <c r="AU963" i="1"/>
  <c r="AU964" i="1"/>
  <c r="AU965" i="1"/>
  <c r="AU966" i="1"/>
  <c r="AU967" i="1"/>
  <c r="AU968" i="1"/>
  <c r="AU969" i="1"/>
  <c r="AU970" i="1"/>
  <c r="AU971" i="1"/>
  <c r="AU972" i="1"/>
  <c r="AU973" i="1"/>
  <c r="AU974" i="1"/>
  <c r="AU975" i="1"/>
  <c r="AU976" i="1"/>
  <c r="AU977" i="1"/>
  <c r="AU978" i="1"/>
  <c r="AU979" i="1"/>
  <c r="AU980" i="1"/>
  <c r="AU981" i="1"/>
  <c r="AU982" i="1"/>
  <c r="AU983" i="1"/>
  <c r="AU984" i="1"/>
  <c r="AU985" i="1"/>
  <c r="AU986" i="1"/>
  <c r="AU987" i="1"/>
  <c r="AU988" i="1"/>
  <c r="AU989" i="1"/>
  <c r="AU990" i="1"/>
  <c r="AU991" i="1"/>
  <c r="AU992" i="1"/>
  <c r="AU993" i="1"/>
  <c r="AU994" i="1"/>
  <c r="AU995" i="1"/>
  <c r="AU996" i="1"/>
  <c r="AU997" i="1"/>
  <c r="AU998" i="1"/>
  <c r="AU999" i="1"/>
  <c r="AU1000" i="1"/>
  <c r="AU1001" i="1"/>
  <c r="AU1002" i="1"/>
  <c r="AU1003" i="1"/>
  <c r="AU1004" i="1"/>
  <c r="AU1005" i="1"/>
  <c r="AU1006" i="1"/>
  <c r="AU1007" i="1"/>
  <c r="AU1008" i="1"/>
  <c r="AU1009" i="1"/>
  <c r="AU1010" i="1"/>
  <c r="AU1011" i="1"/>
  <c r="AU1012" i="1"/>
  <c r="AU1013" i="1"/>
  <c r="AU1014" i="1"/>
  <c r="AU1015" i="1"/>
  <c r="AU1016" i="1"/>
  <c r="AU1017" i="1"/>
  <c r="AU1018" i="1"/>
  <c r="AU1019" i="1"/>
  <c r="AU1020" i="1"/>
  <c r="AU1021" i="1"/>
  <c r="AU1022" i="1"/>
  <c r="AU1023" i="1"/>
  <c r="AU1024" i="1"/>
  <c r="AU1025" i="1"/>
  <c r="AU1026" i="1"/>
  <c r="AU1027" i="1"/>
  <c r="AU1028" i="1"/>
  <c r="AU1029" i="1"/>
  <c r="AU1030" i="1"/>
  <c r="AU1031" i="1"/>
  <c r="AU1032" i="1"/>
  <c r="AU1033" i="1"/>
  <c r="AU1034" i="1"/>
  <c r="AU1035" i="1"/>
  <c r="AU1036" i="1"/>
  <c r="AU1037" i="1"/>
  <c r="AU1038" i="1"/>
  <c r="AU1039" i="1"/>
  <c r="AU1040" i="1"/>
  <c r="AU1041" i="1"/>
  <c r="AU1042" i="1"/>
  <c r="AU1043" i="1"/>
  <c r="AU1044" i="1"/>
  <c r="AU1045" i="1"/>
  <c r="AU1046" i="1"/>
  <c r="AU1047" i="1"/>
  <c r="AU1048" i="1"/>
  <c r="AU1049" i="1"/>
  <c r="AU1050" i="1"/>
  <c r="AU1051" i="1"/>
  <c r="AU1052" i="1"/>
  <c r="AU1053" i="1"/>
  <c r="AU1054" i="1"/>
  <c r="AU1055" i="1"/>
  <c r="AU1056" i="1"/>
  <c r="AU1057" i="1"/>
  <c r="AU1058" i="1"/>
  <c r="AU1059" i="1"/>
  <c r="AU1060" i="1"/>
  <c r="AU1061" i="1"/>
  <c r="AU1062" i="1"/>
  <c r="AU1063" i="1"/>
  <c r="AU1064" i="1"/>
  <c r="AU1065" i="1"/>
  <c r="AU1066" i="1"/>
  <c r="AU1067" i="1"/>
  <c r="AU1068" i="1"/>
  <c r="AU1069" i="1"/>
  <c r="AU1070" i="1"/>
  <c r="AU1071" i="1"/>
  <c r="AU1072" i="1"/>
  <c r="AU1073" i="1"/>
  <c r="AU1074" i="1"/>
  <c r="AU1075" i="1"/>
  <c r="AU1076" i="1"/>
  <c r="AU1077" i="1"/>
  <c r="AU1078" i="1"/>
  <c r="AU1079" i="1"/>
  <c r="AU1080" i="1"/>
  <c r="AU1081" i="1"/>
  <c r="AU1082" i="1"/>
  <c r="AU1083" i="1"/>
  <c r="AU1084" i="1"/>
  <c r="AU1085" i="1"/>
  <c r="AU1086" i="1"/>
  <c r="AU1087" i="1"/>
  <c r="AU1088" i="1"/>
  <c r="AU1089" i="1"/>
  <c r="AU1090" i="1"/>
  <c r="AU1091" i="1"/>
  <c r="AU1092" i="1"/>
  <c r="AU1093" i="1"/>
  <c r="AU1094" i="1"/>
  <c r="AU1095" i="1"/>
  <c r="AU1096" i="1"/>
  <c r="AU1097" i="1"/>
  <c r="AU1098" i="1"/>
  <c r="AU1099" i="1"/>
  <c r="AU1100" i="1"/>
  <c r="AU1101" i="1"/>
  <c r="AU1102" i="1"/>
  <c r="AU1103" i="1"/>
  <c r="AU1104" i="1"/>
  <c r="AU1105" i="1"/>
  <c r="AU1106" i="1"/>
  <c r="AU1107" i="1"/>
  <c r="AU1108" i="1"/>
  <c r="AU1109" i="1"/>
  <c r="AU1110" i="1"/>
  <c r="AU1111" i="1"/>
  <c r="AU1112" i="1"/>
  <c r="AU1113" i="1"/>
  <c r="AU1114" i="1"/>
  <c r="AU1115" i="1"/>
  <c r="AU1116" i="1"/>
  <c r="AU1117" i="1"/>
  <c r="AU1118" i="1"/>
  <c r="AU1119" i="1"/>
  <c r="AU1120" i="1"/>
  <c r="AU1121" i="1"/>
  <c r="AU1122" i="1"/>
  <c r="AU1123" i="1"/>
  <c r="AU1124" i="1"/>
  <c r="AU1125" i="1"/>
  <c r="AU1126" i="1"/>
  <c r="AU1127" i="1"/>
  <c r="AU1128" i="1"/>
  <c r="AU1129" i="1"/>
  <c r="AU1130" i="1"/>
  <c r="AU1131" i="1"/>
  <c r="AU1132" i="1"/>
  <c r="AU1133" i="1"/>
  <c r="AU1134" i="1"/>
  <c r="AU1135" i="1"/>
  <c r="AU1136" i="1"/>
  <c r="AU1137" i="1"/>
  <c r="AU1138" i="1"/>
  <c r="AU1139" i="1"/>
  <c r="AU1140" i="1"/>
  <c r="AU1141" i="1"/>
  <c r="AU1142" i="1"/>
  <c r="AU1143" i="1"/>
  <c r="AU1144" i="1"/>
  <c r="AU1145" i="1"/>
  <c r="AU1146" i="1"/>
  <c r="AU1147" i="1"/>
  <c r="AU1148" i="1"/>
  <c r="AU1149" i="1"/>
  <c r="AU1150" i="1"/>
  <c r="AU1151" i="1"/>
  <c r="AU1152" i="1"/>
  <c r="AU1153" i="1"/>
  <c r="AU1154" i="1"/>
  <c r="AU1155" i="1"/>
  <c r="AU1156" i="1"/>
  <c r="AU1157" i="1"/>
  <c r="AU1158" i="1"/>
  <c r="AU1159" i="1"/>
  <c r="AU1160" i="1"/>
  <c r="AU1161" i="1"/>
  <c r="AU1162" i="1"/>
  <c r="AU1163" i="1"/>
  <c r="AU1164" i="1"/>
  <c r="AU1165" i="1"/>
  <c r="AU1166" i="1"/>
  <c r="AU1167" i="1"/>
  <c r="AU1168" i="1"/>
  <c r="AU1169" i="1"/>
  <c r="AU1170" i="1"/>
  <c r="AU1171" i="1"/>
  <c r="AU1172" i="1"/>
  <c r="AU1173" i="1"/>
  <c r="AU1174" i="1"/>
  <c r="AU1175" i="1"/>
  <c r="AU1176" i="1"/>
  <c r="AU1177" i="1"/>
  <c r="AU1178" i="1"/>
  <c r="AU1179" i="1"/>
  <c r="AU1180" i="1"/>
  <c r="AU1181" i="1"/>
  <c r="AU1182" i="1"/>
  <c r="AU1183" i="1"/>
  <c r="AU1184" i="1"/>
  <c r="AU1185" i="1"/>
  <c r="AU1186" i="1"/>
  <c r="AU1187" i="1"/>
  <c r="AU1188" i="1"/>
  <c r="AU1189" i="1"/>
  <c r="AU1190" i="1"/>
  <c r="AU1191" i="1"/>
  <c r="AU1192" i="1"/>
  <c r="AU1193" i="1"/>
  <c r="AU1194" i="1"/>
  <c r="AU1195" i="1"/>
  <c r="AU1196" i="1"/>
  <c r="AU1197" i="1"/>
  <c r="AU1198" i="1"/>
  <c r="AU1199" i="1"/>
  <c r="AU1200" i="1"/>
  <c r="AU1201" i="1"/>
  <c r="AU1202" i="1"/>
  <c r="AU1203" i="1"/>
  <c r="AU1204" i="1"/>
  <c r="AU1205" i="1"/>
  <c r="AU1206" i="1"/>
  <c r="AU1207" i="1"/>
  <c r="AU1208" i="1"/>
  <c r="AU1209" i="1"/>
  <c r="AU1210" i="1"/>
  <c r="AU1211" i="1"/>
  <c r="AU1212" i="1"/>
  <c r="AU1213" i="1"/>
  <c r="AU1214" i="1"/>
  <c r="AU1215" i="1"/>
  <c r="AU1216" i="1"/>
  <c r="AU1217" i="1"/>
  <c r="AU1218" i="1"/>
  <c r="AU1219" i="1"/>
  <c r="AU1220" i="1"/>
  <c r="AU1221" i="1"/>
  <c r="AU1222" i="1"/>
  <c r="AU1223" i="1"/>
  <c r="AU1224" i="1"/>
  <c r="AU1225" i="1"/>
  <c r="AU1226" i="1"/>
  <c r="AU1227" i="1"/>
  <c r="AU1228" i="1"/>
  <c r="AU1229" i="1"/>
  <c r="AU1230" i="1"/>
  <c r="AU1231" i="1"/>
  <c r="AU1232" i="1"/>
  <c r="AU1233" i="1"/>
  <c r="AU1234" i="1"/>
  <c r="AU1235" i="1"/>
  <c r="AU1236" i="1"/>
  <c r="AU1237" i="1"/>
  <c r="AU1238" i="1"/>
  <c r="AU1239" i="1"/>
  <c r="AU1240" i="1"/>
  <c r="AU1241" i="1"/>
  <c r="AU1242" i="1"/>
  <c r="AU1243" i="1"/>
  <c r="AU1244" i="1"/>
  <c r="AU1245" i="1"/>
  <c r="AU1246" i="1"/>
  <c r="AU1247" i="1"/>
  <c r="AU1248" i="1"/>
  <c r="AU1249" i="1"/>
  <c r="AU1250" i="1"/>
  <c r="AU1251" i="1"/>
  <c r="AU1252" i="1"/>
  <c r="AU1253" i="1"/>
  <c r="AU1254" i="1"/>
  <c r="AU1255" i="1"/>
  <c r="AU1256" i="1"/>
  <c r="AU1257" i="1"/>
  <c r="AU5" i="1"/>
  <c r="AU6" i="1"/>
  <c r="AU7" i="1"/>
  <c r="AU8" i="1"/>
  <c r="AU9" i="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42" i="1"/>
  <c r="AU43" i="1"/>
  <c r="AU44" i="1"/>
  <c r="AU45" i="1"/>
  <c r="AU46" i="1"/>
  <c r="AU47" i="1"/>
  <c r="AU48" i="1"/>
  <c r="AU49" i="1"/>
  <c r="AU50" i="1"/>
  <c r="AU51" i="1"/>
  <c r="AU52" i="1"/>
  <c r="AU53" i="1"/>
  <c r="AU54" i="1"/>
  <c r="AU55" i="1"/>
  <c r="AU56" i="1"/>
  <c r="AU57" i="1"/>
  <c r="AU58" i="1"/>
  <c r="AU59" i="1"/>
  <c r="AU60" i="1"/>
  <c r="AU61" i="1"/>
  <c r="AU62" i="1"/>
  <c r="AU63" i="1"/>
  <c r="AU64" i="1"/>
  <c r="AU65" i="1"/>
  <c r="AU66" i="1"/>
  <c r="AU67" i="1"/>
  <c r="AU68" i="1"/>
  <c r="AU69" i="1"/>
  <c r="AU70" i="1"/>
  <c r="AU71" i="1"/>
  <c r="AU72" i="1"/>
  <c r="AU73" i="1"/>
  <c r="AU74" i="1"/>
  <c r="AU75" i="1"/>
  <c r="AU76" i="1"/>
  <c r="AU77" i="1"/>
  <c r="AU78" i="1"/>
  <c r="AU79" i="1"/>
  <c r="AU80" i="1"/>
  <c r="AU81" i="1"/>
  <c r="AU82" i="1"/>
  <c r="AU83" i="1"/>
  <c r="AU84" i="1"/>
  <c r="AU85" i="1"/>
  <c r="AU86" i="1"/>
  <c r="AU87" i="1"/>
  <c r="AU88" i="1"/>
  <c r="AU89" i="1"/>
  <c r="AU90" i="1"/>
  <c r="AU91" i="1"/>
  <c r="AU92" i="1"/>
  <c r="AU93" i="1"/>
  <c r="AU94" i="1"/>
  <c r="AU95" i="1"/>
  <c r="AU96" i="1"/>
  <c r="AU97" i="1"/>
  <c r="AU98" i="1"/>
  <c r="AU99" i="1"/>
  <c r="AU100" i="1"/>
  <c r="AU101" i="1"/>
  <c r="AU102" i="1"/>
  <c r="AO103" i="1"/>
  <c r="AO105" i="1"/>
  <c r="AO106" i="1"/>
  <c r="AO107" i="1"/>
  <c r="AO108" i="1"/>
  <c r="AO109" i="1"/>
  <c r="AO110" i="1"/>
  <c r="AO111" i="1"/>
  <c r="AO112" i="1"/>
  <c r="AO113" i="1"/>
  <c r="AO114" i="1"/>
  <c r="AO115" i="1"/>
  <c r="AO117" i="1"/>
  <c r="AO118" i="1"/>
  <c r="AO119" i="1"/>
  <c r="AO120" i="1"/>
  <c r="AO121" i="1"/>
  <c r="AO122" i="1"/>
  <c r="AO123" i="1"/>
  <c r="AO124" i="1"/>
  <c r="AO125" i="1"/>
  <c r="AO126" i="1"/>
  <c r="AO127" i="1"/>
  <c r="AO128" i="1"/>
  <c r="AO129" i="1"/>
  <c r="AO130" i="1"/>
  <c r="AO131" i="1"/>
  <c r="AO132" i="1"/>
  <c r="AO133" i="1"/>
  <c r="AO134" i="1"/>
  <c r="AO135" i="1"/>
  <c r="AO136" i="1"/>
  <c r="AO137" i="1"/>
  <c r="AO138" i="1"/>
  <c r="AO139" i="1"/>
  <c r="AO140" i="1"/>
  <c r="AO141" i="1"/>
  <c r="AO142" i="1"/>
  <c r="AO143" i="1"/>
  <c r="AO144" i="1"/>
  <c r="AO145" i="1"/>
  <c r="AO146" i="1"/>
  <c r="AO147" i="1"/>
  <c r="AO148" i="1"/>
  <c r="AO149" i="1"/>
  <c r="AO150" i="1"/>
  <c r="AO151" i="1"/>
  <c r="AO152" i="1"/>
  <c r="AO153" i="1"/>
  <c r="AO154" i="1"/>
  <c r="AO155" i="1"/>
  <c r="AO156" i="1"/>
  <c r="AO157" i="1"/>
  <c r="AO158" i="1"/>
  <c r="AO159" i="1"/>
  <c r="AO160" i="1"/>
  <c r="AO161" i="1"/>
  <c r="AO162" i="1"/>
  <c r="AO163" i="1"/>
  <c r="AO164" i="1"/>
  <c r="AO165" i="1"/>
  <c r="AO166" i="1"/>
  <c r="AO167" i="1"/>
  <c r="AO168" i="1"/>
  <c r="AO169" i="1"/>
  <c r="AO170" i="1"/>
  <c r="AO171" i="1"/>
  <c r="AO172" i="1"/>
  <c r="AO173" i="1"/>
  <c r="AO174" i="1"/>
  <c r="AO175" i="1"/>
  <c r="AO176" i="1"/>
  <c r="AO177" i="1"/>
  <c r="AO178" i="1"/>
  <c r="AO179" i="1"/>
  <c r="AO180" i="1"/>
  <c r="AO181" i="1"/>
  <c r="AO182" i="1"/>
  <c r="AO183" i="1"/>
  <c r="AO184" i="1"/>
  <c r="AO185" i="1"/>
  <c r="AO186" i="1"/>
  <c r="AO187" i="1"/>
  <c r="AO188" i="1"/>
  <c r="AO189" i="1"/>
  <c r="AO190" i="1"/>
  <c r="AO191" i="1"/>
  <c r="AO192" i="1"/>
  <c r="AO193" i="1"/>
  <c r="AO194" i="1"/>
  <c r="AO195" i="1"/>
  <c r="AO196" i="1"/>
  <c r="AO197" i="1"/>
  <c r="AO198" i="1"/>
  <c r="AO199" i="1"/>
  <c r="AO200" i="1"/>
  <c r="AO202" i="1"/>
  <c r="AO203" i="1"/>
  <c r="AO204" i="1"/>
  <c r="AO205" i="1"/>
  <c r="AO206" i="1"/>
  <c r="AO207" i="1"/>
  <c r="AO208" i="1"/>
  <c r="AO209" i="1"/>
  <c r="AO210" i="1"/>
  <c r="AO211" i="1"/>
  <c r="AO212" i="1"/>
  <c r="AO213" i="1"/>
  <c r="AO214" i="1"/>
  <c r="AO215" i="1"/>
  <c r="AO216" i="1"/>
  <c r="AO217" i="1"/>
  <c r="AO218" i="1"/>
  <c r="AO219" i="1"/>
  <c r="AO220" i="1"/>
  <c r="AO221" i="1"/>
  <c r="AO222" i="1"/>
  <c r="AO223" i="1"/>
  <c r="AO224" i="1"/>
  <c r="AO226" i="1"/>
  <c r="AO227" i="1"/>
  <c r="AO228" i="1"/>
  <c r="AO229" i="1"/>
  <c r="AO230" i="1"/>
  <c r="AO231" i="1"/>
  <c r="AO232" i="1"/>
  <c r="AO233" i="1"/>
  <c r="AO234" i="1"/>
  <c r="AO235" i="1"/>
  <c r="AO236" i="1"/>
  <c r="AO238" i="1"/>
  <c r="AO239" i="1"/>
  <c r="AO240" i="1"/>
  <c r="AO241" i="1"/>
  <c r="AO242" i="1"/>
  <c r="AO243" i="1"/>
  <c r="AO244" i="1"/>
  <c r="AO245" i="1"/>
  <c r="AO246" i="1"/>
  <c r="AO247" i="1"/>
  <c r="AO248" i="1"/>
  <c r="AO250" i="1"/>
  <c r="AO251" i="1"/>
  <c r="AO252" i="1"/>
  <c r="AO253" i="1"/>
  <c r="AO254" i="1"/>
  <c r="AO255" i="1"/>
  <c r="AO256" i="1"/>
  <c r="AO257" i="1"/>
  <c r="AO258" i="1"/>
  <c r="AO259" i="1"/>
  <c r="AO260" i="1"/>
  <c r="AO261" i="1"/>
  <c r="AO262" i="1"/>
  <c r="AO263" i="1"/>
  <c r="AO264" i="1"/>
  <c r="AO265" i="1"/>
  <c r="AO266" i="1"/>
  <c r="AO267" i="1"/>
  <c r="AO268" i="1"/>
  <c r="AO269" i="1"/>
  <c r="AO270" i="1"/>
  <c r="AO271" i="1"/>
  <c r="AO272" i="1"/>
  <c r="AO273" i="1"/>
  <c r="AO274" i="1"/>
  <c r="AO275" i="1"/>
  <c r="AO276" i="1"/>
  <c r="AO277" i="1"/>
  <c r="AO278" i="1"/>
  <c r="AO279" i="1"/>
  <c r="AO280" i="1"/>
  <c r="AO281" i="1"/>
  <c r="AO282" i="1"/>
  <c r="AO283" i="1"/>
  <c r="AO284" i="1"/>
  <c r="AO285" i="1"/>
  <c r="AO286" i="1"/>
  <c r="AO287" i="1"/>
  <c r="AO288" i="1"/>
  <c r="AO289" i="1"/>
  <c r="AO290" i="1"/>
  <c r="AO291" i="1"/>
  <c r="AO292" i="1"/>
  <c r="AO293" i="1"/>
  <c r="AO294" i="1"/>
  <c r="AO295" i="1"/>
  <c r="AO296" i="1"/>
  <c r="AO297" i="1"/>
  <c r="AO298" i="1"/>
  <c r="AO299" i="1"/>
  <c r="AO300" i="1"/>
  <c r="AO301" i="1"/>
  <c r="AO302" i="1"/>
  <c r="AO303" i="1"/>
  <c r="AO304" i="1"/>
  <c r="AO305" i="1"/>
  <c r="AO306" i="1"/>
  <c r="AO307" i="1"/>
  <c r="AO308" i="1"/>
  <c r="AO309" i="1"/>
  <c r="AO310" i="1"/>
  <c r="AO311" i="1"/>
  <c r="AO312" i="1"/>
  <c r="AO313" i="1"/>
  <c r="AO314" i="1"/>
  <c r="AO315" i="1"/>
  <c r="AO316" i="1"/>
  <c r="AO317" i="1"/>
  <c r="AO318" i="1"/>
  <c r="AO319" i="1"/>
  <c r="AO320" i="1"/>
  <c r="AO321" i="1"/>
  <c r="AO322" i="1"/>
  <c r="AO323" i="1"/>
  <c r="AO324" i="1"/>
  <c r="AO325" i="1"/>
  <c r="AO326" i="1"/>
  <c r="AO327" i="1"/>
  <c r="AO328" i="1"/>
  <c r="AO329" i="1"/>
  <c r="AO330" i="1"/>
  <c r="AO331" i="1"/>
  <c r="AO332" i="1"/>
  <c r="AO333" i="1"/>
  <c r="AO334" i="1"/>
  <c r="AO335" i="1"/>
  <c r="AO336" i="1"/>
  <c r="AO337" i="1"/>
  <c r="AO338" i="1"/>
  <c r="AO339" i="1"/>
  <c r="AO340" i="1"/>
  <c r="AO341" i="1"/>
  <c r="AO342" i="1"/>
  <c r="AO343" i="1"/>
  <c r="AO344" i="1"/>
  <c r="AO345" i="1"/>
  <c r="AO346" i="1"/>
  <c r="AO347" i="1"/>
  <c r="AO348" i="1"/>
  <c r="AO349" i="1"/>
  <c r="AO350" i="1"/>
  <c r="AO351" i="1"/>
  <c r="AO352" i="1"/>
  <c r="AO353" i="1"/>
  <c r="AO354" i="1"/>
  <c r="AO355" i="1"/>
  <c r="AO356" i="1"/>
  <c r="AO357" i="1"/>
  <c r="AO358" i="1"/>
  <c r="AO359" i="1"/>
  <c r="AO360" i="1"/>
  <c r="AO361" i="1"/>
  <c r="AO362" i="1"/>
  <c r="AO363" i="1"/>
  <c r="AO364" i="1"/>
  <c r="AO365" i="1"/>
  <c r="AO366" i="1"/>
  <c r="AO367" i="1"/>
  <c r="AO368" i="1"/>
  <c r="AO369" i="1"/>
  <c r="AO370" i="1"/>
  <c r="AO371" i="1"/>
  <c r="AO372" i="1"/>
  <c r="AO373" i="1"/>
  <c r="AO374" i="1"/>
  <c r="AO375" i="1"/>
  <c r="AO376" i="1"/>
  <c r="AO377" i="1"/>
  <c r="AO378" i="1"/>
  <c r="AO379" i="1"/>
  <c r="AO380" i="1"/>
  <c r="AO381" i="1"/>
  <c r="AO382" i="1"/>
  <c r="AO383" i="1"/>
  <c r="AO384" i="1"/>
  <c r="AO385" i="1"/>
  <c r="AO386" i="1"/>
  <c r="AO387" i="1"/>
  <c r="AO388" i="1"/>
  <c r="AO389" i="1"/>
  <c r="AO390" i="1"/>
  <c r="AO391" i="1"/>
  <c r="AO392" i="1"/>
  <c r="AO393" i="1"/>
  <c r="AO394" i="1"/>
  <c r="AO395" i="1"/>
  <c r="AO396" i="1"/>
  <c r="AO397" i="1"/>
  <c r="AO398" i="1"/>
  <c r="AO399" i="1"/>
  <c r="AO400" i="1"/>
  <c r="AO401" i="1"/>
  <c r="AO402" i="1"/>
  <c r="AO403" i="1"/>
  <c r="AO404" i="1"/>
  <c r="AO405" i="1"/>
  <c r="AO406" i="1"/>
  <c r="AO407" i="1"/>
  <c r="AO408" i="1"/>
  <c r="AO409" i="1"/>
  <c r="AO410" i="1"/>
  <c r="AO411" i="1"/>
  <c r="AO412" i="1"/>
  <c r="AO413" i="1"/>
  <c r="AO414" i="1"/>
  <c r="AO415" i="1"/>
  <c r="AO416" i="1"/>
  <c r="AO417" i="1"/>
  <c r="AO418" i="1"/>
  <c r="AO419" i="1"/>
  <c r="AO420" i="1"/>
  <c r="AO421" i="1"/>
  <c r="AO422" i="1"/>
  <c r="AO423" i="1"/>
  <c r="AO424" i="1"/>
  <c r="AO425" i="1"/>
  <c r="AO426" i="1"/>
  <c r="AO427" i="1"/>
  <c r="AO428" i="1"/>
  <c r="AO429" i="1"/>
  <c r="AO430" i="1"/>
  <c r="AO431" i="1"/>
  <c r="AO432" i="1"/>
  <c r="AO433" i="1"/>
  <c r="AO434" i="1"/>
  <c r="AO435" i="1"/>
  <c r="AO436" i="1"/>
  <c r="AO437" i="1"/>
  <c r="AO438" i="1"/>
  <c r="AO439" i="1"/>
  <c r="AO440" i="1"/>
  <c r="AO441" i="1"/>
  <c r="AO442" i="1"/>
  <c r="AO443" i="1"/>
  <c r="AO444" i="1"/>
  <c r="AO445" i="1"/>
  <c r="AO446" i="1"/>
  <c r="AO447" i="1"/>
  <c r="AO448" i="1"/>
  <c r="AO449" i="1"/>
  <c r="AO450" i="1"/>
  <c r="AO451" i="1"/>
  <c r="AO452" i="1"/>
  <c r="AO453" i="1"/>
  <c r="AO454" i="1"/>
  <c r="AO455" i="1"/>
  <c r="AO456" i="1"/>
  <c r="AO457" i="1"/>
  <c r="AO458" i="1"/>
  <c r="AO459" i="1"/>
  <c r="AO460" i="1"/>
  <c r="AO461" i="1"/>
  <c r="AO462" i="1"/>
  <c r="AO463" i="1"/>
  <c r="AO464" i="1"/>
  <c r="AO465" i="1"/>
  <c r="AO466" i="1"/>
  <c r="AO467" i="1"/>
  <c r="AO468" i="1"/>
  <c r="AO469" i="1"/>
  <c r="AO470" i="1"/>
  <c r="AO471" i="1"/>
  <c r="AO472" i="1"/>
  <c r="AO473" i="1"/>
  <c r="AO474" i="1"/>
  <c r="AO475" i="1"/>
  <c r="AO476" i="1"/>
  <c r="AO477" i="1"/>
  <c r="AO478" i="1"/>
  <c r="AO479" i="1"/>
  <c r="AO480" i="1"/>
  <c r="AO481" i="1"/>
  <c r="AO482" i="1"/>
  <c r="AO483" i="1"/>
  <c r="AO484" i="1"/>
  <c r="AO485" i="1"/>
  <c r="AO486" i="1"/>
  <c r="AO487" i="1"/>
  <c r="AO488" i="1"/>
  <c r="AO489" i="1"/>
  <c r="AO490" i="1"/>
  <c r="AO491" i="1"/>
  <c r="AO492" i="1"/>
  <c r="AO493" i="1"/>
  <c r="AO494" i="1"/>
  <c r="AO495" i="1"/>
  <c r="AO496" i="1"/>
  <c r="AO497" i="1"/>
  <c r="AO498" i="1"/>
  <c r="AO499" i="1"/>
  <c r="AO500" i="1"/>
  <c r="AO501" i="1"/>
  <c r="AO502" i="1"/>
  <c r="AO503" i="1"/>
  <c r="AO504" i="1"/>
  <c r="AO505" i="1"/>
  <c r="AO506" i="1"/>
  <c r="AO507" i="1"/>
  <c r="AO508" i="1"/>
  <c r="AO509" i="1"/>
  <c r="AO510" i="1"/>
  <c r="AO511" i="1"/>
  <c r="AO512" i="1"/>
  <c r="AO513" i="1"/>
  <c r="AO514" i="1"/>
  <c r="AO515" i="1"/>
  <c r="AO516" i="1"/>
  <c r="AO517" i="1"/>
  <c r="AO518" i="1"/>
  <c r="AO519" i="1"/>
  <c r="AO520" i="1"/>
  <c r="AO521" i="1"/>
  <c r="AO522" i="1"/>
  <c r="AO523" i="1"/>
  <c r="AO524" i="1"/>
  <c r="AO525" i="1"/>
  <c r="AO526" i="1"/>
  <c r="AO527" i="1"/>
  <c r="AO528" i="1"/>
  <c r="AO529" i="1"/>
  <c r="AO530" i="1"/>
  <c r="AO531" i="1"/>
  <c r="AO532" i="1"/>
  <c r="AO533" i="1"/>
  <c r="AO534" i="1"/>
  <c r="AO535" i="1"/>
  <c r="AO536" i="1"/>
  <c r="AO537" i="1"/>
  <c r="AO538" i="1"/>
  <c r="AO539" i="1"/>
  <c r="AO540" i="1"/>
  <c r="AO541" i="1"/>
  <c r="AO542" i="1"/>
  <c r="AO543" i="1"/>
  <c r="AO544" i="1"/>
  <c r="AO545" i="1"/>
  <c r="AO546" i="1"/>
  <c r="AO547" i="1"/>
  <c r="AO548" i="1"/>
  <c r="AO549" i="1"/>
  <c r="AO550" i="1"/>
  <c r="AO551" i="1"/>
  <c r="AO552" i="1"/>
  <c r="AO553" i="1"/>
  <c r="AO554" i="1"/>
  <c r="AO555" i="1"/>
  <c r="AO556" i="1"/>
  <c r="AO557" i="1"/>
  <c r="AO558" i="1"/>
  <c r="AO559" i="1"/>
  <c r="AO560" i="1"/>
  <c r="AO561" i="1"/>
  <c r="AO562" i="1"/>
  <c r="AO563" i="1"/>
  <c r="AO564" i="1"/>
  <c r="AO565" i="1"/>
  <c r="AO566" i="1"/>
  <c r="AO567" i="1"/>
  <c r="AO568" i="1"/>
  <c r="AO569" i="1"/>
  <c r="AO570" i="1"/>
  <c r="AO571" i="1"/>
  <c r="AO572" i="1"/>
  <c r="AO573" i="1"/>
  <c r="AO574" i="1"/>
  <c r="AO575" i="1"/>
  <c r="AO576" i="1"/>
  <c r="AO577" i="1"/>
  <c r="AO578" i="1"/>
  <c r="AO579" i="1"/>
  <c r="AO580" i="1"/>
  <c r="AO581" i="1"/>
  <c r="AO582" i="1"/>
  <c r="AO583" i="1"/>
  <c r="AO584" i="1"/>
  <c r="AO585" i="1"/>
  <c r="AO586" i="1"/>
  <c r="AO587" i="1"/>
  <c r="AO588" i="1"/>
  <c r="AO589" i="1"/>
  <c r="AO590" i="1"/>
  <c r="AO591" i="1"/>
  <c r="AO592" i="1"/>
  <c r="AO593" i="1"/>
  <c r="AO594" i="1"/>
  <c r="AO595" i="1"/>
  <c r="AO596" i="1"/>
  <c r="AO597" i="1"/>
  <c r="AO598" i="1"/>
  <c r="AO599" i="1"/>
  <c r="AO600" i="1"/>
  <c r="AO601" i="1"/>
  <c r="AO602" i="1"/>
  <c r="AO603" i="1"/>
  <c r="AO604" i="1"/>
  <c r="AO605" i="1"/>
  <c r="AO606" i="1"/>
  <c r="AO607" i="1"/>
  <c r="AO608" i="1"/>
  <c r="AO609" i="1"/>
  <c r="AO610" i="1"/>
  <c r="AO611" i="1"/>
  <c r="AO612" i="1"/>
  <c r="AO613" i="1"/>
  <c r="AO614" i="1"/>
  <c r="AO615" i="1"/>
  <c r="AO616" i="1"/>
  <c r="AO617" i="1"/>
  <c r="AO618" i="1"/>
  <c r="AO619" i="1"/>
  <c r="AO620" i="1"/>
  <c r="AO621" i="1"/>
  <c r="AO622" i="1"/>
  <c r="AO623" i="1"/>
  <c r="AO624" i="1"/>
  <c r="AO625" i="1"/>
  <c r="AO626" i="1"/>
  <c r="AO627" i="1"/>
  <c r="AO628" i="1"/>
  <c r="AO629" i="1"/>
  <c r="AO630" i="1"/>
  <c r="AO631" i="1"/>
  <c r="AO632" i="1"/>
  <c r="AO633" i="1"/>
  <c r="AO634" i="1"/>
  <c r="AO635" i="1"/>
  <c r="AO636" i="1"/>
  <c r="AO637" i="1"/>
  <c r="AO638" i="1"/>
  <c r="AO639" i="1"/>
  <c r="AO640" i="1"/>
  <c r="AO641" i="1"/>
  <c r="AO642" i="1"/>
  <c r="AO643" i="1"/>
  <c r="AO644" i="1"/>
  <c r="AO645" i="1"/>
  <c r="AO646" i="1"/>
  <c r="AO647" i="1"/>
  <c r="AO648" i="1"/>
  <c r="AO649" i="1"/>
  <c r="AO650" i="1"/>
  <c r="AO651" i="1"/>
  <c r="AO652" i="1"/>
  <c r="AO653" i="1"/>
  <c r="AO654" i="1"/>
  <c r="AO655" i="1"/>
  <c r="AO656" i="1"/>
  <c r="AO657" i="1"/>
  <c r="AO658" i="1"/>
  <c r="AO659" i="1"/>
  <c r="AO660" i="1"/>
  <c r="AO661" i="1"/>
  <c r="AO662" i="1"/>
  <c r="AO663" i="1"/>
  <c r="AO664" i="1"/>
  <c r="AO665" i="1"/>
  <c r="AO666" i="1"/>
  <c r="AO667" i="1"/>
  <c r="AO668" i="1"/>
  <c r="AO669" i="1"/>
  <c r="AO670" i="1"/>
  <c r="AO671" i="1"/>
  <c r="AO672" i="1"/>
  <c r="AO673" i="1"/>
  <c r="AO674" i="1"/>
  <c r="AO675" i="1"/>
  <c r="AO676" i="1"/>
  <c r="AO677" i="1"/>
  <c r="AO678" i="1"/>
  <c r="AO679" i="1"/>
  <c r="AO680" i="1"/>
  <c r="AO681" i="1"/>
  <c r="AO682" i="1"/>
  <c r="AO683" i="1"/>
  <c r="AO684" i="1"/>
  <c r="AO685" i="1"/>
  <c r="AO686" i="1"/>
  <c r="AO687" i="1"/>
  <c r="AO688" i="1"/>
  <c r="AO689" i="1"/>
  <c r="AO690" i="1"/>
  <c r="AO691" i="1"/>
  <c r="AO692" i="1"/>
  <c r="AO693" i="1"/>
  <c r="AO694" i="1"/>
  <c r="AO695" i="1"/>
  <c r="AO696" i="1"/>
  <c r="AO697" i="1"/>
  <c r="AO698" i="1"/>
  <c r="AO699" i="1"/>
  <c r="AO700" i="1"/>
  <c r="AO701" i="1"/>
  <c r="AO702" i="1"/>
  <c r="AO703" i="1"/>
  <c r="AO704" i="1"/>
  <c r="AO705" i="1"/>
  <c r="AO706" i="1"/>
  <c r="AO707" i="1"/>
  <c r="AO708" i="1"/>
  <c r="AO709" i="1"/>
  <c r="AO710" i="1"/>
  <c r="AO711" i="1"/>
  <c r="AO712" i="1"/>
  <c r="AO713" i="1"/>
  <c r="AO714" i="1"/>
  <c r="AO715" i="1"/>
  <c r="AO716" i="1"/>
  <c r="AO717" i="1"/>
  <c r="AO718" i="1"/>
  <c r="AO719" i="1"/>
  <c r="AO720" i="1"/>
  <c r="AO721" i="1"/>
  <c r="AO722" i="1"/>
  <c r="AO723" i="1"/>
  <c r="AO724" i="1"/>
  <c r="AO725" i="1"/>
  <c r="AO726" i="1"/>
  <c r="AO727" i="1"/>
  <c r="AO728" i="1"/>
  <c r="AO729" i="1"/>
  <c r="AO730" i="1"/>
  <c r="AO731" i="1"/>
  <c r="AO732" i="1"/>
  <c r="AO733" i="1"/>
  <c r="AO734" i="1"/>
  <c r="AO735" i="1"/>
  <c r="AO736" i="1"/>
  <c r="AO737" i="1"/>
  <c r="AO738" i="1"/>
  <c r="AO739" i="1"/>
  <c r="AO740" i="1"/>
  <c r="AO741" i="1"/>
  <c r="AO742" i="1"/>
  <c r="AO743" i="1"/>
  <c r="AO744" i="1"/>
  <c r="AO745" i="1"/>
  <c r="AO746" i="1"/>
  <c r="AO747" i="1"/>
  <c r="AO748" i="1"/>
  <c r="AO749" i="1"/>
  <c r="AO750" i="1"/>
  <c r="AO751" i="1"/>
  <c r="AO752" i="1"/>
  <c r="AO753" i="1"/>
  <c r="AO754" i="1"/>
  <c r="AO755" i="1"/>
  <c r="AO756" i="1"/>
  <c r="AO757" i="1"/>
  <c r="AO758" i="1"/>
  <c r="AO759" i="1"/>
  <c r="AO760" i="1"/>
  <c r="AO761" i="1"/>
  <c r="AO762" i="1"/>
  <c r="AO763" i="1"/>
  <c r="AO764" i="1"/>
  <c r="AO765" i="1"/>
  <c r="AO766" i="1"/>
  <c r="AO767" i="1"/>
  <c r="AO768" i="1"/>
  <c r="AO769" i="1"/>
  <c r="AO770" i="1"/>
  <c r="AO771" i="1"/>
  <c r="AO772" i="1"/>
  <c r="AO773" i="1"/>
  <c r="AO774" i="1"/>
  <c r="AO775" i="1"/>
  <c r="AO776" i="1"/>
  <c r="AO777" i="1"/>
  <c r="AO778" i="1"/>
  <c r="AO779" i="1"/>
  <c r="AO780" i="1"/>
  <c r="AO781" i="1"/>
  <c r="AO782" i="1"/>
  <c r="AO783" i="1"/>
  <c r="AO784" i="1"/>
  <c r="AO785" i="1"/>
  <c r="AO786" i="1"/>
  <c r="AO787" i="1"/>
  <c r="AO788" i="1"/>
  <c r="AO789" i="1"/>
  <c r="AO790" i="1"/>
  <c r="AO791" i="1"/>
  <c r="AO792" i="1"/>
  <c r="AO793" i="1"/>
  <c r="AO794" i="1"/>
  <c r="AO795" i="1"/>
  <c r="AO796" i="1"/>
  <c r="AO797" i="1"/>
  <c r="AO798" i="1"/>
  <c r="AO799" i="1"/>
  <c r="AO800" i="1"/>
  <c r="AO801" i="1"/>
  <c r="AO802" i="1"/>
  <c r="AO803" i="1"/>
  <c r="AO804" i="1"/>
  <c r="AO805" i="1"/>
  <c r="AO806" i="1"/>
  <c r="AO807" i="1"/>
  <c r="AO808" i="1"/>
  <c r="AO809" i="1"/>
  <c r="AO810" i="1"/>
  <c r="AO811" i="1"/>
  <c r="AO812" i="1"/>
  <c r="AO813" i="1"/>
  <c r="AO814" i="1"/>
  <c r="AO815" i="1"/>
  <c r="AO816" i="1"/>
  <c r="AO817" i="1"/>
  <c r="AO818" i="1"/>
  <c r="AO819" i="1"/>
  <c r="AO820" i="1"/>
  <c r="AO821" i="1"/>
  <c r="AO822" i="1"/>
  <c r="AO823" i="1"/>
  <c r="AO824" i="1"/>
  <c r="AO825" i="1"/>
  <c r="AO826" i="1"/>
  <c r="AO827" i="1"/>
  <c r="AO828" i="1"/>
  <c r="AO829" i="1"/>
  <c r="AO830" i="1"/>
  <c r="AO831" i="1"/>
  <c r="AO832" i="1"/>
  <c r="AO833" i="1"/>
  <c r="AO834" i="1"/>
  <c r="AO835" i="1"/>
  <c r="AO836" i="1"/>
  <c r="AO837" i="1"/>
  <c r="AO838" i="1"/>
  <c r="AO839" i="1"/>
  <c r="AO840" i="1"/>
  <c r="AO841" i="1"/>
  <c r="AO842" i="1"/>
  <c r="AO843" i="1"/>
  <c r="AO844" i="1"/>
  <c r="AO845" i="1"/>
  <c r="AO846" i="1"/>
  <c r="AO847" i="1"/>
  <c r="AO848" i="1"/>
  <c r="AO849" i="1"/>
  <c r="AO850" i="1"/>
  <c r="AO851" i="1"/>
  <c r="AO852" i="1"/>
  <c r="AO853" i="1"/>
  <c r="AO854" i="1"/>
  <c r="AO855" i="1"/>
  <c r="AO856" i="1"/>
  <c r="AO857" i="1"/>
  <c r="AO858" i="1"/>
  <c r="AO859" i="1"/>
  <c r="AO860" i="1"/>
  <c r="AO861" i="1"/>
  <c r="AO862" i="1"/>
  <c r="AO863" i="1"/>
  <c r="AO864" i="1"/>
  <c r="AO865" i="1"/>
  <c r="AO866" i="1"/>
  <c r="AO867" i="1"/>
  <c r="AO868" i="1"/>
  <c r="AO869" i="1"/>
  <c r="AO870" i="1"/>
  <c r="AO871" i="1"/>
  <c r="AO872" i="1"/>
  <c r="AO873" i="1"/>
  <c r="AO874" i="1"/>
  <c r="AO875" i="1"/>
  <c r="AO876" i="1"/>
  <c r="AO877" i="1"/>
  <c r="AO878" i="1"/>
  <c r="AO879" i="1"/>
  <c r="AO880" i="1"/>
  <c r="AO881" i="1"/>
  <c r="AO882" i="1"/>
  <c r="AO883" i="1"/>
  <c r="AO884" i="1"/>
  <c r="AO885" i="1"/>
  <c r="AO886" i="1"/>
  <c r="AO887" i="1"/>
  <c r="AO888" i="1"/>
  <c r="AO889" i="1"/>
  <c r="AO890" i="1"/>
  <c r="AO891" i="1"/>
  <c r="AO892" i="1"/>
  <c r="AO893" i="1"/>
  <c r="AO894" i="1"/>
  <c r="AO895" i="1"/>
  <c r="AO896" i="1"/>
  <c r="AO897" i="1"/>
  <c r="AO898" i="1"/>
  <c r="AO899" i="1"/>
  <c r="AO900" i="1"/>
  <c r="AO901" i="1"/>
  <c r="AO902" i="1"/>
  <c r="AO903" i="1"/>
  <c r="AO904" i="1"/>
  <c r="AO905" i="1"/>
  <c r="AO906" i="1"/>
  <c r="AO907" i="1"/>
  <c r="AO908" i="1"/>
  <c r="AO909" i="1"/>
  <c r="AO910" i="1"/>
  <c r="AO911" i="1"/>
  <c r="AO912" i="1"/>
  <c r="AO913" i="1"/>
  <c r="AO914" i="1"/>
  <c r="AO915" i="1"/>
  <c r="AO916" i="1"/>
  <c r="AO917" i="1"/>
  <c r="AO918" i="1"/>
  <c r="AO919" i="1"/>
  <c r="AO920" i="1"/>
  <c r="AO921" i="1"/>
  <c r="AO922" i="1"/>
  <c r="AO923" i="1"/>
  <c r="AO924" i="1"/>
  <c r="AO925" i="1"/>
  <c r="AO926" i="1"/>
  <c r="AO927" i="1"/>
  <c r="AO928" i="1"/>
  <c r="AO929" i="1"/>
  <c r="AO930" i="1"/>
  <c r="AO931" i="1"/>
  <c r="AO932" i="1"/>
  <c r="AO933" i="1"/>
  <c r="AO934" i="1"/>
  <c r="AO935" i="1"/>
  <c r="AO936" i="1"/>
  <c r="AO937" i="1"/>
  <c r="AO938" i="1"/>
  <c r="AO939" i="1"/>
  <c r="AO940" i="1"/>
  <c r="AO941" i="1"/>
  <c r="AO942" i="1"/>
  <c r="AO943" i="1"/>
  <c r="AO944" i="1"/>
  <c r="AO945" i="1"/>
  <c r="AO946" i="1"/>
  <c r="AO947" i="1"/>
  <c r="AO948" i="1"/>
  <c r="AO949" i="1"/>
  <c r="AO950" i="1"/>
  <c r="AO951" i="1"/>
  <c r="AO952" i="1"/>
  <c r="AO953" i="1"/>
  <c r="AO954" i="1"/>
  <c r="AO955" i="1"/>
  <c r="AO956" i="1"/>
  <c r="AO957" i="1"/>
  <c r="AO958" i="1"/>
  <c r="AO959" i="1"/>
  <c r="AO960" i="1"/>
  <c r="AO961" i="1"/>
  <c r="AO962" i="1"/>
  <c r="AO963" i="1"/>
  <c r="AO964" i="1"/>
  <c r="AO965" i="1"/>
  <c r="AO966" i="1"/>
  <c r="AO967" i="1"/>
  <c r="AO968" i="1"/>
  <c r="AO969" i="1"/>
  <c r="AO970" i="1"/>
  <c r="AO971" i="1"/>
  <c r="AO972" i="1"/>
  <c r="AO973" i="1"/>
  <c r="AO974" i="1"/>
  <c r="AO975" i="1"/>
  <c r="AO976" i="1"/>
  <c r="AO977" i="1"/>
  <c r="AO978" i="1"/>
  <c r="AO979" i="1"/>
  <c r="AO980" i="1"/>
  <c r="AO981" i="1"/>
  <c r="AO982" i="1"/>
  <c r="AO983" i="1"/>
  <c r="AO984" i="1"/>
  <c r="AO985" i="1"/>
  <c r="AO986" i="1"/>
  <c r="AO987" i="1"/>
  <c r="AO988" i="1"/>
  <c r="AO989" i="1"/>
  <c r="AO990" i="1"/>
  <c r="AO991" i="1"/>
  <c r="AO992" i="1"/>
  <c r="AO993" i="1"/>
  <c r="AO994" i="1"/>
  <c r="AO995" i="1"/>
  <c r="AO996" i="1"/>
  <c r="AO997" i="1"/>
  <c r="AO998" i="1"/>
  <c r="AO999" i="1"/>
  <c r="AO1000" i="1"/>
  <c r="AO1001" i="1"/>
  <c r="AO1002" i="1"/>
  <c r="AO1003" i="1"/>
  <c r="AO1004" i="1"/>
  <c r="AO1005" i="1"/>
  <c r="AO1006" i="1"/>
  <c r="AO1007" i="1"/>
  <c r="AO1008" i="1"/>
  <c r="AO1009" i="1"/>
  <c r="AO1010" i="1"/>
  <c r="AO1011" i="1"/>
  <c r="AO1012" i="1"/>
  <c r="AO1013" i="1"/>
  <c r="AO1014" i="1"/>
  <c r="AO1015" i="1"/>
  <c r="AO1016" i="1"/>
  <c r="AO1017" i="1"/>
  <c r="AO1018" i="1"/>
  <c r="AO1019" i="1"/>
  <c r="AO1020" i="1"/>
  <c r="AO1021" i="1"/>
  <c r="AO1022" i="1"/>
  <c r="AO1023" i="1"/>
  <c r="AO1024" i="1"/>
  <c r="AO1025" i="1"/>
  <c r="AO1026" i="1"/>
  <c r="AO1027" i="1"/>
  <c r="AO1028" i="1"/>
  <c r="AO1029" i="1"/>
  <c r="AO1030" i="1"/>
  <c r="AO1031" i="1"/>
  <c r="AO1032" i="1"/>
  <c r="AO1033" i="1"/>
  <c r="AO1034" i="1"/>
  <c r="AO1035" i="1"/>
  <c r="AO1036" i="1"/>
  <c r="AO1037" i="1"/>
  <c r="AO1038" i="1"/>
  <c r="AO1039" i="1"/>
  <c r="AO1040" i="1"/>
  <c r="AO1041" i="1"/>
  <c r="AO1042" i="1"/>
  <c r="AO1043" i="1"/>
  <c r="AO1044" i="1"/>
  <c r="AO1045" i="1"/>
  <c r="AO1046" i="1"/>
  <c r="AO1047" i="1"/>
  <c r="AO1048" i="1"/>
  <c r="AO1049" i="1"/>
  <c r="AO1050" i="1"/>
  <c r="AO1051" i="1"/>
  <c r="AO1052" i="1"/>
  <c r="AO1053" i="1"/>
  <c r="AO1054" i="1"/>
  <c r="AO1055" i="1"/>
  <c r="AO1056" i="1"/>
  <c r="AO1057" i="1"/>
  <c r="AO1058" i="1"/>
  <c r="AO1059" i="1"/>
  <c r="AO1060" i="1"/>
  <c r="AO1061" i="1"/>
  <c r="AO1062" i="1"/>
  <c r="AO1063" i="1"/>
  <c r="AO1064" i="1"/>
  <c r="AO1065" i="1"/>
  <c r="AO1066" i="1"/>
  <c r="AO1067" i="1"/>
  <c r="AO1068" i="1"/>
  <c r="AO1069" i="1"/>
  <c r="AO1070" i="1"/>
  <c r="AO1071" i="1"/>
  <c r="AO1072" i="1"/>
  <c r="AO1073" i="1"/>
  <c r="AO1074" i="1"/>
  <c r="AO1075" i="1"/>
  <c r="AO1076" i="1"/>
  <c r="AO1077" i="1"/>
  <c r="AO1078" i="1"/>
  <c r="AO1079" i="1"/>
  <c r="AO1080" i="1"/>
  <c r="AO1081" i="1"/>
  <c r="AO1082" i="1"/>
  <c r="AO1083" i="1"/>
  <c r="AO1084" i="1"/>
  <c r="AO1085" i="1"/>
  <c r="AO1086" i="1"/>
  <c r="AO1087" i="1"/>
  <c r="AO1088" i="1"/>
  <c r="AO1089" i="1"/>
  <c r="AO1090" i="1"/>
  <c r="AO1091" i="1"/>
  <c r="AO1092" i="1"/>
  <c r="AO1093" i="1"/>
  <c r="AO1094" i="1"/>
  <c r="AO1095" i="1"/>
  <c r="AO1096" i="1"/>
  <c r="AO1097" i="1"/>
  <c r="AO1098" i="1"/>
  <c r="AO1099" i="1"/>
  <c r="AO1100" i="1"/>
  <c r="AO1101" i="1"/>
  <c r="AO1102" i="1"/>
  <c r="AO1103" i="1"/>
  <c r="AO1104" i="1"/>
  <c r="AO1105" i="1"/>
  <c r="AO1106" i="1"/>
  <c r="AO1107" i="1"/>
  <c r="AO1108" i="1"/>
  <c r="AO1109" i="1"/>
  <c r="AO1110" i="1"/>
  <c r="AO1111" i="1"/>
  <c r="AO1112" i="1"/>
  <c r="AO1113" i="1"/>
  <c r="AO1114" i="1"/>
  <c r="AO1115" i="1"/>
  <c r="AO1116" i="1"/>
  <c r="AO1117" i="1"/>
  <c r="AO1118" i="1"/>
  <c r="AO1119" i="1"/>
  <c r="AO1120" i="1"/>
  <c r="AO1121" i="1"/>
  <c r="AO1122" i="1"/>
  <c r="AO1123" i="1"/>
  <c r="AO1124" i="1"/>
  <c r="AO1125" i="1"/>
  <c r="AO1126" i="1"/>
  <c r="AO1127" i="1"/>
  <c r="AO1128" i="1"/>
  <c r="AO1129" i="1"/>
  <c r="AO1130" i="1"/>
  <c r="AO1131" i="1"/>
  <c r="AO1132" i="1"/>
  <c r="AO1133" i="1"/>
  <c r="AO1134" i="1"/>
  <c r="AO1135" i="1"/>
  <c r="AO1136" i="1"/>
  <c r="AO1137" i="1"/>
  <c r="AO1138" i="1"/>
  <c r="AO1139" i="1"/>
  <c r="AO1140" i="1"/>
  <c r="AO1141" i="1"/>
  <c r="AO1142" i="1"/>
  <c r="AO1143" i="1"/>
  <c r="AO1144" i="1"/>
  <c r="AO1145" i="1"/>
  <c r="AO1146" i="1"/>
  <c r="AO1147" i="1"/>
  <c r="AO1148" i="1"/>
  <c r="AO1149" i="1"/>
  <c r="AO1150" i="1"/>
  <c r="AO1151" i="1"/>
  <c r="AO1152" i="1"/>
  <c r="AO1153" i="1"/>
  <c r="AO1154" i="1"/>
  <c r="AO1155" i="1"/>
  <c r="AO1156" i="1"/>
  <c r="AO1157" i="1"/>
  <c r="AO1158" i="1"/>
  <c r="AO1159" i="1"/>
  <c r="AO1160" i="1"/>
  <c r="AO1161" i="1"/>
  <c r="AO1162" i="1"/>
  <c r="AO1163" i="1"/>
  <c r="AO1164" i="1"/>
  <c r="AO1165" i="1"/>
  <c r="AO1166" i="1"/>
  <c r="AO1167" i="1"/>
  <c r="AO1168" i="1"/>
  <c r="AO1169" i="1"/>
  <c r="AO1170" i="1"/>
  <c r="AO1171" i="1"/>
  <c r="AO1172" i="1"/>
  <c r="AO1173" i="1"/>
  <c r="AO1174" i="1"/>
  <c r="AO1175" i="1"/>
  <c r="AO1176" i="1"/>
  <c r="AO1177" i="1"/>
  <c r="AO1178" i="1"/>
  <c r="AO1179" i="1"/>
  <c r="AO1180" i="1"/>
  <c r="AO1181" i="1"/>
  <c r="AO1182" i="1"/>
  <c r="AO1183" i="1"/>
  <c r="AO1184" i="1"/>
  <c r="AO1185" i="1"/>
  <c r="AO1186" i="1"/>
  <c r="AO1187" i="1"/>
  <c r="AO1188" i="1"/>
  <c r="AO1189" i="1"/>
  <c r="AO1190" i="1"/>
  <c r="AO1191" i="1"/>
  <c r="AO1192" i="1"/>
  <c r="AO1193" i="1"/>
  <c r="AO1194" i="1"/>
  <c r="AO1195" i="1"/>
  <c r="AO1196" i="1"/>
  <c r="AO1197" i="1"/>
  <c r="AO1198" i="1"/>
  <c r="AO1199" i="1"/>
  <c r="AO1200" i="1"/>
  <c r="AO1201" i="1"/>
  <c r="AO1202" i="1"/>
  <c r="AO1203" i="1"/>
  <c r="AO1204" i="1"/>
  <c r="AO1205" i="1"/>
  <c r="AO1206" i="1"/>
  <c r="AO1207" i="1"/>
  <c r="AO1208" i="1"/>
  <c r="AO1209" i="1"/>
  <c r="AO1210" i="1"/>
  <c r="AO1211" i="1"/>
  <c r="AO1212" i="1"/>
  <c r="AO1213" i="1"/>
  <c r="AO1214" i="1"/>
  <c r="AO1215" i="1"/>
  <c r="AO1216" i="1"/>
  <c r="AO1217" i="1"/>
  <c r="AO1218" i="1"/>
  <c r="AO1219" i="1"/>
  <c r="AO1220" i="1"/>
  <c r="AO1221" i="1"/>
  <c r="AO1222" i="1"/>
  <c r="AO1223" i="1"/>
  <c r="AO1224" i="1"/>
  <c r="AO1225" i="1"/>
  <c r="AO1226" i="1"/>
  <c r="AO1227" i="1"/>
  <c r="AO1228" i="1"/>
  <c r="AO1229" i="1"/>
  <c r="AO1230" i="1"/>
  <c r="AO1231" i="1"/>
  <c r="AO1232" i="1"/>
  <c r="AO1233" i="1"/>
  <c r="AO1234" i="1"/>
  <c r="AO1235" i="1"/>
  <c r="AO1236" i="1"/>
  <c r="AO1237" i="1"/>
  <c r="AO1238" i="1"/>
  <c r="AO1239" i="1"/>
  <c r="AO1240" i="1"/>
  <c r="AO1241" i="1"/>
  <c r="AO1242" i="1"/>
  <c r="AO1243" i="1"/>
  <c r="AO1244" i="1"/>
  <c r="AO1245" i="1"/>
  <c r="AO1246" i="1"/>
  <c r="AO1247" i="1"/>
  <c r="AO1248" i="1"/>
  <c r="AO1249" i="1"/>
  <c r="AO1250" i="1"/>
  <c r="AO1251" i="1"/>
  <c r="AO1252" i="1"/>
  <c r="AO1253" i="1"/>
  <c r="AO1254" i="1"/>
  <c r="AO1255" i="1"/>
  <c r="AO1256" i="1"/>
  <c r="AO1257" i="1"/>
  <c r="AO3" i="1"/>
  <c r="AO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O65" i="1"/>
  <c r="AO66" i="1"/>
  <c r="AO67" i="1"/>
  <c r="AO68" i="1"/>
  <c r="AO69" i="1"/>
  <c r="AO70"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AO99" i="1"/>
  <c r="AO100" i="1"/>
  <c r="AO101" i="1"/>
  <c r="AO102"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5" i="1"/>
  <c r="AL106" i="1"/>
  <c r="AL107" i="1"/>
  <c r="AL108" i="1"/>
  <c r="AL109" i="1"/>
  <c r="AL110" i="1"/>
  <c r="AL111" i="1"/>
  <c r="AL112" i="1"/>
  <c r="AL113" i="1"/>
  <c r="AL114" i="1"/>
  <c r="AL115"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6" i="1"/>
  <c r="AL227" i="1"/>
  <c r="AL228" i="1"/>
  <c r="AL229" i="1"/>
  <c r="AL230" i="1"/>
  <c r="AL231" i="1"/>
  <c r="AL232" i="1"/>
  <c r="AL233" i="1"/>
  <c r="AL234" i="1"/>
  <c r="AL235" i="1"/>
  <c r="AL236" i="1"/>
  <c r="AL238" i="1"/>
  <c r="AL239" i="1"/>
  <c r="AL240" i="1"/>
  <c r="AL241" i="1"/>
  <c r="AL242" i="1"/>
  <c r="AL243" i="1"/>
  <c r="AL244" i="1"/>
  <c r="AL245" i="1"/>
  <c r="AL246" i="1"/>
  <c r="AL247" i="1"/>
  <c r="AL248"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O1030" i="9" l="1"/>
  <c r="O1010" i="9"/>
  <c r="G1000" i="9"/>
  <c r="O990" i="9"/>
  <c r="O980" i="9"/>
  <c r="G970" i="9"/>
  <c r="O950" i="9"/>
  <c r="O940" i="9"/>
  <c r="O930" i="9"/>
  <c r="G930" i="9"/>
  <c r="G940" i="9"/>
  <c r="G950" i="9"/>
  <c r="G960" i="9"/>
  <c r="G980" i="9"/>
  <c r="G990" i="9"/>
  <c r="G1010" i="9"/>
  <c r="G1020" i="9"/>
  <c r="G1030" i="9"/>
  <c r="G1040" i="9"/>
  <c r="G1050" i="9"/>
  <c r="G1060" i="9"/>
  <c r="G1070" i="9"/>
  <c r="G1080" i="9"/>
  <c r="G1090" i="9"/>
  <c r="G1100" i="9"/>
  <c r="G1110" i="9"/>
  <c r="G1120" i="9"/>
  <c r="O900" i="9"/>
  <c r="O890" i="9"/>
  <c r="O880" i="9"/>
  <c r="O870" i="9"/>
  <c r="O850" i="9"/>
  <c r="G850" i="9"/>
  <c r="AO116" i="1"/>
  <c r="AU116"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6" i="1"/>
  <c r="AF227" i="1"/>
  <c r="AF228" i="1"/>
  <c r="AF229" i="1"/>
  <c r="AF230" i="1"/>
  <c r="AF231" i="1"/>
  <c r="AF232" i="1"/>
  <c r="AF233" i="1"/>
  <c r="AF234" i="1"/>
  <c r="AF235" i="1"/>
  <c r="AF236" i="1"/>
  <c r="AF238" i="1"/>
  <c r="AF239" i="1"/>
  <c r="AF240" i="1"/>
  <c r="AF241" i="1"/>
  <c r="AF242" i="1"/>
  <c r="AF243" i="1"/>
  <c r="AF244" i="1"/>
  <c r="AF245" i="1"/>
  <c r="AF246" i="1"/>
  <c r="AF247" i="1"/>
  <c r="AF248"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100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AF1051" i="1"/>
  <c r="AF1052" i="1"/>
  <c r="AF1053" i="1"/>
  <c r="AF1054" i="1"/>
  <c r="AF1055" i="1"/>
  <c r="AF1056" i="1"/>
  <c r="AF1057" i="1"/>
  <c r="AF1058" i="1"/>
  <c r="AF1059" i="1"/>
  <c r="AF1060" i="1"/>
  <c r="AF1061" i="1"/>
  <c r="AF1062" i="1"/>
  <c r="AF1063" i="1"/>
  <c r="AF1064" i="1"/>
  <c r="AF1065" i="1"/>
  <c r="AF1066" i="1"/>
  <c r="AF1067" i="1"/>
  <c r="AF1068" i="1"/>
  <c r="AF1069" i="1"/>
  <c r="AF1070" i="1"/>
  <c r="AF1071" i="1"/>
  <c r="AF1072" i="1"/>
  <c r="AF1073" i="1"/>
  <c r="AF1074" i="1"/>
  <c r="AF1075" i="1"/>
  <c r="AF1076"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F1110" i="1"/>
  <c r="AF1111" i="1"/>
  <c r="AF1112" i="1"/>
  <c r="AF1113" i="1"/>
  <c r="AF1114" i="1"/>
  <c r="AF1115" i="1"/>
  <c r="AF1116" i="1"/>
  <c r="AF1117" i="1"/>
  <c r="AF1118" i="1"/>
  <c r="AF1119" i="1"/>
  <c r="AF1120" i="1"/>
  <c r="AF1121" i="1"/>
  <c r="AF1122" i="1"/>
  <c r="AF1123" i="1"/>
  <c r="AF1124" i="1"/>
  <c r="AF1125" i="1"/>
  <c r="AF1126" i="1"/>
  <c r="AF1127" i="1"/>
  <c r="AF1128" i="1"/>
  <c r="AF1129" i="1"/>
  <c r="AF1130" i="1"/>
  <c r="AF1131" i="1"/>
  <c r="AF1132" i="1"/>
  <c r="AF1133" i="1"/>
  <c r="AF1134" i="1"/>
  <c r="AF1135" i="1"/>
  <c r="AF1136" i="1"/>
  <c r="AF1137" i="1"/>
  <c r="AF1138" i="1"/>
  <c r="AF1139" i="1"/>
  <c r="AF1140" i="1"/>
  <c r="AF1141" i="1"/>
  <c r="AF1142" i="1"/>
  <c r="AF1143" i="1"/>
  <c r="AF1144" i="1"/>
  <c r="AF1145" i="1"/>
  <c r="AF1146" i="1"/>
  <c r="AF1147" i="1"/>
  <c r="AF1148" i="1"/>
  <c r="AF1149" i="1"/>
  <c r="AF1150" i="1"/>
  <c r="AF1151" i="1"/>
  <c r="AF1152" i="1"/>
  <c r="AF1153" i="1"/>
  <c r="AF1154" i="1"/>
  <c r="AF1155" i="1"/>
  <c r="AF1156" i="1"/>
  <c r="AF1157" i="1"/>
  <c r="AF1158" i="1"/>
  <c r="AF1159" i="1"/>
  <c r="AF1160" i="1"/>
  <c r="AF1161" i="1"/>
  <c r="AF1162" i="1"/>
  <c r="AF1163" i="1"/>
  <c r="AF1164" i="1"/>
  <c r="AF1165" i="1"/>
  <c r="AF1166"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4" i="1"/>
  <c r="AF1195" i="1"/>
  <c r="AF1196" i="1"/>
  <c r="AF1197" i="1"/>
  <c r="AF1198" i="1"/>
  <c r="AF1199" i="1"/>
  <c r="AF1200" i="1"/>
  <c r="AF1201" i="1"/>
  <c r="AF1202" i="1"/>
  <c r="AF1203" i="1"/>
  <c r="AF1204" i="1"/>
  <c r="AF1205" i="1"/>
  <c r="AF1206" i="1"/>
  <c r="AF1207" i="1"/>
  <c r="AF1208" i="1"/>
  <c r="AF1209" i="1"/>
  <c r="AF1210" i="1"/>
  <c r="AF1211" i="1"/>
  <c r="AF1212" i="1"/>
  <c r="AF1213" i="1"/>
  <c r="AF1214" i="1"/>
  <c r="AF1215" i="1"/>
  <c r="AF1216" i="1"/>
  <c r="AF1217" i="1"/>
  <c r="AF1218" i="1"/>
  <c r="AF1219" i="1"/>
  <c r="AF1220" i="1"/>
  <c r="AF1221" i="1"/>
  <c r="AF1222" i="1"/>
  <c r="AF1223" i="1"/>
  <c r="AF1224" i="1"/>
  <c r="AF1225" i="1"/>
  <c r="AF1226" i="1"/>
  <c r="AF1227" i="1"/>
  <c r="AF1228" i="1"/>
  <c r="AF1229" i="1"/>
  <c r="AF1230" i="1"/>
  <c r="AF1231" i="1"/>
  <c r="AF1232" i="1"/>
  <c r="AF1233" i="1"/>
  <c r="AF1234" i="1"/>
  <c r="AF1235" i="1"/>
  <c r="AF1236" i="1"/>
  <c r="AF1237" i="1"/>
  <c r="AF1238" i="1"/>
  <c r="AF1239" i="1"/>
  <c r="AF1240" i="1"/>
  <c r="AF1241" i="1"/>
  <c r="AF1242" i="1"/>
  <c r="AF1243" i="1"/>
  <c r="AF1244" i="1"/>
  <c r="AF1245" i="1"/>
  <c r="AF1246" i="1"/>
  <c r="AF1247" i="1"/>
  <c r="AF1248" i="1"/>
  <c r="AF1249" i="1"/>
  <c r="AF1250" i="1"/>
  <c r="AF1251" i="1"/>
  <c r="AF1252" i="1"/>
  <c r="AF1253" i="1"/>
  <c r="AF1254" i="1"/>
  <c r="AF1255" i="1"/>
  <c r="AF1256" i="1"/>
  <c r="AF1257" i="1"/>
  <c r="AI59" i="1"/>
  <c r="AI60" i="1"/>
  <c r="AI61" i="1"/>
  <c r="AI62" i="1"/>
  <c r="AI63" i="1"/>
  <c r="AI64" i="1"/>
  <c r="AI65" i="1"/>
  <c r="AI66" i="1"/>
  <c r="AI67" i="1"/>
  <c r="AI68" i="1"/>
  <c r="AI69" i="1"/>
  <c r="AI70" i="1"/>
  <c r="AI71" i="1"/>
  <c r="AI72" i="1"/>
  <c r="AI73" i="1"/>
  <c r="AI74" i="1"/>
  <c r="AI75" i="1"/>
  <c r="AI76" i="1"/>
  <c r="AI77" i="1"/>
  <c r="AI78" i="1"/>
  <c r="AI111" i="1"/>
  <c r="AI112" i="1"/>
  <c r="AI113"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218" i="1"/>
  <c r="AI251" i="1"/>
  <c r="AI252" i="1"/>
  <c r="AI255" i="1"/>
  <c r="AI256" i="1"/>
  <c r="AI257" i="1"/>
  <c r="AI259" i="1"/>
  <c r="AI260" i="1"/>
  <c r="AI261"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25" i="1"/>
  <c r="AI32" i="1"/>
  <c r="AI44" i="1"/>
  <c r="AI48" i="1"/>
  <c r="AI50" i="1"/>
  <c r="AI51" i="1"/>
  <c r="AI53" i="1"/>
  <c r="AF3" i="1"/>
  <c r="O837" i="9"/>
  <c r="G837" i="9"/>
  <c r="O836" i="9"/>
  <c r="G836" i="9"/>
  <c r="O835" i="9"/>
  <c r="G835" i="9"/>
  <c r="O834" i="9"/>
  <c r="G834" i="9"/>
  <c r="O833" i="9"/>
  <c r="G833" i="9"/>
  <c r="O832" i="9"/>
  <c r="G832" i="9"/>
  <c r="O831" i="9"/>
  <c r="G831" i="9"/>
  <c r="O830" i="9"/>
  <c r="O838" i="9" s="1"/>
  <c r="G830" i="9"/>
  <c r="G838" i="9" s="1"/>
  <c r="O828" i="9"/>
  <c r="G828" i="9"/>
  <c r="O827" i="9"/>
  <c r="G827" i="9"/>
  <c r="O826" i="9"/>
  <c r="G826" i="9"/>
  <c r="O825" i="9"/>
  <c r="G825" i="9"/>
  <c r="O824" i="9"/>
  <c r="G824" i="9"/>
  <c r="O823" i="9"/>
  <c r="G823" i="9"/>
  <c r="O822" i="9"/>
  <c r="G822" i="9"/>
  <c r="O821" i="9"/>
  <c r="O829" i="9" s="1"/>
  <c r="G821" i="9"/>
  <c r="O819" i="9"/>
  <c r="G819" i="9"/>
  <c r="O818" i="9"/>
  <c r="G818" i="9"/>
  <c r="O817" i="9"/>
  <c r="G817" i="9"/>
  <c r="O816" i="9"/>
  <c r="G816" i="9"/>
  <c r="O815" i="9"/>
  <c r="G815" i="9"/>
  <c r="O814" i="9"/>
  <c r="G814" i="9"/>
  <c r="O813" i="9"/>
  <c r="G813" i="9"/>
  <c r="O812" i="9"/>
  <c r="G812" i="9"/>
  <c r="O810" i="9"/>
  <c r="G810" i="9"/>
  <c r="O809" i="9"/>
  <c r="G809" i="9"/>
  <c r="O808" i="9"/>
  <c r="G808" i="9"/>
  <c r="O807" i="9"/>
  <c r="G807" i="9"/>
  <c r="O806" i="9"/>
  <c r="G806" i="9"/>
  <c r="O805" i="9"/>
  <c r="G805" i="9"/>
  <c r="O804" i="9"/>
  <c r="G804" i="9"/>
  <c r="O803" i="9"/>
  <c r="G803" i="9"/>
  <c r="G811" i="9" s="1"/>
  <c r="O801" i="9"/>
  <c r="G801" i="9"/>
  <c r="O800" i="9"/>
  <c r="G800" i="9"/>
  <c r="O799" i="9"/>
  <c r="G799" i="9"/>
  <c r="O798" i="9"/>
  <c r="G798" i="9"/>
  <c r="O797" i="9"/>
  <c r="G797" i="9"/>
  <c r="O796" i="9"/>
  <c r="G796" i="9"/>
  <c r="O795" i="9"/>
  <c r="G795" i="9"/>
  <c r="O794" i="9"/>
  <c r="G794" i="9"/>
  <c r="G802" i="9" s="1"/>
  <c r="O792" i="9"/>
  <c r="G792" i="9"/>
  <c r="O791" i="9"/>
  <c r="G791" i="9"/>
  <c r="O790" i="9"/>
  <c r="G790" i="9"/>
  <c r="O789" i="9"/>
  <c r="G789" i="9"/>
  <c r="O788" i="9"/>
  <c r="G788" i="9"/>
  <c r="O787" i="9"/>
  <c r="G787" i="9"/>
  <c r="O786" i="9"/>
  <c r="G786" i="9"/>
  <c r="O785" i="9"/>
  <c r="O793" i="9" s="1"/>
  <c r="G785" i="9"/>
  <c r="O783" i="9"/>
  <c r="G783" i="9"/>
  <c r="O782" i="9"/>
  <c r="G782" i="9"/>
  <c r="O781" i="9"/>
  <c r="G781" i="9"/>
  <c r="O780" i="9"/>
  <c r="G780" i="9"/>
  <c r="O779" i="9"/>
  <c r="G779" i="9"/>
  <c r="O778" i="9"/>
  <c r="G778" i="9"/>
  <c r="O777" i="9"/>
  <c r="G777" i="9"/>
  <c r="O776" i="9"/>
  <c r="O784" i="9" s="1"/>
  <c r="G776" i="9"/>
  <c r="G784" i="9" s="1"/>
  <c r="O774" i="9"/>
  <c r="G774" i="9"/>
  <c r="O773" i="9"/>
  <c r="G773" i="9"/>
  <c r="O772" i="9"/>
  <c r="G772" i="9"/>
  <c r="O771" i="9"/>
  <c r="G771" i="9"/>
  <c r="O770" i="9"/>
  <c r="G770" i="9"/>
  <c r="O769" i="9"/>
  <c r="G769" i="9"/>
  <c r="O768" i="9"/>
  <c r="G768" i="9"/>
  <c r="O767" i="9"/>
  <c r="O775" i="9" s="1"/>
  <c r="G767" i="9"/>
  <c r="G775" i="9" s="1"/>
  <c r="O765" i="9"/>
  <c r="G765" i="9"/>
  <c r="O764" i="9"/>
  <c r="G764" i="9"/>
  <c r="O763" i="9"/>
  <c r="G763" i="9"/>
  <c r="O762" i="9"/>
  <c r="G762" i="9"/>
  <c r="O761" i="9"/>
  <c r="G761" i="9"/>
  <c r="O760" i="9"/>
  <c r="G760" i="9"/>
  <c r="O759" i="9"/>
  <c r="G759" i="9"/>
  <c r="O758" i="9"/>
  <c r="O766" i="9" s="1"/>
  <c r="G758" i="9"/>
  <c r="O756" i="9"/>
  <c r="G756" i="9"/>
  <c r="O755" i="9"/>
  <c r="G755" i="9"/>
  <c r="O754" i="9"/>
  <c r="G754" i="9"/>
  <c r="O753" i="9"/>
  <c r="G753" i="9"/>
  <c r="O752" i="9"/>
  <c r="G752" i="9"/>
  <c r="O751" i="9"/>
  <c r="G751" i="9"/>
  <c r="O750" i="9"/>
  <c r="G750" i="9"/>
  <c r="O749" i="9"/>
  <c r="G749" i="9"/>
  <c r="O747" i="9"/>
  <c r="G747" i="9"/>
  <c r="O746" i="9"/>
  <c r="G746" i="9"/>
  <c r="O745" i="9"/>
  <c r="G745" i="9"/>
  <c r="O744" i="9"/>
  <c r="G744" i="9"/>
  <c r="O743" i="9"/>
  <c r="G743" i="9"/>
  <c r="O742" i="9"/>
  <c r="G742" i="9"/>
  <c r="O741" i="9"/>
  <c r="G741" i="9"/>
  <c r="O740" i="9"/>
  <c r="G740" i="9"/>
  <c r="O738" i="9"/>
  <c r="G738" i="9"/>
  <c r="O737" i="9"/>
  <c r="G737" i="9"/>
  <c r="O736" i="9"/>
  <c r="G736" i="9"/>
  <c r="O735" i="9"/>
  <c r="G735" i="9"/>
  <c r="O734" i="9"/>
  <c r="G734" i="9"/>
  <c r="O733" i="9"/>
  <c r="G733" i="9"/>
  <c r="O732" i="9"/>
  <c r="G732" i="9"/>
  <c r="O731" i="9"/>
  <c r="G731" i="9"/>
  <c r="O729" i="9"/>
  <c r="G729" i="9"/>
  <c r="O728" i="9"/>
  <c r="G728" i="9"/>
  <c r="O727" i="9"/>
  <c r="G727" i="9"/>
  <c r="O726" i="9"/>
  <c r="G726" i="9"/>
  <c r="O725" i="9"/>
  <c r="G725" i="9"/>
  <c r="O724" i="9"/>
  <c r="G724" i="9"/>
  <c r="O723" i="9"/>
  <c r="G723" i="9"/>
  <c r="O722" i="9"/>
  <c r="G722" i="9"/>
  <c r="G730" i="9" s="1"/>
  <c r="O720" i="9"/>
  <c r="G720" i="9"/>
  <c r="O719" i="9"/>
  <c r="G719" i="9"/>
  <c r="O718" i="9"/>
  <c r="G718" i="9"/>
  <c r="O717" i="9"/>
  <c r="G717" i="9"/>
  <c r="O716" i="9"/>
  <c r="G716" i="9"/>
  <c r="O715" i="9"/>
  <c r="G715" i="9"/>
  <c r="O714" i="9"/>
  <c r="G714" i="9"/>
  <c r="O713" i="9"/>
  <c r="O721" i="9" s="1"/>
  <c r="G713" i="9"/>
  <c r="G721" i="9" s="1"/>
  <c r="O711" i="9"/>
  <c r="G711" i="9"/>
  <c r="O710" i="9"/>
  <c r="G710" i="9"/>
  <c r="O709" i="9"/>
  <c r="G709" i="9"/>
  <c r="O708" i="9"/>
  <c r="G708" i="9"/>
  <c r="O707" i="9"/>
  <c r="G707" i="9"/>
  <c r="O706" i="9"/>
  <c r="G706" i="9"/>
  <c r="O705" i="9"/>
  <c r="G705" i="9"/>
  <c r="O704" i="9"/>
  <c r="O712" i="9" s="1"/>
  <c r="G704" i="9"/>
  <c r="G712" i="9" s="1"/>
  <c r="O702" i="9"/>
  <c r="G702" i="9"/>
  <c r="O701" i="9"/>
  <c r="G701" i="9"/>
  <c r="O700" i="9"/>
  <c r="G700" i="9"/>
  <c r="O699" i="9"/>
  <c r="G699" i="9"/>
  <c r="O698" i="9"/>
  <c r="G698" i="9"/>
  <c r="O697" i="9"/>
  <c r="G697" i="9"/>
  <c r="O696" i="9"/>
  <c r="G696" i="9"/>
  <c r="O695" i="9"/>
  <c r="O703" i="9" s="1"/>
  <c r="G695" i="9"/>
  <c r="G703" i="9" s="1"/>
  <c r="O693" i="9"/>
  <c r="G693" i="9"/>
  <c r="O692" i="9"/>
  <c r="G692" i="9"/>
  <c r="O691" i="9"/>
  <c r="G691" i="9"/>
  <c r="O690" i="9"/>
  <c r="G690" i="9"/>
  <c r="O689" i="9"/>
  <c r="G689" i="9"/>
  <c r="O688" i="9"/>
  <c r="G688" i="9"/>
  <c r="O687" i="9"/>
  <c r="G687" i="9"/>
  <c r="O686" i="9"/>
  <c r="O694" i="9" s="1"/>
  <c r="G686" i="9"/>
  <c r="O684" i="9"/>
  <c r="G684" i="9"/>
  <c r="O683" i="9"/>
  <c r="G683" i="9"/>
  <c r="O682" i="9"/>
  <c r="G682" i="9"/>
  <c r="O681" i="9"/>
  <c r="G681" i="9"/>
  <c r="O680" i="9"/>
  <c r="G680" i="9"/>
  <c r="O679" i="9"/>
  <c r="G679" i="9"/>
  <c r="O678" i="9"/>
  <c r="G678" i="9"/>
  <c r="O677" i="9"/>
  <c r="G677" i="9"/>
  <c r="O675" i="9"/>
  <c r="G675" i="9"/>
  <c r="O674" i="9"/>
  <c r="G674" i="9"/>
  <c r="O673" i="9"/>
  <c r="G673" i="9"/>
  <c r="O672" i="9"/>
  <c r="G672" i="9"/>
  <c r="O671" i="9"/>
  <c r="G671" i="9"/>
  <c r="O670" i="9"/>
  <c r="G670" i="9"/>
  <c r="O669" i="9"/>
  <c r="G669" i="9"/>
  <c r="O668" i="9"/>
  <c r="G668" i="9"/>
  <c r="O666" i="9"/>
  <c r="G666" i="9"/>
  <c r="O665" i="9"/>
  <c r="G665" i="9"/>
  <c r="O664" i="9"/>
  <c r="G664" i="9"/>
  <c r="O663" i="9"/>
  <c r="G663" i="9"/>
  <c r="O662" i="9"/>
  <c r="G662" i="9"/>
  <c r="O661" i="9"/>
  <c r="G661" i="9"/>
  <c r="O660" i="9"/>
  <c r="G660" i="9"/>
  <c r="O659" i="9"/>
  <c r="G659" i="9"/>
  <c r="O657" i="9"/>
  <c r="G657" i="9"/>
  <c r="O656" i="9"/>
  <c r="G656" i="9"/>
  <c r="O655" i="9"/>
  <c r="G655" i="9"/>
  <c r="O654" i="9"/>
  <c r="G654" i="9"/>
  <c r="O653" i="9"/>
  <c r="G653" i="9"/>
  <c r="O652" i="9"/>
  <c r="G652" i="9"/>
  <c r="O651" i="9"/>
  <c r="G651" i="9"/>
  <c r="O650" i="9"/>
  <c r="G650" i="9"/>
  <c r="G658" i="9" s="1"/>
  <c r="O648" i="9"/>
  <c r="G648" i="9"/>
  <c r="O647" i="9"/>
  <c r="G647" i="9"/>
  <c r="O646" i="9"/>
  <c r="G646" i="9"/>
  <c r="O645" i="9"/>
  <c r="G645" i="9"/>
  <c r="O644" i="9"/>
  <c r="G644" i="9"/>
  <c r="O643" i="9"/>
  <c r="G643" i="9"/>
  <c r="O642" i="9"/>
  <c r="G642" i="9"/>
  <c r="O641" i="9"/>
  <c r="O649" i="9" s="1"/>
  <c r="G641" i="9"/>
  <c r="G649" i="9" s="1"/>
  <c r="O639" i="9"/>
  <c r="G639" i="9"/>
  <c r="O638" i="9"/>
  <c r="G638" i="9"/>
  <c r="O637" i="9"/>
  <c r="G637" i="9"/>
  <c r="O636" i="9"/>
  <c r="G636" i="9"/>
  <c r="O635" i="9"/>
  <c r="G635" i="9"/>
  <c r="O634" i="9"/>
  <c r="G634" i="9"/>
  <c r="O633" i="9"/>
  <c r="G633" i="9"/>
  <c r="O632" i="9"/>
  <c r="O640" i="9" s="1"/>
  <c r="G632" i="9"/>
  <c r="G640" i="9" s="1"/>
  <c r="O630" i="9"/>
  <c r="G630" i="9"/>
  <c r="O629" i="9"/>
  <c r="G629" i="9"/>
  <c r="O628" i="9"/>
  <c r="G628" i="9"/>
  <c r="O627" i="9"/>
  <c r="G627" i="9"/>
  <c r="O626" i="9"/>
  <c r="G626" i="9"/>
  <c r="O625" i="9"/>
  <c r="G625" i="9"/>
  <c r="O624" i="9"/>
  <c r="G624" i="9"/>
  <c r="O623" i="9"/>
  <c r="O631" i="9" s="1"/>
  <c r="G623" i="9"/>
  <c r="G631" i="9" s="1"/>
  <c r="O621" i="9"/>
  <c r="G621" i="9"/>
  <c r="O620" i="9"/>
  <c r="G620" i="9"/>
  <c r="O619" i="9"/>
  <c r="G619" i="9"/>
  <c r="O618" i="9"/>
  <c r="G618" i="9"/>
  <c r="O617" i="9"/>
  <c r="G617" i="9"/>
  <c r="O616" i="9"/>
  <c r="G616" i="9"/>
  <c r="O615" i="9"/>
  <c r="G615" i="9"/>
  <c r="O614" i="9"/>
  <c r="O622" i="9" s="1"/>
  <c r="G614" i="9"/>
  <c r="O612" i="9"/>
  <c r="G612" i="9"/>
  <c r="O611" i="9"/>
  <c r="G611" i="9"/>
  <c r="O610" i="9"/>
  <c r="G610" i="9"/>
  <c r="O609" i="9"/>
  <c r="G609" i="9"/>
  <c r="O608" i="9"/>
  <c r="G608" i="9"/>
  <c r="O607" i="9"/>
  <c r="G607" i="9"/>
  <c r="O606" i="9"/>
  <c r="G606" i="9"/>
  <c r="O605" i="9"/>
  <c r="G605" i="9"/>
  <c r="O603" i="9"/>
  <c r="G603" i="9"/>
  <c r="O602" i="9"/>
  <c r="G602" i="9"/>
  <c r="O601" i="9"/>
  <c r="G601" i="9"/>
  <c r="O600" i="9"/>
  <c r="G600" i="9"/>
  <c r="O599" i="9"/>
  <c r="G599" i="9"/>
  <c r="O598" i="9"/>
  <c r="G598" i="9"/>
  <c r="O597" i="9"/>
  <c r="G597" i="9"/>
  <c r="O596" i="9"/>
  <c r="G596" i="9"/>
  <c r="O594" i="9"/>
  <c r="G594" i="9"/>
  <c r="O593" i="9"/>
  <c r="G593" i="9"/>
  <c r="O592" i="9"/>
  <c r="G592" i="9"/>
  <c r="O591" i="9"/>
  <c r="G591" i="9"/>
  <c r="O590" i="9"/>
  <c r="G590" i="9"/>
  <c r="O589" i="9"/>
  <c r="G589" i="9"/>
  <c r="O588" i="9"/>
  <c r="G588" i="9"/>
  <c r="O587" i="9"/>
  <c r="G587" i="9"/>
  <c r="O585" i="9"/>
  <c r="G585" i="9"/>
  <c r="O584" i="9"/>
  <c r="G584" i="9"/>
  <c r="O583" i="9"/>
  <c r="G583" i="9"/>
  <c r="O582" i="9"/>
  <c r="G582" i="9"/>
  <c r="O581" i="9"/>
  <c r="G581" i="9"/>
  <c r="O580" i="9"/>
  <c r="G580" i="9"/>
  <c r="O579" i="9"/>
  <c r="G579" i="9"/>
  <c r="O578" i="9"/>
  <c r="G578" i="9"/>
  <c r="G586" i="9" s="1"/>
  <c r="O576" i="9"/>
  <c r="G576" i="9"/>
  <c r="O575" i="9"/>
  <c r="G575" i="9"/>
  <c r="O574" i="9"/>
  <c r="G574" i="9"/>
  <c r="O573" i="9"/>
  <c r="G573" i="9"/>
  <c r="O572" i="9"/>
  <c r="G572" i="9"/>
  <c r="O571" i="9"/>
  <c r="G571" i="9"/>
  <c r="O570" i="9"/>
  <c r="G570" i="9"/>
  <c r="O569" i="9"/>
  <c r="G569" i="9"/>
  <c r="G577" i="9" s="1"/>
  <c r="O567" i="9"/>
  <c r="G567" i="9"/>
  <c r="O566" i="9"/>
  <c r="G566" i="9"/>
  <c r="O565" i="9"/>
  <c r="G565" i="9"/>
  <c r="O564" i="9"/>
  <c r="G564" i="9"/>
  <c r="O563" i="9"/>
  <c r="G563" i="9"/>
  <c r="O562" i="9"/>
  <c r="G562" i="9"/>
  <c r="O561" i="9"/>
  <c r="G561" i="9"/>
  <c r="O560" i="9"/>
  <c r="O568" i="9" s="1"/>
  <c r="G560" i="9"/>
  <c r="G568" i="9" s="1"/>
  <c r="O558" i="9"/>
  <c r="G558" i="9"/>
  <c r="O557" i="9"/>
  <c r="G557" i="9"/>
  <c r="O556" i="9"/>
  <c r="G556" i="9"/>
  <c r="O555" i="9"/>
  <c r="G555" i="9"/>
  <c r="O554" i="9"/>
  <c r="G554" i="9"/>
  <c r="O553" i="9"/>
  <c r="G553" i="9"/>
  <c r="O552" i="9"/>
  <c r="G552" i="9"/>
  <c r="O551" i="9"/>
  <c r="O559" i="9" s="1"/>
  <c r="G551" i="9"/>
  <c r="G559" i="9" s="1"/>
  <c r="O549" i="9"/>
  <c r="G549" i="9"/>
  <c r="O548" i="9"/>
  <c r="G548" i="9"/>
  <c r="O547" i="9"/>
  <c r="G547" i="9"/>
  <c r="O546" i="9"/>
  <c r="G546" i="9"/>
  <c r="O545" i="9"/>
  <c r="G545" i="9"/>
  <c r="O544" i="9"/>
  <c r="G544" i="9"/>
  <c r="O543" i="9"/>
  <c r="G543" i="9"/>
  <c r="O542" i="9"/>
  <c r="O550" i="9" s="1"/>
  <c r="G542" i="9"/>
  <c r="O540" i="9"/>
  <c r="G540" i="9"/>
  <c r="O539" i="9"/>
  <c r="G539" i="9"/>
  <c r="O538" i="9"/>
  <c r="G538" i="9"/>
  <c r="O537" i="9"/>
  <c r="G537" i="9"/>
  <c r="O536" i="9"/>
  <c r="G536" i="9"/>
  <c r="O535" i="9"/>
  <c r="G535" i="9"/>
  <c r="O534" i="9"/>
  <c r="G534" i="9"/>
  <c r="O533" i="9"/>
  <c r="G533" i="9"/>
  <c r="O531" i="9"/>
  <c r="G531" i="9"/>
  <c r="O530" i="9"/>
  <c r="G530" i="9"/>
  <c r="O529" i="9"/>
  <c r="G529" i="9"/>
  <c r="O528" i="9"/>
  <c r="G528" i="9"/>
  <c r="O527" i="9"/>
  <c r="G527" i="9"/>
  <c r="O526" i="9"/>
  <c r="G526" i="9"/>
  <c r="O525" i="9"/>
  <c r="G525" i="9"/>
  <c r="O524" i="9"/>
  <c r="G524" i="9"/>
  <c r="O522" i="9"/>
  <c r="G522" i="9"/>
  <c r="O521" i="9"/>
  <c r="G521" i="9"/>
  <c r="O520" i="9"/>
  <c r="G520" i="9"/>
  <c r="O519" i="9"/>
  <c r="G519" i="9"/>
  <c r="O518" i="9"/>
  <c r="G518" i="9"/>
  <c r="O517" i="9"/>
  <c r="G517" i="9"/>
  <c r="O516" i="9"/>
  <c r="G516" i="9"/>
  <c r="O515" i="9"/>
  <c r="G515" i="9"/>
  <c r="O513" i="9"/>
  <c r="G513" i="9"/>
  <c r="O512" i="9"/>
  <c r="G512" i="9"/>
  <c r="O511" i="9"/>
  <c r="G511" i="9"/>
  <c r="O510" i="9"/>
  <c r="G510" i="9"/>
  <c r="O509" i="9"/>
  <c r="G509" i="9"/>
  <c r="O508" i="9"/>
  <c r="G508" i="9"/>
  <c r="O507" i="9"/>
  <c r="G507" i="9"/>
  <c r="O506" i="9"/>
  <c r="G506" i="9"/>
  <c r="O504" i="9"/>
  <c r="G504" i="9"/>
  <c r="O503" i="9"/>
  <c r="G503" i="9"/>
  <c r="O502" i="9"/>
  <c r="G502" i="9"/>
  <c r="O501" i="9"/>
  <c r="G501" i="9"/>
  <c r="O500" i="9"/>
  <c r="G500" i="9"/>
  <c r="O499" i="9"/>
  <c r="G499" i="9"/>
  <c r="O498" i="9"/>
  <c r="G498" i="9"/>
  <c r="O497" i="9"/>
  <c r="O505" i="9" s="1"/>
  <c r="G497" i="9"/>
  <c r="G505" i="9" s="1"/>
  <c r="O495" i="9"/>
  <c r="G495" i="9"/>
  <c r="O494" i="9"/>
  <c r="G494" i="9"/>
  <c r="O493" i="9"/>
  <c r="G493" i="9"/>
  <c r="O492" i="9"/>
  <c r="G492" i="9"/>
  <c r="O491" i="9"/>
  <c r="G491" i="9"/>
  <c r="O490" i="9"/>
  <c r="G490" i="9"/>
  <c r="O489" i="9"/>
  <c r="G489" i="9"/>
  <c r="O488" i="9"/>
  <c r="O496" i="9" s="1"/>
  <c r="G488" i="9"/>
  <c r="G496" i="9" s="1"/>
  <c r="O486" i="9"/>
  <c r="G486" i="9"/>
  <c r="O485" i="9"/>
  <c r="G485" i="9"/>
  <c r="O484" i="9"/>
  <c r="G484" i="9"/>
  <c r="O483" i="9"/>
  <c r="G483" i="9"/>
  <c r="O482" i="9"/>
  <c r="G482" i="9"/>
  <c r="O481" i="9"/>
  <c r="G481" i="9"/>
  <c r="O480" i="9"/>
  <c r="G480" i="9"/>
  <c r="O479" i="9"/>
  <c r="O487" i="9" s="1"/>
  <c r="G479" i="9"/>
  <c r="G487" i="9" s="1"/>
  <c r="O477" i="9"/>
  <c r="G477" i="9"/>
  <c r="O476" i="9"/>
  <c r="G476" i="9"/>
  <c r="O475" i="9"/>
  <c r="G475" i="9"/>
  <c r="O474" i="9"/>
  <c r="G474" i="9"/>
  <c r="O473" i="9"/>
  <c r="G473" i="9"/>
  <c r="O472" i="9"/>
  <c r="G472" i="9"/>
  <c r="O471" i="9"/>
  <c r="G471" i="9"/>
  <c r="O470" i="9"/>
  <c r="O478" i="9" s="1"/>
  <c r="G470" i="9"/>
  <c r="O468" i="9"/>
  <c r="G468" i="9"/>
  <c r="O467" i="9"/>
  <c r="G467" i="9"/>
  <c r="O466" i="9"/>
  <c r="G466" i="9"/>
  <c r="O465" i="9"/>
  <c r="G465" i="9"/>
  <c r="O464" i="9"/>
  <c r="G464" i="9"/>
  <c r="O463" i="9"/>
  <c r="G463" i="9"/>
  <c r="O462" i="9"/>
  <c r="G462" i="9"/>
  <c r="O461" i="9"/>
  <c r="G461" i="9"/>
  <c r="O459" i="9"/>
  <c r="G459" i="9"/>
  <c r="O458" i="9"/>
  <c r="G458" i="9"/>
  <c r="O457" i="9"/>
  <c r="G457" i="9"/>
  <c r="O456" i="9"/>
  <c r="G456" i="9"/>
  <c r="O455" i="9"/>
  <c r="G455" i="9"/>
  <c r="O454" i="9"/>
  <c r="G454" i="9"/>
  <c r="O453" i="9"/>
  <c r="G453" i="9"/>
  <c r="O452" i="9"/>
  <c r="G452" i="9"/>
  <c r="O450" i="9"/>
  <c r="G450" i="9"/>
  <c r="O449" i="9"/>
  <c r="G449" i="9"/>
  <c r="O448" i="9"/>
  <c r="G448" i="9"/>
  <c r="O447" i="9"/>
  <c r="G447" i="9"/>
  <c r="O446" i="9"/>
  <c r="G446" i="9"/>
  <c r="O445" i="9"/>
  <c r="G445" i="9"/>
  <c r="O444" i="9"/>
  <c r="O443" i="9"/>
  <c r="G443" i="9"/>
  <c r="O441" i="9"/>
  <c r="G441" i="9"/>
  <c r="O440" i="9"/>
  <c r="G440" i="9"/>
  <c r="O439" i="9"/>
  <c r="G439" i="9"/>
  <c r="O438" i="9"/>
  <c r="G438" i="9"/>
  <c r="O437" i="9"/>
  <c r="G437" i="9"/>
  <c r="O436" i="9"/>
  <c r="G436" i="9"/>
  <c r="O435" i="9"/>
  <c r="G435" i="9"/>
  <c r="O434" i="9"/>
  <c r="G434" i="9"/>
  <c r="O432" i="9"/>
  <c r="G432" i="9"/>
  <c r="O431" i="9"/>
  <c r="G431" i="9"/>
  <c r="O430" i="9"/>
  <c r="G430" i="9"/>
  <c r="O429" i="9"/>
  <c r="G429" i="9"/>
  <c r="O428" i="9"/>
  <c r="G428" i="9"/>
  <c r="O427" i="9"/>
  <c r="G427" i="9"/>
  <c r="O426" i="9"/>
  <c r="G426" i="9"/>
  <c r="O425" i="9"/>
  <c r="G425" i="9"/>
  <c r="G433" i="9" s="1"/>
  <c r="O423" i="9"/>
  <c r="G423" i="9"/>
  <c r="O422" i="9"/>
  <c r="G422" i="9"/>
  <c r="O421" i="9"/>
  <c r="G421" i="9"/>
  <c r="O420" i="9"/>
  <c r="G420" i="9"/>
  <c r="O419" i="9"/>
  <c r="G419" i="9"/>
  <c r="O418" i="9"/>
  <c r="G418" i="9"/>
  <c r="O417" i="9"/>
  <c r="G417" i="9"/>
  <c r="O416" i="9"/>
  <c r="G416" i="9"/>
  <c r="G424" i="9" s="1"/>
  <c r="O414" i="9"/>
  <c r="G414" i="9"/>
  <c r="O413" i="9"/>
  <c r="G413" i="9"/>
  <c r="O412" i="9"/>
  <c r="G412" i="9"/>
  <c r="O411" i="9"/>
  <c r="G411" i="9"/>
  <c r="O410" i="9"/>
  <c r="G410" i="9"/>
  <c r="O409" i="9"/>
  <c r="G409" i="9"/>
  <c r="O408" i="9"/>
  <c r="G408" i="9"/>
  <c r="O407" i="9"/>
  <c r="G407" i="9"/>
  <c r="G415" i="9" s="1"/>
  <c r="O405" i="9"/>
  <c r="G405" i="9"/>
  <c r="O404" i="9"/>
  <c r="G404" i="9"/>
  <c r="O403" i="9"/>
  <c r="G403" i="9"/>
  <c r="O402" i="9"/>
  <c r="G402" i="9"/>
  <c r="O401" i="9"/>
  <c r="G401" i="9"/>
  <c r="O400" i="9"/>
  <c r="G400" i="9"/>
  <c r="O399" i="9"/>
  <c r="G399" i="9"/>
  <c r="O398" i="9"/>
  <c r="O406" i="9" s="1"/>
  <c r="G398" i="9"/>
  <c r="G406" i="9" s="1"/>
  <c r="O396" i="9"/>
  <c r="G396" i="9"/>
  <c r="O395" i="9"/>
  <c r="G395" i="9"/>
  <c r="O394" i="9"/>
  <c r="G394" i="9"/>
  <c r="O393" i="9"/>
  <c r="G393" i="9"/>
  <c r="O392" i="9"/>
  <c r="G392" i="9"/>
  <c r="O391" i="9"/>
  <c r="G391" i="9"/>
  <c r="O390" i="9"/>
  <c r="G390" i="9"/>
  <c r="O389" i="9"/>
  <c r="O397" i="9" s="1"/>
  <c r="G389" i="9"/>
  <c r="O387" i="9"/>
  <c r="G387" i="9"/>
  <c r="O386" i="9"/>
  <c r="G386" i="9"/>
  <c r="O385" i="9"/>
  <c r="G385" i="9"/>
  <c r="O384" i="9"/>
  <c r="G384" i="9"/>
  <c r="O383" i="9"/>
  <c r="G383" i="9"/>
  <c r="O382" i="9"/>
  <c r="G382" i="9"/>
  <c r="O381" i="9"/>
  <c r="G381" i="9"/>
  <c r="O380" i="9"/>
  <c r="G380" i="9"/>
  <c r="O378" i="9"/>
  <c r="G378" i="9"/>
  <c r="O377" i="9"/>
  <c r="G377" i="9"/>
  <c r="O376" i="9"/>
  <c r="G376" i="9"/>
  <c r="O375" i="9"/>
  <c r="G375" i="9"/>
  <c r="O374" i="9"/>
  <c r="G374" i="9"/>
  <c r="O373" i="9"/>
  <c r="G373" i="9"/>
  <c r="O372" i="9"/>
  <c r="G372" i="9"/>
  <c r="O371" i="9"/>
  <c r="G371" i="9"/>
  <c r="O369" i="9"/>
  <c r="G369" i="9"/>
  <c r="O368" i="9"/>
  <c r="G368" i="9"/>
  <c r="O367" i="9"/>
  <c r="G367" i="9"/>
  <c r="O366" i="9"/>
  <c r="G366" i="9"/>
  <c r="O365" i="9"/>
  <c r="G365" i="9"/>
  <c r="O364" i="9"/>
  <c r="G364" i="9"/>
  <c r="O363" i="9"/>
  <c r="G363" i="9"/>
  <c r="O362" i="9"/>
  <c r="G362" i="9"/>
  <c r="O360" i="9"/>
  <c r="G360" i="9"/>
  <c r="O359" i="9"/>
  <c r="G359" i="9"/>
  <c r="O358" i="9"/>
  <c r="G358" i="9"/>
  <c r="O357" i="9"/>
  <c r="G357" i="9"/>
  <c r="O356" i="9"/>
  <c r="G356" i="9"/>
  <c r="O355" i="9"/>
  <c r="G355" i="9"/>
  <c r="O354" i="9"/>
  <c r="G354" i="9"/>
  <c r="O353" i="9"/>
  <c r="G353" i="9"/>
  <c r="G361" i="9" s="1"/>
  <c r="O351" i="9"/>
  <c r="G351" i="9"/>
  <c r="O350" i="9"/>
  <c r="G350" i="9"/>
  <c r="O349" i="9"/>
  <c r="G349" i="9"/>
  <c r="O348" i="9"/>
  <c r="G348" i="9"/>
  <c r="O347" i="9"/>
  <c r="G347" i="9"/>
  <c r="G346" i="9"/>
  <c r="O345" i="9"/>
  <c r="G345" i="9"/>
  <c r="O344" i="9"/>
  <c r="G344" i="9"/>
  <c r="G352" i="9" s="1"/>
  <c r="O342" i="9"/>
  <c r="G342" i="9"/>
  <c r="O341" i="9"/>
  <c r="G341" i="9"/>
  <c r="O340" i="9"/>
  <c r="G340" i="9"/>
  <c r="O339" i="9"/>
  <c r="G339" i="9"/>
  <c r="O338" i="9"/>
  <c r="G338" i="9"/>
  <c r="O337" i="9"/>
  <c r="G337" i="9"/>
  <c r="O336" i="9"/>
  <c r="G336" i="9"/>
  <c r="O335" i="9"/>
  <c r="G335" i="9"/>
  <c r="G343" i="9" s="1"/>
  <c r="O333" i="9"/>
  <c r="G333" i="9"/>
  <c r="O332" i="9"/>
  <c r="G332" i="9"/>
  <c r="O331" i="9"/>
  <c r="G331" i="9"/>
  <c r="O330" i="9"/>
  <c r="G330" i="9"/>
  <c r="O329" i="9"/>
  <c r="G329" i="9"/>
  <c r="O328" i="9"/>
  <c r="G328" i="9"/>
  <c r="O327" i="9"/>
  <c r="G327" i="9"/>
  <c r="O326" i="9"/>
  <c r="G326" i="9"/>
  <c r="O324" i="9"/>
  <c r="G324" i="9"/>
  <c r="O323" i="9"/>
  <c r="G323" i="9"/>
  <c r="O322" i="9"/>
  <c r="G322" i="9"/>
  <c r="O321" i="9"/>
  <c r="G321" i="9"/>
  <c r="O320" i="9"/>
  <c r="G320" i="9"/>
  <c r="O319" i="9"/>
  <c r="G319" i="9"/>
  <c r="O318" i="9"/>
  <c r="G318" i="9"/>
  <c r="O317" i="9"/>
  <c r="G317" i="9"/>
  <c r="O315" i="9"/>
  <c r="G315" i="9"/>
  <c r="O314" i="9"/>
  <c r="G314" i="9"/>
  <c r="O313" i="9"/>
  <c r="G313" i="9"/>
  <c r="O312" i="9"/>
  <c r="G312" i="9"/>
  <c r="O311" i="9"/>
  <c r="G311" i="9"/>
  <c r="O310" i="9"/>
  <c r="G310" i="9"/>
  <c r="O309" i="9"/>
  <c r="G309" i="9"/>
  <c r="O308" i="9"/>
  <c r="G308" i="9"/>
  <c r="O306" i="9"/>
  <c r="G306" i="9"/>
  <c r="O305" i="9"/>
  <c r="G305" i="9"/>
  <c r="O304" i="9"/>
  <c r="G304" i="9"/>
  <c r="O303" i="9"/>
  <c r="G303" i="9"/>
  <c r="O302" i="9"/>
  <c r="G302" i="9"/>
  <c r="O301" i="9"/>
  <c r="G301" i="9"/>
  <c r="O300" i="9"/>
  <c r="G300" i="9"/>
  <c r="O299" i="9"/>
  <c r="G299" i="9"/>
  <c r="G307" i="9" s="1"/>
  <c r="I290" i="9"/>
  <c r="I299" i="9" s="1"/>
  <c r="I308" i="9" s="1"/>
  <c r="I317" i="9" s="1"/>
  <c r="I326" i="9" s="1"/>
  <c r="I335" i="9" s="1"/>
  <c r="I344" i="9" s="1"/>
  <c r="I353" i="9" s="1"/>
  <c r="I362" i="9" s="1"/>
  <c r="I371" i="9" s="1"/>
  <c r="I380" i="9" s="1"/>
  <c r="I389" i="9" s="1"/>
  <c r="I398" i="9" s="1"/>
  <c r="I407" i="9" s="1"/>
  <c r="I416" i="9" s="1"/>
  <c r="I425" i="9" s="1"/>
  <c r="I434" i="9" s="1"/>
  <c r="I443" i="9" s="1"/>
  <c r="I452" i="9" s="1"/>
  <c r="I461" i="9" s="1"/>
  <c r="I470" i="9" s="1"/>
  <c r="I479" i="9" s="1"/>
  <c r="I488" i="9" s="1"/>
  <c r="I497" i="9" s="1"/>
  <c r="I506" i="9" s="1"/>
  <c r="I515" i="9" s="1"/>
  <c r="I524" i="9" s="1"/>
  <c r="I533" i="9" s="1"/>
  <c r="I542" i="9" s="1"/>
  <c r="I551" i="9" s="1"/>
  <c r="I560" i="9" s="1"/>
  <c r="I569" i="9" s="1"/>
  <c r="I578" i="9" s="1"/>
  <c r="I587" i="9" s="1"/>
  <c r="I596" i="9" s="1"/>
  <c r="I605" i="9" s="1"/>
  <c r="I614" i="9" s="1"/>
  <c r="I623" i="9" s="1"/>
  <c r="I632" i="9" s="1"/>
  <c r="I641" i="9" s="1"/>
  <c r="I650" i="9" s="1"/>
  <c r="I659" i="9" s="1"/>
  <c r="I668" i="9" s="1"/>
  <c r="I677" i="9" s="1"/>
  <c r="I686" i="9" s="1"/>
  <c r="I695" i="9" s="1"/>
  <c r="I704" i="9" s="1"/>
  <c r="I713" i="9" s="1"/>
  <c r="I722" i="9" s="1"/>
  <c r="I731" i="9" s="1"/>
  <c r="I740" i="9" s="1"/>
  <c r="I749" i="9" s="1"/>
  <c r="I758" i="9" s="1"/>
  <c r="I767" i="9" s="1"/>
  <c r="I776" i="9" s="1"/>
  <c r="I785" i="9" s="1"/>
  <c r="I794" i="9" s="1"/>
  <c r="I803" i="9" s="1"/>
  <c r="I812" i="9" s="1"/>
  <c r="I821" i="9" s="1"/>
  <c r="I830" i="9" s="1"/>
  <c r="I839" i="9" s="1"/>
  <c r="A290" i="9"/>
  <c r="A299" i="9" s="1"/>
  <c r="A308" i="9" s="1"/>
  <c r="A317" i="9" s="1"/>
  <c r="A326" i="9" s="1"/>
  <c r="A335" i="9" s="1"/>
  <c r="A344" i="9" s="1"/>
  <c r="A353" i="9" s="1"/>
  <c r="A362" i="9" s="1"/>
  <c r="A371" i="9" s="1"/>
  <c r="A380" i="9" s="1"/>
  <c r="A389" i="9" s="1"/>
  <c r="A398" i="9" s="1"/>
  <c r="A407" i="9" s="1"/>
  <c r="A416" i="9" s="1"/>
  <c r="A425" i="9" s="1"/>
  <c r="A434" i="9" s="1"/>
  <c r="A443" i="9" s="1"/>
  <c r="A452" i="9" s="1"/>
  <c r="A461" i="9" s="1"/>
  <c r="A470" i="9" s="1"/>
  <c r="A479" i="9" s="1"/>
  <c r="A488" i="9" s="1"/>
  <c r="A497" i="9" s="1"/>
  <c r="A506" i="9" s="1"/>
  <c r="A515" i="9" s="1"/>
  <c r="A524" i="9" s="1"/>
  <c r="A533" i="9" s="1"/>
  <c r="A542" i="9" s="1"/>
  <c r="A551" i="9" s="1"/>
  <c r="A560" i="9" s="1"/>
  <c r="A569" i="9" s="1"/>
  <c r="A578" i="9" s="1"/>
  <c r="A587" i="9" s="1"/>
  <c r="A596" i="9" s="1"/>
  <c r="A605" i="9" s="1"/>
  <c r="A614" i="9" s="1"/>
  <c r="A623" i="9" s="1"/>
  <c r="A632" i="9" s="1"/>
  <c r="A641" i="9" s="1"/>
  <c r="A650" i="9" s="1"/>
  <c r="A659" i="9" s="1"/>
  <c r="A668" i="9" s="1"/>
  <c r="A677" i="9" s="1"/>
  <c r="A686" i="9" s="1"/>
  <c r="A695" i="9" s="1"/>
  <c r="A704" i="9" s="1"/>
  <c r="A713" i="9" s="1"/>
  <c r="A722" i="9" s="1"/>
  <c r="A731" i="9" s="1"/>
  <c r="A740" i="9" s="1"/>
  <c r="A749" i="9" s="1"/>
  <c r="A758" i="9" s="1"/>
  <c r="A767" i="9" s="1"/>
  <c r="A776" i="9" s="1"/>
  <c r="A785" i="9" s="1"/>
  <c r="A794" i="9" s="1"/>
  <c r="A803" i="9" s="1"/>
  <c r="A812" i="9" s="1"/>
  <c r="O297" i="9"/>
  <c r="G297" i="9"/>
  <c r="O296" i="9"/>
  <c r="G296" i="9"/>
  <c r="O295" i="9"/>
  <c r="G295" i="9"/>
  <c r="O294" i="9"/>
  <c r="G294" i="9"/>
  <c r="O293" i="9"/>
  <c r="G293" i="9"/>
  <c r="O292" i="9"/>
  <c r="G292" i="9"/>
  <c r="O291" i="9"/>
  <c r="G291" i="9"/>
  <c r="O290" i="9"/>
  <c r="G290" i="9"/>
  <c r="O288" i="9"/>
  <c r="G288" i="9"/>
  <c r="O287" i="9"/>
  <c r="G287" i="9"/>
  <c r="O286" i="9"/>
  <c r="G286" i="9"/>
  <c r="O285" i="9"/>
  <c r="G285" i="9"/>
  <c r="O284" i="9"/>
  <c r="G284" i="9"/>
  <c r="O283" i="9"/>
  <c r="G283" i="9"/>
  <c r="O282" i="9"/>
  <c r="G282" i="9"/>
  <c r="O281" i="9"/>
  <c r="G281" i="9"/>
  <c r="O123" i="9"/>
  <c r="G85" i="9"/>
  <c r="O20" i="9"/>
  <c r="O27" i="9"/>
  <c r="O26" i="9"/>
  <c r="O25" i="9"/>
  <c r="O24" i="9"/>
  <c r="O23" i="9"/>
  <c r="O22" i="9"/>
  <c r="O21" i="9"/>
  <c r="O30" i="9"/>
  <c r="O31" i="9"/>
  <c r="O32" i="9"/>
  <c r="O33" i="9"/>
  <c r="O34" i="9"/>
  <c r="O35" i="9"/>
  <c r="O36" i="9"/>
  <c r="G3" i="9"/>
  <c r="G4" i="9"/>
  <c r="G5" i="9"/>
  <c r="G6" i="9"/>
  <c r="G7" i="9"/>
  <c r="G8" i="9"/>
  <c r="G9" i="9"/>
  <c r="G2" i="9"/>
  <c r="S60" i="1"/>
  <c r="S61" i="1"/>
  <c r="O352" i="9" l="1"/>
  <c r="O325" i="9"/>
  <c r="G397" i="9"/>
  <c r="O415" i="9"/>
  <c r="G478" i="9"/>
  <c r="G523" i="9"/>
  <c r="O370" i="9"/>
  <c r="G514" i="9"/>
  <c r="G370" i="9"/>
  <c r="G442" i="9"/>
  <c r="G595" i="9"/>
  <c r="G739" i="9"/>
  <c r="G451" i="9"/>
  <c r="G532" i="9"/>
  <c r="G820" i="9"/>
  <c r="O442" i="9"/>
  <c r="O523" i="9"/>
  <c r="G541" i="9"/>
  <c r="O595" i="9"/>
  <c r="G613" i="9"/>
  <c r="O667" i="9"/>
  <c r="G685" i="9"/>
  <c r="O739" i="9"/>
  <c r="G757" i="9"/>
  <c r="O811" i="9"/>
  <c r="G829" i="9"/>
  <c r="G667" i="9"/>
  <c r="O361" i="9"/>
  <c r="G460" i="9"/>
  <c r="G469" i="9"/>
  <c r="O307" i="9"/>
  <c r="G325" i="9"/>
  <c r="O379" i="9"/>
  <c r="O460" i="9"/>
  <c r="O532" i="9"/>
  <c r="G550" i="9"/>
  <c r="O604" i="9"/>
  <c r="G622" i="9"/>
  <c r="O676" i="9"/>
  <c r="G694" i="9"/>
  <c r="O748" i="9"/>
  <c r="G766" i="9"/>
  <c r="O820" i="9"/>
  <c r="G379" i="9"/>
  <c r="G604" i="9"/>
  <c r="O730" i="9"/>
  <c r="O802" i="9"/>
  <c r="O316" i="9"/>
  <c r="O334" i="9"/>
  <c r="O388" i="9"/>
  <c r="O469" i="9"/>
  <c r="O541" i="9"/>
  <c r="O613" i="9"/>
  <c r="O685" i="9"/>
  <c r="O757" i="9"/>
  <c r="O514" i="9"/>
  <c r="O586" i="9"/>
  <c r="O658" i="9"/>
  <c r="G748" i="9"/>
  <c r="G388" i="9"/>
  <c r="O343" i="9"/>
  <c r="G676" i="9"/>
  <c r="G316" i="9"/>
  <c r="O577" i="9"/>
  <c r="G793" i="9"/>
  <c r="O433" i="9"/>
  <c r="G334" i="9"/>
  <c r="G298" i="9"/>
  <c r="G10" i="9"/>
  <c r="O289" i="9"/>
  <c r="G289" i="9"/>
  <c r="O28" i="9"/>
  <c r="O298" i="9"/>
  <c r="AH3" i="1"/>
  <c r="AH21" i="1"/>
  <c r="S47" i="1" l="1"/>
  <c r="AI47" i="1" s="1"/>
  <c r="AE47" i="1"/>
  <c r="AH47" i="1"/>
  <c r="AK47" i="1"/>
  <c r="AN47" i="1"/>
  <c r="AQ47" i="1"/>
  <c r="AR47" i="1"/>
  <c r="AT47" i="1"/>
  <c r="AP47" i="1" l="1"/>
  <c r="AV47" i="1"/>
  <c r="AM47" i="1"/>
  <c r="AG47" i="1"/>
  <c r="AS47" i="1"/>
  <c r="AJ47" i="1"/>
  <c r="O278" i="9"/>
  <c r="G278" i="9"/>
  <c r="O277" i="9"/>
  <c r="G277" i="9"/>
  <c r="O276" i="9"/>
  <c r="G276" i="9"/>
  <c r="O275" i="9"/>
  <c r="G275" i="9"/>
  <c r="O274" i="9"/>
  <c r="G274" i="9"/>
  <c r="O273" i="9"/>
  <c r="G273" i="9"/>
  <c r="O272" i="9"/>
  <c r="G272" i="9"/>
  <c r="O271" i="9"/>
  <c r="G271" i="9"/>
  <c r="O269" i="9"/>
  <c r="G269" i="9"/>
  <c r="O268" i="9"/>
  <c r="G268" i="9"/>
  <c r="O267" i="9"/>
  <c r="G267" i="9"/>
  <c r="O266" i="9"/>
  <c r="G266" i="9"/>
  <c r="O265" i="9"/>
  <c r="G265" i="9"/>
  <c r="O264" i="9"/>
  <c r="G264" i="9"/>
  <c r="O263" i="9"/>
  <c r="G263" i="9"/>
  <c r="O262" i="9"/>
  <c r="G262" i="9"/>
  <c r="O260" i="9"/>
  <c r="G260" i="9"/>
  <c r="O259" i="9"/>
  <c r="G259" i="9"/>
  <c r="O258" i="9"/>
  <c r="G258" i="9"/>
  <c r="O257" i="9"/>
  <c r="G257" i="9"/>
  <c r="O256" i="9"/>
  <c r="G256" i="9"/>
  <c r="O255" i="9"/>
  <c r="G255" i="9"/>
  <c r="O254" i="9"/>
  <c r="G254" i="9"/>
  <c r="O253" i="9"/>
  <c r="G253" i="9"/>
  <c r="O251" i="9"/>
  <c r="G251" i="9"/>
  <c r="O250" i="9"/>
  <c r="G250" i="9"/>
  <c r="O249" i="9"/>
  <c r="G249" i="9"/>
  <c r="O248" i="9"/>
  <c r="G248" i="9"/>
  <c r="O247" i="9"/>
  <c r="G247" i="9"/>
  <c r="O246" i="9"/>
  <c r="G246" i="9"/>
  <c r="O245" i="9"/>
  <c r="G245" i="9"/>
  <c r="O244" i="9"/>
  <c r="G244" i="9"/>
  <c r="O242" i="9"/>
  <c r="G242" i="9"/>
  <c r="O241" i="9"/>
  <c r="G241" i="9"/>
  <c r="O240" i="9"/>
  <c r="G240" i="9"/>
  <c r="O239" i="9"/>
  <c r="G239" i="9"/>
  <c r="O238" i="9"/>
  <c r="G238" i="9"/>
  <c r="O237" i="9"/>
  <c r="G237" i="9"/>
  <c r="O236" i="9"/>
  <c r="G236" i="9"/>
  <c r="O235" i="9"/>
  <c r="G235" i="9"/>
  <c r="O233" i="9"/>
  <c r="G233" i="9"/>
  <c r="O232" i="9"/>
  <c r="G232" i="9"/>
  <c r="O231" i="9"/>
  <c r="G231" i="9"/>
  <c r="O230" i="9"/>
  <c r="G230" i="9"/>
  <c r="O229" i="9"/>
  <c r="G229" i="9"/>
  <c r="O228" i="9"/>
  <c r="G228" i="9"/>
  <c r="O227" i="9"/>
  <c r="G227" i="9"/>
  <c r="G226" i="9"/>
  <c r="O224" i="9"/>
  <c r="G224" i="9"/>
  <c r="O223" i="9"/>
  <c r="G223" i="9"/>
  <c r="O222" i="9"/>
  <c r="G222" i="9"/>
  <c r="O221" i="9"/>
  <c r="G221" i="9"/>
  <c r="O220" i="9"/>
  <c r="G220" i="9"/>
  <c r="O219" i="9"/>
  <c r="G219" i="9"/>
  <c r="O218" i="9"/>
  <c r="G218" i="9"/>
  <c r="G217" i="9"/>
  <c r="O215" i="9"/>
  <c r="G215" i="9"/>
  <c r="O214" i="9"/>
  <c r="G214" i="9"/>
  <c r="O213" i="9"/>
  <c r="G213" i="9"/>
  <c r="O212" i="9"/>
  <c r="G212" i="9"/>
  <c r="O211" i="9"/>
  <c r="G211" i="9"/>
  <c r="O210" i="9"/>
  <c r="G210" i="9"/>
  <c r="O209" i="9"/>
  <c r="G209" i="9"/>
  <c r="G208" i="9"/>
  <c r="O206" i="9"/>
  <c r="G206" i="9"/>
  <c r="O205" i="9"/>
  <c r="G205" i="9"/>
  <c r="O204" i="9"/>
  <c r="G204" i="9"/>
  <c r="O203" i="9"/>
  <c r="G203" i="9"/>
  <c r="O202" i="9"/>
  <c r="G202" i="9"/>
  <c r="O201" i="9"/>
  <c r="G201" i="9"/>
  <c r="O200" i="9"/>
  <c r="G200" i="9"/>
  <c r="G199" i="9"/>
  <c r="O197" i="9"/>
  <c r="G197" i="9"/>
  <c r="O196" i="9"/>
  <c r="G196" i="9"/>
  <c r="O195" i="9"/>
  <c r="G195" i="9"/>
  <c r="O194" i="9"/>
  <c r="G194" i="9"/>
  <c r="O193" i="9"/>
  <c r="G193" i="9"/>
  <c r="O192" i="9"/>
  <c r="G192" i="9"/>
  <c r="O191" i="9"/>
  <c r="G191" i="9"/>
  <c r="G190" i="9"/>
  <c r="O188" i="9"/>
  <c r="G188" i="9"/>
  <c r="O187" i="9"/>
  <c r="G187" i="9"/>
  <c r="O186" i="9"/>
  <c r="G186" i="9"/>
  <c r="O185" i="9"/>
  <c r="G185" i="9"/>
  <c r="O184" i="9"/>
  <c r="G184" i="9"/>
  <c r="O183" i="9"/>
  <c r="G183" i="9"/>
  <c r="O182" i="9"/>
  <c r="G182" i="9"/>
  <c r="G181" i="9"/>
  <c r="O179" i="9"/>
  <c r="G179" i="9"/>
  <c r="O178" i="9"/>
  <c r="G178" i="9"/>
  <c r="O177" i="9"/>
  <c r="G177" i="9"/>
  <c r="O176" i="9"/>
  <c r="G176" i="9"/>
  <c r="O175" i="9"/>
  <c r="G175" i="9"/>
  <c r="O174" i="9"/>
  <c r="G174" i="9"/>
  <c r="O173" i="9"/>
  <c r="G173" i="9"/>
  <c r="G172" i="9"/>
  <c r="O170" i="9"/>
  <c r="G170" i="9"/>
  <c r="O169" i="9"/>
  <c r="G169" i="9"/>
  <c r="O168" i="9"/>
  <c r="G168" i="9"/>
  <c r="O167" i="9"/>
  <c r="G167" i="9"/>
  <c r="O166" i="9"/>
  <c r="G166" i="9"/>
  <c r="O165" i="9"/>
  <c r="G165" i="9"/>
  <c r="O164" i="9"/>
  <c r="G164" i="9"/>
  <c r="G163" i="9"/>
  <c r="O161" i="9"/>
  <c r="G161" i="9"/>
  <c r="O160" i="9"/>
  <c r="G160" i="9"/>
  <c r="O159" i="9"/>
  <c r="G159" i="9"/>
  <c r="O158" i="9"/>
  <c r="G158" i="9"/>
  <c r="O157" i="9"/>
  <c r="G157" i="9"/>
  <c r="O156" i="9"/>
  <c r="G156" i="9"/>
  <c r="O155" i="9"/>
  <c r="G155" i="9"/>
  <c r="G154" i="9"/>
  <c r="O152" i="9"/>
  <c r="G152" i="9"/>
  <c r="O151" i="9"/>
  <c r="G151" i="9"/>
  <c r="O150" i="9"/>
  <c r="G150" i="9"/>
  <c r="O149" i="9"/>
  <c r="G149" i="9"/>
  <c r="O148" i="9"/>
  <c r="G148" i="9"/>
  <c r="O147" i="9"/>
  <c r="G147" i="9"/>
  <c r="O146" i="9"/>
  <c r="G146" i="9"/>
  <c r="G145" i="9"/>
  <c r="O143" i="9"/>
  <c r="G143" i="9"/>
  <c r="O142" i="9"/>
  <c r="G142" i="9"/>
  <c r="O141" i="9"/>
  <c r="G141" i="9"/>
  <c r="O140" i="9"/>
  <c r="G140" i="9"/>
  <c r="O139" i="9"/>
  <c r="G139" i="9"/>
  <c r="O138" i="9"/>
  <c r="G138" i="9"/>
  <c r="O137" i="9"/>
  <c r="G137" i="9"/>
  <c r="G136" i="9"/>
  <c r="O134" i="9"/>
  <c r="G134" i="9"/>
  <c r="O133" i="9"/>
  <c r="G133" i="9"/>
  <c r="O132" i="9"/>
  <c r="G132" i="9"/>
  <c r="O131" i="9"/>
  <c r="G131" i="9"/>
  <c r="O130" i="9"/>
  <c r="G130" i="9"/>
  <c r="O129" i="9"/>
  <c r="G129" i="9"/>
  <c r="O128" i="9"/>
  <c r="G128" i="9"/>
  <c r="O127" i="9"/>
  <c r="G127" i="9"/>
  <c r="O125" i="9"/>
  <c r="G125" i="9"/>
  <c r="O124" i="9"/>
  <c r="G124" i="9"/>
  <c r="G123" i="9"/>
  <c r="G122" i="9"/>
  <c r="O121" i="9"/>
  <c r="G121" i="9"/>
  <c r="O119" i="9"/>
  <c r="G119" i="9"/>
  <c r="O118" i="9"/>
  <c r="G118" i="9"/>
  <c r="O117" i="9"/>
  <c r="G117" i="9"/>
  <c r="O116" i="9"/>
  <c r="G116" i="9"/>
  <c r="O115" i="9"/>
  <c r="G115" i="9"/>
  <c r="O114" i="9"/>
  <c r="G114" i="9"/>
  <c r="O113" i="9"/>
  <c r="G113" i="9"/>
  <c r="O112" i="9"/>
  <c r="G112" i="9"/>
  <c r="O110" i="9"/>
  <c r="G110" i="9"/>
  <c r="O109" i="9"/>
  <c r="G109" i="9"/>
  <c r="O108" i="9"/>
  <c r="G108" i="9"/>
  <c r="O107" i="9"/>
  <c r="G107" i="9"/>
  <c r="O106" i="9"/>
  <c r="G106" i="9"/>
  <c r="O105" i="9"/>
  <c r="G105" i="9"/>
  <c r="O104" i="9"/>
  <c r="G104" i="9"/>
  <c r="O103" i="9"/>
  <c r="G103" i="9"/>
  <c r="O101" i="9"/>
  <c r="G101" i="9"/>
  <c r="O100" i="9"/>
  <c r="G100" i="9"/>
  <c r="O99" i="9"/>
  <c r="G99" i="9"/>
  <c r="O98" i="9"/>
  <c r="G98" i="9"/>
  <c r="O97" i="9"/>
  <c r="G97" i="9"/>
  <c r="O96" i="9"/>
  <c r="G96" i="9"/>
  <c r="O95" i="9"/>
  <c r="G95" i="9"/>
  <c r="O94" i="9"/>
  <c r="G94" i="9"/>
  <c r="O92" i="9"/>
  <c r="G92" i="9"/>
  <c r="G93" i="9" s="1"/>
  <c r="O91" i="9"/>
  <c r="G91" i="9"/>
  <c r="O90" i="9"/>
  <c r="G90" i="9"/>
  <c r="O89" i="9"/>
  <c r="G89" i="9"/>
  <c r="O88" i="9"/>
  <c r="G88" i="9"/>
  <c r="O87" i="9"/>
  <c r="O86" i="9"/>
  <c r="G86" i="9"/>
  <c r="O85" i="9"/>
  <c r="O83" i="9"/>
  <c r="G83" i="9"/>
  <c r="O82" i="9"/>
  <c r="G82" i="9"/>
  <c r="O79" i="9"/>
  <c r="G79" i="9"/>
  <c r="O78" i="9"/>
  <c r="G78" i="9"/>
  <c r="O77" i="9"/>
  <c r="G77" i="9"/>
  <c r="O76" i="9"/>
  <c r="G76" i="9"/>
  <c r="O75" i="9"/>
  <c r="G75" i="9"/>
  <c r="O74" i="9"/>
  <c r="G74" i="9"/>
  <c r="O72" i="9"/>
  <c r="G72" i="9"/>
  <c r="O71" i="9"/>
  <c r="G71" i="9"/>
  <c r="O70" i="9"/>
  <c r="G70" i="9"/>
  <c r="O69" i="9"/>
  <c r="G69" i="9"/>
  <c r="O68" i="9"/>
  <c r="G68" i="9"/>
  <c r="O67" i="9"/>
  <c r="G67" i="9"/>
  <c r="O66" i="9"/>
  <c r="G66" i="9"/>
  <c r="O65" i="9"/>
  <c r="G65" i="9"/>
  <c r="O63" i="9"/>
  <c r="G63" i="9"/>
  <c r="O62" i="9"/>
  <c r="G62" i="9"/>
  <c r="O61" i="9"/>
  <c r="G61" i="9"/>
  <c r="O60" i="9"/>
  <c r="G60" i="9"/>
  <c r="O59" i="9"/>
  <c r="G59" i="9"/>
  <c r="O58" i="9"/>
  <c r="G58" i="9"/>
  <c r="O57" i="9"/>
  <c r="G57" i="9"/>
  <c r="O56" i="9"/>
  <c r="G56" i="9"/>
  <c r="O54" i="9"/>
  <c r="G54" i="9"/>
  <c r="O53" i="9"/>
  <c r="G53" i="9"/>
  <c r="O52" i="9"/>
  <c r="G52" i="9"/>
  <c r="O51" i="9"/>
  <c r="G51" i="9"/>
  <c r="O50" i="9"/>
  <c r="G50" i="9"/>
  <c r="O49" i="9"/>
  <c r="G49" i="9"/>
  <c r="O48" i="9"/>
  <c r="G48" i="9"/>
  <c r="O47" i="9"/>
  <c r="G47" i="9"/>
  <c r="O45" i="9"/>
  <c r="G45" i="9"/>
  <c r="O44" i="9"/>
  <c r="G44" i="9"/>
  <c r="O43" i="9"/>
  <c r="G43" i="9"/>
  <c r="O42" i="9"/>
  <c r="G42" i="9"/>
  <c r="O41" i="9"/>
  <c r="G41" i="9"/>
  <c r="O40" i="9"/>
  <c r="G40" i="9"/>
  <c r="O39" i="9"/>
  <c r="G39" i="9"/>
  <c r="O38" i="9"/>
  <c r="G38" i="9"/>
  <c r="G36" i="9"/>
  <c r="G35" i="9"/>
  <c r="G34" i="9"/>
  <c r="G33" i="9"/>
  <c r="G32" i="9"/>
  <c r="G31" i="9"/>
  <c r="G30" i="9"/>
  <c r="O37" i="9"/>
  <c r="G29" i="9"/>
  <c r="G27" i="9"/>
  <c r="G26" i="9"/>
  <c r="G25" i="9"/>
  <c r="G24" i="9"/>
  <c r="G23" i="9"/>
  <c r="G22" i="9"/>
  <c r="G21" i="9"/>
  <c r="G20" i="9"/>
  <c r="O18" i="9"/>
  <c r="G18" i="9"/>
  <c r="O17" i="9"/>
  <c r="G17" i="9"/>
  <c r="O16" i="9"/>
  <c r="G16" i="9"/>
  <c r="O15" i="9"/>
  <c r="G15" i="9"/>
  <c r="O14" i="9"/>
  <c r="G14" i="9"/>
  <c r="O13" i="9"/>
  <c r="G13" i="9"/>
  <c r="O12" i="9"/>
  <c r="G12" i="9"/>
  <c r="I11" i="9"/>
  <c r="G11" i="9"/>
  <c r="A11" i="9"/>
  <c r="A20" i="9" s="1"/>
  <c r="A29" i="9" s="1"/>
  <c r="A38" i="9" s="1"/>
  <c r="A47" i="9" s="1"/>
  <c r="A56" i="9" s="1"/>
  <c r="A65" i="9" s="1"/>
  <c r="A74" i="9" s="1"/>
  <c r="A85" i="9" s="1"/>
  <c r="A94" i="9" s="1"/>
  <c r="A103" i="9" s="1"/>
  <c r="A112" i="9" s="1"/>
  <c r="A121" i="9" s="1"/>
  <c r="A136" i="9" s="1"/>
  <c r="A145" i="9" s="1"/>
  <c r="A154" i="9" s="1"/>
  <c r="A163" i="9" s="1"/>
  <c r="A172" i="9" s="1"/>
  <c r="A181" i="9" s="1"/>
  <c r="A190" i="9" s="1"/>
  <c r="A199" i="9" s="1"/>
  <c r="A208" i="9" s="1"/>
  <c r="A217" i="9" s="1"/>
  <c r="A226" i="9" s="1"/>
  <c r="A235" i="9" s="1"/>
  <c r="A244" i="9" s="1"/>
  <c r="A253" i="9" s="1"/>
  <c r="A262" i="9" s="1"/>
  <c r="A271" i="9" s="1"/>
  <c r="O9" i="9"/>
  <c r="O8" i="9"/>
  <c r="O7" i="9"/>
  <c r="O6" i="9"/>
  <c r="O5" i="9"/>
  <c r="O4" i="9"/>
  <c r="O3" i="9"/>
  <c r="O2" i="9"/>
  <c r="O120" i="9" l="1"/>
  <c r="O135" i="9"/>
  <c r="O126" i="9"/>
  <c r="G126" i="9"/>
  <c r="G135" i="9"/>
  <c r="G111" i="9"/>
  <c r="G102" i="9"/>
  <c r="G225" i="9"/>
  <c r="G120" i="9"/>
  <c r="G153" i="9"/>
  <c r="G171" i="9"/>
  <c r="G189" i="9"/>
  <c r="G198" i="9"/>
  <c r="G234" i="9"/>
  <c r="I20" i="9"/>
  <c r="I29" i="9" s="1"/>
  <c r="I38" i="9" s="1"/>
  <c r="I47" i="9" s="1"/>
  <c r="I56" i="9" s="1"/>
  <c r="I65" i="9" s="1"/>
  <c r="I74" i="9" s="1"/>
  <c r="I85" i="9" s="1"/>
  <c r="I94" i="9" s="1"/>
  <c r="I103" i="9" s="1"/>
  <c r="I112" i="9" s="1"/>
  <c r="I121" i="9" s="1"/>
  <c r="I127" i="9" s="1"/>
  <c r="I136" i="9" s="1"/>
  <c r="I145" i="9" s="1"/>
  <c r="I154" i="9" s="1"/>
  <c r="I163" i="9" s="1"/>
  <c r="I172" i="9" s="1"/>
  <c r="I181" i="9" s="1"/>
  <c r="I190" i="9" s="1"/>
  <c r="I199" i="9" s="1"/>
  <c r="I208" i="9" s="1"/>
  <c r="I217" i="9" s="1"/>
  <c r="I226" i="9" s="1"/>
  <c r="I235" i="9" s="1"/>
  <c r="I244" i="9" s="1"/>
  <c r="I253" i="9" s="1"/>
  <c r="I262" i="9" s="1"/>
  <c r="I271" i="9" s="1"/>
  <c r="G144" i="9"/>
  <c r="G162" i="9"/>
  <c r="G180" i="9"/>
  <c r="G207" i="9"/>
  <c r="G243" i="9"/>
  <c r="G84" i="9"/>
  <c r="O10" i="9"/>
  <c r="G28" i="9"/>
  <c r="G216" i="9"/>
  <c r="O102" i="9"/>
  <c r="O46" i="9"/>
  <c r="O55" i="9"/>
  <c r="O64" i="9"/>
  <c r="O73" i="9"/>
  <c r="O93" i="9"/>
  <c r="O111" i="9"/>
  <c r="O144" i="9"/>
  <c r="O153" i="9"/>
  <c r="O162" i="9"/>
  <c r="O171" i="9"/>
  <c r="O180" i="9"/>
  <c r="O189" i="9"/>
  <c r="O198" i="9"/>
  <c r="O207" i="9"/>
  <c r="O216" i="9"/>
  <c r="O225" i="9"/>
  <c r="O234" i="9"/>
  <c r="O243" i="9"/>
  <c r="O252" i="9"/>
  <c r="O261" i="9"/>
  <c r="O270" i="9"/>
  <c r="O279" i="9"/>
  <c r="O280" i="9" s="1"/>
  <c r="G252" i="9"/>
  <c r="G261" i="9"/>
  <c r="G270" i="9"/>
  <c r="G279" i="9"/>
  <c r="G280" i="9" s="1"/>
  <c r="G19" i="9"/>
  <c r="O19" i="9"/>
  <c r="G37" i="9"/>
  <c r="G46" i="9"/>
  <c r="G55" i="9"/>
  <c r="G64" i="9"/>
  <c r="G73" i="9"/>
  <c r="O84" i="9"/>
  <c r="A34" i="1"/>
  <c r="AR5" i="1"/>
  <c r="AR6" i="1"/>
  <c r="AR7" i="1"/>
  <c r="AR8" i="1"/>
  <c r="AR9" i="1"/>
  <c r="AR10" i="1"/>
  <c r="AR11" i="1"/>
  <c r="AR12" i="1"/>
  <c r="AR13" i="1"/>
  <c r="AR14" i="1"/>
  <c r="AR15" i="1"/>
  <c r="AR16" i="1"/>
  <c r="AR17" i="1"/>
  <c r="AR18" i="1"/>
  <c r="AR19" i="1"/>
  <c r="AR20" i="1"/>
  <c r="AR21" i="1"/>
  <c r="AR22" i="1"/>
  <c r="AR23" i="1"/>
  <c r="AR24" i="1"/>
  <c r="AR25" i="1"/>
  <c r="AR26" i="1"/>
  <c r="AR27" i="1"/>
  <c r="AR28" i="1"/>
  <c r="AR29" i="1"/>
  <c r="AR30" i="1"/>
  <c r="AR31" i="1"/>
  <c r="AR32" i="1"/>
  <c r="AR33" i="1"/>
  <c r="AR34" i="1"/>
  <c r="AR35" i="1"/>
  <c r="AR36" i="1"/>
  <c r="S4" i="1"/>
  <c r="AI4" i="1" s="1"/>
  <c r="AK4" i="1"/>
  <c r="AN4" i="1"/>
  <c r="AQ4" i="1"/>
  <c r="AR4" i="1"/>
  <c r="AT4" i="1"/>
  <c r="AU4" i="1"/>
  <c r="A14" i="1"/>
  <c r="AP4" i="1" l="1"/>
  <c r="AV4" i="1"/>
  <c r="AS4" i="1"/>
  <c r="AM4" i="1"/>
  <c r="A5" i="1" l="1"/>
  <c r="AX1258" i="1" l="1"/>
  <c r="AX1257" i="1"/>
  <c r="AX1256" i="1"/>
  <c r="AX1255" i="1"/>
  <c r="AX1254" i="1"/>
  <c r="AX1253" i="1"/>
  <c r="AX1252" i="1"/>
  <c r="AX1251" i="1"/>
  <c r="AX1250" i="1"/>
  <c r="AX1249" i="1"/>
  <c r="AX1248" i="1"/>
  <c r="AX1247" i="1"/>
  <c r="AX1246" i="1"/>
  <c r="AX1245" i="1"/>
  <c r="AX1244" i="1"/>
  <c r="AX1243" i="1"/>
  <c r="AX1242" i="1"/>
  <c r="AX1241" i="1"/>
  <c r="AX1240" i="1"/>
  <c r="AX1239" i="1"/>
  <c r="AX1238" i="1"/>
  <c r="AX1237" i="1"/>
  <c r="AX1236" i="1"/>
  <c r="AX1235" i="1"/>
  <c r="AX1234" i="1"/>
  <c r="AX1233" i="1"/>
  <c r="AX1232" i="1"/>
  <c r="AX1231" i="1"/>
  <c r="AX1230" i="1"/>
  <c r="AX1229" i="1"/>
  <c r="AX1228" i="1"/>
  <c r="AX1227" i="1"/>
  <c r="AX1226" i="1"/>
  <c r="AX1225" i="1"/>
  <c r="AX1224" i="1"/>
  <c r="AX1223" i="1"/>
  <c r="AX1222" i="1"/>
  <c r="AX1221" i="1"/>
  <c r="AX1220" i="1"/>
  <c r="AX1219" i="1"/>
  <c r="AX1218" i="1"/>
  <c r="AX1217" i="1"/>
  <c r="AX1216" i="1"/>
  <c r="AX1215" i="1"/>
  <c r="AX1214" i="1"/>
  <c r="AX1213" i="1"/>
  <c r="AX1212" i="1"/>
  <c r="AX1211" i="1"/>
  <c r="AX1210" i="1"/>
  <c r="AX1209" i="1"/>
  <c r="AX1208" i="1"/>
  <c r="AX1207" i="1"/>
  <c r="AX1206" i="1"/>
  <c r="AX1205" i="1"/>
  <c r="AX1204" i="1"/>
  <c r="AX1203" i="1"/>
  <c r="AX1202" i="1"/>
  <c r="AX1201" i="1"/>
  <c r="AX1200" i="1"/>
  <c r="AX1199" i="1"/>
  <c r="AX1198" i="1"/>
  <c r="AX1197" i="1"/>
  <c r="AX1196" i="1"/>
  <c r="AX1195" i="1"/>
  <c r="AX1194" i="1"/>
  <c r="AX1193" i="1"/>
  <c r="AX1192" i="1"/>
  <c r="AX1191" i="1"/>
  <c r="AX1190" i="1"/>
  <c r="AX1189" i="1"/>
  <c r="AX1188" i="1"/>
  <c r="AX1187" i="1"/>
  <c r="AX1186" i="1"/>
  <c r="AX1185" i="1"/>
  <c r="AX1184" i="1"/>
  <c r="AX1183" i="1"/>
  <c r="AX1182" i="1"/>
  <c r="AX1181" i="1"/>
  <c r="AX1180" i="1"/>
  <c r="AX1179" i="1"/>
  <c r="AX1178" i="1"/>
  <c r="AX1177" i="1"/>
  <c r="AX1176" i="1"/>
  <c r="AX1175" i="1"/>
  <c r="AX1174" i="1"/>
  <c r="AX1173" i="1"/>
  <c r="AX1172" i="1"/>
  <c r="AX1171" i="1"/>
  <c r="AX1170" i="1"/>
  <c r="AX1169" i="1"/>
  <c r="AX1168" i="1"/>
  <c r="AX1167" i="1"/>
  <c r="AX1166" i="1"/>
  <c r="AX1165" i="1"/>
  <c r="AX1164" i="1"/>
  <c r="AX1163" i="1"/>
  <c r="AX1162" i="1"/>
  <c r="AX1161" i="1"/>
  <c r="AX1160" i="1"/>
  <c r="AX1159" i="1"/>
  <c r="AX1158" i="1"/>
  <c r="AX1157" i="1"/>
  <c r="AX1156" i="1"/>
  <c r="AX1155" i="1"/>
  <c r="AX1154" i="1"/>
  <c r="AX1153" i="1"/>
  <c r="AX1152" i="1"/>
  <c r="AX1151" i="1"/>
  <c r="AX1150" i="1"/>
  <c r="AX1149" i="1"/>
  <c r="AX1148" i="1"/>
  <c r="AX1147" i="1"/>
  <c r="AX1146" i="1"/>
  <c r="AX1145" i="1"/>
  <c r="AX1144" i="1"/>
  <c r="AX1143" i="1"/>
  <c r="AX1142" i="1"/>
  <c r="AX1141" i="1"/>
  <c r="AX1140" i="1"/>
  <c r="AX1139" i="1"/>
  <c r="AX1138" i="1"/>
  <c r="AX1137" i="1"/>
  <c r="AX1136" i="1"/>
  <c r="AX1135" i="1"/>
  <c r="AX1134" i="1"/>
  <c r="AX1133" i="1"/>
  <c r="AX1132" i="1"/>
  <c r="AX1131" i="1"/>
  <c r="AX1130" i="1"/>
  <c r="AX1129" i="1"/>
  <c r="AX1128" i="1"/>
  <c r="AX1127" i="1"/>
  <c r="AX1126" i="1"/>
  <c r="AX1125" i="1"/>
  <c r="AX1124" i="1"/>
  <c r="AX1123" i="1"/>
  <c r="AX1122" i="1"/>
  <c r="AX1121" i="1"/>
  <c r="AX1120" i="1"/>
  <c r="AX1119" i="1"/>
  <c r="AX1118" i="1"/>
  <c r="AX1117" i="1"/>
  <c r="AX1116" i="1"/>
  <c r="AX1115" i="1"/>
  <c r="AX1114" i="1"/>
  <c r="AX1113" i="1"/>
  <c r="AX1112" i="1"/>
  <c r="AX1111" i="1"/>
  <c r="AX1110" i="1"/>
  <c r="AX1109" i="1"/>
  <c r="AX1108" i="1"/>
  <c r="AX1107" i="1"/>
  <c r="AX1106" i="1"/>
  <c r="AX1105" i="1"/>
  <c r="AX1104" i="1"/>
  <c r="AX1103" i="1"/>
  <c r="AX1102" i="1"/>
  <c r="AX1101" i="1"/>
  <c r="AX1100" i="1"/>
  <c r="AX1099" i="1"/>
  <c r="AX1098" i="1"/>
  <c r="AX1097" i="1"/>
  <c r="AX1096" i="1"/>
  <c r="AX1095" i="1"/>
  <c r="AX1094" i="1"/>
  <c r="AX1093" i="1"/>
  <c r="AX1092" i="1"/>
  <c r="AX1091" i="1"/>
  <c r="AX1090" i="1"/>
  <c r="AX1089" i="1"/>
  <c r="AX1088" i="1"/>
  <c r="AX1087" i="1"/>
  <c r="AX1086" i="1"/>
  <c r="AX1085" i="1"/>
  <c r="AX1084" i="1"/>
  <c r="AX1083" i="1"/>
  <c r="AX1082" i="1"/>
  <c r="AX1081" i="1"/>
  <c r="AX1080" i="1"/>
  <c r="AX1079" i="1"/>
  <c r="AX1078" i="1"/>
  <c r="AX1077" i="1"/>
  <c r="AX1076" i="1"/>
  <c r="AX1075" i="1"/>
  <c r="AX1074" i="1"/>
  <c r="AX1073" i="1"/>
  <c r="AX1072" i="1"/>
  <c r="AX1071" i="1"/>
  <c r="AX1070" i="1"/>
  <c r="AX1069" i="1"/>
  <c r="AX1068" i="1"/>
  <c r="AX1067" i="1"/>
  <c r="AX1066" i="1"/>
  <c r="AX1065" i="1"/>
  <c r="AX1064" i="1"/>
  <c r="AX1063" i="1"/>
  <c r="AX1062" i="1"/>
  <c r="AX1061" i="1"/>
  <c r="AX1060" i="1"/>
  <c r="AX1059" i="1"/>
  <c r="AX1058" i="1"/>
  <c r="AX1057" i="1"/>
  <c r="AX1056" i="1"/>
  <c r="AX1055" i="1"/>
  <c r="AX1054" i="1"/>
  <c r="AX1053" i="1"/>
  <c r="AX1052" i="1"/>
  <c r="AX1051" i="1"/>
  <c r="AX1050" i="1"/>
  <c r="AX1049" i="1"/>
  <c r="AX1048" i="1"/>
  <c r="AX1047" i="1"/>
  <c r="AX1046" i="1"/>
  <c r="AX1045" i="1"/>
  <c r="AX1044" i="1"/>
  <c r="AX1043" i="1"/>
  <c r="AX1042" i="1"/>
  <c r="AX1041" i="1"/>
  <c r="AX1040" i="1"/>
  <c r="AX1039" i="1"/>
  <c r="AX1038" i="1"/>
  <c r="AX1037" i="1"/>
  <c r="AX1036" i="1"/>
  <c r="AX1035" i="1"/>
  <c r="AX1034" i="1"/>
  <c r="AX1033" i="1"/>
  <c r="AX1032" i="1"/>
  <c r="AX1031" i="1"/>
  <c r="AX1030" i="1"/>
  <c r="AX1029" i="1"/>
  <c r="AX1028" i="1"/>
  <c r="AX1027" i="1"/>
  <c r="AX1026" i="1"/>
  <c r="AX1025" i="1"/>
  <c r="AX1024" i="1"/>
  <c r="AX1023" i="1"/>
  <c r="AX1022" i="1"/>
  <c r="AX1021" i="1"/>
  <c r="AX1020" i="1"/>
  <c r="AX1019" i="1"/>
  <c r="AX1018" i="1"/>
  <c r="AX1017" i="1"/>
  <c r="AX1016" i="1"/>
  <c r="AX1015" i="1"/>
  <c r="AX1014" i="1"/>
  <c r="AX1013" i="1"/>
  <c r="AX1012" i="1"/>
  <c r="AX1011" i="1"/>
  <c r="AX1010" i="1"/>
  <c r="AX1009" i="1"/>
  <c r="AX1008" i="1"/>
  <c r="AX1007" i="1"/>
  <c r="AX1006" i="1"/>
  <c r="AX1005" i="1"/>
  <c r="AX1004" i="1"/>
  <c r="AX1003" i="1"/>
  <c r="AX1002" i="1"/>
  <c r="AX1001" i="1"/>
  <c r="AX1000" i="1"/>
  <c r="AX999" i="1"/>
  <c r="AX998" i="1"/>
  <c r="AX997" i="1"/>
  <c r="AX996" i="1"/>
  <c r="AX995" i="1"/>
  <c r="AX994" i="1"/>
  <c r="AX993" i="1"/>
  <c r="AX992" i="1"/>
  <c r="AX991" i="1"/>
  <c r="AX990" i="1"/>
  <c r="AX989" i="1"/>
  <c r="AX988" i="1"/>
  <c r="AX987" i="1"/>
  <c r="AX986" i="1"/>
  <c r="AX985" i="1"/>
  <c r="AX984" i="1"/>
  <c r="AX983" i="1"/>
  <c r="AX982" i="1"/>
  <c r="AX981" i="1"/>
  <c r="AX980" i="1"/>
  <c r="AX979" i="1"/>
  <c r="AX978" i="1"/>
  <c r="AX977" i="1"/>
  <c r="AX976" i="1"/>
  <c r="AX975" i="1"/>
  <c r="AX974" i="1"/>
  <c r="AX973" i="1"/>
  <c r="AX972" i="1"/>
  <c r="AX971" i="1"/>
  <c r="AX970" i="1"/>
  <c r="AX969" i="1"/>
  <c r="AX968" i="1"/>
  <c r="AX967" i="1"/>
  <c r="AX966" i="1"/>
  <c r="AX965" i="1"/>
  <c r="AX964" i="1"/>
  <c r="AX963" i="1"/>
  <c r="AX962" i="1"/>
  <c r="AX961" i="1"/>
  <c r="AX960" i="1"/>
  <c r="AX959" i="1"/>
  <c r="AX958" i="1"/>
  <c r="AX957" i="1"/>
  <c r="AX956" i="1"/>
  <c r="AX955" i="1"/>
  <c r="AX954" i="1"/>
  <c r="AX953" i="1"/>
  <c r="AX952" i="1"/>
  <c r="AX951" i="1"/>
  <c r="AX950" i="1"/>
  <c r="AX949" i="1"/>
  <c r="AX948" i="1"/>
  <c r="AX947" i="1"/>
  <c r="AX946" i="1"/>
  <c r="AX945" i="1"/>
  <c r="AX944" i="1"/>
  <c r="AX943" i="1"/>
  <c r="AX942" i="1"/>
  <c r="AX941" i="1"/>
  <c r="AX940" i="1"/>
  <c r="AX939" i="1"/>
  <c r="AX938" i="1"/>
  <c r="AX937" i="1"/>
  <c r="AX936" i="1"/>
  <c r="AX935" i="1"/>
  <c r="AX934" i="1"/>
  <c r="AX933" i="1"/>
  <c r="AX932" i="1"/>
  <c r="AX931" i="1"/>
  <c r="AX930" i="1"/>
  <c r="AX929" i="1"/>
  <c r="AX928" i="1"/>
  <c r="AX927" i="1"/>
  <c r="AX926" i="1"/>
  <c r="AX925" i="1"/>
  <c r="AX924" i="1"/>
  <c r="AX923" i="1"/>
  <c r="AX922" i="1"/>
  <c r="AX921" i="1"/>
  <c r="AX920" i="1"/>
  <c r="AX919" i="1"/>
  <c r="AX918" i="1"/>
  <c r="AX917" i="1"/>
  <c r="AX916" i="1"/>
  <c r="AX915" i="1"/>
  <c r="AX914" i="1"/>
  <c r="AX913" i="1"/>
  <c r="AX912" i="1"/>
  <c r="AX911" i="1"/>
  <c r="AX910" i="1"/>
  <c r="AX909" i="1"/>
  <c r="AX908" i="1"/>
  <c r="AX907" i="1"/>
  <c r="AX906" i="1"/>
  <c r="AX905" i="1"/>
  <c r="AX904" i="1"/>
  <c r="AX903" i="1"/>
  <c r="AX902" i="1"/>
  <c r="AX901" i="1"/>
  <c r="AX900" i="1"/>
  <c r="AX899" i="1"/>
  <c r="AX898" i="1"/>
  <c r="AX897" i="1"/>
  <c r="AX896" i="1"/>
  <c r="AX895" i="1"/>
  <c r="AX894" i="1"/>
  <c r="AX893" i="1"/>
  <c r="AX892" i="1"/>
  <c r="AX891" i="1"/>
  <c r="AX890" i="1"/>
  <c r="AX889" i="1"/>
  <c r="AX888" i="1"/>
  <c r="AX887" i="1"/>
  <c r="AX886" i="1"/>
  <c r="AX885" i="1"/>
  <c r="AX884" i="1"/>
  <c r="AX883" i="1"/>
  <c r="AX882" i="1"/>
  <c r="AX881" i="1"/>
  <c r="AX880" i="1"/>
  <c r="AX879" i="1"/>
  <c r="AX878" i="1"/>
  <c r="AX877" i="1"/>
  <c r="AX876" i="1"/>
  <c r="AX875" i="1"/>
  <c r="AX874" i="1"/>
  <c r="AX873" i="1"/>
  <c r="AX872" i="1"/>
  <c r="AX871" i="1"/>
  <c r="AX870" i="1"/>
  <c r="AX869" i="1"/>
  <c r="AX868" i="1"/>
  <c r="AX867" i="1"/>
  <c r="AX866" i="1"/>
  <c r="AX865" i="1"/>
  <c r="AX864" i="1"/>
  <c r="AX863" i="1"/>
  <c r="AX862" i="1"/>
  <c r="AX861" i="1"/>
  <c r="AX860" i="1"/>
  <c r="AX859" i="1"/>
  <c r="AX858" i="1"/>
  <c r="AX857" i="1"/>
  <c r="AX856" i="1"/>
  <c r="AX855" i="1"/>
  <c r="AX854" i="1"/>
  <c r="AX853" i="1"/>
  <c r="AX852" i="1"/>
  <c r="AX851" i="1"/>
  <c r="AX850" i="1"/>
  <c r="AX849" i="1"/>
  <c r="AX848" i="1"/>
  <c r="AX847" i="1"/>
  <c r="AX846" i="1"/>
  <c r="AX845" i="1"/>
  <c r="AX844" i="1"/>
  <c r="AX843" i="1"/>
  <c r="AX842" i="1"/>
  <c r="AX841" i="1"/>
  <c r="AX840" i="1"/>
  <c r="AX839" i="1"/>
  <c r="AX838" i="1"/>
  <c r="AX837" i="1"/>
  <c r="AX836" i="1"/>
  <c r="AX835" i="1"/>
  <c r="AX834" i="1"/>
  <c r="AX833" i="1"/>
  <c r="AX832" i="1"/>
  <c r="AX831" i="1"/>
  <c r="AX830" i="1"/>
  <c r="AX829" i="1"/>
  <c r="AX828" i="1"/>
  <c r="AX827" i="1"/>
  <c r="AX826" i="1"/>
  <c r="AX825" i="1"/>
  <c r="AX824" i="1"/>
  <c r="AX823" i="1"/>
  <c r="AX822" i="1"/>
  <c r="AX821" i="1"/>
  <c r="AX820" i="1"/>
  <c r="AX819" i="1"/>
  <c r="AX818" i="1"/>
  <c r="AX817" i="1"/>
  <c r="AX816" i="1"/>
  <c r="AX815" i="1"/>
  <c r="AX814" i="1"/>
  <c r="AX813" i="1"/>
  <c r="AX812" i="1"/>
  <c r="AX811" i="1"/>
  <c r="AX810" i="1"/>
  <c r="AX809" i="1"/>
  <c r="AX808" i="1"/>
  <c r="AX807" i="1"/>
  <c r="AX806" i="1"/>
  <c r="AX805" i="1"/>
  <c r="AX804" i="1"/>
  <c r="AX803" i="1"/>
  <c r="AX802" i="1"/>
  <c r="AX801" i="1"/>
  <c r="AX800" i="1"/>
  <c r="AX799" i="1"/>
  <c r="AX798" i="1"/>
  <c r="AX797" i="1"/>
  <c r="AX796" i="1"/>
  <c r="AX795" i="1"/>
  <c r="AX794" i="1"/>
  <c r="AX793" i="1"/>
  <c r="AX792" i="1"/>
  <c r="AX791" i="1"/>
  <c r="AX790" i="1"/>
  <c r="AX789" i="1"/>
  <c r="AX788" i="1"/>
  <c r="AX787" i="1"/>
  <c r="AX786" i="1"/>
  <c r="AX785" i="1"/>
  <c r="AX784" i="1"/>
  <c r="AX783" i="1"/>
  <c r="AX782" i="1"/>
  <c r="AX781" i="1"/>
  <c r="AX780" i="1"/>
  <c r="AX779" i="1"/>
  <c r="AX778" i="1"/>
  <c r="AX777" i="1"/>
  <c r="AX776" i="1"/>
  <c r="AX775" i="1"/>
  <c r="AX774" i="1"/>
  <c r="AX773" i="1"/>
  <c r="AX772" i="1"/>
  <c r="AX771" i="1"/>
  <c r="AX770" i="1"/>
  <c r="AX769" i="1"/>
  <c r="AX768" i="1"/>
  <c r="AX767" i="1"/>
  <c r="AX766" i="1"/>
  <c r="AX765" i="1"/>
  <c r="AX764" i="1"/>
  <c r="AX763" i="1"/>
  <c r="AX762" i="1"/>
  <c r="AX761" i="1"/>
  <c r="AX760" i="1"/>
  <c r="AX759" i="1"/>
  <c r="AX758" i="1"/>
  <c r="AX757" i="1"/>
  <c r="AX756" i="1"/>
  <c r="AX755" i="1"/>
  <c r="AX754" i="1"/>
  <c r="AX753" i="1"/>
  <c r="AX752" i="1"/>
  <c r="AX751" i="1"/>
  <c r="AX750" i="1"/>
  <c r="AX749" i="1"/>
  <c r="AX748" i="1"/>
  <c r="AX747" i="1"/>
  <c r="AX746" i="1"/>
  <c r="AX745" i="1"/>
  <c r="AX744" i="1"/>
  <c r="AX743" i="1"/>
  <c r="AX742" i="1"/>
  <c r="AX741" i="1"/>
  <c r="AX740" i="1"/>
  <c r="AX739" i="1"/>
  <c r="AX738" i="1"/>
  <c r="AX737" i="1"/>
  <c r="AX736" i="1"/>
  <c r="AX735" i="1"/>
  <c r="AX734" i="1"/>
  <c r="AX733" i="1"/>
  <c r="AX732" i="1"/>
  <c r="AX731" i="1"/>
  <c r="AX730" i="1"/>
  <c r="AX729" i="1"/>
  <c r="AX728" i="1"/>
  <c r="AX727" i="1"/>
  <c r="AX726" i="1"/>
  <c r="AX725" i="1"/>
  <c r="AX724" i="1"/>
  <c r="AX723" i="1"/>
  <c r="AX722" i="1"/>
  <c r="AX721" i="1"/>
  <c r="AX720" i="1"/>
  <c r="AX719" i="1"/>
  <c r="AX718" i="1"/>
  <c r="AX717" i="1"/>
  <c r="AX716" i="1"/>
  <c r="AX715" i="1"/>
  <c r="AX714" i="1"/>
  <c r="AX713" i="1"/>
  <c r="AX712" i="1"/>
  <c r="AX711" i="1"/>
  <c r="AX710" i="1"/>
  <c r="AX709" i="1"/>
  <c r="AX708" i="1"/>
  <c r="AX707" i="1"/>
  <c r="AX706" i="1"/>
  <c r="AX705" i="1"/>
  <c r="AX704" i="1"/>
  <c r="AX703" i="1"/>
  <c r="AX702" i="1"/>
  <c r="AX701" i="1"/>
  <c r="AX700" i="1"/>
  <c r="AX699" i="1"/>
  <c r="AX698" i="1"/>
  <c r="AX697" i="1"/>
  <c r="AX696" i="1"/>
  <c r="AX695" i="1"/>
  <c r="AX694" i="1"/>
  <c r="AX693" i="1"/>
  <c r="AX692" i="1"/>
  <c r="AX691" i="1"/>
  <c r="AX690" i="1"/>
  <c r="AX689" i="1"/>
  <c r="AX688" i="1"/>
  <c r="AX687" i="1"/>
  <c r="AX686" i="1"/>
  <c r="AX685" i="1"/>
  <c r="AX684" i="1"/>
  <c r="AX683" i="1"/>
  <c r="AX682" i="1"/>
  <c r="AX681" i="1"/>
  <c r="AX680" i="1"/>
  <c r="AX679" i="1"/>
  <c r="AX678" i="1"/>
  <c r="AX677" i="1"/>
  <c r="AX676" i="1"/>
  <c r="AX675" i="1"/>
  <c r="AX674" i="1"/>
  <c r="AX673" i="1"/>
  <c r="AX672" i="1"/>
  <c r="AX671" i="1"/>
  <c r="AX670" i="1"/>
  <c r="AX669" i="1"/>
  <c r="AX668" i="1"/>
  <c r="AX667" i="1"/>
  <c r="AX666" i="1"/>
  <c r="AX665" i="1"/>
  <c r="AX664" i="1"/>
  <c r="AX663" i="1"/>
  <c r="AX662" i="1"/>
  <c r="AX661" i="1"/>
  <c r="AX660" i="1"/>
  <c r="AX659" i="1"/>
  <c r="AX658" i="1"/>
  <c r="AX657" i="1"/>
  <c r="AX656" i="1"/>
  <c r="AX655" i="1"/>
  <c r="AX654" i="1"/>
  <c r="AX653" i="1"/>
  <c r="AX652" i="1"/>
  <c r="AX651" i="1"/>
  <c r="AX650" i="1"/>
  <c r="AX649" i="1"/>
  <c r="AX648" i="1"/>
  <c r="AX647" i="1"/>
  <c r="AX646" i="1"/>
  <c r="AX645" i="1"/>
  <c r="AX644" i="1"/>
  <c r="AX643" i="1"/>
  <c r="AX642" i="1"/>
  <c r="AX641" i="1"/>
  <c r="AX640" i="1"/>
  <c r="AX639" i="1"/>
  <c r="AX638" i="1"/>
  <c r="AX637" i="1"/>
  <c r="AX636" i="1"/>
  <c r="AX635" i="1"/>
  <c r="AX634" i="1"/>
  <c r="AX633" i="1"/>
  <c r="AX632" i="1"/>
  <c r="AX631" i="1"/>
  <c r="AX630" i="1"/>
  <c r="AX629" i="1"/>
  <c r="AX628" i="1"/>
  <c r="AX627" i="1"/>
  <c r="AX626" i="1"/>
  <c r="AX625" i="1"/>
  <c r="AX624" i="1"/>
  <c r="AX623" i="1"/>
  <c r="AX622" i="1"/>
  <c r="AX621" i="1"/>
  <c r="AX620" i="1"/>
  <c r="AX619" i="1"/>
  <c r="AX618" i="1"/>
  <c r="AX617" i="1"/>
  <c r="AX616" i="1"/>
  <c r="AX615" i="1"/>
  <c r="AX614" i="1"/>
  <c r="AX613" i="1"/>
  <c r="AX612" i="1"/>
  <c r="AX611" i="1"/>
  <c r="AX610" i="1"/>
  <c r="AX609" i="1"/>
  <c r="AX608" i="1"/>
  <c r="AX607" i="1"/>
  <c r="AX606" i="1"/>
  <c r="AX605" i="1"/>
  <c r="AX604" i="1"/>
  <c r="AX603" i="1"/>
  <c r="AX602" i="1"/>
  <c r="AX601" i="1"/>
  <c r="AX600" i="1"/>
  <c r="AX599" i="1"/>
  <c r="AX598" i="1"/>
  <c r="AX597" i="1"/>
  <c r="AX596" i="1"/>
  <c r="AX595" i="1"/>
  <c r="AX594" i="1"/>
  <c r="AX593" i="1"/>
  <c r="AX592" i="1"/>
  <c r="AX591" i="1"/>
  <c r="AX590" i="1"/>
  <c r="AX589" i="1"/>
  <c r="AX588" i="1"/>
  <c r="AX587" i="1"/>
  <c r="AX586" i="1"/>
  <c r="AX585" i="1"/>
  <c r="AX584" i="1"/>
  <c r="AX583" i="1"/>
  <c r="AX582" i="1"/>
  <c r="AX581" i="1"/>
  <c r="AX580" i="1"/>
  <c r="AX579" i="1"/>
  <c r="AX578" i="1"/>
  <c r="AX577" i="1"/>
  <c r="AX576" i="1"/>
  <c r="AX575" i="1"/>
  <c r="AX574" i="1"/>
  <c r="AX573" i="1"/>
  <c r="AX572" i="1"/>
  <c r="AX571" i="1"/>
  <c r="AX570" i="1"/>
  <c r="AX569" i="1"/>
  <c r="AX568" i="1"/>
  <c r="AX567" i="1"/>
  <c r="AX566" i="1"/>
  <c r="AX565" i="1"/>
  <c r="AX564" i="1"/>
  <c r="AX563" i="1"/>
  <c r="AX562" i="1"/>
  <c r="AX561" i="1"/>
  <c r="AX560" i="1"/>
  <c r="AX559" i="1"/>
  <c r="AX558" i="1"/>
  <c r="AX557" i="1"/>
  <c r="AX556" i="1"/>
  <c r="AX555" i="1"/>
  <c r="AX554" i="1"/>
  <c r="AX553" i="1"/>
  <c r="AX552" i="1"/>
  <c r="AX551" i="1"/>
  <c r="AX550" i="1"/>
  <c r="AX549" i="1"/>
  <c r="AX548" i="1"/>
  <c r="AX547" i="1"/>
  <c r="AX546" i="1"/>
  <c r="AX545" i="1"/>
  <c r="AX544" i="1"/>
  <c r="AX543" i="1"/>
  <c r="AX542" i="1"/>
  <c r="AX541" i="1"/>
  <c r="AX540" i="1"/>
  <c r="AX539" i="1"/>
  <c r="AX538" i="1"/>
  <c r="AX537" i="1"/>
  <c r="AX536" i="1"/>
  <c r="AX535" i="1"/>
  <c r="AX534" i="1"/>
  <c r="AX533" i="1"/>
  <c r="AX532" i="1"/>
  <c r="AX531" i="1"/>
  <c r="AX530" i="1"/>
  <c r="AX529" i="1"/>
  <c r="AX528" i="1"/>
  <c r="AX527" i="1"/>
  <c r="AX526" i="1"/>
  <c r="AX525" i="1"/>
  <c r="AX524" i="1"/>
  <c r="AX523" i="1"/>
  <c r="AX522" i="1"/>
  <c r="AX521" i="1"/>
  <c r="AX520" i="1"/>
  <c r="AX519" i="1"/>
  <c r="AX518" i="1"/>
  <c r="AX517" i="1"/>
  <c r="AX516" i="1"/>
  <c r="AX515" i="1"/>
  <c r="AX514" i="1"/>
  <c r="AX513" i="1"/>
  <c r="AX512" i="1"/>
  <c r="AX511" i="1"/>
  <c r="AX510" i="1"/>
  <c r="AX509" i="1"/>
  <c r="AX508" i="1"/>
  <c r="AX507" i="1"/>
  <c r="AX506" i="1"/>
  <c r="AX505" i="1"/>
  <c r="AX504" i="1"/>
  <c r="AX503" i="1"/>
  <c r="AX502" i="1"/>
  <c r="AX501" i="1"/>
  <c r="AX500" i="1"/>
  <c r="AX499" i="1"/>
  <c r="AX498" i="1"/>
  <c r="AX497" i="1"/>
  <c r="AX496" i="1"/>
  <c r="AX495" i="1"/>
  <c r="AX494" i="1"/>
  <c r="AX493" i="1"/>
  <c r="AX492" i="1"/>
  <c r="AX491" i="1"/>
  <c r="AX490" i="1"/>
  <c r="AX489" i="1"/>
  <c r="AX488" i="1"/>
  <c r="AX487" i="1"/>
  <c r="AX486" i="1"/>
  <c r="AX485" i="1"/>
  <c r="AX484" i="1"/>
  <c r="AX483" i="1"/>
  <c r="AX482" i="1"/>
  <c r="AX481" i="1"/>
  <c r="AX480" i="1"/>
  <c r="AX479" i="1"/>
  <c r="AX478" i="1"/>
  <c r="AX477" i="1"/>
  <c r="AX476" i="1"/>
  <c r="AX475" i="1"/>
  <c r="AX474" i="1"/>
  <c r="AX473" i="1"/>
  <c r="AX472" i="1"/>
  <c r="AX471" i="1"/>
  <c r="AX470" i="1"/>
  <c r="AX469" i="1"/>
  <c r="AX468" i="1"/>
  <c r="AX467" i="1"/>
  <c r="AX466" i="1"/>
  <c r="AX465" i="1"/>
  <c r="AX464" i="1"/>
  <c r="AX463" i="1"/>
  <c r="AX462" i="1"/>
  <c r="AX461" i="1"/>
  <c r="AX460" i="1"/>
  <c r="AX459" i="1"/>
  <c r="AX458" i="1"/>
  <c r="AX457" i="1"/>
  <c r="AX456" i="1"/>
  <c r="AX455" i="1"/>
  <c r="AX454" i="1"/>
  <c r="AX453" i="1"/>
  <c r="AX452" i="1"/>
  <c r="AX451" i="1"/>
  <c r="AX450" i="1"/>
  <c r="AX449" i="1"/>
  <c r="AX448" i="1"/>
  <c r="AX447" i="1"/>
  <c r="AX446" i="1"/>
  <c r="AX445" i="1"/>
  <c r="AX444" i="1"/>
  <c r="AX443" i="1"/>
  <c r="AX442" i="1"/>
  <c r="AX441" i="1"/>
  <c r="AX440" i="1"/>
  <c r="AX439" i="1"/>
  <c r="AX438" i="1"/>
  <c r="AX437" i="1"/>
  <c r="AX436" i="1"/>
  <c r="AX435" i="1"/>
  <c r="AX434" i="1"/>
  <c r="AX433" i="1"/>
  <c r="AX432" i="1"/>
  <c r="AX431" i="1"/>
  <c r="AX430" i="1"/>
  <c r="AX429" i="1"/>
  <c r="AX428" i="1"/>
  <c r="AX427" i="1"/>
  <c r="AX426" i="1"/>
  <c r="AX425" i="1"/>
  <c r="AX424" i="1"/>
  <c r="AX423" i="1"/>
  <c r="AX422" i="1"/>
  <c r="AX421" i="1"/>
  <c r="AX420" i="1"/>
  <c r="AX419" i="1"/>
  <c r="AX418" i="1"/>
  <c r="AX417" i="1"/>
  <c r="AX416" i="1"/>
  <c r="AX415" i="1"/>
  <c r="AX414" i="1"/>
  <c r="AX413" i="1"/>
  <c r="AX412" i="1"/>
  <c r="AX411" i="1"/>
  <c r="AX410" i="1"/>
  <c r="AX409" i="1"/>
  <c r="AX408" i="1"/>
  <c r="AX407" i="1"/>
  <c r="AX406" i="1"/>
  <c r="AX405" i="1"/>
  <c r="AX404" i="1"/>
  <c r="AX403" i="1"/>
  <c r="AX402" i="1"/>
  <c r="AX401" i="1"/>
  <c r="AX400" i="1"/>
  <c r="AX399" i="1"/>
  <c r="AX398" i="1"/>
  <c r="AX397" i="1"/>
  <c r="AX396" i="1"/>
  <c r="AX395" i="1"/>
  <c r="AX394" i="1"/>
  <c r="AX393" i="1"/>
  <c r="AX392" i="1"/>
  <c r="AX391" i="1"/>
  <c r="AX390" i="1"/>
  <c r="AX389" i="1"/>
  <c r="AX388" i="1"/>
  <c r="AX387" i="1"/>
  <c r="AX386" i="1"/>
  <c r="AX385" i="1"/>
  <c r="AX384" i="1"/>
  <c r="AX383" i="1"/>
  <c r="AX382" i="1"/>
  <c r="AX381" i="1"/>
  <c r="AX380" i="1"/>
  <c r="AX379" i="1"/>
  <c r="AX378" i="1"/>
  <c r="AX377" i="1"/>
  <c r="AX376" i="1"/>
  <c r="AX375" i="1"/>
  <c r="AX374" i="1"/>
  <c r="AX373" i="1"/>
  <c r="AX372" i="1"/>
  <c r="AX371" i="1"/>
  <c r="AX370" i="1"/>
  <c r="AX369" i="1"/>
  <c r="AX368" i="1"/>
  <c r="AX367" i="1"/>
  <c r="AX366" i="1"/>
  <c r="AX365" i="1"/>
  <c r="AX364" i="1"/>
  <c r="AX363" i="1"/>
  <c r="AX362" i="1"/>
  <c r="AX361" i="1"/>
  <c r="AX360" i="1"/>
  <c r="AX359" i="1"/>
  <c r="AX358" i="1"/>
  <c r="AX357" i="1"/>
  <c r="AX356" i="1"/>
  <c r="AX355" i="1"/>
  <c r="AX354" i="1"/>
  <c r="AX353" i="1"/>
  <c r="AX352" i="1"/>
  <c r="AX351" i="1"/>
  <c r="AX350" i="1"/>
  <c r="AX349" i="1"/>
  <c r="AX348" i="1"/>
  <c r="AX347" i="1"/>
  <c r="AX346" i="1"/>
  <c r="AX345" i="1"/>
  <c r="AX344" i="1"/>
  <c r="AX343" i="1"/>
  <c r="AX342" i="1"/>
  <c r="AX341" i="1"/>
  <c r="AX340" i="1"/>
  <c r="AX339" i="1"/>
  <c r="AX338" i="1"/>
  <c r="AX337" i="1"/>
  <c r="AX336" i="1"/>
  <c r="AX335" i="1"/>
  <c r="AX334" i="1"/>
  <c r="AX333" i="1"/>
  <c r="AX332" i="1"/>
  <c r="AX331" i="1"/>
  <c r="AX330" i="1"/>
  <c r="AX329" i="1"/>
  <c r="AX328" i="1"/>
  <c r="AX327" i="1"/>
  <c r="AX326" i="1"/>
  <c r="AX325" i="1"/>
  <c r="AX324" i="1"/>
  <c r="AX323" i="1"/>
  <c r="AX322" i="1"/>
  <c r="AX321" i="1"/>
  <c r="AX320" i="1"/>
  <c r="AX319" i="1"/>
  <c r="AX318" i="1"/>
  <c r="AX317" i="1"/>
  <c r="AX316" i="1"/>
  <c r="AX315" i="1"/>
  <c r="AX314" i="1"/>
  <c r="AX313" i="1"/>
  <c r="AX312" i="1"/>
  <c r="AX311" i="1"/>
  <c r="AX310" i="1"/>
  <c r="AX309" i="1"/>
  <c r="AX308" i="1"/>
  <c r="AX307" i="1"/>
  <c r="AX306" i="1"/>
  <c r="AX305" i="1"/>
  <c r="AX304" i="1"/>
  <c r="AX303" i="1"/>
  <c r="AX302" i="1"/>
  <c r="AX301" i="1"/>
  <c r="AX300" i="1"/>
  <c r="AX299" i="1"/>
  <c r="AX298" i="1"/>
  <c r="AX297" i="1"/>
  <c r="AX296" i="1"/>
  <c r="AX295" i="1"/>
  <c r="AX294" i="1"/>
  <c r="AX293" i="1"/>
  <c r="AX292" i="1"/>
  <c r="AX291" i="1"/>
  <c r="AX290" i="1"/>
  <c r="AX289" i="1"/>
  <c r="AX288" i="1"/>
  <c r="AX287" i="1"/>
  <c r="AX286" i="1"/>
  <c r="AX285" i="1"/>
  <c r="AX284" i="1"/>
  <c r="AX283" i="1"/>
  <c r="AX282" i="1"/>
  <c r="AX281" i="1"/>
  <c r="AX280" i="1"/>
  <c r="AX279" i="1"/>
  <c r="AX278" i="1"/>
  <c r="AX277" i="1"/>
  <c r="AX276" i="1"/>
  <c r="AX275" i="1"/>
  <c r="AX274" i="1"/>
  <c r="AX273" i="1"/>
  <c r="AX272" i="1"/>
  <c r="AX271" i="1"/>
  <c r="AX270" i="1"/>
  <c r="AX269" i="1"/>
  <c r="AX268" i="1"/>
  <c r="AX267" i="1"/>
  <c r="AX266" i="1"/>
  <c r="AX265" i="1"/>
  <c r="AX264" i="1"/>
  <c r="AX263" i="1"/>
  <c r="AX262" i="1"/>
  <c r="AX261" i="1"/>
  <c r="AX260" i="1"/>
  <c r="AX259" i="1"/>
  <c r="AX258" i="1"/>
  <c r="AX257" i="1"/>
  <c r="AX256" i="1"/>
  <c r="AX255" i="1"/>
  <c r="AX254" i="1"/>
  <c r="AX253" i="1"/>
  <c r="AX252" i="1"/>
  <c r="AX251" i="1"/>
  <c r="AX250" i="1"/>
  <c r="AX248" i="1"/>
  <c r="AX247" i="1"/>
  <c r="AX246" i="1"/>
  <c r="AX245" i="1"/>
  <c r="AX244" i="1"/>
  <c r="AX243" i="1"/>
  <c r="AX242" i="1"/>
  <c r="AX241" i="1"/>
  <c r="AX240" i="1"/>
  <c r="AX239" i="1"/>
  <c r="AX238" i="1"/>
  <c r="AX236" i="1"/>
  <c r="AX222" i="1"/>
  <c r="AX221" i="1"/>
  <c r="AX175" i="1"/>
  <c r="AX174" i="1"/>
  <c r="AX173" i="1"/>
  <c r="AX172" i="1"/>
  <c r="AX171" i="1"/>
  <c r="AX170" i="1"/>
  <c r="AX169" i="1"/>
  <c r="AX168" i="1"/>
  <c r="AX167" i="1"/>
  <c r="AX166" i="1"/>
  <c r="AX165" i="1"/>
  <c r="AX164" i="1"/>
  <c r="AX163" i="1"/>
  <c r="AX162" i="1"/>
  <c r="AX161" i="1"/>
  <c r="AX160" i="1"/>
  <c r="AX159" i="1"/>
  <c r="AX158" i="1"/>
  <c r="AX157" i="1"/>
  <c r="AX156" i="1"/>
  <c r="AX155" i="1"/>
  <c r="AX154" i="1"/>
  <c r="AX153" i="1"/>
  <c r="AX152" i="1"/>
  <c r="AX151" i="1"/>
  <c r="AX150" i="1"/>
  <c r="AX149" i="1"/>
  <c r="AX148" i="1"/>
  <c r="AX147" i="1"/>
  <c r="AX146" i="1"/>
  <c r="AX145" i="1"/>
  <c r="AX144" i="1"/>
  <c r="AX143" i="1"/>
  <c r="AX142" i="1"/>
  <c r="AX141" i="1"/>
  <c r="AX140" i="1"/>
  <c r="AX139" i="1"/>
  <c r="AX138" i="1"/>
  <c r="AX137" i="1"/>
  <c r="AX136" i="1"/>
  <c r="AX135" i="1"/>
  <c r="AX134" i="1"/>
  <c r="AX133" i="1"/>
  <c r="AX132" i="1"/>
  <c r="AX131" i="1"/>
  <c r="AX130" i="1"/>
  <c r="AX129" i="1"/>
  <c r="AX112" i="1"/>
  <c r="AX78" i="1"/>
  <c r="AX77" i="1"/>
  <c r="AX76" i="1"/>
  <c r="AX75" i="1"/>
  <c r="AX74" i="1"/>
  <c r="AX73" i="1"/>
  <c r="AX72" i="1"/>
  <c r="AX71" i="1"/>
  <c r="AX70" i="1"/>
  <c r="AX69" i="1"/>
  <c r="AX68" i="1"/>
  <c r="AX67" i="1"/>
  <c r="AX66" i="1"/>
  <c r="AX65" i="1"/>
  <c r="AX64" i="1"/>
  <c r="AX63" i="1"/>
  <c r="AX62" i="1"/>
  <c r="AX61" i="1"/>
  <c r="AX60" i="1"/>
  <c r="AX53" i="1"/>
  <c r="AX51" i="1"/>
  <c r="AX50" i="1"/>
  <c r="AX48" i="1"/>
  <c r="AH1258" i="1" l="1"/>
  <c r="AH1257" i="1"/>
  <c r="AH1256" i="1"/>
  <c r="AH1255" i="1"/>
  <c r="AH1254" i="1"/>
  <c r="AH1253" i="1"/>
  <c r="AH1252" i="1"/>
  <c r="AH1251" i="1"/>
  <c r="AH1250" i="1"/>
  <c r="AH1249" i="1"/>
  <c r="AH1248" i="1"/>
  <c r="AH1247" i="1"/>
  <c r="AH1246" i="1"/>
  <c r="AH1245" i="1"/>
  <c r="AH1244" i="1"/>
  <c r="AH1243" i="1"/>
  <c r="AH1242" i="1"/>
  <c r="AH1241" i="1"/>
  <c r="AH1240" i="1"/>
  <c r="AH1239" i="1"/>
  <c r="AH1238" i="1"/>
  <c r="AH1237" i="1"/>
  <c r="AH1236" i="1"/>
  <c r="AH1235" i="1"/>
  <c r="AH1234" i="1"/>
  <c r="AH1233" i="1"/>
  <c r="AH1232" i="1"/>
  <c r="AH1231" i="1"/>
  <c r="AH1230" i="1"/>
  <c r="AH1229" i="1"/>
  <c r="AH1228" i="1"/>
  <c r="AH1227" i="1"/>
  <c r="AH1226" i="1"/>
  <c r="AH1225" i="1"/>
  <c r="AH1224" i="1"/>
  <c r="AH1223" i="1"/>
  <c r="AH1222" i="1"/>
  <c r="AH1221" i="1"/>
  <c r="AH1220" i="1"/>
  <c r="AH1219" i="1"/>
  <c r="AH1218" i="1"/>
  <c r="AH1217" i="1"/>
  <c r="AH1216" i="1"/>
  <c r="AH1215" i="1"/>
  <c r="AH1214" i="1"/>
  <c r="AH1213" i="1"/>
  <c r="AH1212" i="1"/>
  <c r="AH1211" i="1"/>
  <c r="AH1210" i="1"/>
  <c r="AH1209" i="1"/>
  <c r="AH1208" i="1"/>
  <c r="AH1207" i="1"/>
  <c r="AH1206" i="1"/>
  <c r="AH1205" i="1"/>
  <c r="AH1204" i="1"/>
  <c r="AH1203" i="1"/>
  <c r="AH1202" i="1"/>
  <c r="AH1201" i="1"/>
  <c r="AH1200" i="1"/>
  <c r="AH1199" i="1"/>
  <c r="AH1198" i="1"/>
  <c r="AH1197" i="1"/>
  <c r="AH1196" i="1"/>
  <c r="AH1195" i="1"/>
  <c r="AH1194" i="1"/>
  <c r="AH1193" i="1"/>
  <c r="AH1192" i="1"/>
  <c r="AH1191" i="1"/>
  <c r="AH1190" i="1"/>
  <c r="AH1189" i="1"/>
  <c r="AH1188" i="1"/>
  <c r="AH1187" i="1"/>
  <c r="AH1186" i="1"/>
  <c r="AH1185" i="1"/>
  <c r="AH1184" i="1"/>
  <c r="AH1183" i="1"/>
  <c r="AH1182" i="1"/>
  <c r="AH1181" i="1"/>
  <c r="AH1180" i="1"/>
  <c r="AH1179" i="1"/>
  <c r="AH1178" i="1"/>
  <c r="AH1177" i="1"/>
  <c r="AH1176" i="1"/>
  <c r="AH1175" i="1"/>
  <c r="AH1174" i="1"/>
  <c r="AH1173" i="1"/>
  <c r="AH1172" i="1"/>
  <c r="AH1171" i="1"/>
  <c r="AH1170" i="1"/>
  <c r="AH1169" i="1"/>
  <c r="AH1168" i="1"/>
  <c r="AH1167" i="1"/>
  <c r="AH1166" i="1"/>
  <c r="AH1165" i="1"/>
  <c r="AH1164" i="1"/>
  <c r="AH1163" i="1"/>
  <c r="AH1162" i="1"/>
  <c r="AH1161" i="1"/>
  <c r="AH1160" i="1"/>
  <c r="AH1159" i="1"/>
  <c r="AH1158" i="1"/>
  <c r="AH1157" i="1"/>
  <c r="AH1156" i="1"/>
  <c r="AH1155" i="1"/>
  <c r="AH1154" i="1"/>
  <c r="AH1153" i="1"/>
  <c r="AH1152" i="1"/>
  <c r="AH1151" i="1"/>
  <c r="AH1150" i="1"/>
  <c r="AH1149" i="1"/>
  <c r="AH1148" i="1"/>
  <c r="AH1147" i="1"/>
  <c r="AH1146" i="1"/>
  <c r="AH1145" i="1"/>
  <c r="AH1144" i="1"/>
  <c r="AH1143" i="1"/>
  <c r="AH1142" i="1"/>
  <c r="AH1141" i="1"/>
  <c r="AH1140" i="1"/>
  <c r="AH1139" i="1"/>
  <c r="AH1138" i="1"/>
  <c r="AH1137" i="1"/>
  <c r="AH1136" i="1"/>
  <c r="AH1135" i="1"/>
  <c r="AH1134" i="1"/>
  <c r="AH1133" i="1"/>
  <c r="AH1132" i="1"/>
  <c r="AH1131" i="1"/>
  <c r="AH1130" i="1"/>
  <c r="AH1129" i="1"/>
  <c r="AH1128" i="1"/>
  <c r="AH1127" i="1"/>
  <c r="AH1126" i="1"/>
  <c r="AH1125" i="1"/>
  <c r="AH1124" i="1"/>
  <c r="AH1123" i="1"/>
  <c r="AH1122" i="1"/>
  <c r="AH1121" i="1"/>
  <c r="AH1120" i="1"/>
  <c r="AH1119" i="1"/>
  <c r="AH1118" i="1"/>
  <c r="AH1117" i="1"/>
  <c r="AH1116" i="1"/>
  <c r="AH1115" i="1"/>
  <c r="AH1114" i="1"/>
  <c r="AH1113" i="1"/>
  <c r="AH1112" i="1"/>
  <c r="AH1111" i="1"/>
  <c r="AH1110" i="1"/>
  <c r="AH1109" i="1"/>
  <c r="AH1108" i="1"/>
  <c r="AH1107" i="1"/>
  <c r="AH1106" i="1"/>
  <c r="AH1105" i="1"/>
  <c r="AH1104" i="1"/>
  <c r="AH1103" i="1"/>
  <c r="AH1102" i="1"/>
  <c r="AH1101" i="1"/>
  <c r="AH1100" i="1"/>
  <c r="AH1099" i="1"/>
  <c r="AH1098" i="1"/>
  <c r="AH1097" i="1"/>
  <c r="AH1096" i="1"/>
  <c r="AH1095" i="1"/>
  <c r="AH1094" i="1"/>
  <c r="AH1093" i="1"/>
  <c r="AH1092" i="1"/>
  <c r="AH1091" i="1"/>
  <c r="AH1090" i="1"/>
  <c r="AH1089" i="1"/>
  <c r="AH1088" i="1"/>
  <c r="AH1087" i="1"/>
  <c r="AH1086" i="1"/>
  <c r="AH1085" i="1"/>
  <c r="AH1084" i="1"/>
  <c r="AH1083" i="1"/>
  <c r="AH1082" i="1"/>
  <c r="AH1081" i="1"/>
  <c r="AH1080" i="1"/>
  <c r="AH1079" i="1"/>
  <c r="AH1078" i="1"/>
  <c r="AH1077" i="1"/>
  <c r="AH1076" i="1"/>
  <c r="AH1075" i="1"/>
  <c r="AH1074" i="1"/>
  <c r="AH1073" i="1"/>
  <c r="AH1072" i="1"/>
  <c r="AH1071" i="1"/>
  <c r="AH1070" i="1"/>
  <c r="AH1069" i="1"/>
  <c r="AH1068" i="1"/>
  <c r="AH1067" i="1"/>
  <c r="AH1066" i="1"/>
  <c r="AH1065" i="1"/>
  <c r="AH1064" i="1"/>
  <c r="AH1063" i="1"/>
  <c r="AH1062" i="1"/>
  <c r="AH1061" i="1"/>
  <c r="AH1060" i="1"/>
  <c r="AH1059" i="1"/>
  <c r="AH1058" i="1"/>
  <c r="AH1057" i="1"/>
  <c r="AH1056" i="1"/>
  <c r="AH1055" i="1"/>
  <c r="AH1054" i="1"/>
  <c r="AH1053" i="1"/>
  <c r="AH1052" i="1"/>
  <c r="AH1051" i="1"/>
  <c r="AH1050" i="1"/>
  <c r="AH1049" i="1"/>
  <c r="AH1048" i="1"/>
  <c r="AH1047" i="1"/>
  <c r="AH1046" i="1"/>
  <c r="AH1045" i="1"/>
  <c r="AH1044" i="1"/>
  <c r="AH1043" i="1"/>
  <c r="AH1042" i="1"/>
  <c r="AH1041" i="1"/>
  <c r="AH1040" i="1"/>
  <c r="AH1039" i="1"/>
  <c r="AH1038" i="1"/>
  <c r="AH1037" i="1"/>
  <c r="AH1036" i="1"/>
  <c r="AH1035" i="1"/>
  <c r="AH1034" i="1"/>
  <c r="AH1033" i="1"/>
  <c r="AH1032" i="1"/>
  <c r="AH1031" i="1"/>
  <c r="AH1030" i="1"/>
  <c r="AH1029" i="1"/>
  <c r="AH1028" i="1"/>
  <c r="AH1027" i="1"/>
  <c r="AH1026" i="1"/>
  <c r="AH1025" i="1"/>
  <c r="AH1024" i="1"/>
  <c r="AH1023" i="1"/>
  <c r="AH1022" i="1"/>
  <c r="AH1021" i="1"/>
  <c r="AH1020" i="1"/>
  <c r="AH1019" i="1"/>
  <c r="AH1018" i="1"/>
  <c r="AH1017" i="1"/>
  <c r="AH1016" i="1"/>
  <c r="AH1015" i="1"/>
  <c r="AH1014" i="1"/>
  <c r="AH1013" i="1"/>
  <c r="AH1012" i="1"/>
  <c r="AH1011" i="1"/>
  <c r="AH1010" i="1"/>
  <c r="AH1009" i="1"/>
  <c r="AH1008" i="1"/>
  <c r="AH1007" i="1"/>
  <c r="AH1006" i="1"/>
  <c r="AH1005" i="1"/>
  <c r="AH1004" i="1"/>
  <c r="AH1003" i="1"/>
  <c r="AH1002" i="1"/>
  <c r="AH1001" i="1"/>
  <c r="AH1000" i="1"/>
  <c r="AH999" i="1"/>
  <c r="AH998" i="1"/>
  <c r="AH997" i="1"/>
  <c r="AH996" i="1"/>
  <c r="AH995" i="1"/>
  <c r="AH994" i="1"/>
  <c r="AH993" i="1"/>
  <c r="AH992" i="1"/>
  <c r="AH991" i="1"/>
  <c r="AH990" i="1"/>
  <c r="AH989" i="1"/>
  <c r="AH988" i="1"/>
  <c r="AH987" i="1"/>
  <c r="AH986" i="1"/>
  <c r="AH985" i="1"/>
  <c r="AH984" i="1"/>
  <c r="AH983" i="1"/>
  <c r="AH982" i="1"/>
  <c r="AH981" i="1"/>
  <c r="AH980" i="1"/>
  <c r="AH979" i="1"/>
  <c r="AH978" i="1"/>
  <c r="AH977" i="1"/>
  <c r="AH976" i="1"/>
  <c r="AH975" i="1"/>
  <c r="AH974" i="1"/>
  <c r="AH973" i="1"/>
  <c r="AH972" i="1"/>
  <c r="AH971" i="1"/>
  <c r="AH970" i="1"/>
  <c r="AH969" i="1"/>
  <c r="AH968" i="1"/>
  <c r="AH967" i="1"/>
  <c r="AH966" i="1"/>
  <c r="AH965" i="1"/>
  <c r="AH964" i="1"/>
  <c r="AH963" i="1"/>
  <c r="AH962" i="1"/>
  <c r="AH961" i="1"/>
  <c r="AH960" i="1"/>
  <c r="AH959" i="1"/>
  <c r="AH958" i="1"/>
  <c r="AH957" i="1"/>
  <c r="AH956" i="1"/>
  <c r="AH955" i="1"/>
  <c r="AH954" i="1"/>
  <c r="AH953" i="1"/>
  <c r="AH952" i="1"/>
  <c r="AH951" i="1"/>
  <c r="AH950" i="1"/>
  <c r="AH949" i="1"/>
  <c r="AH948" i="1"/>
  <c r="AH947" i="1"/>
  <c r="AH946" i="1"/>
  <c r="AH945" i="1"/>
  <c r="AH944" i="1"/>
  <c r="AH943" i="1"/>
  <c r="AH942" i="1"/>
  <c r="AH941" i="1"/>
  <c r="AH940" i="1"/>
  <c r="AH939" i="1"/>
  <c r="AH938" i="1"/>
  <c r="AH937" i="1"/>
  <c r="AH936" i="1"/>
  <c r="AH935" i="1"/>
  <c r="AH934" i="1"/>
  <c r="AH933" i="1"/>
  <c r="AH932" i="1"/>
  <c r="AH931" i="1"/>
  <c r="AH930" i="1"/>
  <c r="AH929" i="1"/>
  <c r="AH928" i="1"/>
  <c r="AH927" i="1"/>
  <c r="AH926" i="1"/>
  <c r="AH925" i="1"/>
  <c r="AH924" i="1"/>
  <c r="AH923" i="1"/>
  <c r="AH922" i="1"/>
  <c r="AH921" i="1"/>
  <c r="AH920" i="1"/>
  <c r="AH919" i="1"/>
  <c r="AH918" i="1"/>
  <c r="AH917" i="1"/>
  <c r="AH916" i="1"/>
  <c r="AH915" i="1"/>
  <c r="AH914" i="1"/>
  <c r="AH913" i="1"/>
  <c r="AH912" i="1"/>
  <c r="AH911" i="1"/>
  <c r="AH910" i="1"/>
  <c r="AH909" i="1"/>
  <c r="AH908" i="1"/>
  <c r="AH907" i="1"/>
  <c r="AH906" i="1"/>
  <c r="AH905" i="1"/>
  <c r="AH904" i="1"/>
  <c r="AH903" i="1"/>
  <c r="AH902" i="1"/>
  <c r="AH901" i="1"/>
  <c r="AH900" i="1"/>
  <c r="AH899" i="1"/>
  <c r="AH898" i="1"/>
  <c r="AH897" i="1"/>
  <c r="AH896" i="1"/>
  <c r="AH895" i="1"/>
  <c r="AH894" i="1"/>
  <c r="AH893" i="1"/>
  <c r="AH892" i="1"/>
  <c r="AH891" i="1"/>
  <c r="AH890" i="1"/>
  <c r="AH889" i="1"/>
  <c r="AH888" i="1"/>
  <c r="AH887" i="1"/>
  <c r="AH886" i="1"/>
  <c r="AH885" i="1"/>
  <c r="AH884" i="1"/>
  <c r="AH883" i="1"/>
  <c r="AH882" i="1"/>
  <c r="AH881" i="1"/>
  <c r="AH880" i="1"/>
  <c r="AH879" i="1"/>
  <c r="AH878" i="1"/>
  <c r="AH877" i="1"/>
  <c r="AH876" i="1"/>
  <c r="AH875" i="1"/>
  <c r="AH874" i="1"/>
  <c r="AH873" i="1"/>
  <c r="AH872" i="1"/>
  <c r="AH871" i="1"/>
  <c r="AH870" i="1"/>
  <c r="AH869" i="1"/>
  <c r="AH868" i="1"/>
  <c r="AH867" i="1"/>
  <c r="AH866" i="1"/>
  <c r="AH865" i="1"/>
  <c r="AH864" i="1"/>
  <c r="AH863" i="1"/>
  <c r="AH862" i="1"/>
  <c r="AH861" i="1"/>
  <c r="AH860" i="1"/>
  <c r="AH859" i="1"/>
  <c r="AH858" i="1"/>
  <c r="AH857" i="1"/>
  <c r="AH856" i="1"/>
  <c r="AH855" i="1"/>
  <c r="AH854" i="1"/>
  <c r="AH853" i="1"/>
  <c r="AH852" i="1"/>
  <c r="AH851" i="1"/>
  <c r="AH850" i="1"/>
  <c r="AH849" i="1"/>
  <c r="AH848" i="1"/>
  <c r="AH847" i="1"/>
  <c r="AH846" i="1"/>
  <c r="AH845" i="1"/>
  <c r="AH844" i="1"/>
  <c r="AH843" i="1"/>
  <c r="AH842" i="1"/>
  <c r="AH841" i="1"/>
  <c r="AH840" i="1"/>
  <c r="AH839" i="1"/>
  <c r="AH838" i="1"/>
  <c r="AH837" i="1"/>
  <c r="AH836" i="1"/>
  <c r="AH835" i="1"/>
  <c r="AH834" i="1"/>
  <c r="AH833" i="1"/>
  <c r="AH832" i="1"/>
  <c r="AH831" i="1"/>
  <c r="AH830" i="1"/>
  <c r="AH829" i="1"/>
  <c r="AH828" i="1"/>
  <c r="AH827" i="1"/>
  <c r="AH826" i="1"/>
  <c r="AH825" i="1"/>
  <c r="AH824" i="1"/>
  <c r="AH823" i="1"/>
  <c r="AH822" i="1"/>
  <c r="AH821" i="1"/>
  <c r="AH820" i="1"/>
  <c r="AH819" i="1"/>
  <c r="AH818" i="1"/>
  <c r="AH817" i="1"/>
  <c r="AH816" i="1"/>
  <c r="AH815" i="1"/>
  <c r="AH814" i="1"/>
  <c r="AH813" i="1"/>
  <c r="AH812" i="1"/>
  <c r="AH811" i="1"/>
  <c r="AH810" i="1"/>
  <c r="AH809" i="1"/>
  <c r="AH808" i="1"/>
  <c r="AH807" i="1"/>
  <c r="AH806" i="1"/>
  <c r="AH805" i="1"/>
  <c r="AH804" i="1"/>
  <c r="AH803" i="1"/>
  <c r="AH802" i="1"/>
  <c r="AH801" i="1"/>
  <c r="AH800" i="1"/>
  <c r="AH799" i="1"/>
  <c r="AH798" i="1"/>
  <c r="AH797" i="1"/>
  <c r="AH796" i="1"/>
  <c r="AH795" i="1"/>
  <c r="AH794" i="1"/>
  <c r="AH793" i="1"/>
  <c r="AH792" i="1"/>
  <c r="AH791" i="1"/>
  <c r="AH790" i="1"/>
  <c r="AH789" i="1"/>
  <c r="AH788" i="1"/>
  <c r="AH787" i="1"/>
  <c r="AH786" i="1"/>
  <c r="AH785" i="1"/>
  <c r="AH784" i="1"/>
  <c r="AH783" i="1"/>
  <c r="AH782" i="1"/>
  <c r="AH781" i="1"/>
  <c r="AH780" i="1"/>
  <c r="AH779" i="1"/>
  <c r="AH778" i="1"/>
  <c r="AH777" i="1"/>
  <c r="AH776" i="1"/>
  <c r="AH775" i="1"/>
  <c r="AH774" i="1"/>
  <c r="AH773" i="1"/>
  <c r="AH772" i="1"/>
  <c r="AH771" i="1"/>
  <c r="AH770" i="1"/>
  <c r="AH769" i="1"/>
  <c r="AH768" i="1"/>
  <c r="AH767" i="1"/>
  <c r="AH766" i="1"/>
  <c r="AH765" i="1"/>
  <c r="AH764" i="1"/>
  <c r="AH763" i="1"/>
  <c r="AH762" i="1"/>
  <c r="AH761" i="1"/>
  <c r="AH760" i="1"/>
  <c r="AH759" i="1"/>
  <c r="AH758" i="1"/>
  <c r="AH757" i="1"/>
  <c r="AH756" i="1"/>
  <c r="AH755" i="1"/>
  <c r="AH754" i="1"/>
  <c r="AH753" i="1"/>
  <c r="AH752" i="1"/>
  <c r="AH751" i="1"/>
  <c r="AH750" i="1"/>
  <c r="AH749" i="1"/>
  <c r="AH748" i="1"/>
  <c r="AH747" i="1"/>
  <c r="AH746" i="1"/>
  <c r="AH745" i="1"/>
  <c r="AH744" i="1"/>
  <c r="AH743" i="1"/>
  <c r="AH742" i="1"/>
  <c r="AH741" i="1"/>
  <c r="AH740" i="1"/>
  <c r="AH739" i="1"/>
  <c r="AH738" i="1"/>
  <c r="AH737" i="1"/>
  <c r="AH736" i="1"/>
  <c r="AH735" i="1"/>
  <c r="AH734" i="1"/>
  <c r="AH733" i="1"/>
  <c r="AH732" i="1"/>
  <c r="AH731" i="1"/>
  <c r="AH730" i="1"/>
  <c r="AH729" i="1"/>
  <c r="AH728" i="1"/>
  <c r="AH727" i="1"/>
  <c r="AH726" i="1"/>
  <c r="AH725" i="1"/>
  <c r="AH724" i="1"/>
  <c r="AH723" i="1"/>
  <c r="AH722" i="1"/>
  <c r="AH721" i="1"/>
  <c r="AH720" i="1"/>
  <c r="AH719" i="1"/>
  <c r="AH718" i="1"/>
  <c r="AH717" i="1"/>
  <c r="AH716" i="1"/>
  <c r="AH715" i="1"/>
  <c r="AH714" i="1"/>
  <c r="AH713" i="1"/>
  <c r="AH712" i="1"/>
  <c r="AH711" i="1"/>
  <c r="AH710" i="1"/>
  <c r="AH709" i="1"/>
  <c r="AH708" i="1"/>
  <c r="AH707" i="1"/>
  <c r="AH706" i="1"/>
  <c r="AH705" i="1"/>
  <c r="AH704" i="1"/>
  <c r="AH703" i="1"/>
  <c r="AH702" i="1"/>
  <c r="AH701" i="1"/>
  <c r="AH700" i="1"/>
  <c r="AH699" i="1"/>
  <c r="AH698" i="1"/>
  <c r="AH697" i="1"/>
  <c r="AH696" i="1"/>
  <c r="AH695" i="1"/>
  <c r="AH694" i="1"/>
  <c r="AH693" i="1"/>
  <c r="AH692" i="1"/>
  <c r="AH691" i="1"/>
  <c r="AH690" i="1"/>
  <c r="AH689" i="1"/>
  <c r="AH688" i="1"/>
  <c r="AH687" i="1"/>
  <c r="AH686" i="1"/>
  <c r="AH685" i="1"/>
  <c r="AH684" i="1"/>
  <c r="AH683" i="1"/>
  <c r="AH682" i="1"/>
  <c r="AH681" i="1"/>
  <c r="AH680" i="1"/>
  <c r="AH679" i="1"/>
  <c r="AH678" i="1"/>
  <c r="AH677" i="1"/>
  <c r="AH676" i="1"/>
  <c r="AH675" i="1"/>
  <c r="AH674" i="1"/>
  <c r="AH673" i="1"/>
  <c r="AH672" i="1"/>
  <c r="AH671" i="1"/>
  <c r="AH670" i="1"/>
  <c r="AH669" i="1"/>
  <c r="AH668" i="1"/>
  <c r="AH667" i="1"/>
  <c r="AH666" i="1"/>
  <c r="AH665" i="1"/>
  <c r="AH664" i="1"/>
  <c r="AH663" i="1"/>
  <c r="AH662" i="1"/>
  <c r="AH661" i="1"/>
  <c r="AH660" i="1"/>
  <c r="AH659" i="1"/>
  <c r="AH658" i="1"/>
  <c r="AH657" i="1"/>
  <c r="AH656" i="1"/>
  <c r="AH655" i="1"/>
  <c r="AH654" i="1"/>
  <c r="AH653" i="1"/>
  <c r="AH652" i="1"/>
  <c r="AH651" i="1"/>
  <c r="AH650" i="1"/>
  <c r="AH649" i="1"/>
  <c r="AH648" i="1"/>
  <c r="AH647" i="1"/>
  <c r="AH646" i="1"/>
  <c r="AH645" i="1"/>
  <c r="AH644" i="1"/>
  <c r="AH643" i="1"/>
  <c r="AH642" i="1"/>
  <c r="AH641" i="1"/>
  <c r="AH640" i="1"/>
  <c r="AH639" i="1"/>
  <c r="AH638" i="1"/>
  <c r="AH637" i="1"/>
  <c r="AH636" i="1"/>
  <c r="AH635" i="1"/>
  <c r="AH634" i="1"/>
  <c r="AH633" i="1"/>
  <c r="AH632" i="1"/>
  <c r="AH631" i="1"/>
  <c r="AH630" i="1"/>
  <c r="AH629" i="1"/>
  <c r="AH628" i="1"/>
  <c r="AH627" i="1"/>
  <c r="AH626" i="1"/>
  <c r="AH625" i="1"/>
  <c r="AH624" i="1"/>
  <c r="AH623" i="1"/>
  <c r="AH622" i="1"/>
  <c r="AH621" i="1"/>
  <c r="AH620" i="1"/>
  <c r="AH619" i="1"/>
  <c r="AH618" i="1"/>
  <c r="AH617" i="1"/>
  <c r="AH616" i="1"/>
  <c r="AH615" i="1"/>
  <c r="AH614" i="1"/>
  <c r="AH613" i="1"/>
  <c r="AH612" i="1"/>
  <c r="AH611" i="1"/>
  <c r="AH610" i="1"/>
  <c r="AH609" i="1"/>
  <c r="AH608" i="1"/>
  <c r="AH607" i="1"/>
  <c r="AH606" i="1"/>
  <c r="AH605" i="1"/>
  <c r="AH604" i="1"/>
  <c r="AH603" i="1"/>
  <c r="AH602" i="1"/>
  <c r="AH601" i="1"/>
  <c r="AH600" i="1"/>
  <c r="AH599" i="1"/>
  <c r="AH598" i="1"/>
  <c r="AH597" i="1"/>
  <c r="AH596" i="1"/>
  <c r="AH595" i="1"/>
  <c r="AH594" i="1"/>
  <c r="AH593" i="1"/>
  <c r="AH592" i="1"/>
  <c r="AH591" i="1"/>
  <c r="AH590" i="1"/>
  <c r="AH589" i="1"/>
  <c r="AH588" i="1"/>
  <c r="AH587" i="1"/>
  <c r="AH586" i="1"/>
  <c r="AH585" i="1"/>
  <c r="AH584" i="1"/>
  <c r="AH583" i="1"/>
  <c r="AH582" i="1"/>
  <c r="AH581" i="1"/>
  <c r="AH580" i="1"/>
  <c r="AH579" i="1"/>
  <c r="AH578" i="1"/>
  <c r="AH577" i="1"/>
  <c r="AH576" i="1"/>
  <c r="AH575" i="1"/>
  <c r="AH574" i="1"/>
  <c r="AH573" i="1"/>
  <c r="AH572" i="1"/>
  <c r="AH571" i="1"/>
  <c r="AH570" i="1"/>
  <c r="AH569" i="1"/>
  <c r="AH568" i="1"/>
  <c r="AH567" i="1"/>
  <c r="AH566" i="1"/>
  <c r="AH565" i="1"/>
  <c r="AH564" i="1"/>
  <c r="AH563" i="1"/>
  <c r="AH562" i="1"/>
  <c r="AH561" i="1"/>
  <c r="AH560" i="1"/>
  <c r="AH559" i="1"/>
  <c r="AH558" i="1"/>
  <c r="AH557" i="1"/>
  <c r="AH556" i="1"/>
  <c r="AH555" i="1"/>
  <c r="AH554" i="1"/>
  <c r="AH553" i="1"/>
  <c r="AH552" i="1"/>
  <c r="AH551" i="1"/>
  <c r="AH550" i="1"/>
  <c r="AH549" i="1"/>
  <c r="AH548" i="1"/>
  <c r="AH547" i="1"/>
  <c r="AH546" i="1"/>
  <c r="AH545" i="1"/>
  <c r="AH544" i="1"/>
  <c r="AH543" i="1"/>
  <c r="AH542" i="1"/>
  <c r="AH541" i="1"/>
  <c r="AH540" i="1"/>
  <c r="AH539" i="1"/>
  <c r="AH538" i="1"/>
  <c r="AH537" i="1"/>
  <c r="AH536" i="1"/>
  <c r="AH535" i="1"/>
  <c r="AH534" i="1"/>
  <c r="AH533" i="1"/>
  <c r="AH532" i="1"/>
  <c r="AH531" i="1"/>
  <c r="AH530" i="1"/>
  <c r="AH529" i="1"/>
  <c r="AH528" i="1"/>
  <c r="AH527" i="1"/>
  <c r="AH526" i="1"/>
  <c r="AH525" i="1"/>
  <c r="AH524" i="1"/>
  <c r="AH523" i="1"/>
  <c r="AH522" i="1"/>
  <c r="AH521" i="1"/>
  <c r="AH520" i="1"/>
  <c r="AH519" i="1"/>
  <c r="AH518" i="1"/>
  <c r="AH517" i="1"/>
  <c r="AH516" i="1"/>
  <c r="AH515" i="1"/>
  <c r="AH514" i="1"/>
  <c r="AH513" i="1"/>
  <c r="AH512" i="1"/>
  <c r="AH511" i="1"/>
  <c r="AH510" i="1"/>
  <c r="AH509" i="1"/>
  <c r="AH508" i="1"/>
  <c r="AH507" i="1"/>
  <c r="AH506" i="1"/>
  <c r="AH505" i="1"/>
  <c r="AH504" i="1"/>
  <c r="AH503" i="1"/>
  <c r="AH502" i="1"/>
  <c r="AH501" i="1"/>
  <c r="AH500" i="1"/>
  <c r="AH499" i="1"/>
  <c r="AH498" i="1"/>
  <c r="AH497" i="1"/>
  <c r="AH496" i="1"/>
  <c r="AH495" i="1"/>
  <c r="AH494" i="1"/>
  <c r="AH493" i="1"/>
  <c r="AH492" i="1"/>
  <c r="AH491" i="1"/>
  <c r="AH490" i="1"/>
  <c r="AH489" i="1"/>
  <c r="AH488" i="1"/>
  <c r="AH487" i="1"/>
  <c r="AH486" i="1"/>
  <c r="AH485" i="1"/>
  <c r="AH484" i="1"/>
  <c r="AH483" i="1"/>
  <c r="AH482" i="1"/>
  <c r="AH481" i="1"/>
  <c r="AH480" i="1"/>
  <c r="AH479" i="1"/>
  <c r="AH478" i="1"/>
  <c r="AH477" i="1"/>
  <c r="AH476" i="1"/>
  <c r="AH475" i="1"/>
  <c r="AH474" i="1"/>
  <c r="AH473" i="1"/>
  <c r="AH472" i="1"/>
  <c r="AH471" i="1"/>
  <c r="AH470" i="1"/>
  <c r="AH469" i="1"/>
  <c r="AH468" i="1"/>
  <c r="AH467" i="1"/>
  <c r="AH466" i="1"/>
  <c r="AH465" i="1"/>
  <c r="AH464" i="1"/>
  <c r="AH463" i="1"/>
  <c r="AH462" i="1"/>
  <c r="AH461" i="1"/>
  <c r="AH460" i="1"/>
  <c r="AH459" i="1"/>
  <c r="AH458" i="1"/>
  <c r="AH457" i="1"/>
  <c r="AH456" i="1"/>
  <c r="AH455" i="1"/>
  <c r="AH454" i="1"/>
  <c r="AH453" i="1"/>
  <c r="AH452" i="1"/>
  <c r="AH451" i="1"/>
  <c r="AH450" i="1"/>
  <c r="AH449" i="1"/>
  <c r="AH448" i="1"/>
  <c r="AH447" i="1"/>
  <c r="AH446" i="1"/>
  <c r="AH445" i="1"/>
  <c r="AH444" i="1"/>
  <c r="AH443" i="1"/>
  <c r="AH442" i="1"/>
  <c r="AH441" i="1"/>
  <c r="AH440" i="1"/>
  <c r="AH439" i="1"/>
  <c r="AH438" i="1"/>
  <c r="AH437" i="1"/>
  <c r="AH436" i="1"/>
  <c r="AH435" i="1"/>
  <c r="AH434" i="1"/>
  <c r="AH433" i="1"/>
  <c r="AH432" i="1"/>
  <c r="AH431" i="1"/>
  <c r="AH430" i="1"/>
  <c r="AH429" i="1"/>
  <c r="AH428" i="1"/>
  <c r="AH427" i="1"/>
  <c r="AH426" i="1"/>
  <c r="AH425" i="1"/>
  <c r="AH424" i="1"/>
  <c r="AH423" i="1"/>
  <c r="AH422" i="1"/>
  <c r="AH421" i="1"/>
  <c r="AH420" i="1"/>
  <c r="AH419" i="1"/>
  <c r="AH418" i="1"/>
  <c r="AH417" i="1"/>
  <c r="AH416" i="1"/>
  <c r="AH415" i="1"/>
  <c r="AH414" i="1"/>
  <c r="AH413" i="1"/>
  <c r="AH412" i="1"/>
  <c r="AH411" i="1"/>
  <c r="AH410" i="1"/>
  <c r="AH409" i="1"/>
  <c r="AH408" i="1"/>
  <c r="AH407" i="1"/>
  <c r="AH406" i="1"/>
  <c r="AH405" i="1"/>
  <c r="AH404" i="1"/>
  <c r="AH403" i="1"/>
  <c r="AH402" i="1"/>
  <c r="AH401" i="1"/>
  <c r="AH400" i="1"/>
  <c r="AH399" i="1"/>
  <c r="AH398" i="1"/>
  <c r="AH397" i="1"/>
  <c r="AH396" i="1"/>
  <c r="AH395" i="1"/>
  <c r="AH394" i="1"/>
  <c r="AH393" i="1"/>
  <c r="AH392" i="1"/>
  <c r="AH391" i="1"/>
  <c r="AH390" i="1"/>
  <c r="AH389" i="1"/>
  <c r="AH388" i="1"/>
  <c r="AH387" i="1"/>
  <c r="AH386" i="1"/>
  <c r="AH385" i="1"/>
  <c r="AH384" i="1"/>
  <c r="AH383" i="1"/>
  <c r="AH382" i="1"/>
  <c r="AH381" i="1"/>
  <c r="AH380" i="1"/>
  <c r="AH379" i="1"/>
  <c r="AH378" i="1"/>
  <c r="AH377" i="1"/>
  <c r="AH376" i="1"/>
  <c r="AH375" i="1"/>
  <c r="AH374" i="1"/>
  <c r="AH373" i="1"/>
  <c r="AH372" i="1"/>
  <c r="AH371" i="1"/>
  <c r="AH370" i="1"/>
  <c r="AH369" i="1"/>
  <c r="AH368" i="1"/>
  <c r="AH367" i="1"/>
  <c r="AH366" i="1"/>
  <c r="AH365" i="1"/>
  <c r="AH364" i="1"/>
  <c r="AH363" i="1"/>
  <c r="AH362" i="1"/>
  <c r="AH361" i="1"/>
  <c r="AH360" i="1"/>
  <c r="AH359" i="1"/>
  <c r="AH358" i="1"/>
  <c r="AH357" i="1"/>
  <c r="AH356" i="1"/>
  <c r="AH355" i="1"/>
  <c r="AH354" i="1"/>
  <c r="AH353" i="1"/>
  <c r="AH352" i="1"/>
  <c r="AH351" i="1"/>
  <c r="AH350" i="1"/>
  <c r="AH349" i="1"/>
  <c r="AH348" i="1"/>
  <c r="AH347" i="1"/>
  <c r="AH346" i="1"/>
  <c r="AH345" i="1"/>
  <c r="AH344" i="1"/>
  <c r="AH343" i="1"/>
  <c r="AH342" i="1"/>
  <c r="AH341" i="1"/>
  <c r="AH340" i="1"/>
  <c r="AH339" i="1"/>
  <c r="AH338" i="1"/>
  <c r="AH337" i="1"/>
  <c r="AH336" i="1"/>
  <c r="AH335" i="1"/>
  <c r="AH334" i="1"/>
  <c r="AH333" i="1"/>
  <c r="AH332" i="1"/>
  <c r="AH331" i="1"/>
  <c r="AH330" i="1"/>
  <c r="AH329" i="1"/>
  <c r="AH328" i="1"/>
  <c r="AH327" i="1"/>
  <c r="AH326" i="1"/>
  <c r="AH325" i="1"/>
  <c r="AH324" i="1"/>
  <c r="AH323" i="1"/>
  <c r="AH322" i="1"/>
  <c r="AH321" i="1"/>
  <c r="AH320" i="1"/>
  <c r="AH319" i="1"/>
  <c r="AH318" i="1"/>
  <c r="AH317" i="1"/>
  <c r="AH316" i="1"/>
  <c r="AH315" i="1"/>
  <c r="AH314" i="1"/>
  <c r="AH313" i="1"/>
  <c r="AH312" i="1"/>
  <c r="AH311" i="1"/>
  <c r="AH310" i="1"/>
  <c r="AH309" i="1"/>
  <c r="AH308" i="1"/>
  <c r="AH307" i="1"/>
  <c r="AH306" i="1"/>
  <c r="AH305" i="1"/>
  <c r="AH304" i="1"/>
  <c r="AH303" i="1"/>
  <c r="AH302" i="1"/>
  <c r="AH301" i="1"/>
  <c r="AH300" i="1"/>
  <c r="AH299" i="1"/>
  <c r="AH298" i="1"/>
  <c r="AH297" i="1"/>
  <c r="AH296" i="1"/>
  <c r="AH295" i="1"/>
  <c r="AH294" i="1"/>
  <c r="AH293" i="1"/>
  <c r="AH292" i="1"/>
  <c r="AH291" i="1"/>
  <c r="AH290" i="1"/>
  <c r="AH289" i="1"/>
  <c r="AH288" i="1"/>
  <c r="AH287" i="1"/>
  <c r="AH286" i="1"/>
  <c r="AH285" i="1"/>
  <c r="AH284" i="1"/>
  <c r="AH283" i="1"/>
  <c r="AH282" i="1"/>
  <c r="AH281" i="1"/>
  <c r="AH280" i="1"/>
  <c r="AH279" i="1"/>
  <c r="AH278" i="1"/>
  <c r="AH277" i="1"/>
  <c r="AH276" i="1"/>
  <c r="AH275" i="1"/>
  <c r="AH274" i="1"/>
  <c r="AH273" i="1"/>
  <c r="AH272" i="1"/>
  <c r="AH271" i="1"/>
  <c r="AH270" i="1"/>
  <c r="AH269" i="1"/>
  <c r="AH268" i="1"/>
  <c r="AH267" i="1"/>
  <c r="AH266" i="1"/>
  <c r="AH265" i="1"/>
  <c r="AH264" i="1"/>
  <c r="AH263" i="1"/>
  <c r="AH262" i="1"/>
  <c r="AH261" i="1"/>
  <c r="AH260" i="1"/>
  <c r="AH259" i="1"/>
  <c r="AH258" i="1"/>
  <c r="AH257" i="1"/>
  <c r="AH256" i="1"/>
  <c r="AH255" i="1"/>
  <c r="AH247" i="1"/>
  <c r="AH246" i="1"/>
  <c r="AH245" i="1"/>
  <c r="AH244" i="1"/>
  <c r="AH243" i="1"/>
  <c r="AH242" i="1"/>
  <c r="AH241" i="1"/>
  <c r="AH240" i="1"/>
  <c r="AH239" i="1"/>
  <c r="AH238" i="1"/>
  <c r="AH236" i="1"/>
  <c r="AH235" i="1"/>
  <c r="AH234" i="1"/>
  <c r="AH233" i="1"/>
  <c r="AH232" i="1"/>
  <c r="AH231" i="1"/>
  <c r="AH230" i="1"/>
  <c r="AH229" i="1"/>
  <c r="AH228" i="1"/>
  <c r="AH227" i="1"/>
  <c r="AH226" i="1"/>
  <c r="AH224" i="1"/>
  <c r="AH223" i="1"/>
  <c r="AH222" i="1"/>
  <c r="AH221" i="1"/>
  <c r="AH220" i="1"/>
  <c r="AH219" i="1"/>
  <c r="AH218" i="1"/>
  <c r="AH217" i="1"/>
  <c r="AH216" i="1"/>
  <c r="AH215" i="1"/>
  <c r="AH214" i="1"/>
  <c r="AH213" i="1"/>
  <c r="AH212" i="1"/>
  <c r="AH211" i="1"/>
  <c r="AH210" i="1"/>
  <c r="AH209" i="1"/>
  <c r="AH208" i="1"/>
  <c r="AH207" i="1"/>
  <c r="AH206" i="1"/>
  <c r="AH205" i="1"/>
  <c r="AH204" i="1"/>
  <c r="AH203" i="1"/>
  <c r="AH202"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78" i="1"/>
  <c r="AH77" i="1"/>
  <c r="AH76" i="1"/>
  <c r="AH75" i="1"/>
  <c r="AH74" i="1"/>
  <c r="AH73" i="1"/>
  <c r="AH72" i="1"/>
  <c r="AH71" i="1"/>
  <c r="AH70" i="1"/>
  <c r="AH69" i="1"/>
  <c r="AH68" i="1"/>
  <c r="AH67" i="1"/>
  <c r="AH66" i="1"/>
  <c r="AH65" i="1"/>
  <c r="AH64" i="1"/>
  <c r="AH63" i="1"/>
  <c r="AH62" i="1"/>
  <c r="AH61" i="1"/>
  <c r="AH60" i="1"/>
  <c r="AH54" i="1"/>
  <c r="AH53" i="1"/>
  <c r="AH52" i="1"/>
  <c r="AH51" i="1"/>
  <c r="AH50" i="1"/>
  <c r="AH49" i="1"/>
  <c r="AH48" i="1"/>
  <c r="AH46" i="1"/>
  <c r="AH45" i="1"/>
  <c r="AH43" i="1"/>
  <c r="AH42" i="1"/>
  <c r="AH41" i="1"/>
  <c r="AH40" i="1"/>
  <c r="AH39" i="1"/>
  <c r="AH38" i="1"/>
  <c r="AH37" i="1"/>
  <c r="AH36" i="1"/>
  <c r="AH35" i="1"/>
  <c r="AH34" i="1"/>
  <c r="AH33" i="1"/>
  <c r="AH32" i="1"/>
  <c r="AH31" i="1"/>
  <c r="AH30" i="1"/>
  <c r="AH29" i="1"/>
  <c r="AH28" i="1"/>
  <c r="AH27" i="1"/>
  <c r="AH26" i="1"/>
  <c r="AH25" i="1"/>
  <c r="AT1258" i="1"/>
  <c r="AR1258" i="1"/>
  <c r="AQ1258" i="1"/>
  <c r="AN1258" i="1"/>
  <c r="AK1258" i="1"/>
  <c r="AT1257" i="1"/>
  <c r="AR1257" i="1"/>
  <c r="AQ1257" i="1"/>
  <c r="AN1257" i="1"/>
  <c r="AK1257" i="1"/>
  <c r="AT1256" i="1"/>
  <c r="AR1256" i="1"/>
  <c r="AQ1256" i="1"/>
  <c r="AN1256" i="1"/>
  <c r="AK1256" i="1"/>
  <c r="AT1255" i="1"/>
  <c r="AR1255" i="1"/>
  <c r="AQ1255" i="1"/>
  <c r="AN1255" i="1"/>
  <c r="AK1255" i="1"/>
  <c r="AT1254" i="1"/>
  <c r="AR1254" i="1"/>
  <c r="AQ1254" i="1"/>
  <c r="AN1254" i="1"/>
  <c r="AK1254" i="1"/>
  <c r="AT1253" i="1"/>
  <c r="AR1253" i="1"/>
  <c r="AQ1253" i="1"/>
  <c r="AN1253" i="1"/>
  <c r="AK1253" i="1"/>
  <c r="AT1252" i="1"/>
  <c r="AR1252" i="1"/>
  <c r="AQ1252" i="1"/>
  <c r="AN1252" i="1"/>
  <c r="AK1252" i="1"/>
  <c r="AT1251" i="1"/>
  <c r="AR1251" i="1"/>
  <c r="AQ1251" i="1"/>
  <c r="AN1251" i="1"/>
  <c r="AK1251" i="1"/>
  <c r="AT1250" i="1"/>
  <c r="AR1250" i="1"/>
  <c r="AQ1250" i="1"/>
  <c r="AN1250" i="1"/>
  <c r="AK1250" i="1"/>
  <c r="AT1249" i="1"/>
  <c r="AR1249" i="1"/>
  <c r="AQ1249" i="1"/>
  <c r="AN1249" i="1"/>
  <c r="AK1249" i="1"/>
  <c r="AT1248" i="1"/>
  <c r="AR1248" i="1"/>
  <c r="AQ1248" i="1"/>
  <c r="AN1248" i="1"/>
  <c r="AK1248" i="1"/>
  <c r="AT1247" i="1"/>
  <c r="AR1247" i="1"/>
  <c r="AQ1247" i="1"/>
  <c r="AN1247" i="1"/>
  <c r="AK1247" i="1"/>
  <c r="AT1246" i="1"/>
  <c r="AR1246" i="1"/>
  <c r="AQ1246" i="1"/>
  <c r="AN1246" i="1"/>
  <c r="AK1246" i="1"/>
  <c r="AT1245" i="1"/>
  <c r="AR1245" i="1"/>
  <c r="AQ1245" i="1"/>
  <c r="AN1245" i="1"/>
  <c r="AK1245" i="1"/>
  <c r="AT1244" i="1"/>
  <c r="AR1244" i="1"/>
  <c r="AQ1244" i="1"/>
  <c r="AN1244" i="1"/>
  <c r="AK1244" i="1"/>
  <c r="AT1243" i="1"/>
  <c r="AR1243" i="1"/>
  <c r="AQ1243" i="1"/>
  <c r="AN1243" i="1"/>
  <c r="AK1243" i="1"/>
  <c r="AT1242" i="1"/>
  <c r="AR1242" i="1"/>
  <c r="AQ1242" i="1"/>
  <c r="AN1242" i="1"/>
  <c r="AK1242" i="1"/>
  <c r="AT1241" i="1"/>
  <c r="AR1241" i="1"/>
  <c r="AQ1241" i="1"/>
  <c r="AN1241" i="1"/>
  <c r="AK1241" i="1"/>
  <c r="AT1240" i="1"/>
  <c r="AR1240" i="1"/>
  <c r="AQ1240" i="1"/>
  <c r="AN1240" i="1"/>
  <c r="AK1240" i="1"/>
  <c r="AT1239" i="1"/>
  <c r="AR1239" i="1"/>
  <c r="AQ1239" i="1"/>
  <c r="AN1239" i="1"/>
  <c r="AK1239" i="1"/>
  <c r="AT1238" i="1"/>
  <c r="AR1238" i="1"/>
  <c r="AQ1238" i="1"/>
  <c r="AN1238" i="1"/>
  <c r="AK1238" i="1"/>
  <c r="AT1237" i="1"/>
  <c r="AR1237" i="1"/>
  <c r="AQ1237" i="1"/>
  <c r="AN1237" i="1"/>
  <c r="AK1237" i="1"/>
  <c r="AT1236" i="1"/>
  <c r="AR1236" i="1"/>
  <c r="AQ1236" i="1"/>
  <c r="AN1236" i="1"/>
  <c r="AK1236" i="1"/>
  <c r="AT1235" i="1"/>
  <c r="AR1235" i="1"/>
  <c r="AQ1235" i="1"/>
  <c r="AN1235" i="1"/>
  <c r="AK1235" i="1"/>
  <c r="AT1234" i="1"/>
  <c r="AR1234" i="1"/>
  <c r="AQ1234" i="1"/>
  <c r="AN1234" i="1"/>
  <c r="AK1234" i="1"/>
  <c r="AT1233" i="1"/>
  <c r="AR1233" i="1"/>
  <c r="AQ1233" i="1"/>
  <c r="AN1233" i="1"/>
  <c r="AK1233" i="1"/>
  <c r="AT1232" i="1"/>
  <c r="AR1232" i="1"/>
  <c r="AQ1232" i="1"/>
  <c r="AN1232" i="1"/>
  <c r="AK1232" i="1"/>
  <c r="AT1231" i="1"/>
  <c r="AR1231" i="1"/>
  <c r="AQ1231" i="1"/>
  <c r="AN1231" i="1"/>
  <c r="AK1231" i="1"/>
  <c r="AT1230" i="1"/>
  <c r="AR1230" i="1"/>
  <c r="AQ1230" i="1"/>
  <c r="AN1230" i="1"/>
  <c r="AK1230" i="1"/>
  <c r="AT1229" i="1"/>
  <c r="AR1229" i="1"/>
  <c r="AQ1229" i="1"/>
  <c r="AN1229" i="1"/>
  <c r="AK1229" i="1"/>
  <c r="AT1228" i="1"/>
  <c r="AR1228" i="1"/>
  <c r="AQ1228" i="1"/>
  <c r="AN1228" i="1"/>
  <c r="AK1228" i="1"/>
  <c r="AT1227" i="1"/>
  <c r="AR1227" i="1"/>
  <c r="AQ1227" i="1"/>
  <c r="AN1227" i="1"/>
  <c r="AK1227" i="1"/>
  <c r="AT1226" i="1"/>
  <c r="AR1226" i="1"/>
  <c r="AQ1226" i="1"/>
  <c r="AN1226" i="1"/>
  <c r="AK1226" i="1"/>
  <c r="AT1225" i="1"/>
  <c r="AR1225" i="1"/>
  <c r="AQ1225" i="1"/>
  <c r="AN1225" i="1"/>
  <c r="AK1225" i="1"/>
  <c r="AT1224" i="1"/>
  <c r="AR1224" i="1"/>
  <c r="AQ1224" i="1"/>
  <c r="AN1224" i="1"/>
  <c r="AK1224" i="1"/>
  <c r="AT1223" i="1"/>
  <c r="AR1223" i="1"/>
  <c r="AQ1223" i="1"/>
  <c r="AN1223" i="1"/>
  <c r="AK1223" i="1"/>
  <c r="AT1222" i="1"/>
  <c r="AR1222" i="1"/>
  <c r="AQ1222" i="1"/>
  <c r="AN1222" i="1"/>
  <c r="AK1222" i="1"/>
  <c r="AT1221" i="1"/>
  <c r="AR1221" i="1"/>
  <c r="AQ1221" i="1"/>
  <c r="AN1221" i="1"/>
  <c r="AK1221" i="1"/>
  <c r="AT1220" i="1"/>
  <c r="AR1220" i="1"/>
  <c r="AQ1220" i="1"/>
  <c r="AN1220" i="1"/>
  <c r="AK1220" i="1"/>
  <c r="AT1219" i="1"/>
  <c r="AR1219" i="1"/>
  <c r="AQ1219" i="1"/>
  <c r="AN1219" i="1"/>
  <c r="AK1219" i="1"/>
  <c r="AT1218" i="1"/>
  <c r="AR1218" i="1"/>
  <c r="AQ1218" i="1"/>
  <c r="AN1218" i="1"/>
  <c r="AK1218" i="1"/>
  <c r="AT1217" i="1"/>
  <c r="AR1217" i="1"/>
  <c r="AQ1217" i="1"/>
  <c r="AN1217" i="1"/>
  <c r="AK1217" i="1"/>
  <c r="AT1216" i="1"/>
  <c r="AR1216" i="1"/>
  <c r="AQ1216" i="1"/>
  <c r="AN1216" i="1"/>
  <c r="AK1216" i="1"/>
  <c r="AT1215" i="1"/>
  <c r="AR1215" i="1"/>
  <c r="AQ1215" i="1"/>
  <c r="AN1215" i="1"/>
  <c r="AK1215" i="1"/>
  <c r="AT1214" i="1"/>
  <c r="AR1214" i="1"/>
  <c r="AQ1214" i="1"/>
  <c r="AN1214" i="1"/>
  <c r="AK1214" i="1"/>
  <c r="AT1213" i="1"/>
  <c r="AR1213" i="1"/>
  <c r="AQ1213" i="1"/>
  <c r="AN1213" i="1"/>
  <c r="AK1213" i="1"/>
  <c r="AT1212" i="1"/>
  <c r="AR1212" i="1"/>
  <c r="AQ1212" i="1"/>
  <c r="AN1212" i="1"/>
  <c r="AK1212" i="1"/>
  <c r="AT1211" i="1"/>
  <c r="AR1211" i="1"/>
  <c r="AQ1211" i="1"/>
  <c r="AN1211" i="1"/>
  <c r="AK1211" i="1"/>
  <c r="AT1210" i="1"/>
  <c r="AR1210" i="1"/>
  <c r="AQ1210" i="1"/>
  <c r="AN1210" i="1"/>
  <c r="AK1210" i="1"/>
  <c r="AT1209" i="1"/>
  <c r="AR1209" i="1"/>
  <c r="AQ1209" i="1"/>
  <c r="AN1209" i="1"/>
  <c r="AK1209" i="1"/>
  <c r="AT1208" i="1"/>
  <c r="AR1208" i="1"/>
  <c r="AQ1208" i="1"/>
  <c r="AN1208" i="1"/>
  <c r="AK1208" i="1"/>
  <c r="AT1207" i="1"/>
  <c r="AR1207" i="1"/>
  <c r="AQ1207" i="1"/>
  <c r="AN1207" i="1"/>
  <c r="AK1207" i="1"/>
  <c r="AT1206" i="1"/>
  <c r="AR1206" i="1"/>
  <c r="AQ1206" i="1"/>
  <c r="AN1206" i="1"/>
  <c r="AK1206" i="1"/>
  <c r="AT1205" i="1"/>
  <c r="AR1205" i="1"/>
  <c r="AQ1205" i="1"/>
  <c r="AN1205" i="1"/>
  <c r="AK1205" i="1"/>
  <c r="AT1204" i="1"/>
  <c r="AR1204" i="1"/>
  <c r="AQ1204" i="1"/>
  <c r="AN1204" i="1"/>
  <c r="AK1204" i="1"/>
  <c r="AT1203" i="1"/>
  <c r="AR1203" i="1"/>
  <c r="AQ1203" i="1"/>
  <c r="AN1203" i="1"/>
  <c r="AK1203" i="1"/>
  <c r="AT1202" i="1"/>
  <c r="AR1202" i="1"/>
  <c r="AQ1202" i="1"/>
  <c r="AN1202" i="1"/>
  <c r="AK1202" i="1"/>
  <c r="AT1201" i="1"/>
  <c r="AR1201" i="1"/>
  <c r="AQ1201" i="1"/>
  <c r="AN1201" i="1"/>
  <c r="AK1201" i="1"/>
  <c r="AT1200" i="1"/>
  <c r="AR1200" i="1"/>
  <c r="AQ1200" i="1"/>
  <c r="AN1200" i="1"/>
  <c r="AK1200" i="1"/>
  <c r="AT1199" i="1"/>
  <c r="AR1199" i="1"/>
  <c r="AQ1199" i="1"/>
  <c r="AN1199" i="1"/>
  <c r="AK1199" i="1"/>
  <c r="AT1198" i="1"/>
  <c r="AR1198" i="1"/>
  <c r="AQ1198" i="1"/>
  <c r="AN1198" i="1"/>
  <c r="AK1198" i="1"/>
  <c r="AT1197" i="1"/>
  <c r="AR1197" i="1"/>
  <c r="AQ1197" i="1"/>
  <c r="AN1197" i="1"/>
  <c r="AK1197" i="1"/>
  <c r="AT1196" i="1"/>
  <c r="AR1196" i="1"/>
  <c r="AQ1196" i="1"/>
  <c r="AN1196" i="1"/>
  <c r="AK1196" i="1"/>
  <c r="AT1195" i="1"/>
  <c r="AR1195" i="1"/>
  <c r="AQ1195" i="1"/>
  <c r="AN1195" i="1"/>
  <c r="AK1195" i="1"/>
  <c r="AT1194" i="1"/>
  <c r="AR1194" i="1"/>
  <c r="AQ1194" i="1"/>
  <c r="AN1194" i="1"/>
  <c r="AK1194" i="1"/>
  <c r="AT1193" i="1"/>
  <c r="AR1193" i="1"/>
  <c r="AQ1193" i="1"/>
  <c r="AN1193" i="1"/>
  <c r="AK1193" i="1"/>
  <c r="AT1192" i="1"/>
  <c r="AR1192" i="1"/>
  <c r="AQ1192" i="1"/>
  <c r="AN1192" i="1"/>
  <c r="AK1192" i="1"/>
  <c r="AT1191" i="1"/>
  <c r="AR1191" i="1"/>
  <c r="AQ1191" i="1"/>
  <c r="AN1191" i="1"/>
  <c r="AK1191" i="1"/>
  <c r="AT1190" i="1"/>
  <c r="AR1190" i="1"/>
  <c r="AQ1190" i="1"/>
  <c r="AN1190" i="1"/>
  <c r="AK1190" i="1"/>
  <c r="AT1189" i="1"/>
  <c r="AR1189" i="1"/>
  <c r="AQ1189" i="1"/>
  <c r="AN1189" i="1"/>
  <c r="AK1189" i="1"/>
  <c r="AT1188" i="1"/>
  <c r="AR1188" i="1"/>
  <c r="AQ1188" i="1"/>
  <c r="AN1188" i="1"/>
  <c r="AK1188" i="1"/>
  <c r="AT1187" i="1"/>
  <c r="AR1187" i="1"/>
  <c r="AQ1187" i="1"/>
  <c r="AN1187" i="1"/>
  <c r="AK1187" i="1"/>
  <c r="AT1186" i="1"/>
  <c r="AR1186" i="1"/>
  <c r="AQ1186" i="1"/>
  <c r="AN1186" i="1"/>
  <c r="AK1186" i="1"/>
  <c r="AT1185" i="1"/>
  <c r="AR1185" i="1"/>
  <c r="AQ1185" i="1"/>
  <c r="AN1185" i="1"/>
  <c r="AK1185" i="1"/>
  <c r="AT1184" i="1"/>
  <c r="AR1184" i="1"/>
  <c r="AQ1184" i="1"/>
  <c r="AN1184" i="1"/>
  <c r="AK1184" i="1"/>
  <c r="AT1183" i="1"/>
  <c r="AR1183" i="1"/>
  <c r="AQ1183" i="1"/>
  <c r="AN1183" i="1"/>
  <c r="AK1183" i="1"/>
  <c r="AT1182" i="1"/>
  <c r="AR1182" i="1"/>
  <c r="AQ1182" i="1"/>
  <c r="AN1182" i="1"/>
  <c r="AK1182" i="1"/>
  <c r="AT1181" i="1"/>
  <c r="AR1181" i="1"/>
  <c r="AQ1181" i="1"/>
  <c r="AN1181" i="1"/>
  <c r="AK1181" i="1"/>
  <c r="AT1180" i="1"/>
  <c r="AR1180" i="1"/>
  <c r="AQ1180" i="1"/>
  <c r="AN1180" i="1"/>
  <c r="AK1180" i="1"/>
  <c r="AT1179" i="1"/>
  <c r="AR1179" i="1"/>
  <c r="AQ1179" i="1"/>
  <c r="AN1179" i="1"/>
  <c r="AK1179" i="1"/>
  <c r="AT1178" i="1"/>
  <c r="AR1178" i="1"/>
  <c r="AQ1178" i="1"/>
  <c r="AN1178" i="1"/>
  <c r="AK1178" i="1"/>
  <c r="AT1177" i="1"/>
  <c r="AR1177" i="1"/>
  <c r="AQ1177" i="1"/>
  <c r="AN1177" i="1"/>
  <c r="AK1177" i="1"/>
  <c r="AT1176" i="1"/>
  <c r="AR1176" i="1"/>
  <c r="AQ1176" i="1"/>
  <c r="AN1176" i="1"/>
  <c r="AK1176" i="1"/>
  <c r="AT1175" i="1"/>
  <c r="AR1175" i="1"/>
  <c r="AQ1175" i="1"/>
  <c r="AN1175" i="1"/>
  <c r="AK1175" i="1"/>
  <c r="AT1174" i="1"/>
  <c r="AR1174" i="1"/>
  <c r="AQ1174" i="1"/>
  <c r="AN1174" i="1"/>
  <c r="AK1174" i="1"/>
  <c r="AT1173" i="1"/>
  <c r="AR1173" i="1"/>
  <c r="AQ1173" i="1"/>
  <c r="AN1173" i="1"/>
  <c r="AK1173" i="1"/>
  <c r="AT1172" i="1"/>
  <c r="AR1172" i="1"/>
  <c r="AQ1172" i="1"/>
  <c r="AN1172" i="1"/>
  <c r="AK1172" i="1"/>
  <c r="AT1171" i="1"/>
  <c r="AR1171" i="1"/>
  <c r="AQ1171" i="1"/>
  <c r="AN1171" i="1"/>
  <c r="AK1171" i="1"/>
  <c r="AT1170" i="1"/>
  <c r="AR1170" i="1"/>
  <c r="AQ1170" i="1"/>
  <c r="AN1170" i="1"/>
  <c r="AK1170" i="1"/>
  <c r="AT1169" i="1"/>
  <c r="AR1169" i="1"/>
  <c r="AQ1169" i="1"/>
  <c r="AN1169" i="1"/>
  <c r="AK1169" i="1"/>
  <c r="AT1168" i="1"/>
  <c r="AR1168" i="1"/>
  <c r="AQ1168" i="1"/>
  <c r="AN1168" i="1"/>
  <c r="AK1168" i="1"/>
  <c r="AT1167" i="1"/>
  <c r="AR1167" i="1"/>
  <c r="AQ1167" i="1"/>
  <c r="AN1167" i="1"/>
  <c r="AK1167" i="1"/>
  <c r="AT1166" i="1"/>
  <c r="AR1166" i="1"/>
  <c r="AQ1166" i="1"/>
  <c r="AN1166" i="1"/>
  <c r="AK1166" i="1"/>
  <c r="AT1165" i="1"/>
  <c r="AR1165" i="1"/>
  <c r="AQ1165" i="1"/>
  <c r="AN1165" i="1"/>
  <c r="AK1165" i="1"/>
  <c r="AT1164" i="1"/>
  <c r="AR1164" i="1"/>
  <c r="AQ1164" i="1"/>
  <c r="AN1164" i="1"/>
  <c r="AK1164" i="1"/>
  <c r="AT1163" i="1"/>
  <c r="AR1163" i="1"/>
  <c r="AQ1163" i="1"/>
  <c r="AN1163" i="1"/>
  <c r="AK1163" i="1"/>
  <c r="AT1162" i="1"/>
  <c r="AR1162" i="1"/>
  <c r="AQ1162" i="1"/>
  <c r="AN1162" i="1"/>
  <c r="AK1162" i="1"/>
  <c r="AT1161" i="1"/>
  <c r="AR1161" i="1"/>
  <c r="AQ1161" i="1"/>
  <c r="AN1161" i="1"/>
  <c r="AK1161" i="1"/>
  <c r="AT1160" i="1"/>
  <c r="AR1160" i="1"/>
  <c r="AQ1160" i="1"/>
  <c r="AN1160" i="1"/>
  <c r="AK1160" i="1"/>
  <c r="AT1159" i="1"/>
  <c r="AR1159" i="1"/>
  <c r="AQ1159" i="1"/>
  <c r="AN1159" i="1"/>
  <c r="AK1159" i="1"/>
  <c r="AT1158" i="1"/>
  <c r="AR1158" i="1"/>
  <c r="AQ1158" i="1"/>
  <c r="AN1158" i="1"/>
  <c r="AK1158" i="1"/>
  <c r="AT1157" i="1"/>
  <c r="AR1157" i="1"/>
  <c r="AQ1157" i="1"/>
  <c r="AN1157" i="1"/>
  <c r="AK1157" i="1"/>
  <c r="AT1156" i="1"/>
  <c r="AR1156" i="1"/>
  <c r="AQ1156" i="1"/>
  <c r="AN1156" i="1"/>
  <c r="AK1156" i="1"/>
  <c r="AT1155" i="1"/>
  <c r="AR1155" i="1"/>
  <c r="AQ1155" i="1"/>
  <c r="AN1155" i="1"/>
  <c r="AK1155" i="1"/>
  <c r="AT1154" i="1"/>
  <c r="AR1154" i="1"/>
  <c r="AQ1154" i="1"/>
  <c r="AN1154" i="1"/>
  <c r="AK1154" i="1"/>
  <c r="AT1153" i="1"/>
  <c r="AR1153" i="1"/>
  <c r="AQ1153" i="1"/>
  <c r="AN1153" i="1"/>
  <c r="AK1153" i="1"/>
  <c r="AT1152" i="1"/>
  <c r="AR1152" i="1"/>
  <c r="AQ1152" i="1"/>
  <c r="AN1152" i="1"/>
  <c r="AK1152" i="1"/>
  <c r="AT1151" i="1"/>
  <c r="AR1151" i="1"/>
  <c r="AQ1151" i="1"/>
  <c r="AN1151" i="1"/>
  <c r="AK1151" i="1"/>
  <c r="AT1150" i="1"/>
  <c r="AR1150" i="1"/>
  <c r="AQ1150" i="1"/>
  <c r="AN1150" i="1"/>
  <c r="AK1150" i="1"/>
  <c r="AT1149" i="1"/>
  <c r="AR1149" i="1"/>
  <c r="AQ1149" i="1"/>
  <c r="AN1149" i="1"/>
  <c r="AK1149" i="1"/>
  <c r="AT1148" i="1"/>
  <c r="AR1148" i="1"/>
  <c r="AQ1148" i="1"/>
  <c r="AN1148" i="1"/>
  <c r="AK1148" i="1"/>
  <c r="AT1147" i="1"/>
  <c r="AR1147" i="1"/>
  <c r="AQ1147" i="1"/>
  <c r="AN1147" i="1"/>
  <c r="AK1147" i="1"/>
  <c r="AT1146" i="1"/>
  <c r="AR1146" i="1"/>
  <c r="AQ1146" i="1"/>
  <c r="AN1146" i="1"/>
  <c r="AK1146" i="1"/>
  <c r="AT1145" i="1"/>
  <c r="AR1145" i="1"/>
  <c r="AQ1145" i="1"/>
  <c r="AN1145" i="1"/>
  <c r="AK1145" i="1"/>
  <c r="AT1144" i="1"/>
  <c r="AR1144" i="1"/>
  <c r="AQ1144" i="1"/>
  <c r="AN1144" i="1"/>
  <c r="AK1144" i="1"/>
  <c r="AT1143" i="1"/>
  <c r="AR1143" i="1"/>
  <c r="AQ1143" i="1"/>
  <c r="AN1143" i="1"/>
  <c r="AK1143" i="1"/>
  <c r="AT1142" i="1"/>
  <c r="AR1142" i="1"/>
  <c r="AQ1142" i="1"/>
  <c r="AN1142" i="1"/>
  <c r="AK1142" i="1"/>
  <c r="AT1141" i="1"/>
  <c r="AR1141" i="1"/>
  <c r="AQ1141" i="1"/>
  <c r="AN1141" i="1"/>
  <c r="AK1141" i="1"/>
  <c r="AT1140" i="1"/>
  <c r="AR1140" i="1"/>
  <c r="AQ1140" i="1"/>
  <c r="AN1140" i="1"/>
  <c r="AK1140" i="1"/>
  <c r="AT1139" i="1"/>
  <c r="AR1139" i="1"/>
  <c r="AQ1139" i="1"/>
  <c r="AN1139" i="1"/>
  <c r="AK1139" i="1"/>
  <c r="AT1138" i="1"/>
  <c r="AR1138" i="1"/>
  <c r="AQ1138" i="1"/>
  <c r="AN1138" i="1"/>
  <c r="AK1138" i="1"/>
  <c r="AT1137" i="1"/>
  <c r="AR1137" i="1"/>
  <c r="AQ1137" i="1"/>
  <c r="AN1137" i="1"/>
  <c r="AK1137" i="1"/>
  <c r="AT1136" i="1"/>
  <c r="AR1136" i="1"/>
  <c r="AQ1136" i="1"/>
  <c r="AN1136" i="1"/>
  <c r="AK1136" i="1"/>
  <c r="AT1135" i="1"/>
  <c r="AR1135" i="1"/>
  <c r="AQ1135" i="1"/>
  <c r="AN1135" i="1"/>
  <c r="AK1135" i="1"/>
  <c r="AT1134" i="1"/>
  <c r="AR1134" i="1"/>
  <c r="AQ1134" i="1"/>
  <c r="AN1134" i="1"/>
  <c r="AK1134" i="1"/>
  <c r="AT1133" i="1"/>
  <c r="AR1133" i="1"/>
  <c r="AQ1133" i="1"/>
  <c r="AN1133" i="1"/>
  <c r="AK1133" i="1"/>
  <c r="AT1132" i="1"/>
  <c r="AR1132" i="1"/>
  <c r="AQ1132" i="1"/>
  <c r="AN1132" i="1"/>
  <c r="AK1132" i="1"/>
  <c r="AT1131" i="1"/>
  <c r="AR1131" i="1"/>
  <c r="AQ1131" i="1"/>
  <c r="AN1131" i="1"/>
  <c r="AK1131" i="1"/>
  <c r="AT1130" i="1"/>
  <c r="AR1130" i="1"/>
  <c r="AQ1130" i="1"/>
  <c r="AN1130" i="1"/>
  <c r="AK1130" i="1"/>
  <c r="AT1129" i="1"/>
  <c r="AR1129" i="1"/>
  <c r="AQ1129" i="1"/>
  <c r="AN1129" i="1"/>
  <c r="AK1129" i="1"/>
  <c r="AT1128" i="1"/>
  <c r="AR1128" i="1"/>
  <c r="AQ1128" i="1"/>
  <c r="AN1128" i="1"/>
  <c r="AK1128" i="1"/>
  <c r="AT1127" i="1"/>
  <c r="AR1127" i="1"/>
  <c r="AQ1127" i="1"/>
  <c r="AN1127" i="1"/>
  <c r="AK1127" i="1"/>
  <c r="AT1126" i="1"/>
  <c r="AR1126" i="1"/>
  <c r="AQ1126" i="1"/>
  <c r="AN1126" i="1"/>
  <c r="AK1126" i="1"/>
  <c r="AT1125" i="1"/>
  <c r="AR1125" i="1"/>
  <c r="AQ1125" i="1"/>
  <c r="AN1125" i="1"/>
  <c r="AK1125" i="1"/>
  <c r="AT1124" i="1"/>
  <c r="AR1124" i="1"/>
  <c r="AQ1124" i="1"/>
  <c r="AN1124" i="1"/>
  <c r="AK1124" i="1"/>
  <c r="AT1123" i="1"/>
  <c r="AR1123" i="1"/>
  <c r="AQ1123" i="1"/>
  <c r="AN1123" i="1"/>
  <c r="AK1123" i="1"/>
  <c r="AT1122" i="1"/>
  <c r="AR1122" i="1"/>
  <c r="AQ1122" i="1"/>
  <c r="AN1122" i="1"/>
  <c r="AK1122" i="1"/>
  <c r="AT1121" i="1"/>
  <c r="AR1121" i="1"/>
  <c r="AQ1121" i="1"/>
  <c r="AN1121" i="1"/>
  <c r="AK1121" i="1"/>
  <c r="AT1120" i="1"/>
  <c r="AR1120" i="1"/>
  <c r="AQ1120" i="1"/>
  <c r="AN1120" i="1"/>
  <c r="AK1120" i="1"/>
  <c r="AT1119" i="1"/>
  <c r="AR1119" i="1"/>
  <c r="AQ1119" i="1"/>
  <c r="AN1119" i="1"/>
  <c r="AK1119" i="1"/>
  <c r="AT1118" i="1"/>
  <c r="AR1118" i="1"/>
  <c r="AQ1118" i="1"/>
  <c r="AN1118" i="1"/>
  <c r="AK1118" i="1"/>
  <c r="AT1117" i="1"/>
  <c r="AR1117" i="1"/>
  <c r="AQ1117" i="1"/>
  <c r="AN1117" i="1"/>
  <c r="AK1117" i="1"/>
  <c r="AT1116" i="1"/>
  <c r="AR1116" i="1"/>
  <c r="AQ1116" i="1"/>
  <c r="AN1116" i="1"/>
  <c r="AK1116" i="1"/>
  <c r="AT1115" i="1"/>
  <c r="AR1115" i="1"/>
  <c r="AQ1115" i="1"/>
  <c r="AN1115" i="1"/>
  <c r="AK1115" i="1"/>
  <c r="AT1114" i="1"/>
  <c r="AR1114" i="1"/>
  <c r="AQ1114" i="1"/>
  <c r="AN1114" i="1"/>
  <c r="AK1114" i="1"/>
  <c r="AT1113" i="1"/>
  <c r="AR1113" i="1"/>
  <c r="AQ1113" i="1"/>
  <c r="AN1113" i="1"/>
  <c r="AK1113" i="1"/>
  <c r="AT1112" i="1"/>
  <c r="AR1112" i="1"/>
  <c r="AQ1112" i="1"/>
  <c r="AN1112" i="1"/>
  <c r="AK1112" i="1"/>
  <c r="AT1111" i="1"/>
  <c r="AR1111" i="1"/>
  <c r="AQ1111" i="1"/>
  <c r="AN1111" i="1"/>
  <c r="AK1111" i="1"/>
  <c r="AT1110" i="1"/>
  <c r="AR1110" i="1"/>
  <c r="AQ1110" i="1"/>
  <c r="AN1110" i="1"/>
  <c r="AK1110" i="1"/>
  <c r="AT1109" i="1"/>
  <c r="AR1109" i="1"/>
  <c r="AQ1109" i="1"/>
  <c r="AN1109" i="1"/>
  <c r="AK1109" i="1"/>
  <c r="AT1108" i="1"/>
  <c r="AR1108" i="1"/>
  <c r="AQ1108" i="1"/>
  <c r="AN1108" i="1"/>
  <c r="AK1108" i="1"/>
  <c r="AT1107" i="1"/>
  <c r="AR1107" i="1"/>
  <c r="AQ1107" i="1"/>
  <c r="AN1107" i="1"/>
  <c r="AK1107" i="1"/>
  <c r="AT1106" i="1"/>
  <c r="AR1106" i="1"/>
  <c r="AQ1106" i="1"/>
  <c r="AN1106" i="1"/>
  <c r="AK1106" i="1"/>
  <c r="AT1105" i="1"/>
  <c r="AR1105" i="1"/>
  <c r="AQ1105" i="1"/>
  <c r="AN1105" i="1"/>
  <c r="AK1105" i="1"/>
  <c r="AT1104" i="1"/>
  <c r="AR1104" i="1"/>
  <c r="AQ1104" i="1"/>
  <c r="AN1104" i="1"/>
  <c r="AK1104" i="1"/>
  <c r="AT1103" i="1"/>
  <c r="AR1103" i="1"/>
  <c r="AQ1103" i="1"/>
  <c r="AN1103" i="1"/>
  <c r="AK1103" i="1"/>
  <c r="AT1102" i="1"/>
  <c r="AR1102" i="1"/>
  <c r="AQ1102" i="1"/>
  <c r="AN1102" i="1"/>
  <c r="AK1102" i="1"/>
  <c r="AT1101" i="1"/>
  <c r="AR1101" i="1"/>
  <c r="AQ1101" i="1"/>
  <c r="AN1101" i="1"/>
  <c r="AK1101" i="1"/>
  <c r="AT1100" i="1"/>
  <c r="AR1100" i="1"/>
  <c r="AQ1100" i="1"/>
  <c r="AN1100" i="1"/>
  <c r="AK1100" i="1"/>
  <c r="AT1099" i="1"/>
  <c r="AR1099" i="1"/>
  <c r="AQ1099" i="1"/>
  <c r="AN1099" i="1"/>
  <c r="AK1099" i="1"/>
  <c r="AT1098" i="1"/>
  <c r="AR1098" i="1"/>
  <c r="AQ1098" i="1"/>
  <c r="AN1098" i="1"/>
  <c r="AK1098" i="1"/>
  <c r="AT1097" i="1"/>
  <c r="AR1097" i="1"/>
  <c r="AQ1097" i="1"/>
  <c r="AN1097" i="1"/>
  <c r="AK1097" i="1"/>
  <c r="AT1096" i="1"/>
  <c r="AR1096" i="1"/>
  <c r="AQ1096" i="1"/>
  <c r="AN1096" i="1"/>
  <c r="AK1096" i="1"/>
  <c r="AT1095" i="1"/>
  <c r="AR1095" i="1"/>
  <c r="AQ1095" i="1"/>
  <c r="AN1095" i="1"/>
  <c r="AK1095" i="1"/>
  <c r="AT1094" i="1"/>
  <c r="AR1094" i="1"/>
  <c r="AQ1094" i="1"/>
  <c r="AN1094" i="1"/>
  <c r="AK1094" i="1"/>
  <c r="AT1093" i="1"/>
  <c r="AR1093" i="1"/>
  <c r="AQ1093" i="1"/>
  <c r="AN1093" i="1"/>
  <c r="AK1093" i="1"/>
  <c r="AT1092" i="1"/>
  <c r="AR1092" i="1"/>
  <c r="AQ1092" i="1"/>
  <c r="AN1092" i="1"/>
  <c r="AK1092" i="1"/>
  <c r="AT1091" i="1"/>
  <c r="AR1091" i="1"/>
  <c r="AQ1091" i="1"/>
  <c r="AN1091" i="1"/>
  <c r="AK1091" i="1"/>
  <c r="AT1090" i="1"/>
  <c r="AR1090" i="1"/>
  <c r="AQ1090" i="1"/>
  <c r="AN1090" i="1"/>
  <c r="AK1090" i="1"/>
  <c r="AT1089" i="1"/>
  <c r="AR1089" i="1"/>
  <c r="AQ1089" i="1"/>
  <c r="AN1089" i="1"/>
  <c r="AK1089" i="1"/>
  <c r="AT1088" i="1"/>
  <c r="AR1088" i="1"/>
  <c r="AQ1088" i="1"/>
  <c r="AN1088" i="1"/>
  <c r="AK1088" i="1"/>
  <c r="AT1087" i="1"/>
  <c r="AR1087" i="1"/>
  <c r="AQ1087" i="1"/>
  <c r="AN1087" i="1"/>
  <c r="AK1087" i="1"/>
  <c r="AT1086" i="1"/>
  <c r="AR1086" i="1"/>
  <c r="AQ1086" i="1"/>
  <c r="AN1086" i="1"/>
  <c r="AK1086" i="1"/>
  <c r="AT1085" i="1"/>
  <c r="AR1085" i="1"/>
  <c r="AQ1085" i="1"/>
  <c r="AN1085" i="1"/>
  <c r="AK1085" i="1"/>
  <c r="AT1084" i="1"/>
  <c r="AR1084" i="1"/>
  <c r="AQ1084" i="1"/>
  <c r="AN1084" i="1"/>
  <c r="AK1084" i="1"/>
  <c r="AT1083" i="1"/>
  <c r="AR1083" i="1"/>
  <c r="AQ1083" i="1"/>
  <c r="AN1083" i="1"/>
  <c r="AK1083" i="1"/>
  <c r="AT1082" i="1"/>
  <c r="AR1082" i="1"/>
  <c r="AQ1082" i="1"/>
  <c r="AN1082" i="1"/>
  <c r="AK1082" i="1"/>
  <c r="AT1081" i="1"/>
  <c r="AR1081" i="1"/>
  <c r="AQ1081" i="1"/>
  <c r="AN1081" i="1"/>
  <c r="AK1081" i="1"/>
  <c r="AT1080" i="1"/>
  <c r="AR1080" i="1"/>
  <c r="AQ1080" i="1"/>
  <c r="AN1080" i="1"/>
  <c r="AK1080" i="1"/>
  <c r="AT1079" i="1"/>
  <c r="AR1079" i="1"/>
  <c r="AQ1079" i="1"/>
  <c r="AN1079" i="1"/>
  <c r="AK1079" i="1"/>
  <c r="AT1078" i="1"/>
  <c r="AR1078" i="1"/>
  <c r="AQ1078" i="1"/>
  <c r="AN1078" i="1"/>
  <c r="AK1078" i="1"/>
  <c r="AT1077" i="1"/>
  <c r="AR1077" i="1"/>
  <c r="AQ1077" i="1"/>
  <c r="AN1077" i="1"/>
  <c r="AK1077" i="1"/>
  <c r="AT1076" i="1"/>
  <c r="AR1076" i="1"/>
  <c r="AQ1076" i="1"/>
  <c r="AN1076" i="1"/>
  <c r="AK1076" i="1"/>
  <c r="AT1075" i="1"/>
  <c r="AR1075" i="1"/>
  <c r="AQ1075" i="1"/>
  <c r="AN1075" i="1"/>
  <c r="AK1075" i="1"/>
  <c r="AT1074" i="1"/>
  <c r="AR1074" i="1"/>
  <c r="AQ1074" i="1"/>
  <c r="AN1074" i="1"/>
  <c r="AK1074" i="1"/>
  <c r="AT1073" i="1"/>
  <c r="AR1073" i="1"/>
  <c r="AQ1073" i="1"/>
  <c r="AN1073" i="1"/>
  <c r="AK1073" i="1"/>
  <c r="AT1072" i="1"/>
  <c r="AR1072" i="1"/>
  <c r="AQ1072" i="1"/>
  <c r="AN1072" i="1"/>
  <c r="AK1072" i="1"/>
  <c r="AT1071" i="1"/>
  <c r="AR1071" i="1"/>
  <c r="AQ1071" i="1"/>
  <c r="AN1071" i="1"/>
  <c r="AK1071" i="1"/>
  <c r="AT1070" i="1"/>
  <c r="AR1070" i="1"/>
  <c r="AQ1070" i="1"/>
  <c r="AN1070" i="1"/>
  <c r="AK1070" i="1"/>
  <c r="AT1069" i="1"/>
  <c r="AR1069" i="1"/>
  <c r="AQ1069" i="1"/>
  <c r="AN1069" i="1"/>
  <c r="AK1069" i="1"/>
  <c r="AT1068" i="1"/>
  <c r="AR1068" i="1"/>
  <c r="AQ1068" i="1"/>
  <c r="AN1068" i="1"/>
  <c r="AK1068" i="1"/>
  <c r="AT1067" i="1"/>
  <c r="AR1067" i="1"/>
  <c r="AQ1067" i="1"/>
  <c r="AN1067" i="1"/>
  <c r="AK1067" i="1"/>
  <c r="AT1066" i="1"/>
  <c r="AR1066" i="1"/>
  <c r="AQ1066" i="1"/>
  <c r="AN1066" i="1"/>
  <c r="AK1066" i="1"/>
  <c r="AT1065" i="1"/>
  <c r="AR1065" i="1"/>
  <c r="AQ1065" i="1"/>
  <c r="AN1065" i="1"/>
  <c r="AK1065" i="1"/>
  <c r="AT1064" i="1"/>
  <c r="AR1064" i="1"/>
  <c r="AQ1064" i="1"/>
  <c r="AN1064" i="1"/>
  <c r="AK1064" i="1"/>
  <c r="AT1063" i="1"/>
  <c r="AR1063" i="1"/>
  <c r="AQ1063" i="1"/>
  <c r="AN1063" i="1"/>
  <c r="AK1063" i="1"/>
  <c r="AT1062" i="1"/>
  <c r="AR1062" i="1"/>
  <c r="AQ1062" i="1"/>
  <c r="AN1062" i="1"/>
  <c r="AK1062" i="1"/>
  <c r="AT1061" i="1"/>
  <c r="AR1061" i="1"/>
  <c r="AQ1061" i="1"/>
  <c r="AN1061" i="1"/>
  <c r="AK1061" i="1"/>
  <c r="AT1060" i="1"/>
  <c r="AR1060" i="1"/>
  <c r="AQ1060" i="1"/>
  <c r="AN1060" i="1"/>
  <c r="AK1060" i="1"/>
  <c r="AT1059" i="1"/>
  <c r="AR1059" i="1"/>
  <c r="AQ1059" i="1"/>
  <c r="AN1059" i="1"/>
  <c r="AK1059" i="1"/>
  <c r="AT1058" i="1"/>
  <c r="AR1058" i="1"/>
  <c r="AQ1058" i="1"/>
  <c r="AN1058" i="1"/>
  <c r="AK1058" i="1"/>
  <c r="AT1057" i="1"/>
  <c r="AR1057" i="1"/>
  <c r="AQ1057" i="1"/>
  <c r="AN1057" i="1"/>
  <c r="AK1057" i="1"/>
  <c r="AT1056" i="1"/>
  <c r="AR1056" i="1"/>
  <c r="AQ1056" i="1"/>
  <c r="AN1056" i="1"/>
  <c r="AK1056" i="1"/>
  <c r="AT1055" i="1"/>
  <c r="AR1055" i="1"/>
  <c r="AQ1055" i="1"/>
  <c r="AN1055" i="1"/>
  <c r="AK1055" i="1"/>
  <c r="AT1054" i="1"/>
  <c r="AR1054" i="1"/>
  <c r="AQ1054" i="1"/>
  <c r="AN1054" i="1"/>
  <c r="AK1054" i="1"/>
  <c r="AT1053" i="1"/>
  <c r="AR1053" i="1"/>
  <c r="AQ1053" i="1"/>
  <c r="AN1053" i="1"/>
  <c r="AK1053" i="1"/>
  <c r="AT1052" i="1"/>
  <c r="AR1052" i="1"/>
  <c r="AQ1052" i="1"/>
  <c r="AN1052" i="1"/>
  <c r="AK1052" i="1"/>
  <c r="AT1051" i="1"/>
  <c r="AR1051" i="1"/>
  <c r="AQ1051" i="1"/>
  <c r="AN1051" i="1"/>
  <c r="AK1051" i="1"/>
  <c r="AT1050" i="1"/>
  <c r="AR1050" i="1"/>
  <c r="AQ1050" i="1"/>
  <c r="AN1050" i="1"/>
  <c r="AK1050" i="1"/>
  <c r="AT1049" i="1"/>
  <c r="AR1049" i="1"/>
  <c r="AQ1049" i="1"/>
  <c r="AN1049" i="1"/>
  <c r="AK1049" i="1"/>
  <c r="AT1048" i="1"/>
  <c r="AR1048" i="1"/>
  <c r="AQ1048" i="1"/>
  <c r="AN1048" i="1"/>
  <c r="AK1048" i="1"/>
  <c r="AT1047" i="1"/>
  <c r="AR1047" i="1"/>
  <c r="AQ1047" i="1"/>
  <c r="AN1047" i="1"/>
  <c r="AK1047" i="1"/>
  <c r="AT1046" i="1"/>
  <c r="AR1046" i="1"/>
  <c r="AQ1046" i="1"/>
  <c r="AN1046" i="1"/>
  <c r="AK1046" i="1"/>
  <c r="AT1045" i="1"/>
  <c r="AR1045" i="1"/>
  <c r="AQ1045" i="1"/>
  <c r="AN1045" i="1"/>
  <c r="AK1045" i="1"/>
  <c r="AT1044" i="1"/>
  <c r="AR1044" i="1"/>
  <c r="AQ1044" i="1"/>
  <c r="AN1044" i="1"/>
  <c r="AK1044" i="1"/>
  <c r="AT1043" i="1"/>
  <c r="AR1043" i="1"/>
  <c r="AQ1043" i="1"/>
  <c r="AN1043" i="1"/>
  <c r="AK1043" i="1"/>
  <c r="AT1042" i="1"/>
  <c r="AR1042" i="1"/>
  <c r="AQ1042" i="1"/>
  <c r="AN1042" i="1"/>
  <c r="AK1042" i="1"/>
  <c r="AT1041" i="1"/>
  <c r="AR1041" i="1"/>
  <c r="AQ1041" i="1"/>
  <c r="AN1041" i="1"/>
  <c r="AK1041" i="1"/>
  <c r="AT1040" i="1"/>
  <c r="AR1040" i="1"/>
  <c r="AQ1040" i="1"/>
  <c r="AN1040" i="1"/>
  <c r="AK1040" i="1"/>
  <c r="AT1039" i="1"/>
  <c r="AR1039" i="1"/>
  <c r="AQ1039" i="1"/>
  <c r="AN1039" i="1"/>
  <c r="AK1039" i="1"/>
  <c r="AT1038" i="1"/>
  <c r="AR1038" i="1"/>
  <c r="AQ1038" i="1"/>
  <c r="AN1038" i="1"/>
  <c r="AK1038" i="1"/>
  <c r="AT1037" i="1"/>
  <c r="AR1037" i="1"/>
  <c r="AQ1037" i="1"/>
  <c r="AN1037" i="1"/>
  <c r="AK1037" i="1"/>
  <c r="AT1036" i="1"/>
  <c r="AR1036" i="1"/>
  <c r="AQ1036" i="1"/>
  <c r="AN1036" i="1"/>
  <c r="AK1036" i="1"/>
  <c r="AT1035" i="1"/>
  <c r="AR1035" i="1"/>
  <c r="AQ1035" i="1"/>
  <c r="AN1035" i="1"/>
  <c r="AK1035" i="1"/>
  <c r="AT1034" i="1"/>
  <c r="AR1034" i="1"/>
  <c r="AQ1034" i="1"/>
  <c r="AN1034" i="1"/>
  <c r="AK1034" i="1"/>
  <c r="AT1033" i="1"/>
  <c r="AR1033" i="1"/>
  <c r="AQ1033" i="1"/>
  <c r="AN1033" i="1"/>
  <c r="AK1033" i="1"/>
  <c r="AT1032" i="1"/>
  <c r="AR1032" i="1"/>
  <c r="AQ1032" i="1"/>
  <c r="AN1032" i="1"/>
  <c r="AK1032" i="1"/>
  <c r="AT1031" i="1"/>
  <c r="AR1031" i="1"/>
  <c r="AQ1031" i="1"/>
  <c r="AN1031" i="1"/>
  <c r="AK1031" i="1"/>
  <c r="AT1030" i="1"/>
  <c r="AR1030" i="1"/>
  <c r="AQ1030" i="1"/>
  <c r="AN1030" i="1"/>
  <c r="AK1030" i="1"/>
  <c r="AT1029" i="1"/>
  <c r="AR1029" i="1"/>
  <c r="AQ1029" i="1"/>
  <c r="AN1029" i="1"/>
  <c r="AK1029" i="1"/>
  <c r="AT1028" i="1"/>
  <c r="AR1028" i="1"/>
  <c r="AQ1028" i="1"/>
  <c r="AN1028" i="1"/>
  <c r="AK1028" i="1"/>
  <c r="AT1027" i="1"/>
  <c r="AR1027" i="1"/>
  <c r="AQ1027" i="1"/>
  <c r="AN1027" i="1"/>
  <c r="AK1027" i="1"/>
  <c r="AT1026" i="1"/>
  <c r="AR1026" i="1"/>
  <c r="AQ1026" i="1"/>
  <c r="AN1026" i="1"/>
  <c r="AK1026" i="1"/>
  <c r="AT1025" i="1"/>
  <c r="AR1025" i="1"/>
  <c r="AQ1025" i="1"/>
  <c r="AN1025" i="1"/>
  <c r="AK1025" i="1"/>
  <c r="AT1024" i="1"/>
  <c r="AR1024" i="1"/>
  <c r="AQ1024" i="1"/>
  <c r="AN1024" i="1"/>
  <c r="AK1024" i="1"/>
  <c r="AT1023" i="1"/>
  <c r="AR1023" i="1"/>
  <c r="AQ1023" i="1"/>
  <c r="AN1023" i="1"/>
  <c r="AK1023" i="1"/>
  <c r="AT1022" i="1"/>
  <c r="AR1022" i="1"/>
  <c r="AQ1022" i="1"/>
  <c r="AN1022" i="1"/>
  <c r="AK1022" i="1"/>
  <c r="AT1021" i="1"/>
  <c r="AR1021" i="1"/>
  <c r="AQ1021" i="1"/>
  <c r="AN1021" i="1"/>
  <c r="AK1021" i="1"/>
  <c r="AT1020" i="1"/>
  <c r="AR1020" i="1"/>
  <c r="AQ1020" i="1"/>
  <c r="AN1020" i="1"/>
  <c r="AK1020" i="1"/>
  <c r="AT1019" i="1"/>
  <c r="AR1019" i="1"/>
  <c r="AQ1019" i="1"/>
  <c r="AN1019" i="1"/>
  <c r="AK1019" i="1"/>
  <c r="AT1018" i="1"/>
  <c r="AR1018" i="1"/>
  <c r="AQ1018" i="1"/>
  <c r="AN1018" i="1"/>
  <c r="AK1018" i="1"/>
  <c r="AT1017" i="1"/>
  <c r="AR1017" i="1"/>
  <c r="AQ1017" i="1"/>
  <c r="AN1017" i="1"/>
  <c r="AK1017" i="1"/>
  <c r="AT1016" i="1"/>
  <c r="AR1016" i="1"/>
  <c r="AQ1016" i="1"/>
  <c r="AN1016" i="1"/>
  <c r="AK1016" i="1"/>
  <c r="AT1015" i="1"/>
  <c r="AR1015" i="1"/>
  <c r="AQ1015" i="1"/>
  <c r="AN1015" i="1"/>
  <c r="AK1015" i="1"/>
  <c r="AT1014" i="1"/>
  <c r="AR1014" i="1"/>
  <c r="AQ1014" i="1"/>
  <c r="AN1014" i="1"/>
  <c r="AK1014" i="1"/>
  <c r="AT1013" i="1"/>
  <c r="AR1013" i="1"/>
  <c r="AQ1013" i="1"/>
  <c r="AN1013" i="1"/>
  <c r="AK1013" i="1"/>
  <c r="AT1012" i="1"/>
  <c r="AR1012" i="1"/>
  <c r="AQ1012" i="1"/>
  <c r="AN1012" i="1"/>
  <c r="AK1012" i="1"/>
  <c r="AT1011" i="1"/>
  <c r="AR1011" i="1"/>
  <c r="AQ1011" i="1"/>
  <c r="AN1011" i="1"/>
  <c r="AK1011" i="1"/>
  <c r="AT1010" i="1"/>
  <c r="AR1010" i="1"/>
  <c r="AQ1010" i="1"/>
  <c r="AN1010" i="1"/>
  <c r="AK1010" i="1"/>
  <c r="AT1009" i="1"/>
  <c r="AR1009" i="1"/>
  <c r="AQ1009" i="1"/>
  <c r="AN1009" i="1"/>
  <c r="AK1009" i="1"/>
  <c r="AT1008" i="1"/>
  <c r="AR1008" i="1"/>
  <c r="AQ1008" i="1"/>
  <c r="AN1008" i="1"/>
  <c r="AK1008" i="1"/>
  <c r="AT1007" i="1"/>
  <c r="AR1007" i="1"/>
  <c r="AQ1007" i="1"/>
  <c r="AN1007" i="1"/>
  <c r="AK1007" i="1"/>
  <c r="AT1006" i="1"/>
  <c r="AR1006" i="1"/>
  <c r="AQ1006" i="1"/>
  <c r="AN1006" i="1"/>
  <c r="AK1006" i="1"/>
  <c r="AT1005" i="1"/>
  <c r="AR1005" i="1"/>
  <c r="AQ1005" i="1"/>
  <c r="AN1005" i="1"/>
  <c r="AK1005" i="1"/>
  <c r="AT1004" i="1"/>
  <c r="AR1004" i="1"/>
  <c r="AQ1004" i="1"/>
  <c r="AN1004" i="1"/>
  <c r="AK1004" i="1"/>
  <c r="AT1003" i="1"/>
  <c r="AR1003" i="1"/>
  <c r="AQ1003" i="1"/>
  <c r="AN1003" i="1"/>
  <c r="AK1003" i="1"/>
  <c r="AT1002" i="1"/>
  <c r="AR1002" i="1"/>
  <c r="AQ1002" i="1"/>
  <c r="AN1002" i="1"/>
  <c r="AK1002" i="1"/>
  <c r="AT1001" i="1"/>
  <c r="AR1001" i="1"/>
  <c r="AQ1001" i="1"/>
  <c r="AN1001" i="1"/>
  <c r="AK1001" i="1"/>
  <c r="AT1000" i="1"/>
  <c r="AR1000" i="1"/>
  <c r="AQ1000" i="1"/>
  <c r="AN1000" i="1"/>
  <c r="AK1000" i="1"/>
  <c r="AT999" i="1"/>
  <c r="AR999" i="1"/>
  <c r="AQ999" i="1"/>
  <c r="AN999" i="1"/>
  <c r="AK999" i="1"/>
  <c r="AT998" i="1"/>
  <c r="AR998" i="1"/>
  <c r="AQ998" i="1"/>
  <c r="AN998" i="1"/>
  <c r="AK998" i="1"/>
  <c r="AT997" i="1"/>
  <c r="AR997" i="1"/>
  <c r="AQ997" i="1"/>
  <c r="AN997" i="1"/>
  <c r="AK997" i="1"/>
  <c r="AT996" i="1"/>
  <c r="AR996" i="1"/>
  <c r="AQ996" i="1"/>
  <c r="AN996" i="1"/>
  <c r="AK996" i="1"/>
  <c r="AT995" i="1"/>
  <c r="AR995" i="1"/>
  <c r="AQ995" i="1"/>
  <c r="AN995" i="1"/>
  <c r="AK995" i="1"/>
  <c r="AT994" i="1"/>
  <c r="AR994" i="1"/>
  <c r="AQ994" i="1"/>
  <c r="AN994" i="1"/>
  <c r="AK994" i="1"/>
  <c r="AT993" i="1"/>
  <c r="AR993" i="1"/>
  <c r="AQ993" i="1"/>
  <c r="AN993" i="1"/>
  <c r="AK993" i="1"/>
  <c r="AT992" i="1"/>
  <c r="AR992" i="1"/>
  <c r="AQ992" i="1"/>
  <c r="AN992" i="1"/>
  <c r="AK992" i="1"/>
  <c r="AT991" i="1"/>
  <c r="AR991" i="1"/>
  <c r="AQ991" i="1"/>
  <c r="AN991" i="1"/>
  <c r="AK991" i="1"/>
  <c r="AT990" i="1"/>
  <c r="AR990" i="1"/>
  <c r="AQ990" i="1"/>
  <c r="AN990" i="1"/>
  <c r="AK990" i="1"/>
  <c r="AT989" i="1"/>
  <c r="AR989" i="1"/>
  <c r="AQ989" i="1"/>
  <c r="AN989" i="1"/>
  <c r="AK989" i="1"/>
  <c r="AT988" i="1"/>
  <c r="AR988" i="1"/>
  <c r="AQ988" i="1"/>
  <c r="AN988" i="1"/>
  <c r="AK988" i="1"/>
  <c r="AT987" i="1"/>
  <c r="AR987" i="1"/>
  <c r="AQ987" i="1"/>
  <c r="AN987" i="1"/>
  <c r="AK987" i="1"/>
  <c r="AT986" i="1"/>
  <c r="AR986" i="1"/>
  <c r="AQ986" i="1"/>
  <c r="AN986" i="1"/>
  <c r="AK986" i="1"/>
  <c r="AT985" i="1"/>
  <c r="AR985" i="1"/>
  <c r="AQ985" i="1"/>
  <c r="AN985" i="1"/>
  <c r="AK985" i="1"/>
  <c r="AT984" i="1"/>
  <c r="AR984" i="1"/>
  <c r="AQ984" i="1"/>
  <c r="AN984" i="1"/>
  <c r="AK984" i="1"/>
  <c r="AT983" i="1"/>
  <c r="AR983" i="1"/>
  <c r="AQ983" i="1"/>
  <c r="AN983" i="1"/>
  <c r="AK983" i="1"/>
  <c r="AT982" i="1"/>
  <c r="AR982" i="1"/>
  <c r="AQ982" i="1"/>
  <c r="AN982" i="1"/>
  <c r="AK982" i="1"/>
  <c r="AT981" i="1"/>
  <c r="AR981" i="1"/>
  <c r="AQ981" i="1"/>
  <c r="AN981" i="1"/>
  <c r="AK981" i="1"/>
  <c r="AT980" i="1"/>
  <c r="AR980" i="1"/>
  <c r="AQ980" i="1"/>
  <c r="AN980" i="1"/>
  <c r="AK980" i="1"/>
  <c r="AT979" i="1"/>
  <c r="AR979" i="1"/>
  <c r="AQ979" i="1"/>
  <c r="AN979" i="1"/>
  <c r="AK979" i="1"/>
  <c r="AT978" i="1"/>
  <c r="AR978" i="1"/>
  <c r="AQ978" i="1"/>
  <c r="AN978" i="1"/>
  <c r="AK978" i="1"/>
  <c r="AT977" i="1"/>
  <c r="AR977" i="1"/>
  <c r="AQ977" i="1"/>
  <c r="AN977" i="1"/>
  <c r="AK977" i="1"/>
  <c r="AT976" i="1"/>
  <c r="AR976" i="1"/>
  <c r="AQ976" i="1"/>
  <c r="AN976" i="1"/>
  <c r="AK976" i="1"/>
  <c r="AT975" i="1"/>
  <c r="AR975" i="1"/>
  <c r="AQ975" i="1"/>
  <c r="AN975" i="1"/>
  <c r="AK975" i="1"/>
  <c r="AT974" i="1"/>
  <c r="AR974" i="1"/>
  <c r="AQ974" i="1"/>
  <c r="AN974" i="1"/>
  <c r="AK974" i="1"/>
  <c r="AT973" i="1"/>
  <c r="AR973" i="1"/>
  <c r="AQ973" i="1"/>
  <c r="AN973" i="1"/>
  <c r="AK973" i="1"/>
  <c r="AT972" i="1"/>
  <c r="AR972" i="1"/>
  <c r="AQ972" i="1"/>
  <c r="AN972" i="1"/>
  <c r="AK972" i="1"/>
  <c r="AT971" i="1"/>
  <c r="AR971" i="1"/>
  <c r="AQ971" i="1"/>
  <c r="AN971" i="1"/>
  <c r="AK971" i="1"/>
  <c r="AT970" i="1"/>
  <c r="AR970" i="1"/>
  <c r="AQ970" i="1"/>
  <c r="AN970" i="1"/>
  <c r="AK970" i="1"/>
  <c r="AT969" i="1"/>
  <c r="AR969" i="1"/>
  <c r="AQ969" i="1"/>
  <c r="AN969" i="1"/>
  <c r="AK969" i="1"/>
  <c r="AT968" i="1"/>
  <c r="AR968" i="1"/>
  <c r="AQ968" i="1"/>
  <c r="AN968" i="1"/>
  <c r="AK968" i="1"/>
  <c r="AT967" i="1"/>
  <c r="AR967" i="1"/>
  <c r="AQ967" i="1"/>
  <c r="AN967" i="1"/>
  <c r="AK967" i="1"/>
  <c r="AT966" i="1"/>
  <c r="AR966" i="1"/>
  <c r="AQ966" i="1"/>
  <c r="AN966" i="1"/>
  <c r="AK966" i="1"/>
  <c r="AT965" i="1"/>
  <c r="AR965" i="1"/>
  <c r="AQ965" i="1"/>
  <c r="AN965" i="1"/>
  <c r="AK965" i="1"/>
  <c r="AT964" i="1"/>
  <c r="AR964" i="1"/>
  <c r="AQ964" i="1"/>
  <c r="AN964" i="1"/>
  <c r="AK964" i="1"/>
  <c r="AT963" i="1"/>
  <c r="AR963" i="1"/>
  <c r="AQ963" i="1"/>
  <c r="AN963" i="1"/>
  <c r="AK963" i="1"/>
  <c r="AT962" i="1"/>
  <c r="AR962" i="1"/>
  <c r="AQ962" i="1"/>
  <c r="AN962" i="1"/>
  <c r="AK962" i="1"/>
  <c r="AT961" i="1"/>
  <c r="AR961" i="1"/>
  <c r="AQ961" i="1"/>
  <c r="AN961" i="1"/>
  <c r="AK961" i="1"/>
  <c r="AT960" i="1"/>
  <c r="AR960" i="1"/>
  <c r="AQ960" i="1"/>
  <c r="AN960" i="1"/>
  <c r="AK960" i="1"/>
  <c r="AT959" i="1"/>
  <c r="AR959" i="1"/>
  <c r="AQ959" i="1"/>
  <c r="AN959" i="1"/>
  <c r="AK959" i="1"/>
  <c r="AT958" i="1"/>
  <c r="AR958" i="1"/>
  <c r="AQ958" i="1"/>
  <c r="AN958" i="1"/>
  <c r="AK958" i="1"/>
  <c r="AT957" i="1"/>
  <c r="AR957" i="1"/>
  <c r="AQ957" i="1"/>
  <c r="AN957" i="1"/>
  <c r="AK957" i="1"/>
  <c r="AT956" i="1"/>
  <c r="AR956" i="1"/>
  <c r="AQ956" i="1"/>
  <c r="AN956" i="1"/>
  <c r="AK956" i="1"/>
  <c r="AT955" i="1"/>
  <c r="AR955" i="1"/>
  <c r="AQ955" i="1"/>
  <c r="AN955" i="1"/>
  <c r="AK955" i="1"/>
  <c r="AT954" i="1"/>
  <c r="AR954" i="1"/>
  <c r="AQ954" i="1"/>
  <c r="AN954" i="1"/>
  <c r="AK954" i="1"/>
  <c r="AT953" i="1"/>
  <c r="AR953" i="1"/>
  <c r="AQ953" i="1"/>
  <c r="AN953" i="1"/>
  <c r="AK953" i="1"/>
  <c r="AT952" i="1"/>
  <c r="AR952" i="1"/>
  <c r="AQ952" i="1"/>
  <c r="AN952" i="1"/>
  <c r="AK952" i="1"/>
  <c r="AT951" i="1"/>
  <c r="AR951" i="1"/>
  <c r="AQ951" i="1"/>
  <c r="AN951" i="1"/>
  <c r="AK951" i="1"/>
  <c r="AT950" i="1"/>
  <c r="AR950" i="1"/>
  <c r="AQ950" i="1"/>
  <c r="AN950" i="1"/>
  <c r="AK950" i="1"/>
  <c r="AT949" i="1"/>
  <c r="AR949" i="1"/>
  <c r="AQ949" i="1"/>
  <c r="AN949" i="1"/>
  <c r="AK949" i="1"/>
  <c r="AT948" i="1"/>
  <c r="AR948" i="1"/>
  <c r="AQ948" i="1"/>
  <c r="AN948" i="1"/>
  <c r="AK948" i="1"/>
  <c r="AT947" i="1"/>
  <c r="AR947" i="1"/>
  <c r="AQ947" i="1"/>
  <c r="AN947" i="1"/>
  <c r="AK947" i="1"/>
  <c r="AT946" i="1"/>
  <c r="AR946" i="1"/>
  <c r="AQ946" i="1"/>
  <c r="AN946" i="1"/>
  <c r="AK946" i="1"/>
  <c r="AT945" i="1"/>
  <c r="AR945" i="1"/>
  <c r="AQ945" i="1"/>
  <c r="AN945" i="1"/>
  <c r="AK945" i="1"/>
  <c r="AT944" i="1"/>
  <c r="AR944" i="1"/>
  <c r="AQ944" i="1"/>
  <c r="AN944" i="1"/>
  <c r="AK944" i="1"/>
  <c r="AT943" i="1"/>
  <c r="AR943" i="1"/>
  <c r="AQ943" i="1"/>
  <c r="AN943" i="1"/>
  <c r="AK943" i="1"/>
  <c r="AT942" i="1"/>
  <c r="AR942" i="1"/>
  <c r="AQ942" i="1"/>
  <c r="AN942" i="1"/>
  <c r="AK942" i="1"/>
  <c r="AT941" i="1"/>
  <c r="AR941" i="1"/>
  <c r="AQ941" i="1"/>
  <c r="AN941" i="1"/>
  <c r="AK941" i="1"/>
  <c r="AT940" i="1"/>
  <c r="AR940" i="1"/>
  <c r="AQ940" i="1"/>
  <c r="AN940" i="1"/>
  <c r="AK940" i="1"/>
  <c r="AT939" i="1"/>
  <c r="AR939" i="1"/>
  <c r="AQ939" i="1"/>
  <c r="AN939" i="1"/>
  <c r="AK939" i="1"/>
  <c r="AT938" i="1"/>
  <c r="AR938" i="1"/>
  <c r="AQ938" i="1"/>
  <c r="AN938" i="1"/>
  <c r="AK938" i="1"/>
  <c r="AT937" i="1"/>
  <c r="AR937" i="1"/>
  <c r="AQ937" i="1"/>
  <c r="AN937" i="1"/>
  <c r="AK937" i="1"/>
  <c r="AT936" i="1"/>
  <c r="AR936" i="1"/>
  <c r="AQ936" i="1"/>
  <c r="AN936" i="1"/>
  <c r="AK936" i="1"/>
  <c r="AT935" i="1"/>
  <c r="AR935" i="1"/>
  <c r="AQ935" i="1"/>
  <c r="AN935" i="1"/>
  <c r="AK935" i="1"/>
  <c r="AT934" i="1"/>
  <c r="AR934" i="1"/>
  <c r="AQ934" i="1"/>
  <c r="AN934" i="1"/>
  <c r="AK934" i="1"/>
  <c r="AT933" i="1"/>
  <c r="AR933" i="1"/>
  <c r="AQ933" i="1"/>
  <c r="AN933" i="1"/>
  <c r="AK933" i="1"/>
  <c r="AT932" i="1"/>
  <c r="AR932" i="1"/>
  <c r="AQ932" i="1"/>
  <c r="AN932" i="1"/>
  <c r="AK932" i="1"/>
  <c r="AT931" i="1"/>
  <c r="AR931" i="1"/>
  <c r="AQ931" i="1"/>
  <c r="AN931" i="1"/>
  <c r="AK931" i="1"/>
  <c r="AT930" i="1"/>
  <c r="AR930" i="1"/>
  <c r="AQ930" i="1"/>
  <c r="AN930" i="1"/>
  <c r="AK930" i="1"/>
  <c r="AT929" i="1"/>
  <c r="AR929" i="1"/>
  <c r="AQ929" i="1"/>
  <c r="AN929" i="1"/>
  <c r="AK929" i="1"/>
  <c r="AT928" i="1"/>
  <c r="AR928" i="1"/>
  <c r="AQ928" i="1"/>
  <c r="AN928" i="1"/>
  <c r="AK928" i="1"/>
  <c r="AT927" i="1"/>
  <c r="AR927" i="1"/>
  <c r="AQ927" i="1"/>
  <c r="AN927" i="1"/>
  <c r="AK927" i="1"/>
  <c r="AT926" i="1"/>
  <c r="AR926" i="1"/>
  <c r="AQ926" i="1"/>
  <c r="AN926" i="1"/>
  <c r="AK926" i="1"/>
  <c r="AT925" i="1"/>
  <c r="AR925" i="1"/>
  <c r="AQ925" i="1"/>
  <c r="AN925" i="1"/>
  <c r="AK925" i="1"/>
  <c r="AT924" i="1"/>
  <c r="AR924" i="1"/>
  <c r="AQ924" i="1"/>
  <c r="AN924" i="1"/>
  <c r="AK924" i="1"/>
  <c r="AT923" i="1"/>
  <c r="AR923" i="1"/>
  <c r="AQ923" i="1"/>
  <c r="AN923" i="1"/>
  <c r="AK923" i="1"/>
  <c r="AT922" i="1"/>
  <c r="AR922" i="1"/>
  <c r="AQ922" i="1"/>
  <c r="AN922" i="1"/>
  <c r="AK922" i="1"/>
  <c r="AT921" i="1"/>
  <c r="AR921" i="1"/>
  <c r="AQ921" i="1"/>
  <c r="AN921" i="1"/>
  <c r="AK921" i="1"/>
  <c r="AT920" i="1"/>
  <c r="AR920" i="1"/>
  <c r="AQ920" i="1"/>
  <c r="AN920" i="1"/>
  <c r="AK920" i="1"/>
  <c r="AT919" i="1"/>
  <c r="AR919" i="1"/>
  <c r="AQ919" i="1"/>
  <c r="AN919" i="1"/>
  <c r="AK919" i="1"/>
  <c r="AT918" i="1"/>
  <c r="AR918" i="1"/>
  <c r="AQ918" i="1"/>
  <c r="AN918" i="1"/>
  <c r="AK918" i="1"/>
  <c r="AT917" i="1"/>
  <c r="AR917" i="1"/>
  <c r="AQ917" i="1"/>
  <c r="AN917" i="1"/>
  <c r="AK917" i="1"/>
  <c r="AT916" i="1"/>
  <c r="AR916" i="1"/>
  <c r="AQ916" i="1"/>
  <c r="AN916" i="1"/>
  <c r="AK916" i="1"/>
  <c r="AT915" i="1"/>
  <c r="AR915" i="1"/>
  <c r="AQ915" i="1"/>
  <c r="AN915" i="1"/>
  <c r="AK915" i="1"/>
  <c r="AT914" i="1"/>
  <c r="AR914" i="1"/>
  <c r="AQ914" i="1"/>
  <c r="AN914" i="1"/>
  <c r="AK914" i="1"/>
  <c r="AT913" i="1"/>
  <c r="AR913" i="1"/>
  <c r="AQ913" i="1"/>
  <c r="AN913" i="1"/>
  <c r="AK913" i="1"/>
  <c r="AT912" i="1"/>
  <c r="AR912" i="1"/>
  <c r="AQ912" i="1"/>
  <c r="AN912" i="1"/>
  <c r="AK912" i="1"/>
  <c r="AT911" i="1"/>
  <c r="AR911" i="1"/>
  <c r="AQ911" i="1"/>
  <c r="AN911" i="1"/>
  <c r="AK911" i="1"/>
  <c r="AT910" i="1"/>
  <c r="AR910" i="1"/>
  <c r="AQ910" i="1"/>
  <c r="AN910" i="1"/>
  <c r="AK910" i="1"/>
  <c r="AT909" i="1"/>
  <c r="AR909" i="1"/>
  <c r="AQ909" i="1"/>
  <c r="AN909" i="1"/>
  <c r="AK909" i="1"/>
  <c r="AT908" i="1"/>
  <c r="AR908" i="1"/>
  <c r="AQ908" i="1"/>
  <c r="AN908" i="1"/>
  <c r="AK908" i="1"/>
  <c r="AT907" i="1"/>
  <c r="AR907" i="1"/>
  <c r="AQ907" i="1"/>
  <c r="AN907" i="1"/>
  <c r="AK907" i="1"/>
  <c r="AT906" i="1"/>
  <c r="AR906" i="1"/>
  <c r="AQ906" i="1"/>
  <c r="AN906" i="1"/>
  <c r="AK906" i="1"/>
  <c r="AT905" i="1"/>
  <c r="AR905" i="1"/>
  <c r="AQ905" i="1"/>
  <c r="AN905" i="1"/>
  <c r="AK905" i="1"/>
  <c r="AT904" i="1"/>
  <c r="AR904" i="1"/>
  <c r="AQ904" i="1"/>
  <c r="AN904" i="1"/>
  <c r="AK904" i="1"/>
  <c r="AT903" i="1"/>
  <c r="AR903" i="1"/>
  <c r="AQ903" i="1"/>
  <c r="AN903" i="1"/>
  <c r="AK903" i="1"/>
  <c r="AT902" i="1"/>
  <c r="AR902" i="1"/>
  <c r="AQ902" i="1"/>
  <c r="AN902" i="1"/>
  <c r="AK902" i="1"/>
  <c r="AT901" i="1"/>
  <c r="AR901" i="1"/>
  <c r="AQ901" i="1"/>
  <c r="AN901" i="1"/>
  <c r="AK901" i="1"/>
  <c r="AT900" i="1"/>
  <c r="AR900" i="1"/>
  <c r="AQ900" i="1"/>
  <c r="AN900" i="1"/>
  <c r="AK900" i="1"/>
  <c r="AT899" i="1"/>
  <c r="AR899" i="1"/>
  <c r="AQ899" i="1"/>
  <c r="AN899" i="1"/>
  <c r="AK899" i="1"/>
  <c r="AT898" i="1"/>
  <c r="AR898" i="1"/>
  <c r="AQ898" i="1"/>
  <c r="AN898" i="1"/>
  <c r="AK898" i="1"/>
  <c r="AT897" i="1"/>
  <c r="AR897" i="1"/>
  <c r="AQ897" i="1"/>
  <c r="AN897" i="1"/>
  <c r="AK897" i="1"/>
  <c r="AT896" i="1"/>
  <c r="AR896" i="1"/>
  <c r="AQ896" i="1"/>
  <c r="AN896" i="1"/>
  <c r="AK896" i="1"/>
  <c r="AT895" i="1"/>
  <c r="AR895" i="1"/>
  <c r="AQ895" i="1"/>
  <c r="AN895" i="1"/>
  <c r="AK895" i="1"/>
  <c r="AT894" i="1"/>
  <c r="AR894" i="1"/>
  <c r="AQ894" i="1"/>
  <c r="AN894" i="1"/>
  <c r="AK894" i="1"/>
  <c r="AT893" i="1"/>
  <c r="AR893" i="1"/>
  <c r="AQ893" i="1"/>
  <c r="AN893" i="1"/>
  <c r="AK893" i="1"/>
  <c r="AT892" i="1"/>
  <c r="AR892" i="1"/>
  <c r="AQ892" i="1"/>
  <c r="AN892" i="1"/>
  <c r="AK892" i="1"/>
  <c r="AT891" i="1"/>
  <c r="AR891" i="1"/>
  <c r="AQ891" i="1"/>
  <c r="AN891" i="1"/>
  <c r="AK891" i="1"/>
  <c r="AT890" i="1"/>
  <c r="AR890" i="1"/>
  <c r="AQ890" i="1"/>
  <c r="AN890" i="1"/>
  <c r="AK890" i="1"/>
  <c r="AT889" i="1"/>
  <c r="AR889" i="1"/>
  <c r="AQ889" i="1"/>
  <c r="AN889" i="1"/>
  <c r="AK889" i="1"/>
  <c r="AT888" i="1"/>
  <c r="AR888" i="1"/>
  <c r="AQ888" i="1"/>
  <c r="AN888" i="1"/>
  <c r="AK888" i="1"/>
  <c r="AT887" i="1"/>
  <c r="AR887" i="1"/>
  <c r="AQ887" i="1"/>
  <c r="AN887" i="1"/>
  <c r="AK887" i="1"/>
  <c r="AT886" i="1"/>
  <c r="AR886" i="1"/>
  <c r="AQ886" i="1"/>
  <c r="AN886" i="1"/>
  <c r="AK886" i="1"/>
  <c r="AT885" i="1"/>
  <c r="AR885" i="1"/>
  <c r="AQ885" i="1"/>
  <c r="AN885" i="1"/>
  <c r="AK885" i="1"/>
  <c r="AT884" i="1"/>
  <c r="AR884" i="1"/>
  <c r="AQ884" i="1"/>
  <c r="AN884" i="1"/>
  <c r="AK884" i="1"/>
  <c r="AT883" i="1"/>
  <c r="AR883" i="1"/>
  <c r="AQ883" i="1"/>
  <c r="AN883" i="1"/>
  <c r="AK883" i="1"/>
  <c r="AT882" i="1"/>
  <c r="AR882" i="1"/>
  <c r="AQ882" i="1"/>
  <c r="AN882" i="1"/>
  <c r="AK882" i="1"/>
  <c r="AT881" i="1"/>
  <c r="AR881" i="1"/>
  <c r="AQ881" i="1"/>
  <c r="AN881" i="1"/>
  <c r="AK881" i="1"/>
  <c r="AT880" i="1"/>
  <c r="AR880" i="1"/>
  <c r="AQ880" i="1"/>
  <c r="AN880" i="1"/>
  <c r="AK880" i="1"/>
  <c r="AT879" i="1"/>
  <c r="AR879" i="1"/>
  <c r="AQ879" i="1"/>
  <c r="AN879" i="1"/>
  <c r="AK879" i="1"/>
  <c r="AT878" i="1"/>
  <c r="AR878" i="1"/>
  <c r="AQ878" i="1"/>
  <c r="AN878" i="1"/>
  <c r="AK878" i="1"/>
  <c r="AT877" i="1"/>
  <c r="AR877" i="1"/>
  <c r="AQ877" i="1"/>
  <c r="AN877" i="1"/>
  <c r="AK877" i="1"/>
  <c r="AT876" i="1"/>
  <c r="AR876" i="1"/>
  <c r="AQ876" i="1"/>
  <c r="AN876" i="1"/>
  <c r="AK876" i="1"/>
  <c r="AT875" i="1"/>
  <c r="AR875" i="1"/>
  <c r="AQ875" i="1"/>
  <c r="AN875" i="1"/>
  <c r="AK875" i="1"/>
  <c r="AT874" i="1"/>
  <c r="AR874" i="1"/>
  <c r="AQ874" i="1"/>
  <c r="AN874" i="1"/>
  <c r="AK874" i="1"/>
  <c r="AT873" i="1"/>
  <c r="AR873" i="1"/>
  <c r="AQ873" i="1"/>
  <c r="AN873" i="1"/>
  <c r="AK873" i="1"/>
  <c r="AT872" i="1"/>
  <c r="AR872" i="1"/>
  <c r="AQ872" i="1"/>
  <c r="AN872" i="1"/>
  <c r="AK872" i="1"/>
  <c r="AT871" i="1"/>
  <c r="AR871" i="1"/>
  <c r="AQ871" i="1"/>
  <c r="AN871" i="1"/>
  <c r="AK871" i="1"/>
  <c r="AT870" i="1"/>
  <c r="AR870" i="1"/>
  <c r="AQ870" i="1"/>
  <c r="AN870" i="1"/>
  <c r="AK870" i="1"/>
  <c r="AT869" i="1"/>
  <c r="AR869" i="1"/>
  <c r="AQ869" i="1"/>
  <c r="AN869" i="1"/>
  <c r="AK869" i="1"/>
  <c r="AT868" i="1"/>
  <c r="AR868" i="1"/>
  <c r="AQ868" i="1"/>
  <c r="AN868" i="1"/>
  <c r="AK868" i="1"/>
  <c r="AT867" i="1"/>
  <c r="AR867" i="1"/>
  <c r="AQ867" i="1"/>
  <c r="AN867" i="1"/>
  <c r="AK867" i="1"/>
  <c r="AT866" i="1"/>
  <c r="AR866" i="1"/>
  <c r="AQ866" i="1"/>
  <c r="AN866" i="1"/>
  <c r="AK866" i="1"/>
  <c r="AT865" i="1"/>
  <c r="AR865" i="1"/>
  <c r="AQ865" i="1"/>
  <c r="AN865" i="1"/>
  <c r="AK865" i="1"/>
  <c r="AT864" i="1"/>
  <c r="AR864" i="1"/>
  <c r="AQ864" i="1"/>
  <c r="AN864" i="1"/>
  <c r="AK864" i="1"/>
  <c r="AT863" i="1"/>
  <c r="AR863" i="1"/>
  <c r="AQ863" i="1"/>
  <c r="AN863" i="1"/>
  <c r="AK863" i="1"/>
  <c r="AT862" i="1"/>
  <c r="AR862" i="1"/>
  <c r="AQ862" i="1"/>
  <c r="AN862" i="1"/>
  <c r="AK862" i="1"/>
  <c r="AT861" i="1"/>
  <c r="AR861" i="1"/>
  <c r="AQ861" i="1"/>
  <c r="AN861" i="1"/>
  <c r="AK861" i="1"/>
  <c r="AT860" i="1"/>
  <c r="AR860" i="1"/>
  <c r="AQ860" i="1"/>
  <c r="AN860" i="1"/>
  <c r="AK860" i="1"/>
  <c r="AT859" i="1"/>
  <c r="AR859" i="1"/>
  <c r="AQ859" i="1"/>
  <c r="AN859" i="1"/>
  <c r="AK859" i="1"/>
  <c r="AT858" i="1"/>
  <c r="AR858" i="1"/>
  <c r="AQ858" i="1"/>
  <c r="AN858" i="1"/>
  <c r="AK858" i="1"/>
  <c r="AT857" i="1"/>
  <c r="AR857" i="1"/>
  <c r="AQ857" i="1"/>
  <c r="AN857" i="1"/>
  <c r="AK857" i="1"/>
  <c r="AT856" i="1"/>
  <c r="AR856" i="1"/>
  <c r="AQ856" i="1"/>
  <c r="AN856" i="1"/>
  <c r="AK856" i="1"/>
  <c r="AT855" i="1"/>
  <c r="AR855" i="1"/>
  <c r="AQ855" i="1"/>
  <c r="AN855" i="1"/>
  <c r="AK855" i="1"/>
  <c r="AT854" i="1"/>
  <c r="AR854" i="1"/>
  <c r="AQ854" i="1"/>
  <c r="AN854" i="1"/>
  <c r="AK854" i="1"/>
  <c r="AT853" i="1"/>
  <c r="AR853" i="1"/>
  <c r="AQ853" i="1"/>
  <c r="AN853" i="1"/>
  <c r="AK853" i="1"/>
  <c r="AT852" i="1"/>
  <c r="AR852" i="1"/>
  <c r="AQ852" i="1"/>
  <c r="AN852" i="1"/>
  <c r="AK852" i="1"/>
  <c r="AT851" i="1"/>
  <c r="AR851" i="1"/>
  <c r="AQ851" i="1"/>
  <c r="AN851" i="1"/>
  <c r="AK851" i="1"/>
  <c r="AT850" i="1"/>
  <c r="AR850" i="1"/>
  <c r="AQ850" i="1"/>
  <c r="AN850" i="1"/>
  <c r="AK850" i="1"/>
  <c r="AT849" i="1"/>
  <c r="AR849" i="1"/>
  <c r="AQ849" i="1"/>
  <c r="AN849" i="1"/>
  <c r="AK849" i="1"/>
  <c r="AT848" i="1"/>
  <c r="AR848" i="1"/>
  <c r="AQ848" i="1"/>
  <c r="AN848" i="1"/>
  <c r="AK848" i="1"/>
  <c r="AT847" i="1"/>
  <c r="AR847" i="1"/>
  <c r="AQ847" i="1"/>
  <c r="AN847" i="1"/>
  <c r="AK847" i="1"/>
  <c r="AT846" i="1"/>
  <c r="AR846" i="1"/>
  <c r="AQ846" i="1"/>
  <c r="AN846" i="1"/>
  <c r="AK846" i="1"/>
  <c r="AT845" i="1"/>
  <c r="AR845" i="1"/>
  <c r="AQ845" i="1"/>
  <c r="AN845" i="1"/>
  <c r="AK845" i="1"/>
  <c r="AT844" i="1"/>
  <c r="AR844" i="1"/>
  <c r="AQ844" i="1"/>
  <c r="AN844" i="1"/>
  <c r="AK844" i="1"/>
  <c r="AT843" i="1"/>
  <c r="AR843" i="1"/>
  <c r="AQ843" i="1"/>
  <c r="AN843" i="1"/>
  <c r="AK843" i="1"/>
  <c r="AT842" i="1"/>
  <c r="AR842" i="1"/>
  <c r="AQ842" i="1"/>
  <c r="AN842" i="1"/>
  <c r="AK842" i="1"/>
  <c r="AT841" i="1"/>
  <c r="AR841" i="1"/>
  <c r="AQ841" i="1"/>
  <c r="AN841" i="1"/>
  <c r="AK841" i="1"/>
  <c r="AT840" i="1"/>
  <c r="AR840" i="1"/>
  <c r="AQ840" i="1"/>
  <c r="AN840" i="1"/>
  <c r="AK840" i="1"/>
  <c r="AT839" i="1"/>
  <c r="AR839" i="1"/>
  <c r="AQ839" i="1"/>
  <c r="AN839" i="1"/>
  <c r="AK839" i="1"/>
  <c r="AT838" i="1"/>
  <c r="AR838" i="1"/>
  <c r="AQ838" i="1"/>
  <c r="AN838" i="1"/>
  <c r="AK838" i="1"/>
  <c r="AT837" i="1"/>
  <c r="AR837" i="1"/>
  <c r="AQ837" i="1"/>
  <c r="AN837" i="1"/>
  <c r="AK837" i="1"/>
  <c r="AT836" i="1"/>
  <c r="AR836" i="1"/>
  <c r="AQ836" i="1"/>
  <c r="AN836" i="1"/>
  <c r="AK836" i="1"/>
  <c r="AT835" i="1"/>
  <c r="AR835" i="1"/>
  <c r="AQ835" i="1"/>
  <c r="AN835" i="1"/>
  <c r="AK835" i="1"/>
  <c r="AT834" i="1"/>
  <c r="AR834" i="1"/>
  <c r="AQ834" i="1"/>
  <c r="AN834" i="1"/>
  <c r="AK834" i="1"/>
  <c r="AT833" i="1"/>
  <c r="AR833" i="1"/>
  <c r="AQ833" i="1"/>
  <c r="AN833" i="1"/>
  <c r="AK833" i="1"/>
  <c r="AT832" i="1"/>
  <c r="AR832" i="1"/>
  <c r="AQ832" i="1"/>
  <c r="AN832" i="1"/>
  <c r="AK832" i="1"/>
  <c r="AT831" i="1"/>
  <c r="AR831" i="1"/>
  <c r="AQ831" i="1"/>
  <c r="AN831" i="1"/>
  <c r="AK831" i="1"/>
  <c r="AT830" i="1"/>
  <c r="AR830" i="1"/>
  <c r="AQ830" i="1"/>
  <c r="AN830" i="1"/>
  <c r="AK830" i="1"/>
  <c r="AT829" i="1"/>
  <c r="AR829" i="1"/>
  <c r="AQ829" i="1"/>
  <c r="AN829" i="1"/>
  <c r="AK829" i="1"/>
  <c r="AT828" i="1"/>
  <c r="AR828" i="1"/>
  <c r="AQ828" i="1"/>
  <c r="AN828" i="1"/>
  <c r="AK828" i="1"/>
  <c r="AT827" i="1"/>
  <c r="AR827" i="1"/>
  <c r="AQ827" i="1"/>
  <c r="AN827" i="1"/>
  <c r="AK827" i="1"/>
  <c r="AT826" i="1"/>
  <c r="AR826" i="1"/>
  <c r="AQ826" i="1"/>
  <c r="AN826" i="1"/>
  <c r="AK826" i="1"/>
  <c r="AT825" i="1"/>
  <c r="AR825" i="1"/>
  <c r="AQ825" i="1"/>
  <c r="AN825" i="1"/>
  <c r="AK825" i="1"/>
  <c r="AT824" i="1"/>
  <c r="AR824" i="1"/>
  <c r="AQ824" i="1"/>
  <c r="AN824" i="1"/>
  <c r="AK824" i="1"/>
  <c r="AT823" i="1"/>
  <c r="AR823" i="1"/>
  <c r="AQ823" i="1"/>
  <c r="AN823" i="1"/>
  <c r="AK823" i="1"/>
  <c r="AT822" i="1"/>
  <c r="AR822" i="1"/>
  <c r="AQ822" i="1"/>
  <c r="AN822" i="1"/>
  <c r="AK822" i="1"/>
  <c r="AT821" i="1"/>
  <c r="AR821" i="1"/>
  <c r="AQ821" i="1"/>
  <c r="AN821" i="1"/>
  <c r="AK821" i="1"/>
  <c r="AT820" i="1"/>
  <c r="AR820" i="1"/>
  <c r="AQ820" i="1"/>
  <c r="AN820" i="1"/>
  <c r="AK820" i="1"/>
  <c r="AT819" i="1"/>
  <c r="AR819" i="1"/>
  <c r="AQ819" i="1"/>
  <c r="AN819" i="1"/>
  <c r="AK819" i="1"/>
  <c r="AT818" i="1"/>
  <c r="AR818" i="1"/>
  <c r="AQ818" i="1"/>
  <c r="AN818" i="1"/>
  <c r="AK818" i="1"/>
  <c r="AT817" i="1"/>
  <c r="AR817" i="1"/>
  <c r="AQ817" i="1"/>
  <c r="AN817" i="1"/>
  <c r="AK817" i="1"/>
  <c r="AT816" i="1"/>
  <c r="AR816" i="1"/>
  <c r="AQ816" i="1"/>
  <c r="AN816" i="1"/>
  <c r="AK816" i="1"/>
  <c r="AT815" i="1"/>
  <c r="AR815" i="1"/>
  <c r="AQ815" i="1"/>
  <c r="AN815" i="1"/>
  <c r="AK815" i="1"/>
  <c r="AT814" i="1"/>
  <c r="AR814" i="1"/>
  <c r="AQ814" i="1"/>
  <c r="AN814" i="1"/>
  <c r="AK814" i="1"/>
  <c r="AT813" i="1"/>
  <c r="AR813" i="1"/>
  <c r="AQ813" i="1"/>
  <c r="AN813" i="1"/>
  <c r="AK813" i="1"/>
  <c r="AT812" i="1"/>
  <c r="AR812" i="1"/>
  <c r="AQ812" i="1"/>
  <c r="AN812" i="1"/>
  <c r="AK812" i="1"/>
  <c r="AT811" i="1"/>
  <c r="AR811" i="1"/>
  <c r="AQ811" i="1"/>
  <c r="AN811" i="1"/>
  <c r="AK811" i="1"/>
  <c r="AT810" i="1"/>
  <c r="AR810" i="1"/>
  <c r="AQ810" i="1"/>
  <c r="AN810" i="1"/>
  <c r="AK810" i="1"/>
  <c r="AT809" i="1"/>
  <c r="AR809" i="1"/>
  <c r="AQ809" i="1"/>
  <c r="AN809" i="1"/>
  <c r="AK809" i="1"/>
  <c r="AT808" i="1"/>
  <c r="AR808" i="1"/>
  <c r="AQ808" i="1"/>
  <c r="AN808" i="1"/>
  <c r="AK808" i="1"/>
  <c r="AT807" i="1"/>
  <c r="AR807" i="1"/>
  <c r="AQ807" i="1"/>
  <c r="AN807" i="1"/>
  <c r="AK807" i="1"/>
  <c r="AT806" i="1"/>
  <c r="AR806" i="1"/>
  <c r="AQ806" i="1"/>
  <c r="AN806" i="1"/>
  <c r="AK806" i="1"/>
  <c r="AT805" i="1"/>
  <c r="AR805" i="1"/>
  <c r="AQ805" i="1"/>
  <c r="AN805" i="1"/>
  <c r="AK805" i="1"/>
  <c r="AT804" i="1"/>
  <c r="AR804" i="1"/>
  <c r="AQ804" i="1"/>
  <c r="AN804" i="1"/>
  <c r="AK804" i="1"/>
  <c r="AT803" i="1"/>
  <c r="AR803" i="1"/>
  <c r="AQ803" i="1"/>
  <c r="AN803" i="1"/>
  <c r="AK803" i="1"/>
  <c r="AT802" i="1"/>
  <c r="AR802" i="1"/>
  <c r="AQ802" i="1"/>
  <c r="AN802" i="1"/>
  <c r="AK802" i="1"/>
  <c r="AT801" i="1"/>
  <c r="AR801" i="1"/>
  <c r="AQ801" i="1"/>
  <c r="AN801" i="1"/>
  <c r="AK801" i="1"/>
  <c r="AT800" i="1"/>
  <c r="AR800" i="1"/>
  <c r="AQ800" i="1"/>
  <c r="AN800" i="1"/>
  <c r="AK800" i="1"/>
  <c r="AT799" i="1"/>
  <c r="AR799" i="1"/>
  <c r="AQ799" i="1"/>
  <c r="AN799" i="1"/>
  <c r="AK799" i="1"/>
  <c r="AT798" i="1"/>
  <c r="AR798" i="1"/>
  <c r="AQ798" i="1"/>
  <c r="AN798" i="1"/>
  <c r="AK798" i="1"/>
  <c r="AT797" i="1"/>
  <c r="AR797" i="1"/>
  <c r="AQ797" i="1"/>
  <c r="AN797" i="1"/>
  <c r="AK797" i="1"/>
  <c r="AT796" i="1"/>
  <c r="AR796" i="1"/>
  <c r="AQ796" i="1"/>
  <c r="AN796" i="1"/>
  <c r="AK796" i="1"/>
  <c r="AT795" i="1"/>
  <c r="AR795" i="1"/>
  <c r="AQ795" i="1"/>
  <c r="AN795" i="1"/>
  <c r="AK795" i="1"/>
  <c r="AT794" i="1"/>
  <c r="AR794" i="1"/>
  <c r="AQ794" i="1"/>
  <c r="AN794" i="1"/>
  <c r="AK794" i="1"/>
  <c r="AT793" i="1"/>
  <c r="AR793" i="1"/>
  <c r="AQ793" i="1"/>
  <c r="AN793" i="1"/>
  <c r="AK793" i="1"/>
  <c r="AT792" i="1"/>
  <c r="AR792" i="1"/>
  <c r="AQ792" i="1"/>
  <c r="AN792" i="1"/>
  <c r="AK792" i="1"/>
  <c r="AT791" i="1"/>
  <c r="AR791" i="1"/>
  <c r="AQ791" i="1"/>
  <c r="AN791" i="1"/>
  <c r="AK791" i="1"/>
  <c r="AT790" i="1"/>
  <c r="AR790" i="1"/>
  <c r="AQ790" i="1"/>
  <c r="AN790" i="1"/>
  <c r="AK790" i="1"/>
  <c r="AT789" i="1"/>
  <c r="AR789" i="1"/>
  <c r="AQ789" i="1"/>
  <c r="AN789" i="1"/>
  <c r="AK789" i="1"/>
  <c r="AT788" i="1"/>
  <c r="AR788" i="1"/>
  <c r="AQ788" i="1"/>
  <c r="AN788" i="1"/>
  <c r="AK788" i="1"/>
  <c r="AT787" i="1"/>
  <c r="AR787" i="1"/>
  <c r="AQ787" i="1"/>
  <c r="AN787" i="1"/>
  <c r="AK787" i="1"/>
  <c r="AT786" i="1"/>
  <c r="AR786" i="1"/>
  <c r="AQ786" i="1"/>
  <c r="AN786" i="1"/>
  <c r="AK786" i="1"/>
  <c r="AT785" i="1"/>
  <c r="AR785" i="1"/>
  <c r="AQ785" i="1"/>
  <c r="AN785" i="1"/>
  <c r="AK785" i="1"/>
  <c r="AT784" i="1"/>
  <c r="AR784" i="1"/>
  <c r="AQ784" i="1"/>
  <c r="AN784" i="1"/>
  <c r="AK784" i="1"/>
  <c r="AT783" i="1"/>
  <c r="AR783" i="1"/>
  <c r="AQ783" i="1"/>
  <c r="AN783" i="1"/>
  <c r="AK783" i="1"/>
  <c r="AT782" i="1"/>
  <c r="AR782" i="1"/>
  <c r="AQ782" i="1"/>
  <c r="AN782" i="1"/>
  <c r="AK782" i="1"/>
  <c r="AT781" i="1"/>
  <c r="AR781" i="1"/>
  <c r="AQ781" i="1"/>
  <c r="AN781" i="1"/>
  <c r="AK781" i="1"/>
  <c r="AT780" i="1"/>
  <c r="AR780" i="1"/>
  <c r="AQ780" i="1"/>
  <c r="AN780" i="1"/>
  <c r="AK780" i="1"/>
  <c r="AT779" i="1"/>
  <c r="AR779" i="1"/>
  <c r="AQ779" i="1"/>
  <c r="AN779" i="1"/>
  <c r="AK779" i="1"/>
  <c r="AT778" i="1"/>
  <c r="AR778" i="1"/>
  <c r="AQ778" i="1"/>
  <c r="AN778" i="1"/>
  <c r="AK778" i="1"/>
  <c r="AT777" i="1"/>
  <c r="AR777" i="1"/>
  <c r="AQ777" i="1"/>
  <c r="AN777" i="1"/>
  <c r="AK777" i="1"/>
  <c r="AT776" i="1"/>
  <c r="AR776" i="1"/>
  <c r="AQ776" i="1"/>
  <c r="AN776" i="1"/>
  <c r="AK776" i="1"/>
  <c r="AT775" i="1"/>
  <c r="AR775" i="1"/>
  <c r="AQ775" i="1"/>
  <c r="AN775" i="1"/>
  <c r="AK775" i="1"/>
  <c r="AT774" i="1"/>
  <c r="AR774" i="1"/>
  <c r="AQ774" i="1"/>
  <c r="AN774" i="1"/>
  <c r="AK774" i="1"/>
  <c r="AT773" i="1"/>
  <c r="AR773" i="1"/>
  <c r="AQ773" i="1"/>
  <c r="AN773" i="1"/>
  <c r="AK773" i="1"/>
  <c r="AT772" i="1"/>
  <c r="AR772" i="1"/>
  <c r="AQ772" i="1"/>
  <c r="AN772" i="1"/>
  <c r="AK772" i="1"/>
  <c r="AT771" i="1"/>
  <c r="AR771" i="1"/>
  <c r="AQ771" i="1"/>
  <c r="AN771" i="1"/>
  <c r="AK771" i="1"/>
  <c r="AT770" i="1"/>
  <c r="AR770" i="1"/>
  <c r="AQ770" i="1"/>
  <c r="AN770" i="1"/>
  <c r="AK770" i="1"/>
  <c r="AT769" i="1"/>
  <c r="AR769" i="1"/>
  <c r="AQ769" i="1"/>
  <c r="AN769" i="1"/>
  <c r="AK769" i="1"/>
  <c r="AT768" i="1"/>
  <c r="AR768" i="1"/>
  <c r="AQ768" i="1"/>
  <c r="AN768" i="1"/>
  <c r="AK768" i="1"/>
  <c r="AT767" i="1"/>
  <c r="AR767" i="1"/>
  <c r="AQ767" i="1"/>
  <c r="AN767" i="1"/>
  <c r="AK767" i="1"/>
  <c r="AT766" i="1"/>
  <c r="AR766" i="1"/>
  <c r="AQ766" i="1"/>
  <c r="AN766" i="1"/>
  <c r="AK766" i="1"/>
  <c r="AT765" i="1"/>
  <c r="AR765" i="1"/>
  <c r="AQ765" i="1"/>
  <c r="AN765" i="1"/>
  <c r="AK765" i="1"/>
  <c r="AT764" i="1"/>
  <c r="AR764" i="1"/>
  <c r="AQ764" i="1"/>
  <c r="AN764" i="1"/>
  <c r="AK764" i="1"/>
  <c r="AT763" i="1"/>
  <c r="AR763" i="1"/>
  <c r="AQ763" i="1"/>
  <c r="AN763" i="1"/>
  <c r="AK763" i="1"/>
  <c r="AT762" i="1"/>
  <c r="AR762" i="1"/>
  <c r="AQ762" i="1"/>
  <c r="AN762" i="1"/>
  <c r="AK762" i="1"/>
  <c r="AT761" i="1"/>
  <c r="AR761" i="1"/>
  <c r="AQ761" i="1"/>
  <c r="AN761" i="1"/>
  <c r="AK761" i="1"/>
  <c r="AT760" i="1"/>
  <c r="AR760" i="1"/>
  <c r="AQ760" i="1"/>
  <c r="AN760" i="1"/>
  <c r="AK760" i="1"/>
  <c r="AT759" i="1"/>
  <c r="AR759" i="1"/>
  <c r="AQ759" i="1"/>
  <c r="AN759" i="1"/>
  <c r="AK759" i="1"/>
  <c r="AT758" i="1"/>
  <c r="AR758" i="1"/>
  <c r="AQ758" i="1"/>
  <c r="AN758" i="1"/>
  <c r="AK758" i="1"/>
  <c r="AT757" i="1"/>
  <c r="AR757" i="1"/>
  <c r="AQ757" i="1"/>
  <c r="AN757" i="1"/>
  <c r="AK757" i="1"/>
  <c r="AT756" i="1"/>
  <c r="AR756" i="1"/>
  <c r="AQ756" i="1"/>
  <c r="AN756" i="1"/>
  <c r="AK756" i="1"/>
  <c r="AT755" i="1"/>
  <c r="AR755" i="1"/>
  <c r="AQ755" i="1"/>
  <c r="AN755" i="1"/>
  <c r="AK755" i="1"/>
  <c r="AT754" i="1"/>
  <c r="AR754" i="1"/>
  <c r="AQ754" i="1"/>
  <c r="AN754" i="1"/>
  <c r="AK754" i="1"/>
  <c r="AT753" i="1"/>
  <c r="AR753" i="1"/>
  <c r="AQ753" i="1"/>
  <c r="AN753" i="1"/>
  <c r="AK753" i="1"/>
  <c r="AT752" i="1"/>
  <c r="AR752" i="1"/>
  <c r="AQ752" i="1"/>
  <c r="AN752" i="1"/>
  <c r="AK752" i="1"/>
  <c r="AT751" i="1"/>
  <c r="AR751" i="1"/>
  <c r="AQ751" i="1"/>
  <c r="AN751" i="1"/>
  <c r="AK751" i="1"/>
  <c r="AT750" i="1"/>
  <c r="AR750" i="1"/>
  <c r="AQ750" i="1"/>
  <c r="AN750" i="1"/>
  <c r="AK750" i="1"/>
  <c r="AT749" i="1"/>
  <c r="AR749" i="1"/>
  <c r="AQ749" i="1"/>
  <c r="AN749" i="1"/>
  <c r="AK749" i="1"/>
  <c r="AT748" i="1"/>
  <c r="AR748" i="1"/>
  <c r="AQ748" i="1"/>
  <c r="AN748" i="1"/>
  <c r="AK748" i="1"/>
  <c r="AT747" i="1"/>
  <c r="AR747" i="1"/>
  <c r="AQ747" i="1"/>
  <c r="AN747" i="1"/>
  <c r="AK747" i="1"/>
  <c r="AT746" i="1"/>
  <c r="AR746" i="1"/>
  <c r="AQ746" i="1"/>
  <c r="AN746" i="1"/>
  <c r="AK746" i="1"/>
  <c r="AT745" i="1"/>
  <c r="AR745" i="1"/>
  <c r="AQ745" i="1"/>
  <c r="AN745" i="1"/>
  <c r="AK745" i="1"/>
  <c r="AT744" i="1"/>
  <c r="AR744" i="1"/>
  <c r="AQ744" i="1"/>
  <c r="AN744" i="1"/>
  <c r="AK744" i="1"/>
  <c r="AT743" i="1"/>
  <c r="AR743" i="1"/>
  <c r="AQ743" i="1"/>
  <c r="AN743" i="1"/>
  <c r="AK743" i="1"/>
  <c r="AT742" i="1"/>
  <c r="AR742" i="1"/>
  <c r="AQ742" i="1"/>
  <c r="AN742" i="1"/>
  <c r="AK742" i="1"/>
  <c r="AT741" i="1"/>
  <c r="AR741" i="1"/>
  <c r="AQ741" i="1"/>
  <c r="AN741" i="1"/>
  <c r="AK741" i="1"/>
  <c r="AT740" i="1"/>
  <c r="AR740" i="1"/>
  <c r="AQ740" i="1"/>
  <c r="AN740" i="1"/>
  <c r="AK740" i="1"/>
  <c r="AT739" i="1"/>
  <c r="AR739" i="1"/>
  <c r="AQ739" i="1"/>
  <c r="AN739" i="1"/>
  <c r="AK739" i="1"/>
  <c r="AT738" i="1"/>
  <c r="AR738" i="1"/>
  <c r="AQ738" i="1"/>
  <c r="AN738" i="1"/>
  <c r="AK738" i="1"/>
  <c r="AT737" i="1"/>
  <c r="AR737" i="1"/>
  <c r="AQ737" i="1"/>
  <c r="AN737" i="1"/>
  <c r="AK737" i="1"/>
  <c r="AT736" i="1"/>
  <c r="AR736" i="1"/>
  <c r="AQ736" i="1"/>
  <c r="AN736" i="1"/>
  <c r="AK736" i="1"/>
  <c r="AT735" i="1"/>
  <c r="AR735" i="1"/>
  <c r="AQ735" i="1"/>
  <c r="AN735" i="1"/>
  <c r="AK735" i="1"/>
  <c r="AT734" i="1"/>
  <c r="AR734" i="1"/>
  <c r="AQ734" i="1"/>
  <c r="AN734" i="1"/>
  <c r="AK734" i="1"/>
  <c r="AT733" i="1"/>
  <c r="AR733" i="1"/>
  <c r="AQ733" i="1"/>
  <c r="AN733" i="1"/>
  <c r="AK733" i="1"/>
  <c r="AT732" i="1"/>
  <c r="AR732" i="1"/>
  <c r="AQ732" i="1"/>
  <c r="AN732" i="1"/>
  <c r="AK732" i="1"/>
  <c r="AT731" i="1"/>
  <c r="AR731" i="1"/>
  <c r="AQ731" i="1"/>
  <c r="AN731" i="1"/>
  <c r="AK731" i="1"/>
  <c r="AT730" i="1"/>
  <c r="AR730" i="1"/>
  <c r="AQ730" i="1"/>
  <c r="AN730" i="1"/>
  <c r="AK730" i="1"/>
  <c r="AT729" i="1"/>
  <c r="AR729" i="1"/>
  <c r="AQ729" i="1"/>
  <c r="AN729" i="1"/>
  <c r="AK729" i="1"/>
  <c r="AT728" i="1"/>
  <c r="AR728" i="1"/>
  <c r="AQ728" i="1"/>
  <c r="AN728" i="1"/>
  <c r="AK728" i="1"/>
  <c r="AT727" i="1"/>
  <c r="AR727" i="1"/>
  <c r="AQ727" i="1"/>
  <c r="AN727" i="1"/>
  <c r="AK727" i="1"/>
  <c r="AT726" i="1"/>
  <c r="AR726" i="1"/>
  <c r="AQ726" i="1"/>
  <c r="AN726" i="1"/>
  <c r="AK726" i="1"/>
  <c r="AT725" i="1"/>
  <c r="AR725" i="1"/>
  <c r="AQ725" i="1"/>
  <c r="AN725" i="1"/>
  <c r="AK725" i="1"/>
  <c r="AT724" i="1"/>
  <c r="AR724" i="1"/>
  <c r="AQ724" i="1"/>
  <c r="AN724" i="1"/>
  <c r="AK724" i="1"/>
  <c r="AT723" i="1"/>
  <c r="AR723" i="1"/>
  <c r="AQ723" i="1"/>
  <c r="AN723" i="1"/>
  <c r="AK723" i="1"/>
  <c r="AT722" i="1"/>
  <c r="AR722" i="1"/>
  <c r="AQ722" i="1"/>
  <c r="AN722" i="1"/>
  <c r="AK722" i="1"/>
  <c r="AT721" i="1"/>
  <c r="AR721" i="1"/>
  <c r="AQ721" i="1"/>
  <c r="AN721" i="1"/>
  <c r="AK721" i="1"/>
  <c r="AT720" i="1"/>
  <c r="AR720" i="1"/>
  <c r="AQ720" i="1"/>
  <c r="AN720" i="1"/>
  <c r="AK720" i="1"/>
  <c r="AT719" i="1"/>
  <c r="AR719" i="1"/>
  <c r="AQ719" i="1"/>
  <c r="AN719" i="1"/>
  <c r="AK719" i="1"/>
  <c r="AT718" i="1"/>
  <c r="AR718" i="1"/>
  <c r="AQ718" i="1"/>
  <c r="AN718" i="1"/>
  <c r="AK718" i="1"/>
  <c r="AT717" i="1"/>
  <c r="AR717" i="1"/>
  <c r="AQ717" i="1"/>
  <c r="AN717" i="1"/>
  <c r="AK717" i="1"/>
  <c r="AT716" i="1"/>
  <c r="AR716" i="1"/>
  <c r="AQ716" i="1"/>
  <c r="AN716" i="1"/>
  <c r="AK716" i="1"/>
  <c r="AT715" i="1"/>
  <c r="AR715" i="1"/>
  <c r="AQ715" i="1"/>
  <c r="AN715" i="1"/>
  <c r="AK715" i="1"/>
  <c r="AT714" i="1"/>
  <c r="AR714" i="1"/>
  <c r="AQ714" i="1"/>
  <c r="AN714" i="1"/>
  <c r="AK714" i="1"/>
  <c r="AT713" i="1"/>
  <c r="AR713" i="1"/>
  <c r="AQ713" i="1"/>
  <c r="AN713" i="1"/>
  <c r="AK713" i="1"/>
  <c r="AT712" i="1"/>
  <c r="AR712" i="1"/>
  <c r="AQ712" i="1"/>
  <c r="AN712" i="1"/>
  <c r="AK712" i="1"/>
  <c r="AT711" i="1"/>
  <c r="AR711" i="1"/>
  <c r="AQ711" i="1"/>
  <c r="AN711" i="1"/>
  <c r="AK711" i="1"/>
  <c r="AT710" i="1"/>
  <c r="AR710" i="1"/>
  <c r="AQ710" i="1"/>
  <c r="AN710" i="1"/>
  <c r="AK710" i="1"/>
  <c r="AT709" i="1"/>
  <c r="AR709" i="1"/>
  <c r="AQ709" i="1"/>
  <c r="AN709" i="1"/>
  <c r="AK709" i="1"/>
  <c r="AT708" i="1"/>
  <c r="AR708" i="1"/>
  <c r="AQ708" i="1"/>
  <c r="AN708" i="1"/>
  <c r="AK708" i="1"/>
  <c r="AT707" i="1"/>
  <c r="AR707" i="1"/>
  <c r="AQ707" i="1"/>
  <c r="AN707" i="1"/>
  <c r="AK707" i="1"/>
  <c r="AT706" i="1"/>
  <c r="AR706" i="1"/>
  <c r="AQ706" i="1"/>
  <c r="AN706" i="1"/>
  <c r="AK706" i="1"/>
  <c r="AT705" i="1"/>
  <c r="AR705" i="1"/>
  <c r="AQ705" i="1"/>
  <c r="AN705" i="1"/>
  <c r="AK705" i="1"/>
  <c r="AT704" i="1"/>
  <c r="AR704" i="1"/>
  <c r="AQ704" i="1"/>
  <c r="AN704" i="1"/>
  <c r="AK704" i="1"/>
  <c r="AT703" i="1"/>
  <c r="AR703" i="1"/>
  <c r="AQ703" i="1"/>
  <c r="AN703" i="1"/>
  <c r="AK703" i="1"/>
  <c r="AT702" i="1"/>
  <c r="AR702" i="1"/>
  <c r="AQ702" i="1"/>
  <c r="AN702" i="1"/>
  <c r="AK702" i="1"/>
  <c r="AT701" i="1"/>
  <c r="AR701" i="1"/>
  <c r="AQ701" i="1"/>
  <c r="AN701" i="1"/>
  <c r="AK701" i="1"/>
  <c r="AT700" i="1"/>
  <c r="AR700" i="1"/>
  <c r="AQ700" i="1"/>
  <c r="AN700" i="1"/>
  <c r="AK700" i="1"/>
  <c r="AT699" i="1"/>
  <c r="AR699" i="1"/>
  <c r="AQ699" i="1"/>
  <c r="AN699" i="1"/>
  <c r="AK699" i="1"/>
  <c r="AT698" i="1"/>
  <c r="AR698" i="1"/>
  <c r="AQ698" i="1"/>
  <c r="AN698" i="1"/>
  <c r="AK698" i="1"/>
  <c r="AT697" i="1"/>
  <c r="AR697" i="1"/>
  <c r="AQ697" i="1"/>
  <c r="AN697" i="1"/>
  <c r="AK697" i="1"/>
  <c r="AT696" i="1"/>
  <c r="AR696" i="1"/>
  <c r="AQ696" i="1"/>
  <c r="AN696" i="1"/>
  <c r="AK696" i="1"/>
  <c r="AT695" i="1"/>
  <c r="AR695" i="1"/>
  <c r="AQ695" i="1"/>
  <c r="AN695" i="1"/>
  <c r="AK695" i="1"/>
  <c r="AT694" i="1"/>
  <c r="AR694" i="1"/>
  <c r="AQ694" i="1"/>
  <c r="AN694" i="1"/>
  <c r="AK694" i="1"/>
  <c r="AT693" i="1"/>
  <c r="AR693" i="1"/>
  <c r="AQ693" i="1"/>
  <c r="AN693" i="1"/>
  <c r="AK693" i="1"/>
  <c r="AT692" i="1"/>
  <c r="AR692" i="1"/>
  <c r="AQ692" i="1"/>
  <c r="AN692" i="1"/>
  <c r="AK692" i="1"/>
  <c r="AT691" i="1"/>
  <c r="AR691" i="1"/>
  <c r="AQ691" i="1"/>
  <c r="AN691" i="1"/>
  <c r="AK691" i="1"/>
  <c r="AT690" i="1"/>
  <c r="AR690" i="1"/>
  <c r="AQ690" i="1"/>
  <c r="AN690" i="1"/>
  <c r="AK690" i="1"/>
  <c r="AT689" i="1"/>
  <c r="AR689" i="1"/>
  <c r="AQ689" i="1"/>
  <c r="AN689" i="1"/>
  <c r="AK689" i="1"/>
  <c r="AT688" i="1"/>
  <c r="AR688" i="1"/>
  <c r="AQ688" i="1"/>
  <c r="AN688" i="1"/>
  <c r="AK688" i="1"/>
  <c r="AT687" i="1"/>
  <c r="AR687" i="1"/>
  <c r="AQ687" i="1"/>
  <c r="AN687" i="1"/>
  <c r="AK687" i="1"/>
  <c r="AT686" i="1"/>
  <c r="AR686" i="1"/>
  <c r="AQ686" i="1"/>
  <c r="AN686" i="1"/>
  <c r="AK686" i="1"/>
  <c r="AT685" i="1"/>
  <c r="AR685" i="1"/>
  <c r="AQ685" i="1"/>
  <c r="AN685" i="1"/>
  <c r="AK685" i="1"/>
  <c r="AT684" i="1"/>
  <c r="AR684" i="1"/>
  <c r="AQ684" i="1"/>
  <c r="AN684" i="1"/>
  <c r="AK684" i="1"/>
  <c r="AT683" i="1"/>
  <c r="AR683" i="1"/>
  <c r="AQ683" i="1"/>
  <c r="AN683" i="1"/>
  <c r="AK683" i="1"/>
  <c r="AT682" i="1"/>
  <c r="AR682" i="1"/>
  <c r="AQ682" i="1"/>
  <c r="AN682" i="1"/>
  <c r="AK682" i="1"/>
  <c r="AT681" i="1"/>
  <c r="AR681" i="1"/>
  <c r="AQ681" i="1"/>
  <c r="AN681" i="1"/>
  <c r="AK681" i="1"/>
  <c r="AT680" i="1"/>
  <c r="AR680" i="1"/>
  <c r="AQ680" i="1"/>
  <c r="AN680" i="1"/>
  <c r="AK680" i="1"/>
  <c r="AT679" i="1"/>
  <c r="AR679" i="1"/>
  <c r="AQ679" i="1"/>
  <c r="AN679" i="1"/>
  <c r="AK679" i="1"/>
  <c r="AT678" i="1"/>
  <c r="AR678" i="1"/>
  <c r="AQ678" i="1"/>
  <c r="AN678" i="1"/>
  <c r="AK678" i="1"/>
  <c r="AT677" i="1"/>
  <c r="AR677" i="1"/>
  <c r="AQ677" i="1"/>
  <c r="AN677" i="1"/>
  <c r="AK677" i="1"/>
  <c r="AT676" i="1"/>
  <c r="AR676" i="1"/>
  <c r="AQ676" i="1"/>
  <c r="AN676" i="1"/>
  <c r="AK676" i="1"/>
  <c r="AT675" i="1"/>
  <c r="AR675" i="1"/>
  <c r="AQ675" i="1"/>
  <c r="AN675" i="1"/>
  <c r="AK675" i="1"/>
  <c r="AT674" i="1"/>
  <c r="AR674" i="1"/>
  <c r="AQ674" i="1"/>
  <c r="AN674" i="1"/>
  <c r="AK674" i="1"/>
  <c r="AT673" i="1"/>
  <c r="AR673" i="1"/>
  <c r="AQ673" i="1"/>
  <c r="AN673" i="1"/>
  <c r="AK673" i="1"/>
  <c r="AT672" i="1"/>
  <c r="AR672" i="1"/>
  <c r="AQ672" i="1"/>
  <c r="AN672" i="1"/>
  <c r="AK672" i="1"/>
  <c r="AT671" i="1"/>
  <c r="AR671" i="1"/>
  <c r="AQ671" i="1"/>
  <c r="AN671" i="1"/>
  <c r="AK671" i="1"/>
  <c r="AT670" i="1"/>
  <c r="AR670" i="1"/>
  <c r="AQ670" i="1"/>
  <c r="AN670" i="1"/>
  <c r="AK670" i="1"/>
  <c r="AT669" i="1"/>
  <c r="AR669" i="1"/>
  <c r="AQ669" i="1"/>
  <c r="AN669" i="1"/>
  <c r="AK669" i="1"/>
  <c r="AT668" i="1"/>
  <c r="AR668" i="1"/>
  <c r="AQ668" i="1"/>
  <c r="AN668" i="1"/>
  <c r="AK668" i="1"/>
  <c r="AT667" i="1"/>
  <c r="AR667" i="1"/>
  <c r="AQ667" i="1"/>
  <c r="AN667" i="1"/>
  <c r="AK667" i="1"/>
  <c r="AT666" i="1"/>
  <c r="AR666" i="1"/>
  <c r="AQ666" i="1"/>
  <c r="AN666" i="1"/>
  <c r="AK666" i="1"/>
  <c r="AT665" i="1"/>
  <c r="AR665" i="1"/>
  <c r="AQ665" i="1"/>
  <c r="AN665" i="1"/>
  <c r="AK665" i="1"/>
  <c r="AT664" i="1"/>
  <c r="AR664" i="1"/>
  <c r="AQ664" i="1"/>
  <c r="AN664" i="1"/>
  <c r="AK664" i="1"/>
  <c r="AT663" i="1"/>
  <c r="AR663" i="1"/>
  <c r="AQ663" i="1"/>
  <c r="AN663" i="1"/>
  <c r="AK663" i="1"/>
  <c r="AT662" i="1"/>
  <c r="AR662" i="1"/>
  <c r="AQ662" i="1"/>
  <c r="AN662" i="1"/>
  <c r="AK662" i="1"/>
  <c r="AT661" i="1"/>
  <c r="AR661" i="1"/>
  <c r="AQ661" i="1"/>
  <c r="AN661" i="1"/>
  <c r="AK661" i="1"/>
  <c r="AT660" i="1"/>
  <c r="AR660" i="1"/>
  <c r="AQ660" i="1"/>
  <c r="AN660" i="1"/>
  <c r="AK660" i="1"/>
  <c r="AT659" i="1"/>
  <c r="AR659" i="1"/>
  <c r="AQ659" i="1"/>
  <c r="AN659" i="1"/>
  <c r="AK659" i="1"/>
  <c r="AT658" i="1"/>
  <c r="AR658" i="1"/>
  <c r="AQ658" i="1"/>
  <c r="AN658" i="1"/>
  <c r="AK658" i="1"/>
  <c r="AT657" i="1"/>
  <c r="AR657" i="1"/>
  <c r="AQ657" i="1"/>
  <c r="AN657" i="1"/>
  <c r="AK657" i="1"/>
  <c r="AT656" i="1"/>
  <c r="AR656" i="1"/>
  <c r="AQ656" i="1"/>
  <c r="AN656" i="1"/>
  <c r="AK656" i="1"/>
  <c r="AT655" i="1"/>
  <c r="AR655" i="1"/>
  <c r="AQ655" i="1"/>
  <c r="AN655" i="1"/>
  <c r="AK655" i="1"/>
  <c r="AT654" i="1"/>
  <c r="AR654" i="1"/>
  <c r="AQ654" i="1"/>
  <c r="AN654" i="1"/>
  <c r="AK654" i="1"/>
  <c r="AT653" i="1"/>
  <c r="AR653" i="1"/>
  <c r="AQ653" i="1"/>
  <c r="AN653" i="1"/>
  <c r="AK653" i="1"/>
  <c r="AT652" i="1"/>
  <c r="AR652" i="1"/>
  <c r="AQ652" i="1"/>
  <c r="AN652" i="1"/>
  <c r="AK652" i="1"/>
  <c r="AT651" i="1"/>
  <c r="AR651" i="1"/>
  <c r="AQ651" i="1"/>
  <c r="AN651" i="1"/>
  <c r="AK651" i="1"/>
  <c r="AT650" i="1"/>
  <c r="AR650" i="1"/>
  <c r="AQ650" i="1"/>
  <c r="AN650" i="1"/>
  <c r="AK650" i="1"/>
  <c r="AT649" i="1"/>
  <c r="AR649" i="1"/>
  <c r="AQ649" i="1"/>
  <c r="AN649" i="1"/>
  <c r="AK649" i="1"/>
  <c r="AT648" i="1"/>
  <c r="AR648" i="1"/>
  <c r="AQ648" i="1"/>
  <c r="AN648" i="1"/>
  <c r="AK648" i="1"/>
  <c r="AT647" i="1"/>
  <c r="AR647" i="1"/>
  <c r="AQ647" i="1"/>
  <c r="AN647" i="1"/>
  <c r="AK647" i="1"/>
  <c r="AT646" i="1"/>
  <c r="AR646" i="1"/>
  <c r="AQ646" i="1"/>
  <c r="AN646" i="1"/>
  <c r="AK646" i="1"/>
  <c r="AT645" i="1"/>
  <c r="AR645" i="1"/>
  <c r="AQ645" i="1"/>
  <c r="AN645" i="1"/>
  <c r="AK645" i="1"/>
  <c r="AT644" i="1"/>
  <c r="AR644" i="1"/>
  <c r="AQ644" i="1"/>
  <c r="AN644" i="1"/>
  <c r="AK644" i="1"/>
  <c r="AT643" i="1"/>
  <c r="AR643" i="1"/>
  <c r="AQ643" i="1"/>
  <c r="AN643" i="1"/>
  <c r="AK643" i="1"/>
  <c r="AT642" i="1"/>
  <c r="AR642" i="1"/>
  <c r="AQ642" i="1"/>
  <c r="AN642" i="1"/>
  <c r="AK642" i="1"/>
  <c r="AT641" i="1"/>
  <c r="AR641" i="1"/>
  <c r="AQ641" i="1"/>
  <c r="AN641" i="1"/>
  <c r="AK641" i="1"/>
  <c r="AT640" i="1"/>
  <c r="AR640" i="1"/>
  <c r="AQ640" i="1"/>
  <c r="AN640" i="1"/>
  <c r="AK640" i="1"/>
  <c r="AT639" i="1"/>
  <c r="AR639" i="1"/>
  <c r="AQ639" i="1"/>
  <c r="AN639" i="1"/>
  <c r="AK639" i="1"/>
  <c r="AT638" i="1"/>
  <c r="AR638" i="1"/>
  <c r="AQ638" i="1"/>
  <c r="AN638" i="1"/>
  <c r="AK638" i="1"/>
  <c r="AT637" i="1"/>
  <c r="AR637" i="1"/>
  <c r="AQ637" i="1"/>
  <c r="AN637" i="1"/>
  <c r="AK637" i="1"/>
  <c r="AT636" i="1"/>
  <c r="AR636" i="1"/>
  <c r="AQ636" i="1"/>
  <c r="AN636" i="1"/>
  <c r="AK636" i="1"/>
  <c r="AT635" i="1"/>
  <c r="AR635" i="1"/>
  <c r="AQ635" i="1"/>
  <c r="AN635" i="1"/>
  <c r="AK635" i="1"/>
  <c r="AT634" i="1"/>
  <c r="AR634" i="1"/>
  <c r="AQ634" i="1"/>
  <c r="AN634" i="1"/>
  <c r="AK634" i="1"/>
  <c r="AT633" i="1"/>
  <c r="AR633" i="1"/>
  <c r="AQ633" i="1"/>
  <c r="AN633" i="1"/>
  <c r="AK633" i="1"/>
  <c r="AT632" i="1"/>
  <c r="AR632" i="1"/>
  <c r="AQ632" i="1"/>
  <c r="AN632" i="1"/>
  <c r="AK632" i="1"/>
  <c r="AT631" i="1"/>
  <c r="AR631" i="1"/>
  <c r="AQ631" i="1"/>
  <c r="AN631" i="1"/>
  <c r="AK631" i="1"/>
  <c r="AT630" i="1"/>
  <c r="AR630" i="1"/>
  <c r="AQ630" i="1"/>
  <c r="AN630" i="1"/>
  <c r="AK630" i="1"/>
  <c r="AT629" i="1"/>
  <c r="AR629" i="1"/>
  <c r="AQ629" i="1"/>
  <c r="AN629" i="1"/>
  <c r="AK629" i="1"/>
  <c r="AT628" i="1"/>
  <c r="AR628" i="1"/>
  <c r="AQ628" i="1"/>
  <c r="AN628" i="1"/>
  <c r="AK628" i="1"/>
  <c r="AT627" i="1"/>
  <c r="AR627" i="1"/>
  <c r="AQ627" i="1"/>
  <c r="AN627" i="1"/>
  <c r="AK627" i="1"/>
  <c r="AT626" i="1"/>
  <c r="AR626" i="1"/>
  <c r="AQ626" i="1"/>
  <c r="AN626" i="1"/>
  <c r="AK626" i="1"/>
  <c r="AT625" i="1"/>
  <c r="AR625" i="1"/>
  <c r="AQ625" i="1"/>
  <c r="AN625" i="1"/>
  <c r="AK625" i="1"/>
  <c r="AT624" i="1"/>
  <c r="AR624" i="1"/>
  <c r="AQ624" i="1"/>
  <c r="AN624" i="1"/>
  <c r="AK624" i="1"/>
  <c r="AT623" i="1"/>
  <c r="AR623" i="1"/>
  <c r="AQ623" i="1"/>
  <c r="AN623" i="1"/>
  <c r="AK623" i="1"/>
  <c r="AT622" i="1"/>
  <c r="AR622" i="1"/>
  <c r="AQ622" i="1"/>
  <c r="AN622" i="1"/>
  <c r="AK622" i="1"/>
  <c r="AT621" i="1"/>
  <c r="AR621" i="1"/>
  <c r="AQ621" i="1"/>
  <c r="AN621" i="1"/>
  <c r="AK621" i="1"/>
  <c r="AT620" i="1"/>
  <c r="AR620" i="1"/>
  <c r="AQ620" i="1"/>
  <c r="AN620" i="1"/>
  <c r="AK620" i="1"/>
  <c r="AT619" i="1"/>
  <c r="AR619" i="1"/>
  <c r="AQ619" i="1"/>
  <c r="AN619" i="1"/>
  <c r="AK619" i="1"/>
  <c r="AT618" i="1"/>
  <c r="AR618" i="1"/>
  <c r="AQ618" i="1"/>
  <c r="AN618" i="1"/>
  <c r="AK618" i="1"/>
  <c r="AT617" i="1"/>
  <c r="AR617" i="1"/>
  <c r="AQ617" i="1"/>
  <c r="AN617" i="1"/>
  <c r="AK617" i="1"/>
  <c r="AT616" i="1"/>
  <c r="AR616" i="1"/>
  <c r="AQ616" i="1"/>
  <c r="AN616" i="1"/>
  <c r="AK616" i="1"/>
  <c r="AT615" i="1"/>
  <c r="AR615" i="1"/>
  <c r="AQ615" i="1"/>
  <c r="AN615" i="1"/>
  <c r="AK615" i="1"/>
  <c r="AT614" i="1"/>
  <c r="AR614" i="1"/>
  <c r="AQ614" i="1"/>
  <c r="AN614" i="1"/>
  <c r="AK614" i="1"/>
  <c r="AT613" i="1"/>
  <c r="AR613" i="1"/>
  <c r="AQ613" i="1"/>
  <c r="AN613" i="1"/>
  <c r="AK613" i="1"/>
  <c r="AT612" i="1"/>
  <c r="AR612" i="1"/>
  <c r="AQ612" i="1"/>
  <c r="AN612" i="1"/>
  <c r="AK612" i="1"/>
  <c r="AT611" i="1"/>
  <c r="AR611" i="1"/>
  <c r="AQ611" i="1"/>
  <c r="AN611" i="1"/>
  <c r="AK611" i="1"/>
  <c r="AT610" i="1"/>
  <c r="AR610" i="1"/>
  <c r="AQ610" i="1"/>
  <c r="AN610" i="1"/>
  <c r="AK610" i="1"/>
  <c r="AT609" i="1"/>
  <c r="AR609" i="1"/>
  <c r="AQ609" i="1"/>
  <c r="AN609" i="1"/>
  <c r="AK609" i="1"/>
  <c r="AT608" i="1"/>
  <c r="AR608" i="1"/>
  <c r="AQ608" i="1"/>
  <c r="AN608" i="1"/>
  <c r="AK608" i="1"/>
  <c r="AT607" i="1"/>
  <c r="AR607" i="1"/>
  <c r="AQ607" i="1"/>
  <c r="AN607" i="1"/>
  <c r="AK607" i="1"/>
  <c r="AT606" i="1"/>
  <c r="AR606" i="1"/>
  <c r="AQ606" i="1"/>
  <c r="AN606" i="1"/>
  <c r="AK606" i="1"/>
  <c r="AT605" i="1"/>
  <c r="AR605" i="1"/>
  <c r="AQ605" i="1"/>
  <c r="AN605" i="1"/>
  <c r="AK605" i="1"/>
  <c r="AT604" i="1"/>
  <c r="AR604" i="1"/>
  <c r="AQ604" i="1"/>
  <c r="AN604" i="1"/>
  <c r="AK604" i="1"/>
  <c r="AT603" i="1"/>
  <c r="AR603" i="1"/>
  <c r="AQ603" i="1"/>
  <c r="AN603" i="1"/>
  <c r="AK603" i="1"/>
  <c r="AT602" i="1"/>
  <c r="AR602" i="1"/>
  <c r="AQ602" i="1"/>
  <c r="AN602" i="1"/>
  <c r="AK602" i="1"/>
  <c r="AT601" i="1"/>
  <c r="AR601" i="1"/>
  <c r="AQ601" i="1"/>
  <c r="AN601" i="1"/>
  <c r="AK601" i="1"/>
  <c r="AT600" i="1"/>
  <c r="AR600" i="1"/>
  <c r="AQ600" i="1"/>
  <c r="AN600" i="1"/>
  <c r="AK600" i="1"/>
  <c r="AT599" i="1"/>
  <c r="AR599" i="1"/>
  <c r="AQ599" i="1"/>
  <c r="AN599" i="1"/>
  <c r="AK599" i="1"/>
  <c r="AT598" i="1"/>
  <c r="AR598" i="1"/>
  <c r="AQ598" i="1"/>
  <c r="AN598" i="1"/>
  <c r="AK598" i="1"/>
  <c r="AT597" i="1"/>
  <c r="AR597" i="1"/>
  <c r="AQ597" i="1"/>
  <c r="AN597" i="1"/>
  <c r="AK597" i="1"/>
  <c r="AT596" i="1"/>
  <c r="AR596" i="1"/>
  <c r="AQ596" i="1"/>
  <c r="AN596" i="1"/>
  <c r="AK596" i="1"/>
  <c r="AT595" i="1"/>
  <c r="AR595" i="1"/>
  <c r="AQ595" i="1"/>
  <c r="AN595" i="1"/>
  <c r="AK595" i="1"/>
  <c r="AT594" i="1"/>
  <c r="AR594" i="1"/>
  <c r="AQ594" i="1"/>
  <c r="AN594" i="1"/>
  <c r="AK594" i="1"/>
  <c r="AT593" i="1"/>
  <c r="AR593" i="1"/>
  <c r="AQ593" i="1"/>
  <c r="AN593" i="1"/>
  <c r="AK593" i="1"/>
  <c r="AT592" i="1"/>
  <c r="AR592" i="1"/>
  <c r="AQ592" i="1"/>
  <c r="AN592" i="1"/>
  <c r="AK592" i="1"/>
  <c r="AT591" i="1"/>
  <c r="AR591" i="1"/>
  <c r="AQ591" i="1"/>
  <c r="AN591" i="1"/>
  <c r="AK591" i="1"/>
  <c r="AT590" i="1"/>
  <c r="AR590" i="1"/>
  <c r="AQ590" i="1"/>
  <c r="AN590" i="1"/>
  <c r="AK590" i="1"/>
  <c r="AT589" i="1"/>
  <c r="AR589" i="1"/>
  <c r="AQ589" i="1"/>
  <c r="AN589" i="1"/>
  <c r="AK589" i="1"/>
  <c r="AT588" i="1"/>
  <c r="AR588" i="1"/>
  <c r="AQ588" i="1"/>
  <c r="AN588" i="1"/>
  <c r="AK588" i="1"/>
  <c r="AT587" i="1"/>
  <c r="AR587" i="1"/>
  <c r="AQ587" i="1"/>
  <c r="AN587" i="1"/>
  <c r="AK587" i="1"/>
  <c r="AT586" i="1"/>
  <c r="AR586" i="1"/>
  <c r="AQ586" i="1"/>
  <c r="AN586" i="1"/>
  <c r="AK586" i="1"/>
  <c r="AT585" i="1"/>
  <c r="AR585" i="1"/>
  <c r="AQ585" i="1"/>
  <c r="AN585" i="1"/>
  <c r="AK585" i="1"/>
  <c r="AT584" i="1"/>
  <c r="AR584" i="1"/>
  <c r="AQ584" i="1"/>
  <c r="AN584" i="1"/>
  <c r="AK584" i="1"/>
  <c r="AT583" i="1"/>
  <c r="AR583" i="1"/>
  <c r="AQ583" i="1"/>
  <c r="AN583" i="1"/>
  <c r="AK583" i="1"/>
  <c r="AT582" i="1"/>
  <c r="AR582" i="1"/>
  <c r="AQ582" i="1"/>
  <c r="AN582" i="1"/>
  <c r="AK582" i="1"/>
  <c r="AT581" i="1"/>
  <c r="AR581" i="1"/>
  <c r="AQ581" i="1"/>
  <c r="AN581" i="1"/>
  <c r="AK581" i="1"/>
  <c r="AT580" i="1"/>
  <c r="AR580" i="1"/>
  <c r="AQ580" i="1"/>
  <c r="AN580" i="1"/>
  <c r="AK580" i="1"/>
  <c r="AT579" i="1"/>
  <c r="AR579" i="1"/>
  <c r="AQ579" i="1"/>
  <c r="AN579" i="1"/>
  <c r="AK579" i="1"/>
  <c r="AT578" i="1"/>
  <c r="AR578" i="1"/>
  <c r="AQ578" i="1"/>
  <c r="AN578" i="1"/>
  <c r="AK578" i="1"/>
  <c r="AT577" i="1"/>
  <c r="AR577" i="1"/>
  <c r="AQ577" i="1"/>
  <c r="AN577" i="1"/>
  <c r="AK577" i="1"/>
  <c r="AT576" i="1"/>
  <c r="AR576" i="1"/>
  <c r="AQ576" i="1"/>
  <c r="AN576" i="1"/>
  <c r="AK576" i="1"/>
  <c r="AT575" i="1"/>
  <c r="AR575" i="1"/>
  <c r="AQ575" i="1"/>
  <c r="AN575" i="1"/>
  <c r="AK575" i="1"/>
  <c r="AT574" i="1"/>
  <c r="AR574" i="1"/>
  <c r="AQ574" i="1"/>
  <c r="AN574" i="1"/>
  <c r="AK574" i="1"/>
  <c r="AT573" i="1"/>
  <c r="AR573" i="1"/>
  <c r="AQ573" i="1"/>
  <c r="AN573" i="1"/>
  <c r="AK573" i="1"/>
  <c r="AT572" i="1"/>
  <c r="AR572" i="1"/>
  <c r="AQ572" i="1"/>
  <c r="AN572" i="1"/>
  <c r="AK572" i="1"/>
  <c r="AT571" i="1"/>
  <c r="AR571" i="1"/>
  <c r="AQ571" i="1"/>
  <c r="AN571" i="1"/>
  <c r="AK571" i="1"/>
  <c r="AT570" i="1"/>
  <c r="AR570" i="1"/>
  <c r="AQ570" i="1"/>
  <c r="AN570" i="1"/>
  <c r="AK570" i="1"/>
  <c r="AT569" i="1"/>
  <c r="AR569" i="1"/>
  <c r="AQ569" i="1"/>
  <c r="AN569" i="1"/>
  <c r="AK569" i="1"/>
  <c r="AT568" i="1"/>
  <c r="AR568" i="1"/>
  <c r="AQ568" i="1"/>
  <c r="AN568" i="1"/>
  <c r="AK568" i="1"/>
  <c r="AT567" i="1"/>
  <c r="AR567" i="1"/>
  <c r="AQ567" i="1"/>
  <c r="AN567" i="1"/>
  <c r="AK567" i="1"/>
  <c r="AT566" i="1"/>
  <c r="AR566" i="1"/>
  <c r="AQ566" i="1"/>
  <c r="AN566" i="1"/>
  <c r="AK566" i="1"/>
  <c r="AT565" i="1"/>
  <c r="AR565" i="1"/>
  <c r="AQ565" i="1"/>
  <c r="AN565" i="1"/>
  <c r="AK565" i="1"/>
  <c r="AT564" i="1"/>
  <c r="AR564" i="1"/>
  <c r="AQ564" i="1"/>
  <c r="AN564" i="1"/>
  <c r="AK564" i="1"/>
  <c r="AT563" i="1"/>
  <c r="AR563" i="1"/>
  <c r="AQ563" i="1"/>
  <c r="AN563" i="1"/>
  <c r="AK563" i="1"/>
  <c r="AT562" i="1"/>
  <c r="AR562" i="1"/>
  <c r="AQ562" i="1"/>
  <c r="AN562" i="1"/>
  <c r="AK562" i="1"/>
  <c r="AT561" i="1"/>
  <c r="AR561" i="1"/>
  <c r="AQ561" i="1"/>
  <c r="AN561" i="1"/>
  <c r="AK561" i="1"/>
  <c r="AT560" i="1"/>
  <c r="AR560" i="1"/>
  <c r="AQ560" i="1"/>
  <c r="AN560" i="1"/>
  <c r="AK560" i="1"/>
  <c r="AT559" i="1"/>
  <c r="AR559" i="1"/>
  <c r="AQ559" i="1"/>
  <c r="AN559" i="1"/>
  <c r="AK559" i="1"/>
  <c r="AT558" i="1"/>
  <c r="AR558" i="1"/>
  <c r="AQ558" i="1"/>
  <c r="AN558" i="1"/>
  <c r="AK558" i="1"/>
  <c r="AT557" i="1"/>
  <c r="AR557" i="1"/>
  <c r="AQ557" i="1"/>
  <c r="AN557" i="1"/>
  <c r="AK557" i="1"/>
  <c r="AT556" i="1"/>
  <c r="AR556" i="1"/>
  <c r="AQ556" i="1"/>
  <c r="AN556" i="1"/>
  <c r="AK556" i="1"/>
  <c r="AT555" i="1"/>
  <c r="AR555" i="1"/>
  <c r="AQ555" i="1"/>
  <c r="AN555" i="1"/>
  <c r="AK555" i="1"/>
  <c r="AT554" i="1"/>
  <c r="AR554" i="1"/>
  <c r="AQ554" i="1"/>
  <c r="AN554" i="1"/>
  <c r="AK554" i="1"/>
  <c r="AT553" i="1"/>
  <c r="AR553" i="1"/>
  <c r="AQ553" i="1"/>
  <c r="AN553" i="1"/>
  <c r="AK553" i="1"/>
  <c r="AT552" i="1"/>
  <c r="AR552" i="1"/>
  <c r="AQ552" i="1"/>
  <c r="AN552" i="1"/>
  <c r="AK552" i="1"/>
  <c r="AT551" i="1"/>
  <c r="AR551" i="1"/>
  <c r="AQ551" i="1"/>
  <c r="AN551" i="1"/>
  <c r="AK551" i="1"/>
  <c r="AT550" i="1"/>
  <c r="AR550" i="1"/>
  <c r="AQ550" i="1"/>
  <c r="AN550" i="1"/>
  <c r="AK550" i="1"/>
  <c r="AT549" i="1"/>
  <c r="AR549" i="1"/>
  <c r="AQ549" i="1"/>
  <c r="AN549" i="1"/>
  <c r="AK549" i="1"/>
  <c r="AT548" i="1"/>
  <c r="AR548" i="1"/>
  <c r="AQ548" i="1"/>
  <c r="AN548" i="1"/>
  <c r="AK548" i="1"/>
  <c r="AT547" i="1"/>
  <c r="AR547" i="1"/>
  <c r="AQ547" i="1"/>
  <c r="AN547" i="1"/>
  <c r="AK547" i="1"/>
  <c r="AT546" i="1"/>
  <c r="AR546" i="1"/>
  <c r="AQ546" i="1"/>
  <c r="AN546" i="1"/>
  <c r="AK546" i="1"/>
  <c r="AT545" i="1"/>
  <c r="AR545" i="1"/>
  <c r="AQ545" i="1"/>
  <c r="AN545" i="1"/>
  <c r="AK545" i="1"/>
  <c r="AT544" i="1"/>
  <c r="AR544" i="1"/>
  <c r="AQ544" i="1"/>
  <c r="AN544" i="1"/>
  <c r="AK544" i="1"/>
  <c r="AT543" i="1"/>
  <c r="AR543" i="1"/>
  <c r="AQ543" i="1"/>
  <c r="AN543" i="1"/>
  <c r="AK543" i="1"/>
  <c r="AT542" i="1"/>
  <c r="AR542" i="1"/>
  <c r="AQ542" i="1"/>
  <c r="AN542" i="1"/>
  <c r="AK542" i="1"/>
  <c r="AT541" i="1"/>
  <c r="AR541" i="1"/>
  <c r="AQ541" i="1"/>
  <c r="AN541" i="1"/>
  <c r="AK541" i="1"/>
  <c r="AT540" i="1"/>
  <c r="AR540" i="1"/>
  <c r="AQ540" i="1"/>
  <c r="AN540" i="1"/>
  <c r="AK540" i="1"/>
  <c r="AT539" i="1"/>
  <c r="AR539" i="1"/>
  <c r="AQ539" i="1"/>
  <c r="AN539" i="1"/>
  <c r="AK539" i="1"/>
  <c r="AT538" i="1"/>
  <c r="AR538" i="1"/>
  <c r="AQ538" i="1"/>
  <c r="AN538" i="1"/>
  <c r="AK538" i="1"/>
  <c r="AT537" i="1"/>
  <c r="AR537" i="1"/>
  <c r="AQ537" i="1"/>
  <c r="AN537" i="1"/>
  <c r="AK537" i="1"/>
  <c r="AT536" i="1"/>
  <c r="AR536" i="1"/>
  <c r="AQ536" i="1"/>
  <c r="AN536" i="1"/>
  <c r="AK536" i="1"/>
  <c r="AT535" i="1"/>
  <c r="AR535" i="1"/>
  <c r="AQ535" i="1"/>
  <c r="AN535" i="1"/>
  <c r="AK535" i="1"/>
  <c r="AT534" i="1"/>
  <c r="AR534" i="1"/>
  <c r="AQ534" i="1"/>
  <c r="AN534" i="1"/>
  <c r="AK534" i="1"/>
  <c r="AT533" i="1"/>
  <c r="AR533" i="1"/>
  <c r="AQ533" i="1"/>
  <c r="AN533" i="1"/>
  <c r="AK533" i="1"/>
  <c r="AT532" i="1"/>
  <c r="AR532" i="1"/>
  <c r="AQ532" i="1"/>
  <c r="AN532" i="1"/>
  <c r="AK532" i="1"/>
  <c r="AT531" i="1"/>
  <c r="AR531" i="1"/>
  <c r="AQ531" i="1"/>
  <c r="AN531" i="1"/>
  <c r="AK531" i="1"/>
  <c r="AT530" i="1"/>
  <c r="AR530" i="1"/>
  <c r="AQ530" i="1"/>
  <c r="AN530" i="1"/>
  <c r="AK530" i="1"/>
  <c r="AT529" i="1"/>
  <c r="AR529" i="1"/>
  <c r="AQ529" i="1"/>
  <c r="AN529" i="1"/>
  <c r="AK529" i="1"/>
  <c r="AT528" i="1"/>
  <c r="AR528" i="1"/>
  <c r="AQ528" i="1"/>
  <c r="AN528" i="1"/>
  <c r="AK528" i="1"/>
  <c r="AT527" i="1"/>
  <c r="AR527" i="1"/>
  <c r="AQ527" i="1"/>
  <c r="AN527" i="1"/>
  <c r="AK527" i="1"/>
  <c r="AT526" i="1"/>
  <c r="AR526" i="1"/>
  <c r="AQ526" i="1"/>
  <c r="AN526" i="1"/>
  <c r="AK526" i="1"/>
  <c r="AT525" i="1"/>
  <c r="AR525" i="1"/>
  <c r="AQ525" i="1"/>
  <c r="AN525" i="1"/>
  <c r="AK525" i="1"/>
  <c r="AT524" i="1"/>
  <c r="AR524" i="1"/>
  <c r="AQ524" i="1"/>
  <c r="AN524" i="1"/>
  <c r="AK524" i="1"/>
  <c r="AT523" i="1"/>
  <c r="AR523" i="1"/>
  <c r="AQ523" i="1"/>
  <c r="AN523" i="1"/>
  <c r="AK523" i="1"/>
  <c r="AT522" i="1"/>
  <c r="AR522" i="1"/>
  <c r="AQ522" i="1"/>
  <c r="AN522" i="1"/>
  <c r="AK522" i="1"/>
  <c r="AT521" i="1"/>
  <c r="AR521" i="1"/>
  <c r="AQ521" i="1"/>
  <c r="AN521" i="1"/>
  <c r="AK521" i="1"/>
  <c r="AT520" i="1"/>
  <c r="AR520" i="1"/>
  <c r="AQ520" i="1"/>
  <c r="AN520" i="1"/>
  <c r="AK520" i="1"/>
  <c r="AT519" i="1"/>
  <c r="AR519" i="1"/>
  <c r="AQ519" i="1"/>
  <c r="AN519" i="1"/>
  <c r="AK519" i="1"/>
  <c r="AT518" i="1"/>
  <c r="AR518" i="1"/>
  <c r="AQ518" i="1"/>
  <c r="AN518" i="1"/>
  <c r="AK518" i="1"/>
  <c r="AT517" i="1"/>
  <c r="AR517" i="1"/>
  <c r="AQ517" i="1"/>
  <c r="AN517" i="1"/>
  <c r="AK517" i="1"/>
  <c r="AT516" i="1"/>
  <c r="AR516" i="1"/>
  <c r="AQ516" i="1"/>
  <c r="AN516" i="1"/>
  <c r="AK516" i="1"/>
  <c r="AT515" i="1"/>
  <c r="AR515" i="1"/>
  <c r="AQ515" i="1"/>
  <c r="AN515" i="1"/>
  <c r="AK515" i="1"/>
  <c r="AT514" i="1"/>
  <c r="AR514" i="1"/>
  <c r="AQ514" i="1"/>
  <c r="AN514" i="1"/>
  <c r="AK514" i="1"/>
  <c r="AT513" i="1"/>
  <c r="AR513" i="1"/>
  <c r="AQ513" i="1"/>
  <c r="AN513" i="1"/>
  <c r="AK513" i="1"/>
  <c r="AT512" i="1"/>
  <c r="AR512" i="1"/>
  <c r="AQ512" i="1"/>
  <c r="AN512" i="1"/>
  <c r="AK512" i="1"/>
  <c r="AT511" i="1"/>
  <c r="AR511" i="1"/>
  <c r="AQ511" i="1"/>
  <c r="AN511" i="1"/>
  <c r="AK511" i="1"/>
  <c r="AT510" i="1"/>
  <c r="AR510" i="1"/>
  <c r="AQ510" i="1"/>
  <c r="AN510" i="1"/>
  <c r="AK510" i="1"/>
  <c r="AT509" i="1"/>
  <c r="AR509" i="1"/>
  <c r="AQ509" i="1"/>
  <c r="AN509" i="1"/>
  <c r="AK509" i="1"/>
  <c r="AT508" i="1"/>
  <c r="AR508" i="1"/>
  <c r="AQ508" i="1"/>
  <c r="AN508" i="1"/>
  <c r="AK508" i="1"/>
  <c r="AT507" i="1"/>
  <c r="AR507" i="1"/>
  <c r="AQ507" i="1"/>
  <c r="AN507" i="1"/>
  <c r="AK507" i="1"/>
  <c r="AT506" i="1"/>
  <c r="AR506" i="1"/>
  <c r="AQ506" i="1"/>
  <c r="AN506" i="1"/>
  <c r="AK506" i="1"/>
  <c r="AT505" i="1"/>
  <c r="AR505" i="1"/>
  <c r="AQ505" i="1"/>
  <c r="AN505" i="1"/>
  <c r="AK505" i="1"/>
  <c r="AT504" i="1"/>
  <c r="AR504" i="1"/>
  <c r="AQ504" i="1"/>
  <c r="AN504" i="1"/>
  <c r="AK504" i="1"/>
  <c r="AT503" i="1"/>
  <c r="AR503" i="1"/>
  <c r="AQ503" i="1"/>
  <c r="AN503" i="1"/>
  <c r="AK503" i="1"/>
  <c r="AT502" i="1"/>
  <c r="AR502" i="1"/>
  <c r="AQ502" i="1"/>
  <c r="AN502" i="1"/>
  <c r="AK502" i="1"/>
  <c r="AT501" i="1"/>
  <c r="AR501" i="1"/>
  <c r="AQ501" i="1"/>
  <c r="AN501" i="1"/>
  <c r="AK501" i="1"/>
  <c r="AT500" i="1"/>
  <c r="AR500" i="1"/>
  <c r="AQ500" i="1"/>
  <c r="AN500" i="1"/>
  <c r="AK500" i="1"/>
  <c r="AT499" i="1"/>
  <c r="AR499" i="1"/>
  <c r="AQ499" i="1"/>
  <c r="AN499" i="1"/>
  <c r="AK499" i="1"/>
  <c r="AT498" i="1"/>
  <c r="AR498" i="1"/>
  <c r="AQ498" i="1"/>
  <c r="AN498" i="1"/>
  <c r="AK498" i="1"/>
  <c r="AT497" i="1"/>
  <c r="AR497" i="1"/>
  <c r="AQ497" i="1"/>
  <c r="AN497" i="1"/>
  <c r="AK497" i="1"/>
  <c r="AT496" i="1"/>
  <c r="AR496" i="1"/>
  <c r="AQ496" i="1"/>
  <c r="AN496" i="1"/>
  <c r="AK496" i="1"/>
  <c r="AT495" i="1"/>
  <c r="AR495" i="1"/>
  <c r="AQ495" i="1"/>
  <c r="AN495" i="1"/>
  <c r="AK495" i="1"/>
  <c r="AT494" i="1"/>
  <c r="AR494" i="1"/>
  <c r="AQ494" i="1"/>
  <c r="AN494" i="1"/>
  <c r="AK494" i="1"/>
  <c r="AT493" i="1"/>
  <c r="AR493" i="1"/>
  <c r="AQ493" i="1"/>
  <c r="AN493" i="1"/>
  <c r="AK493" i="1"/>
  <c r="AT492" i="1"/>
  <c r="AR492" i="1"/>
  <c r="AQ492" i="1"/>
  <c r="AN492" i="1"/>
  <c r="AK492" i="1"/>
  <c r="AT491" i="1"/>
  <c r="AR491" i="1"/>
  <c r="AQ491" i="1"/>
  <c r="AN491" i="1"/>
  <c r="AK491" i="1"/>
  <c r="AT490" i="1"/>
  <c r="AR490" i="1"/>
  <c r="AQ490" i="1"/>
  <c r="AN490" i="1"/>
  <c r="AK490" i="1"/>
  <c r="AT489" i="1"/>
  <c r="AR489" i="1"/>
  <c r="AQ489" i="1"/>
  <c r="AN489" i="1"/>
  <c r="AK489" i="1"/>
  <c r="AT488" i="1"/>
  <c r="AR488" i="1"/>
  <c r="AQ488" i="1"/>
  <c r="AN488" i="1"/>
  <c r="AK488" i="1"/>
  <c r="AT487" i="1"/>
  <c r="AR487" i="1"/>
  <c r="AQ487" i="1"/>
  <c r="AN487" i="1"/>
  <c r="AK487" i="1"/>
  <c r="AT486" i="1"/>
  <c r="AR486" i="1"/>
  <c r="AQ486" i="1"/>
  <c r="AN486" i="1"/>
  <c r="AK486" i="1"/>
  <c r="AT485" i="1"/>
  <c r="AR485" i="1"/>
  <c r="AQ485" i="1"/>
  <c r="AN485" i="1"/>
  <c r="AK485" i="1"/>
  <c r="AT484" i="1"/>
  <c r="AR484" i="1"/>
  <c r="AQ484" i="1"/>
  <c r="AN484" i="1"/>
  <c r="AK484" i="1"/>
  <c r="AT483" i="1"/>
  <c r="AR483" i="1"/>
  <c r="AQ483" i="1"/>
  <c r="AN483" i="1"/>
  <c r="AK483" i="1"/>
  <c r="AT482" i="1"/>
  <c r="AR482" i="1"/>
  <c r="AQ482" i="1"/>
  <c r="AN482" i="1"/>
  <c r="AK482" i="1"/>
  <c r="AT481" i="1"/>
  <c r="AR481" i="1"/>
  <c r="AQ481" i="1"/>
  <c r="AN481" i="1"/>
  <c r="AK481" i="1"/>
  <c r="AT480" i="1"/>
  <c r="AR480" i="1"/>
  <c r="AQ480" i="1"/>
  <c r="AN480" i="1"/>
  <c r="AK480" i="1"/>
  <c r="AT479" i="1"/>
  <c r="AR479" i="1"/>
  <c r="AQ479" i="1"/>
  <c r="AN479" i="1"/>
  <c r="AK479" i="1"/>
  <c r="AT478" i="1"/>
  <c r="AR478" i="1"/>
  <c r="AQ478" i="1"/>
  <c r="AN478" i="1"/>
  <c r="AK478" i="1"/>
  <c r="AT477" i="1"/>
  <c r="AR477" i="1"/>
  <c r="AQ477" i="1"/>
  <c r="AN477" i="1"/>
  <c r="AK477" i="1"/>
  <c r="AT476" i="1"/>
  <c r="AR476" i="1"/>
  <c r="AQ476" i="1"/>
  <c r="AN476" i="1"/>
  <c r="AK476" i="1"/>
  <c r="AT475" i="1"/>
  <c r="AR475" i="1"/>
  <c r="AQ475" i="1"/>
  <c r="AN475" i="1"/>
  <c r="AK475" i="1"/>
  <c r="AT474" i="1"/>
  <c r="AR474" i="1"/>
  <c r="AQ474" i="1"/>
  <c r="AN474" i="1"/>
  <c r="AK474" i="1"/>
  <c r="AT473" i="1"/>
  <c r="AR473" i="1"/>
  <c r="AQ473" i="1"/>
  <c r="AN473" i="1"/>
  <c r="AK473" i="1"/>
  <c r="AT472" i="1"/>
  <c r="AR472" i="1"/>
  <c r="AQ472" i="1"/>
  <c r="AN472" i="1"/>
  <c r="AK472" i="1"/>
  <c r="AT471" i="1"/>
  <c r="AR471" i="1"/>
  <c r="AQ471" i="1"/>
  <c r="AN471" i="1"/>
  <c r="AK471" i="1"/>
  <c r="AT470" i="1"/>
  <c r="AR470" i="1"/>
  <c r="AQ470" i="1"/>
  <c r="AN470" i="1"/>
  <c r="AK470" i="1"/>
  <c r="AT469" i="1"/>
  <c r="AR469" i="1"/>
  <c r="AQ469" i="1"/>
  <c r="AN469" i="1"/>
  <c r="AK469" i="1"/>
  <c r="AT468" i="1"/>
  <c r="AR468" i="1"/>
  <c r="AQ468" i="1"/>
  <c r="AN468" i="1"/>
  <c r="AK468" i="1"/>
  <c r="AT467" i="1"/>
  <c r="AR467" i="1"/>
  <c r="AQ467" i="1"/>
  <c r="AN467" i="1"/>
  <c r="AK467" i="1"/>
  <c r="AT466" i="1"/>
  <c r="AR466" i="1"/>
  <c r="AQ466" i="1"/>
  <c r="AN466" i="1"/>
  <c r="AK466" i="1"/>
  <c r="AT465" i="1"/>
  <c r="AR465" i="1"/>
  <c r="AQ465" i="1"/>
  <c r="AN465" i="1"/>
  <c r="AK465" i="1"/>
  <c r="AT464" i="1"/>
  <c r="AR464" i="1"/>
  <c r="AQ464" i="1"/>
  <c r="AN464" i="1"/>
  <c r="AK464" i="1"/>
  <c r="AT463" i="1"/>
  <c r="AR463" i="1"/>
  <c r="AQ463" i="1"/>
  <c r="AN463" i="1"/>
  <c r="AK463" i="1"/>
  <c r="AT462" i="1"/>
  <c r="AR462" i="1"/>
  <c r="AQ462" i="1"/>
  <c r="AN462" i="1"/>
  <c r="AK462" i="1"/>
  <c r="AT461" i="1"/>
  <c r="AR461" i="1"/>
  <c r="AQ461" i="1"/>
  <c r="AN461" i="1"/>
  <c r="AK461" i="1"/>
  <c r="AT460" i="1"/>
  <c r="AR460" i="1"/>
  <c r="AQ460" i="1"/>
  <c r="AN460" i="1"/>
  <c r="AK460" i="1"/>
  <c r="AT459" i="1"/>
  <c r="AR459" i="1"/>
  <c r="AQ459" i="1"/>
  <c r="AN459" i="1"/>
  <c r="AK459" i="1"/>
  <c r="AT458" i="1"/>
  <c r="AR458" i="1"/>
  <c r="AQ458" i="1"/>
  <c r="AN458" i="1"/>
  <c r="AK458" i="1"/>
  <c r="AT457" i="1"/>
  <c r="AR457" i="1"/>
  <c r="AQ457" i="1"/>
  <c r="AN457" i="1"/>
  <c r="AK457" i="1"/>
  <c r="AT456" i="1"/>
  <c r="AR456" i="1"/>
  <c r="AQ456" i="1"/>
  <c r="AN456" i="1"/>
  <c r="AK456" i="1"/>
  <c r="AT455" i="1"/>
  <c r="AR455" i="1"/>
  <c r="AQ455" i="1"/>
  <c r="AN455" i="1"/>
  <c r="AK455" i="1"/>
  <c r="AT454" i="1"/>
  <c r="AR454" i="1"/>
  <c r="AQ454" i="1"/>
  <c r="AN454" i="1"/>
  <c r="AK454" i="1"/>
  <c r="AT453" i="1"/>
  <c r="AR453" i="1"/>
  <c r="AQ453" i="1"/>
  <c r="AN453" i="1"/>
  <c r="AK453" i="1"/>
  <c r="AT452" i="1"/>
  <c r="AR452" i="1"/>
  <c r="AQ452" i="1"/>
  <c r="AN452" i="1"/>
  <c r="AK452" i="1"/>
  <c r="AT451" i="1"/>
  <c r="AR451" i="1"/>
  <c r="AQ451" i="1"/>
  <c r="AN451" i="1"/>
  <c r="AK451" i="1"/>
  <c r="AT450" i="1"/>
  <c r="AR450" i="1"/>
  <c r="AQ450" i="1"/>
  <c r="AN450" i="1"/>
  <c r="AK450" i="1"/>
  <c r="AT449" i="1"/>
  <c r="AR449" i="1"/>
  <c r="AQ449" i="1"/>
  <c r="AN449" i="1"/>
  <c r="AK449" i="1"/>
  <c r="AT448" i="1"/>
  <c r="AR448" i="1"/>
  <c r="AQ448" i="1"/>
  <c r="AN448" i="1"/>
  <c r="AK448" i="1"/>
  <c r="AT447" i="1"/>
  <c r="AR447" i="1"/>
  <c r="AQ447" i="1"/>
  <c r="AN447" i="1"/>
  <c r="AK447" i="1"/>
  <c r="AT446" i="1"/>
  <c r="AR446" i="1"/>
  <c r="AQ446" i="1"/>
  <c r="AN446" i="1"/>
  <c r="AK446" i="1"/>
  <c r="AT445" i="1"/>
  <c r="AR445" i="1"/>
  <c r="AQ445" i="1"/>
  <c r="AN445" i="1"/>
  <c r="AK445" i="1"/>
  <c r="AT444" i="1"/>
  <c r="AR444" i="1"/>
  <c r="AQ444" i="1"/>
  <c r="AN444" i="1"/>
  <c r="AK444" i="1"/>
  <c r="AT443" i="1"/>
  <c r="AR443" i="1"/>
  <c r="AQ443" i="1"/>
  <c r="AN443" i="1"/>
  <c r="AK443" i="1"/>
  <c r="AT442" i="1"/>
  <c r="AR442" i="1"/>
  <c r="AQ442" i="1"/>
  <c r="AN442" i="1"/>
  <c r="AK442" i="1"/>
  <c r="AT441" i="1"/>
  <c r="AR441" i="1"/>
  <c r="AQ441" i="1"/>
  <c r="AN441" i="1"/>
  <c r="AK441" i="1"/>
  <c r="AT440" i="1"/>
  <c r="AR440" i="1"/>
  <c r="AQ440" i="1"/>
  <c r="AN440" i="1"/>
  <c r="AK440" i="1"/>
  <c r="AT439" i="1"/>
  <c r="AR439" i="1"/>
  <c r="AQ439" i="1"/>
  <c r="AN439" i="1"/>
  <c r="AK439" i="1"/>
  <c r="AT438" i="1"/>
  <c r="AR438" i="1"/>
  <c r="AQ438" i="1"/>
  <c r="AN438" i="1"/>
  <c r="AK438" i="1"/>
  <c r="AT437" i="1"/>
  <c r="AR437" i="1"/>
  <c r="AQ437" i="1"/>
  <c r="AN437" i="1"/>
  <c r="AK437" i="1"/>
  <c r="AT436" i="1"/>
  <c r="AR436" i="1"/>
  <c r="AQ436" i="1"/>
  <c r="AN436" i="1"/>
  <c r="AK436" i="1"/>
  <c r="AT435" i="1"/>
  <c r="AR435" i="1"/>
  <c r="AQ435" i="1"/>
  <c r="AN435" i="1"/>
  <c r="AK435" i="1"/>
  <c r="AT434" i="1"/>
  <c r="AR434" i="1"/>
  <c r="AQ434" i="1"/>
  <c r="AN434" i="1"/>
  <c r="AK434" i="1"/>
  <c r="AT433" i="1"/>
  <c r="AR433" i="1"/>
  <c r="AQ433" i="1"/>
  <c r="AN433" i="1"/>
  <c r="AK433" i="1"/>
  <c r="AT432" i="1"/>
  <c r="AR432" i="1"/>
  <c r="AQ432" i="1"/>
  <c r="AN432" i="1"/>
  <c r="AK432" i="1"/>
  <c r="AT431" i="1"/>
  <c r="AR431" i="1"/>
  <c r="AQ431" i="1"/>
  <c r="AN431" i="1"/>
  <c r="AK431" i="1"/>
  <c r="AT430" i="1"/>
  <c r="AR430" i="1"/>
  <c r="AQ430" i="1"/>
  <c r="AN430" i="1"/>
  <c r="AK430" i="1"/>
  <c r="AT429" i="1"/>
  <c r="AR429" i="1"/>
  <c r="AQ429" i="1"/>
  <c r="AN429" i="1"/>
  <c r="AK429" i="1"/>
  <c r="AT428" i="1"/>
  <c r="AR428" i="1"/>
  <c r="AQ428" i="1"/>
  <c r="AN428" i="1"/>
  <c r="AK428" i="1"/>
  <c r="AT427" i="1"/>
  <c r="AR427" i="1"/>
  <c r="AQ427" i="1"/>
  <c r="AN427" i="1"/>
  <c r="AK427" i="1"/>
  <c r="AT426" i="1"/>
  <c r="AR426" i="1"/>
  <c r="AQ426" i="1"/>
  <c r="AN426" i="1"/>
  <c r="AK426" i="1"/>
  <c r="AT425" i="1"/>
  <c r="AR425" i="1"/>
  <c r="AQ425" i="1"/>
  <c r="AN425" i="1"/>
  <c r="AK425" i="1"/>
  <c r="AT424" i="1"/>
  <c r="AR424" i="1"/>
  <c r="AQ424" i="1"/>
  <c r="AN424" i="1"/>
  <c r="AK424" i="1"/>
  <c r="AT423" i="1"/>
  <c r="AR423" i="1"/>
  <c r="AQ423" i="1"/>
  <c r="AN423" i="1"/>
  <c r="AK423" i="1"/>
  <c r="AT422" i="1"/>
  <c r="AR422" i="1"/>
  <c r="AQ422" i="1"/>
  <c r="AN422" i="1"/>
  <c r="AK422" i="1"/>
  <c r="AT421" i="1"/>
  <c r="AR421" i="1"/>
  <c r="AQ421" i="1"/>
  <c r="AN421" i="1"/>
  <c r="AK421" i="1"/>
  <c r="AT420" i="1"/>
  <c r="AR420" i="1"/>
  <c r="AQ420" i="1"/>
  <c r="AN420" i="1"/>
  <c r="AK420" i="1"/>
  <c r="AT419" i="1"/>
  <c r="AR419" i="1"/>
  <c r="AQ419" i="1"/>
  <c r="AN419" i="1"/>
  <c r="AK419" i="1"/>
  <c r="AT418" i="1"/>
  <c r="AR418" i="1"/>
  <c r="AQ418" i="1"/>
  <c r="AN418" i="1"/>
  <c r="AK418" i="1"/>
  <c r="AT417" i="1"/>
  <c r="AR417" i="1"/>
  <c r="AQ417" i="1"/>
  <c r="AN417" i="1"/>
  <c r="AK417" i="1"/>
  <c r="AT416" i="1"/>
  <c r="AR416" i="1"/>
  <c r="AQ416" i="1"/>
  <c r="AN416" i="1"/>
  <c r="AK416" i="1"/>
  <c r="AT415" i="1"/>
  <c r="AR415" i="1"/>
  <c r="AQ415" i="1"/>
  <c r="AN415" i="1"/>
  <c r="AK415" i="1"/>
  <c r="AT414" i="1"/>
  <c r="AR414" i="1"/>
  <c r="AQ414" i="1"/>
  <c r="AN414" i="1"/>
  <c r="AK414" i="1"/>
  <c r="AT413" i="1"/>
  <c r="AR413" i="1"/>
  <c r="AQ413" i="1"/>
  <c r="AN413" i="1"/>
  <c r="AK413" i="1"/>
  <c r="AT412" i="1"/>
  <c r="AR412" i="1"/>
  <c r="AQ412" i="1"/>
  <c r="AN412" i="1"/>
  <c r="AK412" i="1"/>
  <c r="AT411" i="1"/>
  <c r="AR411" i="1"/>
  <c r="AQ411" i="1"/>
  <c r="AN411" i="1"/>
  <c r="AK411" i="1"/>
  <c r="AT410" i="1"/>
  <c r="AR410" i="1"/>
  <c r="AQ410" i="1"/>
  <c r="AN410" i="1"/>
  <c r="AK410" i="1"/>
  <c r="AT409" i="1"/>
  <c r="AR409" i="1"/>
  <c r="AQ409" i="1"/>
  <c r="AN409" i="1"/>
  <c r="AK409" i="1"/>
  <c r="AT408" i="1"/>
  <c r="AR408" i="1"/>
  <c r="AQ408" i="1"/>
  <c r="AN408" i="1"/>
  <c r="AK408" i="1"/>
  <c r="AT407" i="1"/>
  <c r="AR407" i="1"/>
  <c r="AQ407" i="1"/>
  <c r="AN407" i="1"/>
  <c r="AK407" i="1"/>
  <c r="AT406" i="1"/>
  <c r="AR406" i="1"/>
  <c r="AQ406" i="1"/>
  <c r="AN406" i="1"/>
  <c r="AK406" i="1"/>
  <c r="AT405" i="1"/>
  <c r="AR405" i="1"/>
  <c r="AQ405" i="1"/>
  <c r="AN405" i="1"/>
  <c r="AK405" i="1"/>
  <c r="AT404" i="1"/>
  <c r="AR404" i="1"/>
  <c r="AQ404" i="1"/>
  <c r="AN404" i="1"/>
  <c r="AK404" i="1"/>
  <c r="AT403" i="1"/>
  <c r="AR403" i="1"/>
  <c r="AQ403" i="1"/>
  <c r="AN403" i="1"/>
  <c r="AK403" i="1"/>
  <c r="AT402" i="1"/>
  <c r="AR402" i="1"/>
  <c r="AQ402" i="1"/>
  <c r="AN402" i="1"/>
  <c r="AK402" i="1"/>
  <c r="AT401" i="1"/>
  <c r="AR401" i="1"/>
  <c r="AQ401" i="1"/>
  <c r="AN401" i="1"/>
  <c r="AK401" i="1"/>
  <c r="AT400" i="1"/>
  <c r="AR400" i="1"/>
  <c r="AQ400" i="1"/>
  <c r="AN400" i="1"/>
  <c r="AK400" i="1"/>
  <c r="AT399" i="1"/>
  <c r="AR399" i="1"/>
  <c r="AQ399" i="1"/>
  <c r="AN399" i="1"/>
  <c r="AK399" i="1"/>
  <c r="AT398" i="1"/>
  <c r="AR398" i="1"/>
  <c r="AQ398" i="1"/>
  <c r="AN398" i="1"/>
  <c r="AK398" i="1"/>
  <c r="AT397" i="1"/>
  <c r="AR397" i="1"/>
  <c r="AQ397" i="1"/>
  <c r="AN397" i="1"/>
  <c r="AK397" i="1"/>
  <c r="AT396" i="1"/>
  <c r="AR396" i="1"/>
  <c r="AQ396" i="1"/>
  <c r="AN396" i="1"/>
  <c r="AK396" i="1"/>
  <c r="AT395" i="1"/>
  <c r="AR395" i="1"/>
  <c r="AQ395" i="1"/>
  <c r="AN395" i="1"/>
  <c r="AK395" i="1"/>
  <c r="AT394" i="1"/>
  <c r="AR394" i="1"/>
  <c r="AQ394" i="1"/>
  <c r="AN394" i="1"/>
  <c r="AK394" i="1"/>
  <c r="AT393" i="1"/>
  <c r="AR393" i="1"/>
  <c r="AQ393" i="1"/>
  <c r="AN393" i="1"/>
  <c r="AK393" i="1"/>
  <c r="AT392" i="1"/>
  <c r="AR392" i="1"/>
  <c r="AQ392" i="1"/>
  <c r="AN392" i="1"/>
  <c r="AK392" i="1"/>
  <c r="AT391" i="1"/>
  <c r="AR391" i="1"/>
  <c r="AQ391" i="1"/>
  <c r="AN391" i="1"/>
  <c r="AK391" i="1"/>
  <c r="AT390" i="1"/>
  <c r="AR390" i="1"/>
  <c r="AQ390" i="1"/>
  <c r="AN390" i="1"/>
  <c r="AK390" i="1"/>
  <c r="AT389" i="1"/>
  <c r="AR389" i="1"/>
  <c r="AQ389" i="1"/>
  <c r="AN389" i="1"/>
  <c r="AK389" i="1"/>
  <c r="AT388" i="1"/>
  <c r="AR388" i="1"/>
  <c r="AQ388" i="1"/>
  <c r="AN388" i="1"/>
  <c r="AK388" i="1"/>
  <c r="AT387" i="1"/>
  <c r="AR387" i="1"/>
  <c r="AQ387" i="1"/>
  <c r="AN387" i="1"/>
  <c r="AK387" i="1"/>
  <c r="AT386" i="1"/>
  <c r="AR386" i="1"/>
  <c r="AQ386" i="1"/>
  <c r="AN386" i="1"/>
  <c r="AK386" i="1"/>
  <c r="AT385" i="1"/>
  <c r="AR385" i="1"/>
  <c r="AQ385" i="1"/>
  <c r="AN385" i="1"/>
  <c r="AK385" i="1"/>
  <c r="AT384" i="1"/>
  <c r="AR384" i="1"/>
  <c r="AQ384" i="1"/>
  <c r="AN384" i="1"/>
  <c r="AK384" i="1"/>
  <c r="AT383" i="1"/>
  <c r="AR383" i="1"/>
  <c r="AQ383" i="1"/>
  <c r="AN383" i="1"/>
  <c r="AK383" i="1"/>
  <c r="AT382" i="1"/>
  <c r="AR382" i="1"/>
  <c r="AQ382" i="1"/>
  <c r="AN382" i="1"/>
  <c r="AK382" i="1"/>
  <c r="AT381" i="1"/>
  <c r="AR381" i="1"/>
  <c r="AQ381" i="1"/>
  <c r="AN381" i="1"/>
  <c r="AK381" i="1"/>
  <c r="AT380" i="1"/>
  <c r="AR380" i="1"/>
  <c r="AQ380" i="1"/>
  <c r="AN380" i="1"/>
  <c r="AK380" i="1"/>
  <c r="AT379" i="1"/>
  <c r="AR379" i="1"/>
  <c r="AQ379" i="1"/>
  <c r="AN379" i="1"/>
  <c r="AK379" i="1"/>
  <c r="AT378" i="1"/>
  <c r="AR378" i="1"/>
  <c r="AQ378" i="1"/>
  <c r="AN378" i="1"/>
  <c r="AK378" i="1"/>
  <c r="AT377" i="1"/>
  <c r="AR377" i="1"/>
  <c r="AQ377" i="1"/>
  <c r="AN377" i="1"/>
  <c r="AK377" i="1"/>
  <c r="AT376" i="1"/>
  <c r="AR376" i="1"/>
  <c r="AQ376" i="1"/>
  <c r="AN376" i="1"/>
  <c r="AK376" i="1"/>
  <c r="AT375" i="1"/>
  <c r="AR375" i="1"/>
  <c r="AQ375" i="1"/>
  <c r="AN375" i="1"/>
  <c r="AK375" i="1"/>
  <c r="AT374" i="1"/>
  <c r="AR374" i="1"/>
  <c r="AQ374" i="1"/>
  <c r="AN374" i="1"/>
  <c r="AK374" i="1"/>
  <c r="AT373" i="1"/>
  <c r="AR373" i="1"/>
  <c r="AQ373" i="1"/>
  <c r="AN373" i="1"/>
  <c r="AK373" i="1"/>
  <c r="AT372" i="1"/>
  <c r="AR372" i="1"/>
  <c r="AQ372" i="1"/>
  <c r="AN372" i="1"/>
  <c r="AK372" i="1"/>
  <c r="AT371" i="1"/>
  <c r="AR371" i="1"/>
  <c r="AQ371" i="1"/>
  <c r="AN371" i="1"/>
  <c r="AK371" i="1"/>
  <c r="AT370" i="1"/>
  <c r="AR370" i="1"/>
  <c r="AQ370" i="1"/>
  <c r="AN370" i="1"/>
  <c r="AK370" i="1"/>
  <c r="AT369" i="1"/>
  <c r="AR369" i="1"/>
  <c r="AQ369" i="1"/>
  <c r="AN369" i="1"/>
  <c r="AK369" i="1"/>
  <c r="AT368" i="1"/>
  <c r="AR368" i="1"/>
  <c r="AQ368" i="1"/>
  <c r="AN368" i="1"/>
  <c r="AK368" i="1"/>
  <c r="AT367" i="1"/>
  <c r="AR367" i="1"/>
  <c r="AQ367" i="1"/>
  <c r="AN367" i="1"/>
  <c r="AK367" i="1"/>
  <c r="AT366" i="1"/>
  <c r="AR366" i="1"/>
  <c r="AQ366" i="1"/>
  <c r="AN366" i="1"/>
  <c r="AK366" i="1"/>
  <c r="AT365" i="1"/>
  <c r="AR365" i="1"/>
  <c r="AQ365" i="1"/>
  <c r="AN365" i="1"/>
  <c r="AK365" i="1"/>
  <c r="AT364" i="1"/>
  <c r="AR364" i="1"/>
  <c r="AQ364" i="1"/>
  <c r="AN364" i="1"/>
  <c r="AK364" i="1"/>
  <c r="AT363" i="1"/>
  <c r="AR363" i="1"/>
  <c r="AQ363" i="1"/>
  <c r="AN363" i="1"/>
  <c r="AK363" i="1"/>
  <c r="AT362" i="1"/>
  <c r="AR362" i="1"/>
  <c r="AQ362" i="1"/>
  <c r="AN362" i="1"/>
  <c r="AK362" i="1"/>
  <c r="AT361" i="1"/>
  <c r="AR361" i="1"/>
  <c r="AQ361" i="1"/>
  <c r="AN361" i="1"/>
  <c r="AK361" i="1"/>
  <c r="AT360" i="1"/>
  <c r="AR360" i="1"/>
  <c r="AQ360" i="1"/>
  <c r="AN360" i="1"/>
  <c r="AK360" i="1"/>
  <c r="AT359" i="1"/>
  <c r="AR359" i="1"/>
  <c r="AQ359" i="1"/>
  <c r="AN359" i="1"/>
  <c r="AK359" i="1"/>
  <c r="AT358" i="1"/>
  <c r="AR358" i="1"/>
  <c r="AQ358" i="1"/>
  <c r="AN358" i="1"/>
  <c r="AK358" i="1"/>
  <c r="AT357" i="1"/>
  <c r="AR357" i="1"/>
  <c r="AQ357" i="1"/>
  <c r="AN357" i="1"/>
  <c r="AK357" i="1"/>
  <c r="AT356" i="1"/>
  <c r="AR356" i="1"/>
  <c r="AQ356" i="1"/>
  <c r="AN356" i="1"/>
  <c r="AK356" i="1"/>
  <c r="AT355" i="1"/>
  <c r="AR355" i="1"/>
  <c r="AQ355" i="1"/>
  <c r="AN355" i="1"/>
  <c r="AK355" i="1"/>
  <c r="AT354" i="1"/>
  <c r="AR354" i="1"/>
  <c r="AQ354" i="1"/>
  <c r="AN354" i="1"/>
  <c r="AK354" i="1"/>
  <c r="AT353" i="1"/>
  <c r="AR353" i="1"/>
  <c r="AQ353" i="1"/>
  <c r="AN353" i="1"/>
  <c r="AK353" i="1"/>
  <c r="AT352" i="1"/>
  <c r="AR352" i="1"/>
  <c r="AQ352" i="1"/>
  <c r="AN352" i="1"/>
  <c r="AK352" i="1"/>
  <c r="AT351" i="1"/>
  <c r="AR351" i="1"/>
  <c r="AQ351" i="1"/>
  <c r="AN351" i="1"/>
  <c r="AK351" i="1"/>
  <c r="AT350" i="1"/>
  <c r="AR350" i="1"/>
  <c r="AQ350" i="1"/>
  <c r="AN350" i="1"/>
  <c r="AK350" i="1"/>
  <c r="AT349" i="1"/>
  <c r="AR349" i="1"/>
  <c r="AQ349" i="1"/>
  <c r="AN349" i="1"/>
  <c r="AK349" i="1"/>
  <c r="AT348" i="1"/>
  <c r="AR348" i="1"/>
  <c r="AQ348" i="1"/>
  <c r="AN348" i="1"/>
  <c r="AK348" i="1"/>
  <c r="AT347" i="1"/>
  <c r="AR347" i="1"/>
  <c r="AQ347" i="1"/>
  <c r="AN347" i="1"/>
  <c r="AK347" i="1"/>
  <c r="AT346" i="1"/>
  <c r="AR346" i="1"/>
  <c r="AQ346" i="1"/>
  <c r="AN346" i="1"/>
  <c r="AK346" i="1"/>
  <c r="AT345" i="1"/>
  <c r="AR345" i="1"/>
  <c r="AQ345" i="1"/>
  <c r="AN345" i="1"/>
  <c r="AK345" i="1"/>
  <c r="AT344" i="1"/>
  <c r="AR344" i="1"/>
  <c r="AQ344" i="1"/>
  <c r="AN344" i="1"/>
  <c r="AK344" i="1"/>
  <c r="AT343" i="1"/>
  <c r="AR343" i="1"/>
  <c r="AQ343" i="1"/>
  <c r="AN343" i="1"/>
  <c r="AK343" i="1"/>
  <c r="AT342" i="1"/>
  <c r="AR342" i="1"/>
  <c r="AQ342" i="1"/>
  <c r="AN342" i="1"/>
  <c r="AK342" i="1"/>
  <c r="AT341" i="1"/>
  <c r="AR341" i="1"/>
  <c r="AQ341" i="1"/>
  <c r="AN341" i="1"/>
  <c r="AK341" i="1"/>
  <c r="AT340" i="1"/>
  <c r="AR340" i="1"/>
  <c r="AQ340" i="1"/>
  <c r="AN340" i="1"/>
  <c r="AK340" i="1"/>
  <c r="AT339" i="1"/>
  <c r="AR339" i="1"/>
  <c r="AQ339" i="1"/>
  <c r="AN339" i="1"/>
  <c r="AK339" i="1"/>
  <c r="AT338" i="1"/>
  <c r="AR338" i="1"/>
  <c r="AQ338" i="1"/>
  <c r="AN338" i="1"/>
  <c r="AK338" i="1"/>
  <c r="AT337" i="1"/>
  <c r="AR337" i="1"/>
  <c r="AQ337" i="1"/>
  <c r="AN337" i="1"/>
  <c r="AK337" i="1"/>
  <c r="AT336" i="1"/>
  <c r="AR336" i="1"/>
  <c r="AQ336" i="1"/>
  <c r="AN336" i="1"/>
  <c r="AK336" i="1"/>
  <c r="AT335" i="1"/>
  <c r="AR335" i="1"/>
  <c r="AQ335" i="1"/>
  <c r="AN335" i="1"/>
  <c r="AK335" i="1"/>
  <c r="AT334" i="1"/>
  <c r="AR334" i="1"/>
  <c r="AQ334" i="1"/>
  <c r="AN334" i="1"/>
  <c r="AK334" i="1"/>
  <c r="AT333" i="1"/>
  <c r="AR333" i="1"/>
  <c r="AQ333" i="1"/>
  <c r="AN333" i="1"/>
  <c r="AK333" i="1"/>
  <c r="AT332" i="1"/>
  <c r="AR332" i="1"/>
  <c r="AQ332" i="1"/>
  <c r="AN332" i="1"/>
  <c r="AK332" i="1"/>
  <c r="AT331" i="1"/>
  <c r="AR331" i="1"/>
  <c r="AQ331" i="1"/>
  <c r="AN331" i="1"/>
  <c r="AK331" i="1"/>
  <c r="AT330" i="1"/>
  <c r="AR330" i="1"/>
  <c r="AQ330" i="1"/>
  <c r="AN330" i="1"/>
  <c r="AK330" i="1"/>
  <c r="AT329" i="1"/>
  <c r="AR329" i="1"/>
  <c r="AQ329" i="1"/>
  <c r="AN329" i="1"/>
  <c r="AK329" i="1"/>
  <c r="AT328" i="1"/>
  <c r="AR328" i="1"/>
  <c r="AQ328" i="1"/>
  <c r="AN328" i="1"/>
  <c r="AK328" i="1"/>
  <c r="AT327" i="1"/>
  <c r="AR327" i="1"/>
  <c r="AQ327" i="1"/>
  <c r="AN327" i="1"/>
  <c r="AK327" i="1"/>
  <c r="AT326" i="1"/>
  <c r="AR326" i="1"/>
  <c r="AQ326" i="1"/>
  <c r="AN326" i="1"/>
  <c r="AK326" i="1"/>
  <c r="AT325" i="1"/>
  <c r="AR325" i="1"/>
  <c r="AQ325" i="1"/>
  <c r="AN325" i="1"/>
  <c r="AK325" i="1"/>
  <c r="AT324" i="1"/>
  <c r="AR324" i="1"/>
  <c r="AQ324" i="1"/>
  <c r="AN324" i="1"/>
  <c r="AK324" i="1"/>
  <c r="AT323" i="1"/>
  <c r="AR323" i="1"/>
  <c r="AQ323" i="1"/>
  <c r="AN323" i="1"/>
  <c r="AK323" i="1"/>
  <c r="AT322" i="1"/>
  <c r="AR322" i="1"/>
  <c r="AQ322" i="1"/>
  <c r="AN322" i="1"/>
  <c r="AK322" i="1"/>
  <c r="AT321" i="1"/>
  <c r="AR321" i="1"/>
  <c r="AQ321" i="1"/>
  <c r="AN321" i="1"/>
  <c r="AK321" i="1"/>
  <c r="AT320" i="1"/>
  <c r="AR320" i="1"/>
  <c r="AQ320" i="1"/>
  <c r="AN320" i="1"/>
  <c r="AK320" i="1"/>
  <c r="AT319" i="1"/>
  <c r="AR319" i="1"/>
  <c r="AQ319" i="1"/>
  <c r="AN319" i="1"/>
  <c r="AK319" i="1"/>
  <c r="AT318" i="1"/>
  <c r="AR318" i="1"/>
  <c r="AQ318" i="1"/>
  <c r="AN318" i="1"/>
  <c r="AK318" i="1"/>
  <c r="AT317" i="1"/>
  <c r="AR317" i="1"/>
  <c r="AQ317" i="1"/>
  <c r="AN317" i="1"/>
  <c r="AK317" i="1"/>
  <c r="AT316" i="1"/>
  <c r="AR316" i="1"/>
  <c r="AQ316" i="1"/>
  <c r="AN316" i="1"/>
  <c r="AK316" i="1"/>
  <c r="AT315" i="1"/>
  <c r="AR315" i="1"/>
  <c r="AQ315" i="1"/>
  <c r="AN315" i="1"/>
  <c r="AK315" i="1"/>
  <c r="AT314" i="1"/>
  <c r="AR314" i="1"/>
  <c r="AQ314" i="1"/>
  <c r="AN314" i="1"/>
  <c r="AK314" i="1"/>
  <c r="AT313" i="1"/>
  <c r="AR313" i="1"/>
  <c r="AQ313" i="1"/>
  <c r="AN313" i="1"/>
  <c r="AK313" i="1"/>
  <c r="AT312" i="1"/>
  <c r="AR312" i="1"/>
  <c r="AQ312" i="1"/>
  <c r="AN312" i="1"/>
  <c r="AK312" i="1"/>
  <c r="AT311" i="1"/>
  <c r="AR311" i="1"/>
  <c r="AQ311" i="1"/>
  <c r="AN311" i="1"/>
  <c r="AK311" i="1"/>
  <c r="AT310" i="1"/>
  <c r="AR310" i="1"/>
  <c r="AQ310" i="1"/>
  <c r="AN310" i="1"/>
  <c r="AK310" i="1"/>
  <c r="AT309" i="1"/>
  <c r="AR309" i="1"/>
  <c r="AQ309" i="1"/>
  <c r="AN309" i="1"/>
  <c r="AK309" i="1"/>
  <c r="AT308" i="1"/>
  <c r="AR308" i="1"/>
  <c r="AQ308" i="1"/>
  <c r="AN308" i="1"/>
  <c r="AK308" i="1"/>
  <c r="AT307" i="1"/>
  <c r="AR307" i="1"/>
  <c r="AQ307" i="1"/>
  <c r="AN307" i="1"/>
  <c r="AK307" i="1"/>
  <c r="AT306" i="1"/>
  <c r="AR306" i="1"/>
  <c r="AQ306" i="1"/>
  <c r="AN306" i="1"/>
  <c r="AK306" i="1"/>
  <c r="AT305" i="1"/>
  <c r="AR305" i="1"/>
  <c r="AQ305" i="1"/>
  <c r="AN305" i="1"/>
  <c r="AK305" i="1"/>
  <c r="AT304" i="1"/>
  <c r="AR304" i="1"/>
  <c r="AQ304" i="1"/>
  <c r="AN304" i="1"/>
  <c r="AK304" i="1"/>
  <c r="AT303" i="1"/>
  <c r="AR303" i="1"/>
  <c r="AQ303" i="1"/>
  <c r="AN303" i="1"/>
  <c r="AK303" i="1"/>
  <c r="AT302" i="1"/>
  <c r="AR302" i="1"/>
  <c r="AQ302" i="1"/>
  <c r="AN302" i="1"/>
  <c r="AK302" i="1"/>
  <c r="AT301" i="1"/>
  <c r="AR301" i="1"/>
  <c r="AQ301" i="1"/>
  <c r="AN301" i="1"/>
  <c r="AK301" i="1"/>
  <c r="AT300" i="1"/>
  <c r="AR300" i="1"/>
  <c r="AQ300" i="1"/>
  <c r="AN300" i="1"/>
  <c r="AK300" i="1"/>
  <c r="AT299" i="1"/>
  <c r="AR299" i="1"/>
  <c r="AQ299" i="1"/>
  <c r="AN299" i="1"/>
  <c r="AK299" i="1"/>
  <c r="AT298" i="1"/>
  <c r="AR298" i="1"/>
  <c r="AQ298" i="1"/>
  <c r="AN298" i="1"/>
  <c r="AK298" i="1"/>
  <c r="AT297" i="1"/>
  <c r="AR297" i="1"/>
  <c r="AQ297" i="1"/>
  <c r="AN297" i="1"/>
  <c r="AK297" i="1"/>
  <c r="AT296" i="1"/>
  <c r="AR296" i="1"/>
  <c r="AQ296" i="1"/>
  <c r="AN296" i="1"/>
  <c r="AK296" i="1"/>
  <c r="AT295" i="1"/>
  <c r="AR295" i="1"/>
  <c r="AQ295" i="1"/>
  <c r="AN295" i="1"/>
  <c r="AK295" i="1"/>
  <c r="AT294" i="1"/>
  <c r="AR294" i="1"/>
  <c r="AQ294" i="1"/>
  <c r="AN294" i="1"/>
  <c r="AK294" i="1"/>
  <c r="AT293" i="1"/>
  <c r="AR293" i="1"/>
  <c r="AQ293" i="1"/>
  <c r="AN293" i="1"/>
  <c r="AK293" i="1"/>
  <c r="AT292" i="1"/>
  <c r="AR292" i="1"/>
  <c r="AQ292" i="1"/>
  <c r="AN292" i="1"/>
  <c r="AK292" i="1"/>
  <c r="AT291" i="1"/>
  <c r="AR291" i="1"/>
  <c r="AQ291" i="1"/>
  <c r="AN291" i="1"/>
  <c r="AK291" i="1"/>
  <c r="AT290" i="1"/>
  <c r="AR290" i="1"/>
  <c r="AQ290" i="1"/>
  <c r="AN290" i="1"/>
  <c r="AK290" i="1"/>
  <c r="AT289" i="1"/>
  <c r="AR289" i="1"/>
  <c r="AQ289" i="1"/>
  <c r="AN289" i="1"/>
  <c r="AK289" i="1"/>
  <c r="AT288" i="1"/>
  <c r="AR288" i="1"/>
  <c r="AQ288" i="1"/>
  <c r="AN288" i="1"/>
  <c r="AK288" i="1"/>
  <c r="AT287" i="1"/>
  <c r="AR287" i="1"/>
  <c r="AQ287" i="1"/>
  <c r="AN287" i="1"/>
  <c r="AK287" i="1"/>
  <c r="AT286" i="1"/>
  <c r="AR286" i="1"/>
  <c r="AQ286" i="1"/>
  <c r="AN286" i="1"/>
  <c r="AK286" i="1"/>
  <c r="AT285" i="1"/>
  <c r="AR285" i="1"/>
  <c r="AQ285" i="1"/>
  <c r="AN285" i="1"/>
  <c r="AK285" i="1"/>
  <c r="AT284" i="1"/>
  <c r="AR284" i="1"/>
  <c r="AQ284" i="1"/>
  <c r="AN284" i="1"/>
  <c r="AK284" i="1"/>
  <c r="AT283" i="1"/>
  <c r="AR283" i="1"/>
  <c r="AQ283" i="1"/>
  <c r="AN283" i="1"/>
  <c r="AK283" i="1"/>
  <c r="AT282" i="1"/>
  <c r="AR282" i="1"/>
  <c r="AQ282" i="1"/>
  <c r="AN282" i="1"/>
  <c r="AK282" i="1"/>
  <c r="AT281" i="1"/>
  <c r="AR281" i="1"/>
  <c r="AQ281" i="1"/>
  <c r="AN281" i="1"/>
  <c r="AK281" i="1"/>
  <c r="AT280" i="1"/>
  <c r="AR280" i="1"/>
  <c r="AQ280" i="1"/>
  <c r="AN280" i="1"/>
  <c r="AK280" i="1"/>
  <c r="AT279" i="1"/>
  <c r="AR279" i="1"/>
  <c r="AQ279" i="1"/>
  <c r="AN279" i="1"/>
  <c r="AK279" i="1"/>
  <c r="AT278" i="1"/>
  <c r="AR278" i="1"/>
  <c r="AQ278" i="1"/>
  <c r="AN278" i="1"/>
  <c r="AK278" i="1"/>
  <c r="AT277" i="1"/>
  <c r="AR277" i="1"/>
  <c r="AQ277" i="1"/>
  <c r="AN277" i="1"/>
  <c r="AK277" i="1"/>
  <c r="AT276" i="1"/>
  <c r="AR276" i="1"/>
  <c r="AQ276" i="1"/>
  <c r="AN276" i="1"/>
  <c r="AK276" i="1"/>
  <c r="AT275" i="1"/>
  <c r="AR275" i="1"/>
  <c r="AQ275" i="1"/>
  <c r="AN275" i="1"/>
  <c r="AK275" i="1"/>
  <c r="AT274" i="1"/>
  <c r="AR274" i="1"/>
  <c r="AQ274" i="1"/>
  <c r="AN274" i="1"/>
  <c r="AK274" i="1"/>
  <c r="AT273" i="1"/>
  <c r="AR273" i="1"/>
  <c r="AQ273" i="1"/>
  <c r="AN273" i="1"/>
  <c r="AK273" i="1"/>
  <c r="AT272" i="1"/>
  <c r="AR272" i="1"/>
  <c r="AQ272" i="1"/>
  <c r="AN272" i="1"/>
  <c r="AK272" i="1"/>
  <c r="AT271" i="1"/>
  <c r="AR271" i="1"/>
  <c r="AQ271" i="1"/>
  <c r="AN271" i="1"/>
  <c r="AK271" i="1"/>
  <c r="AT270" i="1"/>
  <c r="AR270" i="1"/>
  <c r="AQ270" i="1"/>
  <c r="AN270" i="1"/>
  <c r="AK270" i="1"/>
  <c r="AT269" i="1"/>
  <c r="AR269" i="1"/>
  <c r="AQ269" i="1"/>
  <c r="AN269" i="1"/>
  <c r="AK269" i="1"/>
  <c r="AT268" i="1"/>
  <c r="AR268" i="1"/>
  <c r="AQ268" i="1"/>
  <c r="AN268" i="1"/>
  <c r="AK268" i="1"/>
  <c r="AT267" i="1"/>
  <c r="AR267" i="1"/>
  <c r="AQ267" i="1"/>
  <c r="AN267" i="1"/>
  <c r="AK267" i="1"/>
  <c r="AT266" i="1"/>
  <c r="AR266" i="1"/>
  <c r="AQ266" i="1"/>
  <c r="AN266" i="1"/>
  <c r="AK266" i="1"/>
  <c r="AT265" i="1"/>
  <c r="AR265" i="1"/>
  <c r="AQ265" i="1"/>
  <c r="AN265" i="1"/>
  <c r="AK265" i="1"/>
  <c r="AT264" i="1"/>
  <c r="AR264" i="1"/>
  <c r="AQ264" i="1"/>
  <c r="AN264" i="1"/>
  <c r="AK264" i="1"/>
  <c r="AT263" i="1"/>
  <c r="AR263" i="1"/>
  <c r="AQ263" i="1"/>
  <c r="AN263" i="1"/>
  <c r="AK263" i="1"/>
  <c r="AT262" i="1"/>
  <c r="AR262" i="1"/>
  <c r="AQ262" i="1"/>
  <c r="AN262" i="1"/>
  <c r="AK262" i="1"/>
  <c r="AT261" i="1"/>
  <c r="AR261" i="1"/>
  <c r="AQ261" i="1"/>
  <c r="AN261" i="1"/>
  <c r="AK261" i="1"/>
  <c r="AT260" i="1"/>
  <c r="AR260" i="1"/>
  <c r="AQ260" i="1"/>
  <c r="AN260" i="1"/>
  <c r="AK260" i="1"/>
  <c r="AT259" i="1"/>
  <c r="AR259" i="1"/>
  <c r="AQ259" i="1"/>
  <c r="AN259" i="1"/>
  <c r="AK259" i="1"/>
  <c r="AT258" i="1"/>
  <c r="AR258" i="1"/>
  <c r="AQ258" i="1"/>
  <c r="AN258" i="1"/>
  <c r="AK258" i="1"/>
  <c r="AT257" i="1"/>
  <c r="AR257" i="1"/>
  <c r="AQ257" i="1"/>
  <c r="AN257" i="1"/>
  <c r="AK257" i="1"/>
  <c r="AT256" i="1"/>
  <c r="AR256" i="1"/>
  <c r="AQ256" i="1"/>
  <c r="AN256" i="1"/>
  <c r="AK256" i="1"/>
  <c r="AT255" i="1"/>
  <c r="AR255" i="1"/>
  <c r="AQ255" i="1"/>
  <c r="AN255" i="1"/>
  <c r="AK255" i="1"/>
  <c r="AT254" i="1"/>
  <c r="AR254" i="1"/>
  <c r="AQ254" i="1"/>
  <c r="AN254" i="1"/>
  <c r="AK254" i="1"/>
  <c r="AT253" i="1"/>
  <c r="AR253" i="1"/>
  <c r="AQ253" i="1"/>
  <c r="AN253" i="1"/>
  <c r="AK253" i="1"/>
  <c r="AT252" i="1"/>
  <c r="AR252" i="1"/>
  <c r="AQ252" i="1"/>
  <c r="AN252" i="1"/>
  <c r="AK252" i="1"/>
  <c r="AT251" i="1"/>
  <c r="AR251" i="1"/>
  <c r="AQ251" i="1"/>
  <c r="AN251" i="1"/>
  <c r="AK251" i="1"/>
  <c r="AT250" i="1"/>
  <c r="AR250" i="1"/>
  <c r="AQ250" i="1"/>
  <c r="AN250" i="1"/>
  <c r="AK250" i="1"/>
  <c r="AT248" i="1"/>
  <c r="AR248" i="1"/>
  <c r="AQ248" i="1"/>
  <c r="AN248" i="1"/>
  <c r="AK248" i="1"/>
  <c r="AT247" i="1"/>
  <c r="AR247" i="1"/>
  <c r="AQ247" i="1"/>
  <c r="AN247" i="1"/>
  <c r="AK247" i="1"/>
  <c r="AT246" i="1"/>
  <c r="AR246" i="1"/>
  <c r="AQ246" i="1"/>
  <c r="AN246" i="1"/>
  <c r="AK246" i="1"/>
  <c r="AT245" i="1"/>
  <c r="AR245" i="1"/>
  <c r="AQ245" i="1"/>
  <c r="AN245" i="1"/>
  <c r="AK245" i="1"/>
  <c r="AT244" i="1"/>
  <c r="AR244" i="1"/>
  <c r="AQ244" i="1"/>
  <c r="AN244" i="1"/>
  <c r="AK244" i="1"/>
  <c r="AT243" i="1"/>
  <c r="AR243" i="1"/>
  <c r="AQ243" i="1"/>
  <c r="AN243" i="1"/>
  <c r="AK243" i="1"/>
  <c r="AT242" i="1"/>
  <c r="AR242" i="1"/>
  <c r="AQ242" i="1"/>
  <c r="AN242" i="1"/>
  <c r="AK242" i="1"/>
  <c r="AT241" i="1"/>
  <c r="AR241" i="1"/>
  <c r="AQ241" i="1"/>
  <c r="AN241" i="1"/>
  <c r="AK241" i="1"/>
  <c r="AT240" i="1"/>
  <c r="AR240" i="1"/>
  <c r="AQ240" i="1"/>
  <c r="AN240" i="1"/>
  <c r="AK240" i="1"/>
  <c r="AT239" i="1"/>
  <c r="AR239" i="1"/>
  <c r="AQ239" i="1"/>
  <c r="AN239" i="1"/>
  <c r="AK239" i="1"/>
  <c r="AT238" i="1"/>
  <c r="AR238" i="1"/>
  <c r="AQ238" i="1"/>
  <c r="AN238" i="1"/>
  <c r="AK238" i="1"/>
  <c r="AT236" i="1"/>
  <c r="AR236" i="1"/>
  <c r="AQ236" i="1"/>
  <c r="AN236" i="1"/>
  <c r="AK236" i="1"/>
  <c r="AT235" i="1"/>
  <c r="AR235" i="1"/>
  <c r="AQ235" i="1"/>
  <c r="AN235" i="1"/>
  <c r="AK235" i="1"/>
  <c r="AT234" i="1"/>
  <c r="AR234" i="1"/>
  <c r="AQ234" i="1"/>
  <c r="AN234" i="1"/>
  <c r="AK234" i="1"/>
  <c r="AT233" i="1"/>
  <c r="AR233" i="1"/>
  <c r="AQ233" i="1"/>
  <c r="AN233" i="1"/>
  <c r="AK233" i="1"/>
  <c r="AT232" i="1"/>
  <c r="AR232" i="1"/>
  <c r="AQ232" i="1"/>
  <c r="AN232" i="1"/>
  <c r="AK232" i="1"/>
  <c r="AT231" i="1"/>
  <c r="AR231" i="1"/>
  <c r="AQ231" i="1"/>
  <c r="AN231" i="1"/>
  <c r="AK231" i="1"/>
  <c r="AT230" i="1"/>
  <c r="AR230" i="1"/>
  <c r="AQ230" i="1"/>
  <c r="AN230" i="1"/>
  <c r="AK230" i="1"/>
  <c r="AT229" i="1"/>
  <c r="AR229" i="1"/>
  <c r="AQ229" i="1"/>
  <c r="AN229" i="1"/>
  <c r="AK229" i="1"/>
  <c r="AT228" i="1"/>
  <c r="AR228" i="1"/>
  <c r="AQ228" i="1"/>
  <c r="AN228" i="1"/>
  <c r="AK228" i="1"/>
  <c r="AT227" i="1"/>
  <c r="AR227" i="1"/>
  <c r="AQ227" i="1"/>
  <c r="AN227" i="1"/>
  <c r="AK227" i="1"/>
  <c r="AT226" i="1"/>
  <c r="AR226" i="1"/>
  <c r="AQ226" i="1"/>
  <c r="AN226" i="1"/>
  <c r="AK226" i="1"/>
  <c r="AT224" i="1"/>
  <c r="AR224" i="1"/>
  <c r="AQ224" i="1"/>
  <c r="AN224" i="1"/>
  <c r="AK224" i="1"/>
  <c r="AT223" i="1"/>
  <c r="AR223" i="1"/>
  <c r="AQ223" i="1"/>
  <c r="AN223" i="1"/>
  <c r="AK223" i="1"/>
  <c r="AT222" i="1"/>
  <c r="AR222" i="1"/>
  <c r="AQ222" i="1"/>
  <c r="AN222" i="1"/>
  <c r="AK222" i="1"/>
  <c r="AT221" i="1"/>
  <c r="AR221" i="1"/>
  <c r="AQ221" i="1"/>
  <c r="AN221" i="1"/>
  <c r="AK221" i="1"/>
  <c r="AT220" i="1"/>
  <c r="AR220" i="1"/>
  <c r="AQ220" i="1"/>
  <c r="AN220" i="1"/>
  <c r="AK220" i="1"/>
  <c r="AT219" i="1"/>
  <c r="AR219" i="1"/>
  <c r="AQ219" i="1"/>
  <c r="AN219" i="1"/>
  <c r="AK219" i="1"/>
  <c r="AT218" i="1"/>
  <c r="AR218" i="1"/>
  <c r="AQ218" i="1"/>
  <c r="AN218" i="1"/>
  <c r="AK218" i="1"/>
  <c r="AT217" i="1"/>
  <c r="AR217" i="1"/>
  <c r="AQ217" i="1"/>
  <c r="AN217" i="1"/>
  <c r="AK217" i="1"/>
  <c r="AT216" i="1"/>
  <c r="AR216" i="1"/>
  <c r="AQ216" i="1"/>
  <c r="AN216" i="1"/>
  <c r="AK216" i="1"/>
  <c r="AT215" i="1"/>
  <c r="AR215" i="1"/>
  <c r="AQ215" i="1"/>
  <c r="AN215" i="1"/>
  <c r="AK215" i="1"/>
  <c r="AT214" i="1"/>
  <c r="AR214" i="1"/>
  <c r="AQ214" i="1"/>
  <c r="AN214" i="1"/>
  <c r="AK214" i="1"/>
  <c r="AT213" i="1"/>
  <c r="AR213" i="1"/>
  <c r="AQ213" i="1"/>
  <c r="AN213" i="1"/>
  <c r="AK213" i="1"/>
  <c r="AT212" i="1"/>
  <c r="AR212" i="1"/>
  <c r="AQ212" i="1"/>
  <c r="AN212" i="1"/>
  <c r="AK212" i="1"/>
  <c r="AT211" i="1"/>
  <c r="AR211" i="1"/>
  <c r="AQ211" i="1"/>
  <c r="AN211" i="1"/>
  <c r="AK211" i="1"/>
  <c r="AT210" i="1"/>
  <c r="AR210" i="1"/>
  <c r="AQ210" i="1"/>
  <c r="AN210" i="1"/>
  <c r="AK210" i="1"/>
  <c r="AT209" i="1"/>
  <c r="AR209" i="1"/>
  <c r="AQ209" i="1"/>
  <c r="AN209" i="1"/>
  <c r="AK209" i="1"/>
  <c r="AT208" i="1"/>
  <c r="AR208" i="1"/>
  <c r="AQ208" i="1"/>
  <c r="AN208" i="1"/>
  <c r="AK208" i="1"/>
  <c r="AT207" i="1"/>
  <c r="AR207" i="1"/>
  <c r="AQ207" i="1"/>
  <c r="AN207" i="1"/>
  <c r="AK207" i="1"/>
  <c r="AT206" i="1"/>
  <c r="AR206" i="1"/>
  <c r="AQ206" i="1"/>
  <c r="AN206" i="1"/>
  <c r="AK206" i="1"/>
  <c r="AT205" i="1"/>
  <c r="AR205" i="1"/>
  <c r="AQ205" i="1"/>
  <c r="AN205" i="1"/>
  <c r="AK205" i="1"/>
  <c r="AT204" i="1"/>
  <c r="AR204" i="1"/>
  <c r="AQ204" i="1"/>
  <c r="AN204" i="1"/>
  <c r="AK204" i="1"/>
  <c r="AT203" i="1"/>
  <c r="AR203" i="1"/>
  <c r="AQ203" i="1"/>
  <c r="AN203" i="1"/>
  <c r="AK203" i="1"/>
  <c r="AT202" i="1"/>
  <c r="AR202" i="1"/>
  <c r="AQ202" i="1"/>
  <c r="AN202" i="1"/>
  <c r="AK202" i="1"/>
  <c r="AT200" i="1"/>
  <c r="AR200" i="1"/>
  <c r="AQ200" i="1"/>
  <c r="AN200" i="1"/>
  <c r="AK200" i="1"/>
  <c r="AT199" i="1"/>
  <c r="AR199" i="1"/>
  <c r="AQ199" i="1"/>
  <c r="AN199" i="1"/>
  <c r="AK199" i="1"/>
  <c r="AT198" i="1"/>
  <c r="AR198" i="1"/>
  <c r="AQ198" i="1"/>
  <c r="AN198" i="1"/>
  <c r="AK198" i="1"/>
  <c r="AT197" i="1"/>
  <c r="AR197" i="1"/>
  <c r="AQ197" i="1"/>
  <c r="AN197" i="1"/>
  <c r="AK197" i="1"/>
  <c r="AT196" i="1"/>
  <c r="AR196" i="1"/>
  <c r="AQ196" i="1"/>
  <c r="AN196" i="1"/>
  <c r="AK196" i="1"/>
  <c r="AT195" i="1"/>
  <c r="AR195" i="1"/>
  <c r="AQ195" i="1"/>
  <c r="AN195" i="1"/>
  <c r="AK195" i="1"/>
  <c r="AT194" i="1"/>
  <c r="AR194" i="1"/>
  <c r="AQ194" i="1"/>
  <c r="AN194" i="1"/>
  <c r="AK194" i="1"/>
  <c r="AT193" i="1"/>
  <c r="AR193" i="1"/>
  <c r="AQ193" i="1"/>
  <c r="AN193" i="1"/>
  <c r="AK193" i="1"/>
  <c r="AT192" i="1"/>
  <c r="AR192" i="1"/>
  <c r="AQ192" i="1"/>
  <c r="AN192" i="1"/>
  <c r="AK192" i="1"/>
  <c r="AT191" i="1"/>
  <c r="AR191" i="1"/>
  <c r="AQ191" i="1"/>
  <c r="AN191" i="1"/>
  <c r="AK191" i="1"/>
  <c r="AT190" i="1"/>
  <c r="AR190" i="1"/>
  <c r="AQ190" i="1"/>
  <c r="AN190" i="1"/>
  <c r="AK190" i="1"/>
  <c r="AT189" i="1"/>
  <c r="AR189" i="1"/>
  <c r="AQ189" i="1"/>
  <c r="AN189" i="1"/>
  <c r="AK189" i="1"/>
  <c r="AT188" i="1"/>
  <c r="AR188" i="1"/>
  <c r="AQ188" i="1"/>
  <c r="AN188" i="1"/>
  <c r="AK188" i="1"/>
  <c r="AT187" i="1"/>
  <c r="AR187" i="1"/>
  <c r="AQ187" i="1"/>
  <c r="AN187" i="1"/>
  <c r="AK187" i="1"/>
  <c r="AT186" i="1"/>
  <c r="AR186" i="1"/>
  <c r="AQ186" i="1"/>
  <c r="AN186" i="1"/>
  <c r="AK186" i="1"/>
  <c r="AT185" i="1"/>
  <c r="AR185" i="1"/>
  <c r="AQ185" i="1"/>
  <c r="AN185" i="1"/>
  <c r="AK185" i="1"/>
  <c r="AT184" i="1"/>
  <c r="AR184" i="1"/>
  <c r="AQ184" i="1"/>
  <c r="AN184" i="1"/>
  <c r="AK184" i="1"/>
  <c r="AT183" i="1"/>
  <c r="AR183" i="1"/>
  <c r="AQ183" i="1"/>
  <c r="AN183" i="1"/>
  <c r="AK183" i="1"/>
  <c r="AT182" i="1"/>
  <c r="AR182" i="1"/>
  <c r="AQ182" i="1"/>
  <c r="AN182" i="1"/>
  <c r="AK182" i="1"/>
  <c r="AT181" i="1"/>
  <c r="AR181" i="1"/>
  <c r="AQ181" i="1"/>
  <c r="AN181" i="1"/>
  <c r="AK181" i="1"/>
  <c r="AT180" i="1"/>
  <c r="AR180" i="1"/>
  <c r="AQ180" i="1"/>
  <c r="AN180" i="1"/>
  <c r="AK180" i="1"/>
  <c r="AT179" i="1"/>
  <c r="AR179" i="1"/>
  <c r="AQ179" i="1"/>
  <c r="AN179" i="1"/>
  <c r="AK179" i="1"/>
  <c r="AT178" i="1"/>
  <c r="AR178" i="1"/>
  <c r="AQ178" i="1"/>
  <c r="AN178" i="1"/>
  <c r="AK178" i="1"/>
  <c r="AT177" i="1"/>
  <c r="AR177" i="1"/>
  <c r="AQ177" i="1"/>
  <c r="AN177" i="1"/>
  <c r="AK177" i="1"/>
  <c r="AT176" i="1"/>
  <c r="AR176" i="1"/>
  <c r="AQ176" i="1"/>
  <c r="AN176" i="1"/>
  <c r="AK176" i="1"/>
  <c r="AT175" i="1"/>
  <c r="AR175" i="1"/>
  <c r="AQ175" i="1"/>
  <c r="AN175" i="1"/>
  <c r="AK175" i="1"/>
  <c r="AT174" i="1"/>
  <c r="AR174" i="1"/>
  <c r="AQ174" i="1"/>
  <c r="AN174" i="1"/>
  <c r="AK174" i="1"/>
  <c r="AT173" i="1"/>
  <c r="AR173" i="1"/>
  <c r="AQ173" i="1"/>
  <c r="AN173" i="1"/>
  <c r="AK173" i="1"/>
  <c r="AT172" i="1"/>
  <c r="AR172" i="1"/>
  <c r="AQ172" i="1"/>
  <c r="AN172" i="1"/>
  <c r="AK172" i="1"/>
  <c r="AT171" i="1"/>
  <c r="AR171" i="1"/>
  <c r="AQ171" i="1"/>
  <c r="AN171" i="1"/>
  <c r="AK171" i="1"/>
  <c r="AT170" i="1"/>
  <c r="AR170" i="1"/>
  <c r="AQ170" i="1"/>
  <c r="AN170" i="1"/>
  <c r="AK170" i="1"/>
  <c r="AT169" i="1"/>
  <c r="AR169" i="1"/>
  <c r="AQ169" i="1"/>
  <c r="AN169" i="1"/>
  <c r="AK169" i="1"/>
  <c r="AT168" i="1"/>
  <c r="AR168" i="1"/>
  <c r="AQ168" i="1"/>
  <c r="AN168" i="1"/>
  <c r="AK168" i="1"/>
  <c r="AT167" i="1"/>
  <c r="AR167" i="1"/>
  <c r="AQ167" i="1"/>
  <c r="AN167" i="1"/>
  <c r="AK167" i="1"/>
  <c r="AT166" i="1"/>
  <c r="AR166" i="1"/>
  <c r="AQ166" i="1"/>
  <c r="AN166" i="1"/>
  <c r="AK166" i="1"/>
  <c r="AT165" i="1"/>
  <c r="AR165" i="1"/>
  <c r="AQ165" i="1"/>
  <c r="AN165" i="1"/>
  <c r="AK165" i="1"/>
  <c r="AT164" i="1"/>
  <c r="AR164" i="1"/>
  <c r="AQ164" i="1"/>
  <c r="AN164" i="1"/>
  <c r="AK164" i="1"/>
  <c r="AT163" i="1"/>
  <c r="AR163" i="1"/>
  <c r="AQ163" i="1"/>
  <c r="AN163" i="1"/>
  <c r="AK163" i="1"/>
  <c r="AT162" i="1"/>
  <c r="AR162" i="1"/>
  <c r="AQ162" i="1"/>
  <c r="AN162" i="1"/>
  <c r="AK162" i="1"/>
  <c r="AT161" i="1"/>
  <c r="AR161" i="1"/>
  <c r="AQ161" i="1"/>
  <c r="AN161" i="1"/>
  <c r="AK161" i="1"/>
  <c r="AT160" i="1"/>
  <c r="AR160" i="1"/>
  <c r="AQ160" i="1"/>
  <c r="AN160" i="1"/>
  <c r="AK160" i="1"/>
  <c r="AT159" i="1"/>
  <c r="AR159" i="1"/>
  <c r="AQ159" i="1"/>
  <c r="AN159" i="1"/>
  <c r="AK159" i="1"/>
  <c r="AT158" i="1"/>
  <c r="AR158" i="1"/>
  <c r="AQ158" i="1"/>
  <c r="AN158" i="1"/>
  <c r="AK158" i="1"/>
  <c r="AT157" i="1"/>
  <c r="AR157" i="1"/>
  <c r="AQ157" i="1"/>
  <c r="AN157" i="1"/>
  <c r="AK157" i="1"/>
  <c r="AT156" i="1"/>
  <c r="AR156" i="1"/>
  <c r="AQ156" i="1"/>
  <c r="AN156" i="1"/>
  <c r="AK156" i="1"/>
  <c r="AT155" i="1"/>
  <c r="AR155" i="1"/>
  <c r="AQ155" i="1"/>
  <c r="AN155" i="1"/>
  <c r="AK155" i="1"/>
  <c r="AT154" i="1"/>
  <c r="AR154" i="1"/>
  <c r="AQ154" i="1"/>
  <c r="AN154" i="1"/>
  <c r="AK154" i="1"/>
  <c r="AT153" i="1"/>
  <c r="AR153" i="1"/>
  <c r="AQ153" i="1"/>
  <c r="AN153" i="1"/>
  <c r="AK153" i="1"/>
  <c r="AT152" i="1"/>
  <c r="AR152" i="1"/>
  <c r="AQ152" i="1"/>
  <c r="AN152" i="1"/>
  <c r="AK152" i="1"/>
  <c r="AT151" i="1"/>
  <c r="AR151" i="1"/>
  <c r="AQ151" i="1"/>
  <c r="AN151" i="1"/>
  <c r="AK151" i="1"/>
  <c r="AT150" i="1"/>
  <c r="AR150" i="1"/>
  <c r="AQ150" i="1"/>
  <c r="AN150" i="1"/>
  <c r="AK150" i="1"/>
  <c r="AT149" i="1"/>
  <c r="AR149" i="1"/>
  <c r="AQ149" i="1"/>
  <c r="AN149" i="1"/>
  <c r="AK149" i="1"/>
  <c r="AT148" i="1"/>
  <c r="AR148" i="1"/>
  <c r="AQ148" i="1"/>
  <c r="AN148" i="1"/>
  <c r="AK148" i="1"/>
  <c r="AT147" i="1"/>
  <c r="AR147" i="1"/>
  <c r="AQ147" i="1"/>
  <c r="AN147" i="1"/>
  <c r="AK147" i="1"/>
  <c r="AT146" i="1"/>
  <c r="AR146" i="1"/>
  <c r="AQ146" i="1"/>
  <c r="AN146" i="1"/>
  <c r="AK146" i="1"/>
  <c r="AT145" i="1"/>
  <c r="AR145" i="1"/>
  <c r="AQ145" i="1"/>
  <c r="AN145" i="1"/>
  <c r="AK145" i="1"/>
  <c r="AT144" i="1"/>
  <c r="AR144" i="1"/>
  <c r="AQ144" i="1"/>
  <c r="AN144" i="1"/>
  <c r="AK144" i="1"/>
  <c r="AT143" i="1"/>
  <c r="AR143" i="1"/>
  <c r="AQ143" i="1"/>
  <c r="AN143" i="1"/>
  <c r="AK143" i="1"/>
  <c r="AT142" i="1"/>
  <c r="AR142" i="1"/>
  <c r="AQ142" i="1"/>
  <c r="AN142" i="1"/>
  <c r="AK142" i="1"/>
  <c r="AT141" i="1"/>
  <c r="AR141" i="1"/>
  <c r="AQ141" i="1"/>
  <c r="AN141" i="1"/>
  <c r="AK141" i="1"/>
  <c r="AT140" i="1"/>
  <c r="AR140" i="1"/>
  <c r="AQ140" i="1"/>
  <c r="AN140" i="1"/>
  <c r="AK140" i="1"/>
  <c r="AT139" i="1"/>
  <c r="AR139" i="1"/>
  <c r="AQ139" i="1"/>
  <c r="AN139" i="1"/>
  <c r="AK139" i="1"/>
  <c r="AT138" i="1"/>
  <c r="AR138" i="1"/>
  <c r="AQ138" i="1"/>
  <c r="AN138" i="1"/>
  <c r="AK138" i="1"/>
  <c r="AT137" i="1"/>
  <c r="AR137" i="1"/>
  <c r="AQ137" i="1"/>
  <c r="AN137" i="1"/>
  <c r="AK137" i="1"/>
  <c r="AT136" i="1"/>
  <c r="AR136" i="1"/>
  <c r="AQ136" i="1"/>
  <c r="AN136" i="1"/>
  <c r="AK136" i="1"/>
  <c r="AT135" i="1"/>
  <c r="AR135" i="1"/>
  <c r="AQ135" i="1"/>
  <c r="AN135" i="1"/>
  <c r="AK135" i="1"/>
  <c r="AT134" i="1"/>
  <c r="AR134" i="1"/>
  <c r="AQ134" i="1"/>
  <c r="AN134" i="1"/>
  <c r="AK134" i="1"/>
  <c r="AT133" i="1"/>
  <c r="AR133" i="1"/>
  <c r="AQ133" i="1"/>
  <c r="AN133" i="1"/>
  <c r="AK133" i="1"/>
  <c r="AT132" i="1"/>
  <c r="AR132" i="1"/>
  <c r="AQ132" i="1"/>
  <c r="AN132" i="1"/>
  <c r="AK132" i="1"/>
  <c r="AT131" i="1"/>
  <c r="AR131" i="1"/>
  <c r="AQ131" i="1"/>
  <c r="AN131" i="1"/>
  <c r="AK131" i="1"/>
  <c r="AT130" i="1"/>
  <c r="AR130" i="1"/>
  <c r="AQ130" i="1"/>
  <c r="AN130" i="1"/>
  <c r="AK130" i="1"/>
  <c r="AT129" i="1"/>
  <c r="AR129" i="1"/>
  <c r="AQ129" i="1"/>
  <c r="AN129" i="1"/>
  <c r="AK129" i="1"/>
  <c r="AT128" i="1"/>
  <c r="AR128" i="1"/>
  <c r="AQ128" i="1"/>
  <c r="AN128" i="1"/>
  <c r="AK128" i="1"/>
  <c r="AT127" i="1"/>
  <c r="AR127" i="1"/>
  <c r="AQ127" i="1"/>
  <c r="AN127" i="1"/>
  <c r="AK127" i="1"/>
  <c r="AT126" i="1"/>
  <c r="AR126" i="1"/>
  <c r="AQ126" i="1"/>
  <c r="AN126" i="1"/>
  <c r="AK126" i="1"/>
  <c r="AT125" i="1"/>
  <c r="AR125" i="1"/>
  <c r="AQ125" i="1"/>
  <c r="AN125" i="1"/>
  <c r="AK125" i="1"/>
  <c r="AT124" i="1"/>
  <c r="AR124" i="1"/>
  <c r="AQ124" i="1"/>
  <c r="AN124" i="1"/>
  <c r="AK124" i="1"/>
  <c r="AT123" i="1"/>
  <c r="AR123" i="1"/>
  <c r="AQ123" i="1"/>
  <c r="AN123" i="1"/>
  <c r="AK123" i="1"/>
  <c r="AT122" i="1"/>
  <c r="AR122" i="1"/>
  <c r="AQ122" i="1"/>
  <c r="AN122" i="1"/>
  <c r="AK122" i="1"/>
  <c r="AT121" i="1"/>
  <c r="AR121" i="1"/>
  <c r="AQ121" i="1"/>
  <c r="AN121" i="1"/>
  <c r="AK121" i="1"/>
  <c r="AT120" i="1"/>
  <c r="AR120" i="1"/>
  <c r="AQ120" i="1"/>
  <c r="AN120" i="1"/>
  <c r="AK120" i="1"/>
  <c r="AT119" i="1"/>
  <c r="AR119" i="1"/>
  <c r="AQ119" i="1"/>
  <c r="AN119" i="1"/>
  <c r="AK119" i="1"/>
  <c r="AT118" i="1"/>
  <c r="AR118" i="1"/>
  <c r="AQ118" i="1"/>
  <c r="AN118" i="1"/>
  <c r="AK118" i="1"/>
  <c r="AT117" i="1"/>
  <c r="AR117" i="1"/>
  <c r="AQ117" i="1"/>
  <c r="AN117" i="1"/>
  <c r="AK117" i="1"/>
  <c r="AT116" i="1"/>
  <c r="AR116" i="1"/>
  <c r="AQ116" i="1"/>
  <c r="AN116" i="1"/>
  <c r="AK116" i="1"/>
  <c r="AT115" i="1"/>
  <c r="AR115" i="1"/>
  <c r="AQ115" i="1"/>
  <c r="AN115" i="1"/>
  <c r="AK115" i="1"/>
  <c r="AT114" i="1"/>
  <c r="AR114" i="1"/>
  <c r="AQ114" i="1"/>
  <c r="AN114" i="1"/>
  <c r="AK114" i="1"/>
  <c r="AT113" i="1"/>
  <c r="AR113" i="1"/>
  <c r="AQ113" i="1"/>
  <c r="AN113" i="1"/>
  <c r="AK113" i="1"/>
  <c r="AT112" i="1"/>
  <c r="AR112" i="1"/>
  <c r="AQ112" i="1"/>
  <c r="AN112" i="1"/>
  <c r="AK112" i="1"/>
  <c r="AT111" i="1"/>
  <c r="AR111" i="1"/>
  <c r="AQ111" i="1"/>
  <c r="AN111" i="1"/>
  <c r="AK111" i="1"/>
  <c r="AT110" i="1"/>
  <c r="AR110" i="1"/>
  <c r="AQ110" i="1"/>
  <c r="AN110" i="1"/>
  <c r="AK110" i="1"/>
  <c r="AT109" i="1"/>
  <c r="AR109" i="1"/>
  <c r="AQ109" i="1"/>
  <c r="AN109" i="1"/>
  <c r="AK109" i="1"/>
  <c r="AT108" i="1"/>
  <c r="AR108" i="1"/>
  <c r="AQ108" i="1"/>
  <c r="AN108" i="1"/>
  <c r="AK108" i="1"/>
  <c r="AT107" i="1"/>
  <c r="AR107" i="1"/>
  <c r="AQ107" i="1"/>
  <c r="AN107" i="1"/>
  <c r="AK107" i="1"/>
  <c r="AT106" i="1"/>
  <c r="AR106" i="1"/>
  <c r="AQ106" i="1"/>
  <c r="AN106" i="1"/>
  <c r="AK106" i="1"/>
  <c r="AT105" i="1"/>
  <c r="AR105" i="1"/>
  <c r="AQ105" i="1"/>
  <c r="AN105" i="1"/>
  <c r="AK105" i="1"/>
  <c r="AT103" i="1"/>
  <c r="AR103" i="1"/>
  <c r="AQ103" i="1"/>
  <c r="AN103" i="1"/>
  <c r="AK103" i="1"/>
  <c r="AT102" i="1"/>
  <c r="AR102" i="1"/>
  <c r="AQ102" i="1"/>
  <c r="AN102" i="1"/>
  <c r="AK102" i="1"/>
  <c r="AT101" i="1"/>
  <c r="AR101" i="1"/>
  <c r="AQ101" i="1"/>
  <c r="AN101" i="1"/>
  <c r="AK101" i="1"/>
  <c r="AT100" i="1"/>
  <c r="AR100" i="1"/>
  <c r="AQ100" i="1"/>
  <c r="AN100" i="1"/>
  <c r="AK100" i="1"/>
  <c r="AT99" i="1"/>
  <c r="AR99" i="1"/>
  <c r="AQ99" i="1"/>
  <c r="AN99" i="1"/>
  <c r="AK99" i="1"/>
  <c r="AT98" i="1"/>
  <c r="AR98" i="1"/>
  <c r="AQ98" i="1"/>
  <c r="AN98" i="1"/>
  <c r="AK98" i="1"/>
  <c r="AT97" i="1"/>
  <c r="AR97" i="1"/>
  <c r="AQ97" i="1"/>
  <c r="AN97" i="1"/>
  <c r="AK97" i="1"/>
  <c r="AT96" i="1"/>
  <c r="AR96" i="1"/>
  <c r="AQ96" i="1"/>
  <c r="AN96" i="1"/>
  <c r="AK96" i="1"/>
  <c r="AT95" i="1"/>
  <c r="AR95" i="1"/>
  <c r="AQ95" i="1"/>
  <c r="AN95" i="1"/>
  <c r="AK95" i="1"/>
  <c r="AT94" i="1"/>
  <c r="AR94" i="1"/>
  <c r="AQ94" i="1"/>
  <c r="AN94" i="1"/>
  <c r="AK94" i="1"/>
  <c r="AT93" i="1"/>
  <c r="AR93" i="1"/>
  <c r="AQ93" i="1"/>
  <c r="AN93" i="1"/>
  <c r="AK93" i="1"/>
  <c r="AT92" i="1"/>
  <c r="AR92" i="1"/>
  <c r="AQ92" i="1"/>
  <c r="AN92" i="1"/>
  <c r="AK92" i="1"/>
  <c r="AT91" i="1"/>
  <c r="AR91" i="1"/>
  <c r="AQ91" i="1"/>
  <c r="AN91" i="1"/>
  <c r="AK91" i="1"/>
  <c r="AT90" i="1"/>
  <c r="AR90" i="1"/>
  <c r="AQ90" i="1"/>
  <c r="AN90" i="1"/>
  <c r="AK90" i="1"/>
  <c r="AT89" i="1"/>
  <c r="AR89" i="1"/>
  <c r="AQ89" i="1"/>
  <c r="AN89" i="1"/>
  <c r="AK89" i="1"/>
  <c r="AT88" i="1"/>
  <c r="AR88" i="1"/>
  <c r="AQ88" i="1"/>
  <c r="AN88" i="1"/>
  <c r="AK88" i="1"/>
  <c r="AT87" i="1"/>
  <c r="AR87" i="1"/>
  <c r="AQ87" i="1"/>
  <c r="AN87" i="1"/>
  <c r="AK87" i="1"/>
  <c r="AT86" i="1"/>
  <c r="AR86" i="1"/>
  <c r="AQ86" i="1"/>
  <c r="AN86" i="1"/>
  <c r="AK86" i="1"/>
  <c r="AT85" i="1"/>
  <c r="AR85" i="1"/>
  <c r="AQ85" i="1"/>
  <c r="AN85" i="1"/>
  <c r="AK85" i="1"/>
  <c r="AT84" i="1"/>
  <c r="AR84" i="1"/>
  <c r="AQ84" i="1"/>
  <c r="AN84" i="1"/>
  <c r="AK84" i="1"/>
  <c r="AT83" i="1"/>
  <c r="AR83" i="1"/>
  <c r="AQ83" i="1"/>
  <c r="AN83" i="1"/>
  <c r="AK83" i="1"/>
  <c r="AT82" i="1"/>
  <c r="AR82" i="1"/>
  <c r="AQ82" i="1"/>
  <c r="AN82" i="1"/>
  <c r="AK82" i="1"/>
  <c r="AT81" i="1"/>
  <c r="AR81" i="1"/>
  <c r="AQ81" i="1"/>
  <c r="AN81" i="1"/>
  <c r="AK81" i="1"/>
  <c r="AT80" i="1"/>
  <c r="AR80" i="1"/>
  <c r="AQ80" i="1"/>
  <c r="AN80" i="1"/>
  <c r="AK80" i="1"/>
  <c r="AT79" i="1"/>
  <c r="AR79" i="1"/>
  <c r="AQ79" i="1"/>
  <c r="AN79" i="1"/>
  <c r="AK79" i="1"/>
  <c r="AT78" i="1"/>
  <c r="AR78" i="1"/>
  <c r="AQ78" i="1"/>
  <c r="AN78" i="1"/>
  <c r="AK78" i="1"/>
  <c r="AT77" i="1"/>
  <c r="AR77" i="1"/>
  <c r="AQ77" i="1"/>
  <c r="AN77" i="1"/>
  <c r="AK77" i="1"/>
  <c r="AT76" i="1"/>
  <c r="AR76" i="1"/>
  <c r="AQ76" i="1"/>
  <c r="AN76" i="1"/>
  <c r="AK76" i="1"/>
  <c r="AT75" i="1"/>
  <c r="AR75" i="1"/>
  <c r="AQ75" i="1"/>
  <c r="AN75" i="1"/>
  <c r="AK75" i="1"/>
  <c r="AT74" i="1"/>
  <c r="AR74" i="1"/>
  <c r="AQ74" i="1"/>
  <c r="AN74" i="1"/>
  <c r="AK74" i="1"/>
  <c r="AT73" i="1"/>
  <c r="AR73" i="1"/>
  <c r="AQ73" i="1"/>
  <c r="AN73" i="1"/>
  <c r="AK73" i="1"/>
  <c r="AT72" i="1"/>
  <c r="AR72" i="1"/>
  <c r="AQ72" i="1"/>
  <c r="AN72" i="1"/>
  <c r="AK72" i="1"/>
  <c r="AT71" i="1"/>
  <c r="AR71" i="1"/>
  <c r="AQ71" i="1"/>
  <c r="AN71" i="1"/>
  <c r="AK71" i="1"/>
  <c r="AT70" i="1"/>
  <c r="AR70" i="1"/>
  <c r="AQ70" i="1"/>
  <c r="AN70" i="1"/>
  <c r="AK70" i="1"/>
  <c r="AT69" i="1"/>
  <c r="AR69" i="1"/>
  <c r="AQ69" i="1"/>
  <c r="AN69" i="1"/>
  <c r="AK69" i="1"/>
  <c r="AT68" i="1"/>
  <c r="AR68" i="1"/>
  <c r="AQ68" i="1"/>
  <c r="AN68" i="1"/>
  <c r="AK68" i="1"/>
  <c r="AT67" i="1"/>
  <c r="AR67" i="1"/>
  <c r="AQ67" i="1"/>
  <c r="AN67" i="1"/>
  <c r="AK67" i="1"/>
  <c r="AT66" i="1"/>
  <c r="AR66" i="1"/>
  <c r="AQ66" i="1"/>
  <c r="AN66" i="1"/>
  <c r="AK66" i="1"/>
  <c r="AT65" i="1"/>
  <c r="AR65" i="1"/>
  <c r="AQ65" i="1"/>
  <c r="AN65" i="1"/>
  <c r="AK65" i="1"/>
  <c r="AT64" i="1"/>
  <c r="AR64" i="1"/>
  <c r="AQ64" i="1"/>
  <c r="AN64" i="1"/>
  <c r="AK64" i="1"/>
  <c r="AT63" i="1"/>
  <c r="AR63" i="1"/>
  <c r="AQ63" i="1"/>
  <c r="AN63" i="1"/>
  <c r="AK63" i="1"/>
  <c r="AT62" i="1"/>
  <c r="AR62" i="1"/>
  <c r="AQ62" i="1"/>
  <c r="AN62" i="1"/>
  <c r="AK62" i="1"/>
  <c r="AT61" i="1"/>
  <c r="AR61" i="1"/>
  <c r="AQ61" i="1"/>
  <c r="AN61" i="1"/>
  <c r="AK61" i="1"/>
  <c r="AT60" i="1"/>
  <c r="AR60" i="1"/>
  <c r="AQ60" i="1"/>
  <c r="AN60" i="1"/>
  <c r="AK60" i="1"/>
  <c r="AT59" i="1"/>
  <c r="AR59" i="1"/>
  <c r="AQ59" i="1"/>
  <c r="AN59" i="1"/>
  <c r="AK59" i="1"/>
  <c r="AT58" i="1"/>
  <c r="AR58" i="1"/>
  <c r="AQ58" i="1"/>
  <c r="AN58" i="1"/>
  <c r="AK58" i="1"/>
  <c r="AT57" i="1"/>
  <c r="AR57" i="1"/>
  <c r="AQ57" i="1"/>
  <c r="AN57" i="1"/>
  <c r="AK57" i="1"/>
  <c r="AT56" i="1"/>
  <c r="AR56" i="1"/>
  <c r="AQ56" i="1"/>
  <c r="AN56" i="1"/>
  <c r="AK56" i="1"/>
  <c r="AT55" i="1"/>
  <c r="AR55" i="1"/>
  <c r="AQ55" i="1"/>
  <c r="AN55" i="1"/>
  <c r="AK55" i="1"/>
  <c r="AT54" i="1"/>
  <c r="AR54" i="1"/>
  <c r="AQ54" i="1"/>
  <c r="AN54" i="1"/>
  <c r="AK54" i="1"/>
  <c r="AT53" i="1"/>
  <c r="AR53" i="1"/>
  <c r="AQ53" i="1"/>
  <c r="AN53" i="1"/>
  <c r="AK53" i="1"/>
  <c r="AT52" i="1"/>
  <c r="AR52" i="1"/>
  <c r="AQ52" i="1"/>
  <c r="AN52" i="1"/>
  <c r="AK52" i="1"/>
  <c r="AT51" i="1"/>
  <c r="AR51" i="1"/>
  <c r="AQ51" i="1"/>
  <c r="AN51" i="1"/>
  <c r="AK51" i="1"/>
  <c r="AT50" i="1"/>
  <c r="AR50" i="1"/>
  <c r="AQ50" i="1"/>
  <c r="AN50" i="1"/>
  <c r="AK50" i="1"/>
  <c r="AT49" i="1"/>
  <c r="AR49" i="1"/>
  <c r="AQ49" i="1"/>
  <c r="AN49" i="1"/>
  <c r="AK49" i="1"/>
  <c r="AT48" i="1"/>
  <c r="AR48" i="1"/>
  <c r="AQ48" i="1"/>
  <c r="AN48" i="1"/>
  <c r="AK48" i="1"/>
  <c r="AT46" i="1"/>
  <c r="AR46" i="1"/>
  <c r="AQ46" i="1"/>
  <c r="AN46" i="1"/>
  <c r="AK46" i="1"/>
  <c r="AT45" i="1"/>
  <c r="AR45" i="1"/>
  <c r="AQ45" i="1"/>
  <c r="AN45" i="1"/>
  <c r="AK45" i="1"/>
  <c r="AT43" i="1"/>
  <c r="AR43" i="1"/>
  <c r="AQ43" i="1"/>
  <c r="AN43" i="1"/>
  <c r="AK43" i="1"/>
  <c r="AT42" i="1"/>
  <c r="AR42" i="1"/>
  <c r="AQ42" i="1"/>
  <c r="AN42" i="1"/>
  <c r="AK42" i="1"/>
  <c r="AT41" i="1"/>
  <c r="AR41" i="1"/>
  <c r="AQ41" i="1"/>
  <c r="AN41" i="1"/>
  <c r="AK41" i="1"/>
  <c r="AT40" i="1"/>
  <c r="AR40" i="1"/>
  <c r="AQ40" i="1"/>
  <c r="AN40" i="1"/>
  <c r="AK40" i="1"/>
  <c r="AT39" i="1"/>
  <c r="AR39" i="1"/>
  <c r="AQ39" i="1"/>
  <c r="AN39" i="1"/>
  <c r="AK39" i="1"/>
  <c r="AT38" i="1"/>
  <c r="AR38" i="1"/>
  <c r="AQ38" i="1"/>
  <c r="AN38" i="1"/>
  <c r="AK38" i="1"/>
  <c r="AT37" i="1"/>
  <c r="AR37" i="1"/>
  <c r="AQ37" i="1"/>
  <c r="AN37" i="1"/>
  <c r="AK37" i="1"/>
  <c r="AT36" i="1"/>
  <c r="AQ36" i="1"/>
  <c r="AN36" i="1"/>
  <c r="AK36" i="1"/>
  <c r="AT35" i="1"/>
  <c r="AQ35" i="1"/>
  <c r="AN35" i="1"/>
  <c r="AK35" i="1"/>
  <c r="AT34" i="1"/>
  <c r="AQ34" i="1"/>
  <c r="AN34" i="1"/>
  <c r="AK34" i="1"/>
  <c r="AT33" i="1"/>
  <c r="AQ33" i="1"/>
  <c r="AN33" i="1"/>
  <c r="AK33" i="1"/>
  <c r="AT32" i="1"/>
  <c r="AQ32" i="1"/>
  <c r="AN32" i="1"/>
  <c r="AK32" i="1"/>
  <c r="AT31" i="1"/>
  <c r="AQ31" i="1"/>
  <c r="AN31" i="1"/>
  <c r="AK31" i="1"/>
  <c r="AT30" i="1"/>
  <c r="AQ30" i="1"/>
  <c r="AN30" i="1"/>
  <c r="AK30" i="1"/>
  <c r="AT29" i="1"/>
  <c r="AQ29" i="1"/>
  <c r="AN29" i="1"/>
  <c r="AK29" i="1"/>
  <c r="AT28" i="1"/>
  <c r="AQ28" i="1"/>
  <c r="AN28" i="1"/>
  <c r="AK28" i="1"/>
  <c r="AT27" i="1"/>
  <c r="AQ27" i="1"/>
  <c r="AN27" i="1"/>
  <c r="AK27" i="1"/>
  <c r="AT26" i="1"/>
  <c r="AQ26" i="1"/>
  <c r="AN26" i="1"/>
  <c r="AK26" i="1"/>
  <c r="AT25" i="1"/>
  <c r="AQ25" i="1"/>
  <c r="AN25" i="1"/>
  <c r="AK25" i="1"/>
  <c r="AT24" i="1"/>
  <c r="AQ24" i="1"/>
  <c r="AN24" i="1"/>
  <c r="AK24" i="1"/>
  <c r="AT23" i="1"/>
  <c r="AQ23" i="1"/>
  <c r="AN23" i="1"/>
  <c r="AK23" i="1"/>
  <c r="AT22" i="1"/>
  <c r="AQ22" i="1"/>
  <c r="AN22" i="1"/>
  <c r="AK22" i="1"/>
  <c r="AT21" i="1"/>
  <c r="AQ21" i="1"/>
  <c r="AN21" i="1"/>
  <c r="AK21" i="1"/>
  <c r="AT20" i="1"/>
  <c r="AQ20" i="1"/>
  <c r="AN20" i="1"/>
  <c r="AK20" i="1"/>
  <c r="AT19" i="1"/>
  <c r="AQ19" i="1"/>
  <c r="AN19" i="1"/>
  <c r="AK19" i="1"/>
  <c r="AT18" i="1"/>
  <c r="AQ18" i="1"/>
  <c r="AN18" i="1"/>
  <c r="AK18" i="1"/>
  <c r="AT17" i="1"/>
  <c r="AQ17" i="1"/>
  <c r="AN17" i="1"/>
  <c r="AK17" i="1"/>
  <c r="AT16" i="1"/>
  <c r="AQ16" i="1"/>
  <c r="AN16" i="1"/>
  <c r="AK16" i="1"/>
  <c r="AT15" i="1"/>
  <c r="AQ15" i="1"/>
  <c r="AN15" i="1"/>
  <c r="AK15" i="1"/>
  <c r="AT14" i="1"/>
  <c r="AQ14" i="1"/>
  <c r="AN14" i="1"/>
  <c r="AK14" i="1"/>
  <c r="AT13" i="1"/>
  <c r="AQ13" i="1"/>
  <c r="AN13" i="1"/>
  <c r="AK13" i="1"/>
  <c r="AT12" i="1"/>
  <c r="AQ12" i="1"/>
  <c r="AN12" i="1"/>
  <c r="AK12" i="1"/>
  <c r="AT11" i="1"/>
  <c r="AQ11" i="1"/>
  <c r="AN11" i="1"/>
  <c r="AK11" i="1"/>
  <c r="AT10" i="1"/>
  <c r="AQ10" i="1"/>
  <c r="AN10" i="1"/>
  <c r="AK10" i="1"/>
  <c r="AT9" i="1"/>
  <c r="AQ9" i="1"/>
  <c r="AN9" i="1"/>
  <c r="AK9" i="1"/>
  <c r="AT8" i="1"/>
  <c r="AQ8" i="1"/>
  <c r="AN8" i="1"/>
  <c r="AK8" i="1"/>
  <c r="AT7" i="1"/>
  <c r="AQ7" i="1"/>
  <c r="AN7" i="1"/>
  <c r="AK7" i="1"/>
  <c r="AT6" i="1"/>
  <c r="AQ6" i="1"/>
  <c r="AN6" i="1"/>
  <c r="AK6" i="1"/>
  <c r="AT5" i="1"/>
  <c r="AQ5" i="1"/>
  <c r="AN5" i="1"/>
  <c r="AK5" i="1"/>
  <c r="AU3" i="1"/>
  <c r="AR3" i="1"/>
  <c r="AT3" i="1"/>
  <c r="AQ3" i="1"/>
  <c r="AN3" i="1"/>
  <c r="AK3" i="1"/>
  <c r="AE1258" i="1"/>
  <c r="AE1257" i="1"/>
  <c r="AE1256" i="1"/>
  <c r="AE1255" i="1"/>
  <c r="AE1254" i="1"/>
  <c r="AE1253" i="1"/>
  <c r="AE1252" i="1"/>
  <c r="AE1251" i="1"/>
  <c r="AE1250" i="1"/>
  <c r="AE1249" i="1"/>
  <c r="AE1248" i="1"/>
  <c r="AE1247" i="1"/>
  <c r="AE1246" i="1"/>
  <c r="AE1245" i="1"/>
  <c r="AE1244" i="1"/>
  <c r="AE1243" i="1"/>
  <c r="AE1242" i="1"/>
  <c r="AE1241" i="1"/>
  <c r="AE1240" i="1"/>
  <c r="AE1239" i="1"/>
  <c r="AE1238" i="1"/>
  <c r="AE1237" i="1"/>
  <c r="AE1236" i="1"/>
  <c r="AE1235" i="1"/>
  <c r="AE1234" i="1"/>
  <c r="AE1233" i="1"/>
  <c r="AE1232" i="1"/>
  <c r="AE1231" i="1"/>
  <c r="AE1230" i="1"/>
  <c r="AE1229" i="1"/>
  <c r="AE1228" i="1"/>
  <c r="AE1227" i="1"/>
  <c r="AE1226" i="1"/>
  <c r="AE1225" i="1"/>
  <c r="AE1224" i="1"/>
  <c r="AE1223" i="1"/>
  <c r="AE1222" i="1"/>
  <c r="AE1221" i="1"/>
  <c r="AE1220" i="1"/>
  <c r="AE1219" i="1"/>
  <c r="AE1218" i="1"/>
  <c r="AE1217" i="1"/>
  <c r="AE1216" i="1"/>
  <c r="AE1215" i="1"/>
  <c r="AE1214" i="1"/>
  <c r="AE1213" i="1"/>
  <c r="AE1212" i="1"/>
  <c r="AE1211" i="1"/>
  <c r="AE1210" i="1"/>
  <c r="AE1209" i="1"/>
  <c r="AE1208" i="1"/>
  <c r="AE1207" i="1"/>
  <c r="AE1206" i="1"/>
  <c r="AE1205" i="1"/>
  <c r="AE1204" i="1"/>
  <c r="AE1203" i="1"/>
  <c r="AE1202" i="1"/>
  <c r="AE1201" i="1"/>
  <c r="AE1200" i="1"/>
  <c r="AE1199" i="1"/>
  <c r="AE1198" i="1"/>
  <c r="AE1197" i="1"/>
  <c r="AE1196" i="1"/>
  <c r="AE1195" i="1"/>
  <c r="AE1194" i="1"/>
  <c r="AE1193" i="1"/>
  <c r="AE1192" i="1"/>
  <c r="AE1191" i="1"/>
  <c r="AE1190" i="1"/>
  <c r="AE1189" i="1"/>
  <c r="AE1188" i="1"/>
  <c r="AE1187" i="1"/>
  <c r="AE1186" i="1"/>
  <c r="AE1185" i="1"/>
  <c r="AE1184" i="1"/>
  <c r="AE1183" i="1"/>
  <c r="AE1182" i="1"/>
  <c r="AE1181" i="1"/>
  <c r="AE1180" i="1"/>
  <c r="AE1179" i="1"/>
  <c r="AE1178" i="1"/>
  <c r="AE1177" i="1"/>
  <c r="AE1176" i="1"/>
  <c r="AE1175" i="1"/>
  <c r="AE1174" i="1"/>
  <c r="AE1173" i="1"/>
  <c r="AE1172" i="1"/>
  <c r="AE1171" i="1"/>
  <c r="AE1170" i="1"/>
  <c r="AE1169" i="1"/>
  <c r="AE1168" i="1"/>
  <c r="AE1167" i="1"/>
  <c r="AE1166" i="1"/>
  <c r="AE1165" i="1"/>
  <c r="AE1164" i="1"/>
  <c r="AE1163" i="1"/>
  <c r="AE1162" i="1"/>
  <c r="AE1161" i="1"/>
  <c r="AE1160" i="1"/>
  <c r="AE1159" i="1"/>
  <c r="AE1158" i="1"/>
  <c r="AE1157" i="1"/>
  <c r="AE1156" i="1"/>
  <c r="AE1155" i="1"/>
  <c r="AE1154" i="1"/>
  <c r="AE1153" i="1"/>
  <c r="AE1152" i="1"/>
  <c r="AE1151" i="1"/>
  <c r="AE1150" i="1"/>
  <c r="AE1149" i="1"/>
  <c r="AE1148" i="1"/>
  <c r="AE1147" i="1"/>
  <c r="AE1146" i="1"/>
  <c r="AE1145" i="1"/>
  <c r="AE1144" i="1"/>
  <c r="AE1143" i="1"/>
  <c r="AE1142" i="1"/>
  <c r="AE1141" i="1"/>
  <c r="AE1140" i="1"/>
  <c r="AE1139" i="1"/>
  <c r="AE1138" i="1"/>
  <c r="AE1137" i="1"/>
  <c r="AE1136" i="1"/>
  <c r="AE1135" i="1"/>
  <c r="AE1134" i="1"/>
  <c r="AE1133" i="1"/>
  <c r="AE1132" i="1"/>
  <c r="AE1131" i="1"/>
  <c r="AE1130" i="1"/>
  <c r="AE1129" i="1"/>
  <c r="AE1128" i="1"/>
  <c r="AE1127" i="1"/>
  <c r="AE1126" i="1"/>
  <c r="AE1125" i="1"/>
  <c r="AE1124" i="1"/>
  <c r="AE1123" i="1"/>
  <c r="AE1122" i="1"/>
  <c r="AE1121" i="1"/>
  <c r="AE1120" i="1"/>
  <c r="AE1119" i="1"/>
  <c r="AE1118" i="1"/>
  <c r="AE1117" i="1"/>
  <c r="AE1116" i="1"/>
  <c r="AE1115" i="1"/>
  <c r="AE1114" i="1"/>
  <c r="AE1113" i="1"/>
  <c r="AE1112" i="1"/>
  <c r="AE1111" i="1"/>
  <c r="AE1110" i="1"/>
  <c r="AE1109" i="1"/>
  <c r="AE1108" i="1"/>
  <c r="AE1107" i="1"/>
  <c r="AE1106" i="1"/>
  <c r="AE1105" i="1"/>
  <c r="AE1104" i="1"/>
  <c r="AE1103" i="1"/>
  <c r="AE1102" i="1"/>
  <c r="AE1101" i="1"/>
  <c r="AE1100" i="1"/>
  <c r="AE1099" i="1"/>
  <c r="AE1098" i="1"/>
  <c r="AE1097" i="1"/>
  <c r="AE1096" i="1"/>
  <c r="AE1095" i="1"/>
  <c r="AE1094" i="1"/>
  <c r="AE1093" i="1"/>
  <c r="AE1092" i="1"/>
  <c r="AE1091" i="1"/>
  <c r="AE1090" i="1"/>
  <c r="AE1089" i="1"/>
  <c r="AE1088" i="1"/>
  <c r="AE1087" i="1"/>
  <c r="AE1086" i="1"/>
  <c r="AE1085" i="1"/>
  <c r="AE1084" i="1"/>
  <c r="AE1083" i="1"/>
  <c r="AE1082" i="1"/>
  <c r="AE1081" i="1"/>
  <c r="AE1080" i="1"/>
  <c r="AE1079" i="1"/>
  <c r="AE1078" i="1"/>
  <c r="AE1077" i="1"/>
  <c r="AE1076" i="1"/>
  <c r="AE1075" i="1"/>
  <c r="AE1074" i="1"/>
  <c r="AE1073" i="1"/>
  <c r="AE1072" i="1"/>
  <c r="AE1071" i="1"/>
  <c r="AE1070" i="1"/>
  <c r="AE1069" i="1"/>
  <c r="AE1068" i="1"/>
  <c r="AE1067" i="1"/>
  <c r="AE1066" i="1"/>
  <c r="AE1065" i="1"/>
  <c r="AE1064" i="1"/>
  <c r="AE1063" i="1"/>
  <c r="AE1062" i="1"/>
  <c r="AE1061" i="1"/>
  <c r="AE1060" i="1"/>
  <c r="AE1059" i="1"/>
  <c r="AE1058" i="1"/>
  <c r="AE1057" i="1"/>
  <c r="AE1056" i="1"/>
  <c r="AE1055" i="1"/>
  <c r="AE1054" i="1"/>
  <c r="AE1053" i="1"/>
  <c r="AE1052" i="1"/>
  <c r="AE1051" i="1"/>
  <c r="AE1050" i="1"/>
  <c r="AE1049" i="1"/>
  <c r="AE1048" i="1"/>
  <c r="AE1047" i="1"/>
  <c r="AE1046" i="1"/>
  <c r="AE1045" i="1"/>
  <c r="AE1044" i="1"/>
  <c r="AE1043" i="1"/>
  <c r="AE1042" i="1"/>
  <c r="AE1041" i="1"/>
  <c r="AE1040" i="1"/>
  <c r="AE1039" i="1"/>
  <c r="AE1038" i="1"/>
  <c r="AE1037" i="1"/>
  <c r="AE1036" i="1"/>
  <c r="AE1035" i="1"/>
  <c r="AE1034" i="1"/>
  <c r="AE1033" i="1"/>
  <c r="AE1032" i="1"/>
  <c r="AE1031" i="1"/>
  <c r="AE1030" i="1"/>
  <c r="AE1029" i="1"/>
  <c r="AE1028" i="1"/>
  <c r="AE1027" i="1"/>
  <c r="AE1026" i="1"/>
  <c r="AE1025" i="1"/>
  <c r="AE1024" i="1"/>
  <c r="AE1023" i="1"/>
  <c r="AE1022" i="1"/>
  <c r="AE1021" i="1"/>
  <c r="AE1020" i="1"/>
  <c r="AE1019" i="1"/>
  <c r="AE1018" i="1"/>
  <c r="AE1017" i="1"/>
  <c r="AE1016" i="1"/>
  <c r="AE1015" i="1"/>
  <c r="AE1014" i="1"/>
  <c r="AE1013" i="1"/>
  <c r="AE1012" i="1"/>
  <c r="AE1011" i="1"/>
  <c r="AE1010" i="1"/>
  <c r="AE1009" i="1"/>
  <c r="AE1008" i="1"/>
  <c r="AE1007" i="1"/>
  <c r="AE1006" i="1"/>
  <c r="AE1005" i="1"/>
  <c r="AE1004" i="1"/>
  <c r="AE1003" i="1"/>
  <c r="AE1002" i="1"/>
  <c r="AE1001" i="1"/>
  <c r="AE1000" i="1"/>
  <c r="AE999" i="1"/>
  <c r="AE998" i="1"/>
  <c r="AE997" i="1"/>
  <c r="AE996" i="1"/>
  <c r="AE995" i="1"/>
  <c r="AE994" i="1"/>
  <c r="AE993" i="1"/>
  <c r="AE992" i="1"/>
  <c r="AE991" i="1"/>
  <c r="AE990" i="1"/>
  <c r="AE989" i="1"/>
  <c r="AE988" i="1"/>
  <c r="AE987" i="1"/>
  <c r="AE986" i="1"/>
  <c r="AE985" i="1"/>
  <c r="AE984" i="1"/>
  <c r="AE983" i="1"/>
  <c r="AE982" i="1"/>
  <c r="AE981" i="1"/>
  <c r="AE980" i="1"/>
  <c r="AE979" i="1"/>
  <c r="AE978" i="1"/>
  <c r="AE977" i="1"/>
  <c r="AE976" i="1"/>
  <c r="AE975" i="1"/>
  <c r="AE974" i="1"/>
  <c r="AE973" i="1"/>
  <c r="AE972" i="1"/>
  <c r="AE971" i="1"/>
  <c r="AE970" i="1"/>
  <c r="AE969" i="1"/>
  <c r="AE968" i="1"/>
  <c r="AE967" i="1"/>
  <c r="AE966" i="1"/>
  <c r="AE965" i="1"/>
  <c r="AE964" i="1"/>
  <c r="AE963" i="1"/>
  <c r="AE962" i="1"/>
  <c r="AE961" i="1"/>
  <c r="AE960" i="1"/>
  <c r="AE959" i="1"/>
  <c r="AE958" i="1"/>
  <c r="AE957" i="1"/>
  <c r="AE956" i="1"/>
  <c r="AE955" i="1"/>
  <c r="AE954" i="1"/>
  <c r="AE953" i="1"/>
  <c r="AE952" i="1"/>
  <c r="AE951" i="1"/>
  <c r="AE950" i="1"/>
  <c r="AE949" i="1"/>
  <c r="AE948" i="1"/>
  <c r="AE947" i="1"/>
  <c r="AE946" i="1"/>
  <c r="AE945" i="1"/>
  <c r="AE944" i="1"/>
  <c r="AE943" i="1"/>
  <c r="AE942" i="1"/>
  <c r="AE941" i="1"/>
  <c r="AE940" i="1"/>
  <c r="AE939" i="1"/>
  <c r="AE938" i="1"/>
  <c r="AE937" i="1"/>
  <c r="AE936" i="1"/>
  <c r="AE935" i="1"/>
  <c r="AE934" i="1"/>
  <c r="AE933" i="1"/>
  <c r="AE932" i="1"/>
  <c r="AE931" i="1"/>
  <c r="AE930" i="1"/>
  <c r="AE929" i="1"/>
  <c r="AE928" i="1"/>
  <c r="AE927" i="1"/>
  <c r="AE926" i="1"/>
  <c r="AE925" i="1"/>
  <c r="AE924" i="1"/>
  <c r="AE923" i="1"/>
  <c r="AE922" i="1"/>
  <c r="AE921" i="1"/>
  <c r="AE920" i="1"/>
  <c r="AE919" i="1"/>
  <c r="AE918" i="1"/>
  <c r="AE917" i="1"/>
  <c r="AE916" i="1"/>
  <c r="AE915" i="1"/>
  <c r="AE914" i="1"/>
  <c r="AE913" i="1"/>
  <c r="AE912" i="1"/>
  <c r="AE911" i="1"/>
  <c r="AE910" i="1"/>
  <c r="AE909" i="1"/>
  <c r="AE908" i="1"/>
  <c r="AE907" i="1"/>
  <c r="AE906" i="1"/>
  <c r="AE905" i="1"/>
  <c r="AE904" i="1"/>
  <c r="AE903" i="1"/>
  <c r="AE902" i="1"/>
  <c r="AE901" i="1"/>
  <c r="AE900" i="1"/>
  <c r="AE899" i="1"/>
  <c r="AE898" i="1"/>
  <c r="AE897" i="1"/>
  <c r="AE896" i="1"/>
  <c r="AE895" i="1"/>
  <c r="AE894" i="1"/>
  <c r="AE893" i="1"/>
  <c r="AE892" i="1"/>
  <c r="AE891" i="1"/>
  <c r="AE890" i="1"/>
  <c r="AE889" i="1"/>
  <c r="AE888" i="1"/>
  <c r="AE887" i="1"/>
  <c r="AE886" i="1"/>
  <c r="AE885" i="1"/>
  <c r="AE884" i="1"/>
  <c r="AE883" i="1"/>
  <c r="AE882" i="1"/>
  <c r="AE881" i="1"/>
  <c r="AE880" i="1"/>
  <c r="AE879" i="1"/>
  <c r="AE878" i="1"/>
  <c r="AE877" i="1"/>
  <c r="AE876" i="1"/>
  <c r="AE875" i="1"/>
  <c r="AE874" i="1"/>
  <c r="AE873" i="1"/>
  <c r="AE872" i="1"/>
  <c r="AE871" i="1"/>
  <c r="AE870" i="1"/>
  <c r="AE869" i="1"/>
  <c r="AE868" i="1"/>
  <c r="AE867" i="1"/>
  <c r="AE866" i="1"/>
  <c r="AE865" i="1"/>
  <c r="AE864" i="1"/>
  <c r="AE863" i="1"/>
  <c r="AE862" i="1"/>
  <c r="AE861" i="1"/>
  <c r="AE860" i="1"/>
  <c r="AE859" i="1"/>
  <c r="AE858" i="1"/>
  <c r="AE857" i="1"/>
  <c r="AE856" i="1"/>
  <c r="AE855" i="1"/>
  <c r="AE854" i="1"/>
  <c r="AE853" i="1"/>
  <c r="AE852" i="1"/>
  <c r="AE851" i="1"/>
  <c r="AE850" i="1"/>
  <c r="AE849" i="1"/>
  <c r="AE848" i="1"/>
  <c r="AE847" i="1"/>
  <c r="AE846" i="1"/>
  <c r="AE845" i="1"/>
  <c r="AE844" i="1"/>
  <c r="AE843" i="1"/>
  <c r="AE842" i="1"/>
  <c r="AE841" i="1"/>
  <c r="AE840" i="1"/>
  <c r="AE839" i="1"/>
  <c r="AE838" i="1"/>
  <c r="AE837" i="1"/>
  <c r="AE836" i="1"/>
  <c r="AE835" i="1"/>
  <c r="AE834" i="1"/>
  <c r="AE833" i="1"/>
  <c r="AE832" i="1"/>
  <c r="AE831" i="1"/>
  <c r="AE830" i="1"/>
  <c r="AE829" i="1"/>
  <c r="AE828" i="1"/>
  <c r="AE827" i="1"/>
  <c r="AE826" i="1"/>
  <c r="AE825" i="1"/>
  <c r="AE824" i="1"/>
  <c r="AE823" i="1"/>
  <c r="AE822" i="1"/>
  <c r="AE821" i="1"/>
  <c r="AE820" i="1"/>
  <c r="AE819" i="1"/>
  <c r="AE818" i="1"/>
  <c r="AE817" i="1"/>
  <c r="AE816" i="1"/>
  <c r="AE815" i="1"/>
  <c r="AE814" i="1"/>
  <c r="AE813" i="1"/>
  <c r="AE812" i="1"/>
  <c r="AE811" i="1"/>
  <c r="AE810" i="1"/>
  <c r="AE809" i="1"/>
  <c r="AE808" i="1"/>
  <c r="AE807" i="1"/>
  <c r="AE806" i="1"/>
  <c r="AE805" i="1"/>
  <c r="AE804" i="1"/>
  <c r="AE803" i="1"/>
  <c r="AE802" i="1"/>
  <c r="AE801" i="1"/>
  <c r="AE800" i="1"/>
  <c r="AE799" i="1"/>
  <c r="AE798" i="1"/>
  <c r="AE797" i="1"/>
  <c r="AE796" i="1"/>
  <c r="AE795" i="1"/>
  <c r="AE794" i="1"/>
  <c r="AE793" i="1"/>
  <c r="AE792" i="1"/>
  <c r="AE791" i="1"/>
  <c r="AE790" i="1"/>
  <c r="AE789" i="1"/>
  <c r="AE788" i="1"/>
  <c r="AE787" i="1"/>
  <c r="AE786" i="1"/>
  <c r="AE785" i="1"/>
  <c r="AE784" i="1"/>
  <c r="AE783" i="1"/>
  <c r="AE782" i="1"/>
  <c r="AE781" i="1"/>
  <c r="AE780" i="1"/>
  <c r="AE779" i="1"/>
  <c r="AE778" i="1"/>
  <c r="AE777" i="1"/>
  <c r="AE776" i="1"/>
  <c r="AE775" i="1"/>
  <c r="AE774" i="1"/>
  <c r="AE773" i="1"/>
  <c r="AE772" i="1"/>
  <c r="AE771" i="1"/>
  <c r="AE770" i="1"/>
  <c r="AE769" i="1"/>
  <c r="AE768" i="1"/>
  <c r="AE767" i="1"/>
  <c r="AE766" i="1"/>
  <c r="AE765" i="1"/>
  <c r="AE764" i="1"/>
  <c r="AE763" i="1"/>
  <c r="AE762" i="1"/>
  <c r="AE761" i="1"/>
  <c r="AE760" i="1"/>
  <c r="AE759" i="1"/>
  <c r="AE758" i="1"/>
  <c r="AE757" i="1"/>
  <c r="AE756" i="1"/>
  <c r="AE755" i="1"/>
  <c r="AE754" i="1"/>
  <c r="AE753" i="1"/>
  <c r="AE752" i="1"/>
  <c r="AE751" i="1"/>
  <c r="AE750" i="1"/>
  <c r="AE749" i="1"/>
  <c r="AE748" i="1"/>
  <c r="AE747" i="1"/>
  <c r="AE746" i="1"/>
  <c r="AE745" i="1"/>
  <c r="AE744" i="1"/>
  <c r="AE743" i="1"/>
  <c r="AE742" i="1"/>
  <c r="AE741" i="1"/>
  <c r="AE740" i="1"/>
  <c r="AE739" i="1"/>
  <c r="AE738" i="1"/>
  <c r="AE737" i="1"/>
  <c r="AE736" i="1"/>
  <c r="AE735" i="1"/>
  <c r="AE734" i="1"/>
  <c r="AE733" i="1"/>
  <c r="AE732" i="1"/>
  <c r="AE731" i="1"/>
  <c r="AE730" i="1"/>
  <c r="AE729" i="1"/>
  <c r="AE728" i="1"/>
  <c r="AE727" i="1"/>
  <c r="AE726" i="1"/>
  <c r="AE725" i="1"/>
  <c r="AE724" i="1"/>
  <c r="AE723" i="1"/>
  <c r="AE722" i="1"/>
  <c r="AE721" i="1"/>
  <c r="AE720" i="1"/>
  <c r="AE719" i="1"/>
  <c r="AE718" i="1"/>
  <c r="AE717" i="1"/>
  <c r="AE716" i="1"/>
  <c r="AE715" i="1"/>
  <c r="AE714" i="1"/>
  <c r="AE713" i="1"/>
  <c r="AE712" i="1"/>
  <c r="AE711" i="1"/>
  <c r="AE710" i="1"/>
  <c r="AE709" i="1"/>
  <c r="AE708" i="1"/>
  <c r="AE707" i="1"/>
  <c r="AE706" i="1"/>
  <c r="AE705" i="1"/>
  <c r="AE704" i="1"/>
  <c r="AE703" i="1"/>
  <c r="AE702" i="1"/>
  <c r="AE701" i="1"/>
  <c r="AE700" i="1"/>
  <c r="AE699" i="1"/>
  <c r="AE698" i="1"/>
  <c r="AE697" i="1"/>
  <c r="AE696" i="1"/>
  <c r="AE695" i="1"/>
  <c r="AE694" i="1"/>
  <c r="AE693" i="1"/>
  <c r="AE692" i="1"/>
  <c r="AE691" i="1"/>
  <c r="AE690" i="1"/>
  <c r="AE689" i="1"/>
  <c r="AE688" i="1"/>
  <c r="AE687" i="1"/>
  <c r="AE686" i="1"/>
  <c r="AE685" i="1"/>
  <c r="AE684" i="1"/>
  <c r="AE683" i="1"/>
  <c r="AE682" i="1"/>
  <c r="AE681" i="1"/>
  <c r="AE680" i="1"/>
  <c r="AE679" i="1"/>
  <c r="AE678" i="1"/>
  <c r="AE677" i="1"/>
  <c r="AE676" i="1"/>
  <c r="AE675" i="1"/>
  <c r="AE674" i="1"/>
  <c r="AE673" i="1"/>
  <c r="AE672" i="1"/>
  <c r="AE671" i="1"/>
  <c r="AE670" i="1"/>
  <c r="AE669" i="1"/>
  <c r="AE668" i="1"/>
  <c r="AE667" i="1"/>
  <c r="AE666" i="1"/>
  <c r="AE665" i="1"/>
  <c r="AE664" i="1"/>
  <c r="AE663" i="1"/>
  <c r="AE662" i="1"/>
  <c r="AE661" i="1"/>
  <c r="AE660" i="1"/>
  <c r="AE659" i="1"/>
  <c r="AE658" i="1"/>
  <c r="AE657" i="1"/>
  <c r="AE656" i="1"/>
  <c r="AE655" i="1"/>
  <c r="AE654" i="1"/>
  <c r="AE653" i="1"/>
  <c r="AE652" i="1"/>
  <c r="AE651" i="1"/>
  <c r="AE650" i="1"/>
  <c r="AE649" i="1"/>
  <c r="AE648" i="1"/>
  <c r="AE647" i="1"/>
  <c r="AE646" i="1"/>
  <c r="AE645" i="1"/>
  <c r="AE644" i="1"/>
  <c r="AE643" i="1"/>
  <c r="AE642" i="1"/>
  <c r="AE641" i="1"/>
  <c r="AE640" i="1"/>
  <c r="AE639" i="1"/>
  <c r="AE638" i="1"/>
  <c r="AE637" i="1"/>
  <c r="AE636" i="1"/>
  <c r="AE635" i="1"/>
  <c r="AE634" i="1"/>
  <c r="AE633" i="1"/>
  <c r="AE632" i="1"/>
  <c r="AE631" i="1"/>
  <c r="AE630" i="1"/>
  <c r="AE629" i="1"/>
  <c r="AE628" i="1"/>
  <c r="AE627" i="1"/>
  <c r="AE626" i="1"/>
  <c r="AE625" i="1"/>
  <c r="AE624" i="1"/>
  <c r="AE623" i="1"/>
  <c r="AE622" i="1"/>
  <c r="AE621" i="1"/>
  <c r="AE620" i="1"/>
  <c r="AE619" i="1"/>
  <c r="AE618" i="1"/>
  <c r="AE617" i="1"/>
  <c r="AE616" i="1"/>
  <c r="AE615" i="1"/>
  <c r="AE614" i="1"/>
  <c r="AE613" i="1"/>
  <c r="AE612" i="1"/>
  <c r="AE611" i="1"/>
  <c r="AE610" i="1"/>
  <c r="AE609" i="1"/>
  <c r="AE608" i="1"/>
  <c r="AE607" i="1"/>
  <c r="AE606" i="1"/>
  <c r="AE605" i="1"/>
  <c r="AE604" i="1"/>
  <c r="AE603" i="1"/>
  <c r="AE602" i="1"/>
  <c r="AE601" i="1"/>
  <c r="AE600" i="1"/>
  <c r="AE599" i="1"/>
  <c r="AE598" i="1"/>
  <c r="AE597" i="1"/>
  <c r="AE596" i="1"/>
  <c r="AE595" i="1"/>
  <c r="AE594" i="1"/>
  <c r="AE593" i="1"/>
  <c r="AE592" i="1"/>
  <c r="AE591" i="1"/>
  <c r="AE590" i="1"/>
  <c r="AE589" i="1"/>
  <c r="AE588" i="1"/>
  <c r="AE587" i="1"/>
  <c r="AE586" i="1"/>
  <c r="AE585" i="1"/>
  <c r="AE584" i="1"/>
  <c r="AE583" i="1"/>
  <c r="AE582" i="1"/>
  <c r="AE581" i="1"/>
  <c r="AE580" i="1"/>
  <c r="AE579" i="1"/>
  <c r="AE578" i="1"/>
  <c r="AE577" i="1"/>
  <c r="AE576" i="1"/>
  <c r="AE575" i="1"/>
  <c r="AE574" i="1"/>
  <c r="AE573" i="1"/>
  <c r="AE572" i="1"/>
  <c r="AE571" i="1"/>
  <c r="AE570" i="1"/>
  <c r="AE569" i="1"/>
  <c r="AE568" i="1"/>
  <c r="AE567" i="1"/>
  <c r="AE566" i="1"/>
  <c r="AE565" i="1"/>
  <c r="AE564" i="1"/>
  <c r="AE563" i="1"/>
  <c r="AE562" i="1"/>
  <c r="AE561" i="1"/>
  <c r="AE560" i="1"/>
  <c r="AE559" i="1"/>
  <c r="AE558" i="1"/>
  <c r="AE557" i="1"/>
  <c r="AE556" i="1"/>
  <c r="AE555" i="1"/>
  <c r="AE554" i="1"/>
  <c r="AE553" i="1"/>
  <c r="AE552" i="1"/>
  <c r="AE551" i="1"/>
  <c r="AE550" i="1"/>
  <c r="AE549" i="1"/>
  <c r="AE548" i="1"/>
  <c r="AE547" i="1"/>
  <c r="AE546" i="1"/>
  <c r="AE545" i="1"/>
  <c r="AE544" i="1"/>
  <c r="AE543" i="1"/>
  <c r="AE542" i="1"/>
  <c r="AE541" i="1"/>
  <c r="AE540" i="1"/>
  <c r="AE539" i="1"/>
  <c r="AE538" i="1"/>
  <c r="AE537" i="1"/>
  <c r="AE536" i="1"/>
  <c r="AE535" i="1"/>
  <c r="AE534" i="1"/>
  <c r="AE533" i="1"/>
  <c r="AE532" i="1"/>
  <c r="AE531" i="1"/>
  <c r="AE530" i="1"/>
  <c r="AE529" i="1"/>
  <c r="AE528" i="1"/>
  <c r="AE527" i="1"/>
  <c r="AE526" i="1"/>
  <c r="AE525" i="1"/>
  <c r="AE524" i="1"/>
  <c r="AE523" i="1"/>
  <c r="AE522" i="1"/>
  <c r="AE521" i="1"/>
  <c r="AE520" i="1"/>
  <c r="AE519" i="1"/>
  <c r="AE518" i="1"/>
  <c r="AE517" i="1"/>
  <c r="AE516" i="1"/>
  <c r="AE515" i="1"/>
  <c r="AE514" i="1"/>
  <c r="AE513" i="1"/>
  <c r="AE512" i="1"/>
  <c r="AE511" i="1"/>
  <c r="AE510" i="1"/>
  <c r="AE509" i="1"/>
  <c r="AE508" i="1"/>
  <c r="AE507" i="1"/>
  <c r="AE506" i="1"/>
  <c r="AE505" i="1"/>
  <c r="AE504" i="1"/>
  <c r="AE503" i="1"/>
  <c r="AE502" i="1"/>
  <c r="AE501" i="1"/>
  <c r="AE500" i="1"/>
  <c r="AE499" i="1"/>
  <c r="AE498" i="1"/>
  <c r="AE497" i="1"/>
  <c r="AE496" i="1"/>
  <c r="AE495" i="1"/>
  <c r="AE494" i="1"/>
  <c r="AE493" i="1"/>
  <c r="AE492" i="1"/>
  <c r="AE491" i="1"/>
  <c r="AE490" i="1"/>
  <c r="AE489" i="1"/>
  <c r="AE488" i="1"/>
  <c r="AE487" i="1"/>
  <c r="AE486" i="1"/>
  <c r="AE485" i="1"/>
  <c r="AE484" i="1"/>
  <c r="AE483" i="1"/>
  <c r="AE482" i="1"/>
  <c r="AE481" i="1"/>
  <c r="AE480" i="1"/>
  <c r="AE479" i="1"/>
  <c r="AE478" i="1"/>
  <c r="AE477" i="1"/>
  <c r="AE476" i="1"/>
  <c r="AE475" i="1"/>
  <c r="AE474" i="1"/>
  <c r="AE473" i="1"/>
  <c r="AE472" i="1"/>
  <c r="AE471" i="1"/>
  <c r="AE470" i="1"/>
  <c r="AE469" i="1"/>
  <c r="AE468" i="1"/>
  <c r="AE467" i="1"/>
  <c r="AE466" i="1"/>
  <c r="AE465" i="1"/>
  <c r="AE464" i="1"/>
  <c r="AE463" i="1"/>
  <c r="AE462" i="1"/>
  <c r="AE461" i="1"/>
  <c r="AE460" i="1"/>
  <c r="AE459" i="1"/>
  <c r="AE458" i="1"/>
  <c r="AE457" i="1"/>
  <c r="AE456" i="1"/>
  <c r="AE455" i="1"/>
  <c r="AE454" i="1"/>
  <c r="AE453" i="1"/>
  <c r="AE452" i="1"/>
  <c r="AE451" i="1"/>
  <c r="AE450" i="1"/>
  <c r="AE449" i="1"/>
  <c r="AE448" i="1"/>
  <c r="AE447" i="1"/>
  <c r="AE446" i="1"/>
  <c r="AE445" i="1"/>
  <c r="AE444" i="1"/>
  <c r="AE443" i="1"/>
  <c r="AE442" i="1"/>
  <c r="AE441" i="1"/>
  <c r="AE440" i="1"/>
  <c r="AE439" i="1"/>
  <c r="AE438" i="1"/>
  <c r="AE437" i="1"/>
  <c r="AE436" i="1"/>
  <c r="AE435" i="1"/>
  <c r="AE434" i="1"/>
  <c r="AE433" i="1"/>
  <c r="AE432" i="1"/>
  <c r="AE431" i="1"/>
  <c r="AE430" i="1"/>
  <c r="AE429" i="1"/>
  <c r="AE428" i="1"/>
  <c r="AE427" i="1"/>
  <c r="AE426" i="1"/>
  <c r="AE425" i="1"/>
  <c r="AE424" i="1"/>
  <c r="AE423" i="1"/>
  <c r="AE422" i="1"/>
  <c r="AE421" i="1"/>
  <c r="AE420" i="1"/>
  <c r="AE419" i="1"/>
  <c r="AE418" i="1"/>
  <c r="AE417" i="1"/>
  <c r="AE416" i="1"/>
  <c r="AE415" i="1"/>
  <c r="AE414" i="1"/>
  <c r="AE413" i="1"/>
  <c r="AE412" i="1"/>
  <c r="AE411" i="1"/>
  <c r="AE410" i="1"/>
  <c r="AE409" i="1"/>
  <c r="AE408" i="1"/>
  <c r="AE407" i="1"/>
  <c r="AE406" i="1"/>
  <c r="AE405" i="1"/>
  <c r="AE404" i="1"/>
  <c r="AE403" i="1"/>
  <c r="AE402" i="1"/>
  <c r="AE401" i="1"/>
  <c r="AE400" i="1"/>
  <c r="AE399" i="1"/>
  <c r="AE398" i="1"/>
  <c r="AE397" i="1"/>
  <c r="AE396" i="1"/>
  <c r="AE395" i="1"/>
  <c r="AE394" i="1"/>
  <c r="AE393" i="1"/>
  <c r="AE392" i="1"/>
  <c r="AE391" i="1"/>
  <c r="AE390" i="1"/>
  <c r="AE389" i="1"/>
  <c r="AE388" i="1"/>
  <c r="AE387" i="1"/>
  <c r="AE386" i="1"/>
  <c r="AE385" i="1"/>
  <c r="AE384" i="1"/>
  <c r="AE383" i="1"/>
  <c r="AE382" i="1"/>
  <c r="AE381" i="1"/>
  <c r="AE380" i="1"/>
  <c r="AE379" i="1"/>
  <c r="AE378" i="1"/>
  <c r="AE377" i="1"/>
  <c r="AE376" i="1"/>
  <c r="AE375" i="1"/>
  <c r="AE374" i="1"/>
  <c r="AE373" i="1"/>
  <c r="AE372" i="1"/>
  <c r="AE371" i="1"/>
  <c r="AE370" i="1"/>
  <c r="AE369" i="1"/>
  <c r="AE368" i="1"/>
  <c r="AE367" i="1"/>
  <c r="AE366" i="1"/>
  <c r="AE365" i="1"/>
  <c r="AE364" i="1"/>
  <c r="AE363" i="1"/>
  <c r="AE362" i="1"/>
  <c r="AE361" i="1"/>
  <c r="AE360" i="1"/>
  <c r="AE359" i="1"/>
  <c r="AE358" i="1"/>
  <c r="AE357" i="1"/>
  <c r="AE356" i="1"/>
  <c r="AE355" i="1"/>
  <c r="AE354" i="1"/>
  <c r="AE353" i="1"/>
  <c r="AE352" i="1"/>
  <c r="AE351" i="1"/>
  <c r="AE350" i="1"/>
  <c r="AE349" i="1"/>
  <c r="AE348" i="1"/>
  <c r="AE347" i="1"/>
  <c r="AE346" i="1"/>
  <c r="AE345" i="1"/>
  <c r="AE344" i="1"/>
  <c r="AE343" i="1"/>
  <c r="AE342" i="1"/>
  <c r="AE341" i="1"/>
  <c r="AE340" i="1"/>
  <c r="AE339" i="1"/>
  <c r="AE338" i="1"/>
  <c r="AE337" i="1"/>
  <c r="AE336" i="1"/>
  <c r="AE335" i="1"/>
  <c r="AE334" i="1"/>
  <c r="AE333" i="1"/>
  <c r="AE332" i="1"/>
  <c r="AE331" i="1"/>
  <c r="AE330" i="1"/>
  <c r="AE329" i="1"/>
  <c r="AE328" i="1"/>
  <c r="AE327" i="1"/>
  <c r="AE326" i="1"/>
  <c r="AE325" i="1"/>
  <c r="AE324" i="1"/>
  <c r="AE323" i="1"/>
  <c r="AE322" i="1"/>
  <c r="AE321" i="1"/>
  <c r="AE320" i="1"/>
  <c r="AE319" i="1"/>
  <c r="AE318" i="1"/>
  <c r="AE317" i="1"/>
  <c r="AE316" i="1"/>
  <c r="AE315" i="1"/>
  <c r="AE314" i="1"/>
  <c r="AE313" i="1"/>
  <c r="AE312" i="1"/>
  <c r="AE311" i="1"/>
  <c r="AE310" i="1"/>
  <c r="AE309" i="1"/>
  <c r="AE308" i="1"/>
  <c r="AE307" i="1"/>
  <c r="AE306" i="1"/>
  <c r="AE305" i="1"/>
  <c r="AE304" i="1"/>
  <c r="AE303" i="1"/>
  <c r="AE302" i="1"/>
  <c r="AE301" i="1"/>
  <c r="AE300" i="1"/>
  <c r="AE299" i="1"/>
  <c r="AE298" i="1"/>
  <c r="AE297" i="1"/>
  <c r="AE296" i="1"/>
  <c r="AE295" i="1"/>
  <c r="AE294" i="1"/>
  <c r="AE293" i="1"/>
  <c r="AE292" i="1"/>
  <c r="AE291" i="1"/>
  <c r="AE290" i="1"/>
  <c r="AE289" i="1"/>
  <c r="AE288" i="1"/>
  <c r="AE287" i="1"/>
  <c r="AE286" i="1"/>
  <c r="AE285" i="1"/>
  <c r="AE284" i="1"/>
  <c r="AE283" i="1"/>
  <c r="AE282" i="1"/>
  <c r="AE281" i="1"/>
  <c r="AE280" i="1"/>
  <c r="AE279" i="1"/>
  <c r="AE278" i="1"/>
  <c r="AE277" i="1"/>
  <c r="AE276" i="1"/>
  <c r="AE275" i="1"/>
  <c r="AE274" i="1"/>
  <c r="AE273" i="1"/>
  <c r="AE272" i="1"/>
  <c r="AE271" i="1"/>
  <c r="AE270" i="1"/>
  <c r="AE269" i="1"/>
  <c r="AE268" i="1"/>
  <c r="AE267" i="1"/>
  <c r="AE266" i="1"/>
  <c r="AE265" i="1"/>
  <c r="AE264" i="1"/>
  <c r="AE263" i="1"/>
  <c r="AE262" i="1"/>
  <c r="AE261" i="1"/>
  <c r="AE260" i="1"/>
  <c r="AE259" i="1"/>
  <c r="AE258" i="1"/>
  <c r="AE257" i="1"/>
  <c r="AE256" i="1"/>
  <c r="AE255" i="1"/>
  <c r="AE247" i="1"/>
  <c r="AE246" i="1"/>
  <c r="AE245" i="1"/>
  <c r="AE244" i="1"/>
  <c r="AE243" i="1"/>
  <c r="AE242" i="1"/>
  <c r="AE241" i="1"/>
  <c r="AE240" i="1"/>
  <c r="AE239" i="1"/>
  <c r="AE238" i="1"/>
  <c r="AE236" i="1"/>
  <c r="AE235" i="1"/>
  <c r="AE234" i="1"/>
  <c r="AE233" i="1"/>
  <c r="AE232" i="1"/>
  <c r="AE231" i="1"/>
  <c r="AE230" i="1"/>
  <c r="AE229" i="1"/>
  <c r="AE228" i="1"/>
  <c r="AE227" i="1"/>
  <c r="AE226" i="1"/>
  <c r="AE224" i="1"/>
  <c r="AE223" i="1"/>
  <c r="AE222" i="1"/>
  <c r="AE221" i="1"/>
  <c r="AE220" i="1"/>
  <c r="AE219" i="1"/>
  <c r="AE218" i="1"/>
  <c r="AE217" i="1"/>
  <c r="AE216" i="1"/>
  <c r="AE215" i="1"/>
  <c r="AE214" i="1"/>
  <c r="AE213" i="1"/>
  <c r="AE212" i="1"/>
  <c r="AE211" i="1"/>
  <c r="AE210" i="1"/>
  <c r="AE209" i="1"/>
  <c r="AE208" i="1"/>
  <c r="AE207" i="1"/>
  <c r="AE206" i="1"/>
  <c r="AE205" i="1"/>
  <c r="AE204" i="1"/>
  <c r="AE203" i="1"/>
  <c r="AE202" i="1"/>
  <c r="AE200" i="1"/>
  <c r="AE199" i="1"/>
  <c r="AE198" i="1"/>
  <c r="AE197" i="1"/>
  <c r="AE196" i="1"/>
  <c r="AE195" i="1"/>
  <c r="AE194" i="1"/>
  <c r="AE193" i="1"/>
  <c r="AE192" i="1"/>
  <c r="AE191" i="1"/>
  <c r="AE190" i="1"/>
  <c r="AE189" i="1"/>
  <c r="AE188" i="1"/>
  <c r="AE187" i="1"/>
  <c r="AE186" i="1"/>
  <c r="AE185" i="1"/>
  <c r="AE184" i="1"/>
  <c r="AE183" i="1"/>
  <c r="AE182" i="1"/>
  <c r="AE181" i="1"/>
  <c r="AE180" i="1"/>
  <c r="AE179" i="1"/>
  <c r="AE178" i="1"/>
  <c r="AE177" i="1"/>
  <c r="AE176" i="1"/>
  <c r="AE175" i="1"/>
  <c r="AE174" i="1"/>
  <c r="AE173" i="1"/>
  <c r="AE172" i="1"/>
  <c r="AE171" i="1"/>
  <c r="AE170" i="1"/>
  <c r="AE169" i="1"/>
  <c r="AE168" i="1"/>
  <c r="AE167" i="1"/>
  <c r="AE166" i="1"/>
  <c r="AE165" i="1"/>
  <c r="AE164" i="1"/>
  <c r="AE163" i="1"/>
  <c r="AE162" i="1"/>
  <c r="AE161" i="1"/>
  <c r="AE160" i="1"/>
  <c r="AE159" i="1"/>
  <c r="AE158" i="1"/>
  <c r="AE157" i="1"/>
  <c r="AE156" i="1"/>
  <c r="AE155" i="1"/>
  <c r="AE154" i="1"/>
  <c r="AE153" i="1"/>
  <c r="AE152" i="1"/>
  <c r="AE151" i="1"/>
  <c r="AE150" i="1"/>
  <c r="AE149" i="1"/>
  <c r="AE148" i="1"/>
  <c r="AE147" i="1"/>
  <c r="AE146" i="1"/>
  <c r="AE145" i="1"/>
  <c r="AE144" i="1"/>
  <c r="AE143" i="1"/>
  <c r="AE142" i="1"/>
  <c r="AE141" i="1"/>
  <c r="AE140" i="1"/>
  <c r="AE139" i="1"/>
  <c r="AE138" i="1"/>
  <c r="AE137" i="1"/>
  <c r="AE136" i="1"/>
  <c r="AE135" i="1"/>
  <c r="AE134" i="1"/>
  <c r="AE133" i="1"/>
  <c r="AE132" i="1"/>
  <c r="AE131" i="1"/>
  <c r="AE130" i="1"/>
  <c r="AE129" i="1"/>
  <c r="AE128" i="1"/>
  <c r="AE127" i="1"/>
  <c r="AE126" i="1"/>
  <c r="AE125" i="1"/>
  <c r="AE124" i="1"/>
  <c r="AE123" i="1"/>
  <c r="AE122" i="1"/>
  <c r="AE121" i="1"/>
  <c r="AE120" i="1"/>
  <c r="AE119" i="1"/>
  <c r="AE118" i="1"/>
  <c r="AE117" i="1"/>
  <c r="AE116" i="1"/>
  <c r="AE115" i="1"/>
  <c r="AE114" i="1"/>
  <c r="AE113" i="1"/>
  <c r="AE112" i="1"/>
  <c r="AE111" i="1"/>
  <c r="AE110" i="1"/>
  <c r="AE109" i="1"/>
  <c r="AE108" i="1"/>
  <c r="AE107" i="1"/>
  <c r="AE106" i="1"/>
  <c r="AE105" i="1"/>
  <c r="AE78" i="1"/>
  <c r="AE77" i="1"/>
  <c r="AE76" i="1"/>
  <c r="AE75" i="1"/>
  <c r="AE74" i="1"/>
  <c r="AE73" i="1"/>
  <c r="AE72" i="1"/>
  <c r="AE71" i="1"/>
  <c r="AE70" i="1"/>
  <c r="AE69" i="1"/>
  <c r="AE68" i="1"/>
  <c r="AE67" i="1"/>
  <c r="AE66" i="1"/>
  <c r="AE65" i="1"/>
  <c r="AE64" i="1"/>
  <c r="AE63" i="1"/>
  <c r="AE62" i="1"/>
  <c r="AE61" i="1"/>
  <c r="AE60" i="1"/>
  <c r="AE54" i="1"/>
  <c r="AE53" i="1"/>
  <c r="AE52" i="1"/>
  <c r="AE51" i="1"/>
  <c r="AE50" i="1"/>
  <c r="AE49" i="1"/>
  <c r="AE48" i="1"/>
  <c r="AE46" i="1"/>
  <c r="AE45" i="1"/>
  <c r="AE43" i="1"/>
  <c r="AE42" i="1"/>
  <c r="AE41" i="1"/>
  <c r="AE40" i="1"/>
  <c r="AE39" i="1"/>
  <c r="AE38" i="1"/>
  <c r="AE37" i="1"/>
  <c r="AE36" i="1"/>
  <c r="AE35" i="1"/>
  <c r="AE34" i="1"/>
  <c r="AE33" i="1"/>
  <c r="AE32" i="1"/>
  <c r="AE31" i="1"/>
  <c r="AE30" i="1"/>
  <c r="AE29" i="1"/>
  <c r="AE28" i="1"/>
  <c r="AE27" i="1"/>
  <c r="AE26" i="1"/>
  <c r="AE25" i="1"/>
  <c r="S5" i="1"/>
  <c r="AI5" i="1" s="1"/>
  <c r="AM3" i="1" l="1"/>
  <c r="AP3" i="1"/>
  <c r="AS1125" i="1"/>
  <c r="AM1127" i="1"/>
  <c r="AS1128" i="1"/>
  <c r="AM1130" i="1"/>
  <c r="AM696" i="1"/>
  <c r="AS697" i="1"/>
  <c r="AP1229" i="1"/>
  <c r="AV1230" i="1"/>
  <c r="AP1232" i="1"/>
  <c r="AV1233" i="1"/>
  <c r="AP1235" i="1"/>
  <c r="AV1236" i="1"/>
  <c r="AP1238" i="1"/>
  <c r="AV1239" i="1"/>
  <c r="AP1241" i="1"/>
  <c r="AV1242" i="1"/>
  <c r="AP1244" i="1"/>
  <c r="AV1245" i="1"/>
  <c r="AP1247" i="1"/>
  <c r="AV1248" i="1"/>
  <c r="AP1250" i="1"/>
  <c r="AV1251" i="1"/>
  <c r="AP1253" i="1"/>
  <c r="AV1254" i="1"/>
  <c r="AP1256" i="1"/>
  <c r="AV1257" i="1"/>
  <c r="AV247" i="1"/>
  <c r="AS1131" i="1"/>
  <c r="AM1133" i="1"/>
  <c r="AS1134" i="1"/>
  <c r="AM1136" i="1"/>
  <c r="AS1137" i="1"/>
  <c r="AM1139" i="1"/>
  <c r="AS1140" i="1"/>
  <c r="AM1142" i="1"/>
  <c r="AS1143" i="1"/>
  <c r="AM1145" i="1"/>
  <c r="AS1146" i="1"/>
  <c r="AM1148" i="1"/>
  <c r="AS1149" i="1"/>
  <c r="AM1151" i="1"/>
  <c r="AS1152" i="1"/>
  <c r="AM1154" i="1"/>
  <c r="AS1155" i="1"/>
  <c r="AM1157" i="1"/>
  <c r="AS1158" i="1"/>
  <c r="AM1160" i="1"/>
  <c r="AS1161" i="1"/>
  <c r="AM1163" i="1"/>
  <c r="AS1164" i="1"/>
  <c r="AM1166" i="1"/>
  <c r="AS1167" i="1"/>
  <c r="AM1169" i="1"/>
  <c r="AS1170" i="1"/>
  <c r="AM1172" i="1"/>
  <c r="AS1173" i="1"/>
  <c r="AM1175" i="1"/>
  <c r="AS1176" i="1"/>
  <c r="AM1178" i="1"/>
  <c r="AS1179" i="1"/>
  <c r="AM1181" i="1"/>
  <c r="AS1182" i="1"/>
  <c r="AM1184" i="1"/>
  <c r="AS1185" i="1"/>
  <c r="AM1187" i="1"/>
  <c r="AS1188" i="1"/>
  <c r="AM1190" i="1"/>
  <c r="AS1191" i="1"/>
  <c r="AM1193" i="1"/>
  <c r="AS1194" i="1"/>
  <c r="AM1196" i="1"/>
  <c r="AS1197" i="1"/>
  <c r="AM1199" i="1"/>
  <c r="AS1200" i="1"/>
  <c r="AM1202" i="1"/>
  <c r="AS1203" i="1"/>
  <c r="AM1205" i="1"/>
  <c r="AS1206" i="1"/>
  <c r="AM1208" i="1"/>
  <c r="AS1209" i="1"/>
  <c r="AM1211" i="1"/>
  <c r="AS1212" i="1"/>
  <c r="AM1214" i="1"/>
  <c r="AS1215" i="1"/>
  <c r="AM1217" i="1"/>
  <c r="AS1218" i="1"/>
  <c r="AM1220" i="1"/>
  <c r="AS1221" i="1"/>
  <c r="AM1223" i="1"/>
  <c r="AS1224" i="1"/>
  <c r="AM1226" i="1"/>
  <c r="AS1227" i="1"/>
  <c r="AM1229" i="1"/>
  <c r="AS1230" i="1"/>
  <c r="AM1232" i="1"/>
  <c r="AS1233" i="1"/>
  <c r="AM1235" i="1"/>
  <c r="AS1236" i="1"/>
  <c r="AM1238" i="1"/>
  <c r="AS1239" i="1"/>
  <c r="AM1241" i="1"/>
  <c r="AS1242" i="1"/>
  <c r="AM1244" i="1"/>
  <c r="AS1245" i="1"/>
  <c r="AM1247" i="1"/>
  <c r="AS1248" i="1"/>
  <c r="AM1250" i="1"/>
  <c r="AS1251" i="1"/>
  <c r="AM1253" i="1"/>
  <c r="AS1254" i="1"/>
  <c r="AM1256" i="1"/>
  <c r="AS1257" i="1"/>
  <c r="AM7" i="1"/>
  <c r="AM8" i="1"/>
  <c r="AS9" i="1"/>
  <c r="AM10" i="1"/>
  <c r="AS11" i="1"/>
  <c r="AM14" i="1"/>
  <c r="AM15" i="1"/>
  <c r="AS17" i="1"/>
  <c r="AM20" i="1"/>
  <c r="AM21" i="1"/>
  <c r="AS22" i="1"/>
  <c r="AM24" i="1"/>
  <c r="AM26" i="1"/>
  <c r="AS27" i="1"/>
  <c r="AM29" i="1"/>
  <c r="AS30" i="1"/>
  <c r="AM32" i="1"/>
  <c r="AS33" i="1"/>
  <c r="AM34" i="1"/>
  <c r="AS35" i="1"/>
  <c r="AM37" i="1"/>
  <c r="AS38" i="1"/>
  <c r="AM40" i="1"/>
  <c r="AS41" i="1"/>
  <c r="AM43" i="1"/>
  <c r="AS45" i="1"/>
  <c r="AS48" i="1"/>
  <c r="AM50" i="1"/>
  <c r="AS51" i="1"/>
  <c r="AM53" i="1"/>
  <c r="AS54" i="1"/>
  <c r="AM56" i="1"/>
  <c r="AS57" i="1"/>
  <c r="AM59" i="1"/>
  <c r="AS60" i="1"/>
  <c r="AM62" i="1"/>
  <c r="AS63" i="1"/>
  <c r="AM65" i="1"/>
  <c r="AS66" i="1"/>
  <c r="AM68" i="1"/>
  <c r="AS69" i="1"/>
  <c r="AM71" i="1"/>
  <c r="AS72" i="1"/>
  <c r="AM74" i="1"/>
  <c r="AS75" i="1"/>
  <c r="AM77" i="1"/>
  <c r="AS78" i="1"/>
  <c r="AM80" i="1"/>
  <c r="AS81" i="1"/>
  <c r="AM83" i="1"/>
  <c r="AS84" i="1"/>
  <c r="AM86" i="1"/>
  <c r="AS87" i="1"/>
  <c r="AM89" i="1"/>
  <c r="AS90" i="1"/>
  <c r="AM92" i="1"/>
  <c r="AS93" i="1"/>
  <c r="AM95" i="1"/>
  <c r="AS96" i="1"/>
  <c r="AM98" i="1"/>
  <c r="AS99" i="1"/>
  <c r="AM101" i="1"/>
  <c r="AS102" i="1"/>
  <c r="AM105" i="1"/>
  <c r="AS106" i="1"/>
  <c r="AM108" i="1"/>
  <c r="AS109" i="1"/>
  <c r="AM111" i="1"/>
  <c r="AS112" i="1"/>
  <c r="AM114" i="1"/>
  <c r="AS115" i="1"/>
  <c r="AM117" i="1"/>
  <c r="AS118" i="1"/>
  <c r="AM120" i="1"/>
  <c r="AS121" i="1"/>
  <c r="AM123" i="1"/>
  <c r="AS124" i="1"/>
  <c r="AM126" i="1"/>
  <c r="AS127" i="1"/>
  <c r="AM129" i="1"/>
  <c r="AS130" i="1"/>
  <c r="AM132" i="1"/>
  <c r="AS133" i="1"/>
  <c r="AM135" i="1"/>
  <c r="AS136" i="1"/>
  <c r="AM138" i="1"/>
  <c r="AS139" i="1"/>
  <c r="AM141" i="1"/>
  <c r="AS142" i="1"/>
  <c r="AM144" i="1"/>
  <c r="AS145" i="1"/>
  <c r="AM147" i="1"/>
  <c r="AS148" i="1"/>
  <c r="AM150" i="1"/>
  <c r="AS151" i="1"/>
  <c r="AM153" i="1"/>
  <c r="AS154" i="1"/>
  <c r="AM156" i="1"/>
  <c r="AS157" i="1"/>
  <c r="AM159" i="1"/>
  <c r="AS160" i="1"/>
  <c r="AM162" i="1"/>
  <c r="AS163" i="1"/>
  <c r="AM165" i="1"/>
  <c r="AS166" i="1"/>
  <c r="AM168" i="1"/>
  <c r="AS169" i="1"/>
  <c r="AM171" i="1"/>
  <c r="AS172" i="1"/>
  <c r="AM174" i="1"/>
  <c r="AS175" i="1"/>
  <c r="AM177" i="1"/>
  <c r="AS178" i="1"/>
  <c r="AM180" i="1"/>
  <c r="AS181" i="1"/>
  <c r="AM183" i="1"/>
  <c r="AS184" i="1"/>
  <c r="AM186" i="1"/>
  <c r="AS187" i="1"/>
  <c r="AM189" i="1"/>
  <c r="AS190" i="1"/>
  <c r="AM192" i="1"/>
  <c r="AS193" i="1"/>
  <c r="AM195" i="1"/>
  <c r="AS196" i="1"/>
  <c r="AM198" i="1"/>
  <c r="AS199" i="1"/>
  <c r="AM202" i="1"/>
  <c r="AS203" i="1"/>
  <c r="AM205" i="1"/>
  <c r="AS206" i="1"/>
  <c r="AM208" i="1"/>
  <c r="AS209" i="1"/>
  <c r="AM211" i="1"/>
  <c r="AS212" i="1"/>
  <c r="AM214" i="1"/>
  <c r="AS215" i="1"/>
  <c r="AM217" i="1"/>
  <c r="AS218" i="1"/>
  <c r="AM220" i="1"/>
  <c r="AS221" i="1"/>
  <c r="AM223" i="1"/>
  <c r="AS224" i="1"/>
  <c r="AM227" i="1"/>
  <c r="AS228" i="1"/>
  <c r="AM230" i="1"/>
  <c r="AS231" i="1"/>
  <c r="AM233" i="1"/>
  <c r="AS234" i="1"/>
  <c r="AM236" i="1"/>
  <c r="AS238" i="1"/>
  <c r="AM240" i="1"/>
  <c r="AS241" i="1"/>
  <c r="AM243" i="1"/>
  <c r="AS244" i="1"/>
  <c r="AM246" i="1"/>
  <c r="AS247" i="1"/>
  <c r="AM250" i="1"/>
  <c r="AS251" i="1"/>
  <c r="AM253" i="1"/>
  <c r="AS254" i="1"/>
  <c r="AM256" i="1"/>
  <c r="AS257" i="1"/>
  <c r="AM259" i="1"/>
  <c r="AS260" i="1"/>
  <c r="AM262" i="1"/>
  <c r="AS263" i="1"/>
  <c r="AM265" i="1"/>
  <c r="AS266" i="1"/>
  <c r="AM268" i="1"/>
  <c r="AS269" i="1"/>
  <c r="AM271" i="1"/>
  <c r="AS272" i="1"/>
  <c r="AM274" i="1"/>
  <c r="AS275" i="1"/>
  <c r="AM277" i="1"/>
  <c r="AS278" i="1"/>
  <c r="AM280" i="1"/>
  <c r="AS281" i="1"/>
  <c r="AM283" i="1"/>
  <c r="AS284" i="1"/>
  <c r="AM286" i="1"/>
  <c r="AS287" i="1"/>
  <c r="AM289" i="1"/>
  <c r="AS290" i="1"/>
  <c r="AM292" i="1"/>
  <c r="AS293" i="1"/>
  <c r="AM295" i="1"/>
  <c r="AS296" i="1"/>
  <c r="AM298" i="1"/>
  <c r="AS299" i="1"/>
  <c r="AM301" i="1"/>
  <c r="AS302" i="1"/>
  <c r="AM304" i="1"/>
  <c r="AS305" i="1"/>
  <c r="AM307" i="1"/>
  <c r="AS308" i="1"/>
  <c r="AM310" i="1"/>
  <c r="AS311" i="1"/>
  <c r="AM313" i="1"/>
  <c r="AS314" i="1"/>
  <c r="AM316" i="1"/>
  <c r="AS317" i="1"/>
  <c r="AM319" i="1"/>
  <c r="AS320" i="1"/>
  <c r="AM322" i="1"/>
  <c r="AS323" i="1"/>
  <c r="AM325" i="1"/>
  <c r="AS326" i="1"/>
  <c r="AM328" i="1"/>
  <c r="AS329" i="1"/>
  <c r="AM331" i="1"/>
  <c r="AS332" i="1"/>
  <c r="AM334" i="1"/>
  <c r="AS335" i="1"/>
  <c r="AM337" i="1"/>
  <c r="AS338" i="1"/>
  <c r="AM340" i="1"/>
  <c r="AS341" i="1"/>
  <c r="AM343" i="1"/>
  <c r="AS344" i="1"/>
  <c r="AM346" i="1"/>
  <c r="AS347" i="1"/>
  <c r="AM349" i="1"/>
  <c r="AS350" i="1"/>
  <c r="AM352" i="1"/>
  <c r="AS353" i="1"/>
  <c r="AM355" i="1"/>
  <c r="AS356" i="1"/>
  <c r="AM358" i="1"/>
  <c r="AS359" i="1"/>
  <c r="AM361" i="1"/>
  <c r="AS362" i="1"/>
  <c r="AM364" i="1"/>
  <c r="AS365" i="1"/>
  <c r="AM367" i="1"/>
  <c r="AS368" i="1"/>
  <c r="AM370" i="1"/>
  <c r="AS371" i="1"/>
  <c r="AM373" i="1"/>
  <c r="AS374" i="1"/>
  <c r="AM376" i="1"/>
  <c r="AS377" i="1"/>
  <c r="AM379" i="1"/>
  <c r="AS380" i="1"/>
  <c r="AM382" i="1"/>
  <c r="AS383" i="1"/>
  <c r="AM385" i="1"/>
  <c r="AS386" i="1"/>
  <c r="AM388" i="1"/>
  <c r="AS389" i="1"/>
  <c r="AM391" i="1"/>
  <c r="AS392" i="1"/>
  <c r="AM394" i="1"/>
  <c r="AS395" i="1"/>
  <c r="AM397" i="1"/>
  <c r="AS398" i="1"/>
  <c r="AM400" i="1"/>
  <c r="AS401" i="1"/>
  <c r="AM403" i="1"/>
  <c r="AS404" i="1"/>
  <c r="AM406" i="1"/>
  <c r="AS407" i="1"/>
  <c r="AM409" i="1"/>
  <c r="AS410" i="1"/>
  <c r="AM412" i="1"/>
  <c r="AS413" i="1"/>
  <c r="AM415" i="1"/>
  <c r="AS416" i="1"/>
  <c r="AM418" i="1"/>
  <c r="AS419" i="1"/>
  <c r="AM421" i="1"/>
  <c r="AS422" i="1"/>
  <c r="AM424" i="1"/>
  <c r="AS425" i="1"/>
  <c r="AM427" i="1"/>
  <c r="AS428" i="1"/>
  <c r="AM430" i="1"/>
  <c r="AS431" i="1"/>
  <c r="AM433" i="1"/>
  <c r="AS434" i="1"/>
  <c r="AM436" i="1"/>
  <c r="AS437" i="1"/>
  <c r="AM439" i="1"/>
  <c r="AS440" i="1"/>
  <c r="AM442" i="1"/>
  <c r="AS443" i="1"/>
  <c r="AM445" i="1"/>
  <c r="AS446" i="1"/>
  <c r="AM448" i="1"/>
  <c r="AS449" i="1"/>
  <c r="AM451" i="1"/>
  <c r="AS452" i="1"/>
  <c r="AM454" i="1"/>
  <c r="AS455" i="1"/>
  <c r="AM457" i="1"/>
  <c r="AS458" i="1"/>
  <c r="AM460" i="1"/>
  <c r="AS461" i="1"/>
  <c r="AM463" i="1"/>
  <c r="AS464" i="1"/>
  <c r="AM466" i="1"/>
  <c r="AS467" i="1"/>
  <c r="AM469" i="1"/>
  <c r="AS470" i="1"/>
  <c r="AM472" i="1"/>
  <c r="AS473" i="1"/>
  <c r="AM475" i="1"/>
  <c r="AS476" i="1"/>
  <c r="AM478" i="1"/>
  <c r="AS479" i="1"/>
  <c r="AM481" i="1"/>
  <c r="AS482" i="1"/>
  <c r="AM484" i="1"/>
  <c r="AS485" i="1"/>
  <c r="AM487" i="1"/>
  <c r="AS488" i="1"/>
  <c r="AM490" i="1"/>
  <c r="AS491" i="1"/>
  <c r="AM493" i="1"/>
  <c r="AS494" i="1"/>
  <c r="AM496" i="1"/>
  <c r="AS497" i="1"/>
  <c r="AM499" i="1"/>
  <c r="AS500" i="1"/>
  <c r="AM502" i="1"/>
  <c r="AS503" i="1"/>
  <c r="AM505" i="1"/>
  <c r="AS506" i="1"/>
  <c r="AM508" i="1"/>
  <c r="AS509" i="1"/>
  <c r="AM511" i="1"/>
  <c r="AS512" i="1"/>
  <c r="AM514" i="1"/>
  <c r="AS515" i="1"/>
  <c r="AM517" i="1"/>
  <c r="AS518" i="1"/>
  <c r="AM520" i="1"/>
  <c r="AS521" i="1"/>
  <c r="AM523" i="1"/>
  <c r="AS524" i="1"/>
  <c r="AM526" i="1"/>
  <c r="AS527" i="1"/>
  <c r="AM529" i="1"/>
  <c r="AS530" i="1"/>
  <c r="AM532" i="1"/>
  <c r="AS533" i="1"/>
  <c r="AM535" i="1"/>
  <c r="AS536" i="1"/>
  <c r="AM538" i="1"/>
  <c r="AS539" i="1"/>
  <c r="AM541" i="1"/>
  <c r="AS542" i="1"/>
  <c r="AM544" i="1"/>
  <c r="AS545" i="1"/>
  <c r="AM547" i="1"/>
  <c r="AS548" i="1"/>
  <c r="AM550" i="1"/>
  <c r="AS551" i="1"/>
  <c r="AM553" i="1"/>
  <c r="AS554" i="1"/>
  <c r="AM556" i="1"/>
  <c r="AS557" i="1"/>
  <c r="AM559" i="1"/>
  <c r="AS560" i="1"/>
  <c r="AM562" i="1"/>
  <c r="AS563" i="1"/>
  <c r="AM565" i="1"/>
  <c r="AS566" i="1"/>
  <c r="AM568" i="1"/>
  <c r="AS569" i="1"/>
  <c r="AM571" i="1"/>
  <c r="AS572" i="1"/>
  <c r="AM574" i="1"/>
  <c r="AS575" i="1"/>
  <c r="AM577" i="1"/>
  <c r="AS578" i="1"/>
  <c r="AM580" i="1"/>
  <c r="AS581" i="1"/>
  <c r="AM583" i="1"/>
  <c r="AS584" i="1"/>
  <c r="AM586" i="1"/>
  <c r="AS587" i="1"/>
  <c r="AM589" i="1"/>
  <c r="AS590" i="1"/>
  <c r="AM592" i="1"/>
  <c r="AS593" i="1"/>
  <c r="AM595" i="1"/>
  <c r="AS596" i="1"/>
  <c r="AM598" i="1"/>
  <c r="AS599" i="1"/>
  <c r="AM601" i="1"/>
  <c r="AS602" i="1"/>
  <c r="AM604" i="1"/>
  <c r="AS605" i="1"/>
  <c r="AM607" i="1"/>
  <c r="AS608" i="1"/>
  <c r="AM610" i="1"/>
  <c r="AS611" i="1"/>
  <c r="AM613" i="1"/>
  <c r="AS614" i="1"/>
  <c r="AM616" i="1"/>
  <c r="AS617" i="1"/>
  <c r="AM619" i="1"/>
  <c r="AS620" i="1"/>
  <c r="AM622" i="1"/>
  <c r="AS623" i="1"/>
  <c r="AM625" i="1"/>
  <c r="AS626" i="1"/>
  <c r="AM628" i="1"/>
  <c r="AS629" i="1"/>
  <c r="AM631" i="1"/>
  <c r="AS632" i="1"/>
  <c r="AM634" i="1"/>
  <c r="AS635" i="1"/>
  <c r="AM637" i="1"/>
  <c r="AS638" i="1"/>
  <c r="AM640" i="1"/>
  <c r="AS641" i="1"/>
  <c r="AM643" i="1"/>
  <c r="AS644" i="1"/>
  <c r="AM646" i="1"/>
  <c r="AS647" i="1"/>
  <c r="AM649" i="1"/>
  <c r="AS650" i="1"/>
  <c r="AM652" i="1"/>
  <c r="AS653" i="1"/>
  <c r="AM655" i="1"/>
  <c r="AS656" i="1"/>
  <c r="AM658" i="1"/>
  <c r="AS659" i="1"/>
  <c r="AM661" i="1"/>
  <c r="AS662" i="1"/>
  <c r="AM664" i="1"/>
  <c r="AS665" i="1"/>
  <c r="AM667" i="1"/>
  <c r="AS668" i="1"/>
  <c r="AM670" i="1"/>
  <c r="AS671" i="1"/>
  <c r="AM673" i="1"/>
  <c r="AS674" i="1"/>
  <c r="AM676" i="1"/>
  <c r="AS677" i="1"/>
  <c r="AM679" i="1"/>
  <c r="AS680" i="1"/>
  <c r="AM682" i="1"/>
  <c r="AS683" i="1"/>
  <c r="AM685" i="1"/>
  <c r="AS686" i="1"/>
  <c r="AM688" i="1"/>
  <c r="AS689" i="1"/>
  <c r="AM691" i="1"/>
  <c r="AS692" i="1"/>
  <c r="AM694" i="1"/>
  <c r="AS695" i="1"/>
  <c r="AM697" i="1"/>
  <c r="AS698" i="1"/>
  <c r="AM700" i="1"/>
  <c r="AS701" i="1"/>
  <c r="AM703" i="1"/>
  <c r="AS704" i="1"/>
  <c r="AM706" i="1"/>
  <c r="AS707" i="1"/>
  <c r="AM709" i="1"/>
  <c r="AS710" i="1"/>
  <c r="AM712" i="1"/>
  <c r="AS713" i="1"/>
  <c r="AM715" i="1"/>
  <c r="AS716" i="1"/>
  <c r="AM718" i="1"/>
  <c r="AS719" i="1"/>
  <c r="AM721" i="1"/>
  <c r="AS722" i="1"/>
  <c r="AM724" i="1"/>
  <c r="AS725" i="1"/>
  <c r="AM727" i="1"/>
  <c r="AS728" i="1"/>
  <c r="AM730" i="1"/>
  <c r="AS731" i="1"/>
  <c r="AM733" i="1"/>
  <c r="AS734" i="1"/>
  <c r="AM736" i="1"/>
  <c r="AS737" i="1"/>
  <c r="AM739" i="1"/>
  <c r="AS740" i="1"/>
  <c r="AM742" i="1"/>
  <c r="AS743" i="1"/>
  <c r="AM745" i="1"/>
  <c r="AS746" i="1"/>
  <c r="AM748" i="1"/>
  <c r="AS749" i="1"/>
  <c r="AM751" i="1"/>
  <c r="AS752" i="1"/>
  <c r="AM754" i="1"/>
  <c r="AS755" i="1"/>
  <c r="AM757" i="1"/>
  <c r="AS758" i="1"/>
  <c r="AM760" i="1"/>
  <c r="AS761" i="1"/>
  <c r="AM763" i="1"/>
  <c r="AS764" i="1"/>
  <c r="AM766" i="1"/>
  <c r="AS767" i="1"/>
  <c r="AM769" i="1"/>
  <c r="AS770" i="1"/>
  <c r="AM772" i="1"/>
  <c r="AS773" i="1"/>
  <c r="AM775" i="1"/>
  <c r="AS776" i="1"/>
  <c r="AM778" i="1"/>
  <c r="AS779" i="1"/>
  <c r="AM781" i="1"/>
  <c r="AS782" i="1"/>
  <c r="AM784" i="1"/>
  <c r="AS785" i="1"/>
  <c r="AM787" i="1"/>
  <c r="AS788" i="1"/>
  <c r="AM790" i="1"/>
  <c r="AS791" i="1"/>
  <c r="AM793" i="1"/>
  <c r="AS794" i="1"/>
  <c r="AM796" i="1"/>
  <c r="AS797" i="1"/>
  <c r="AM799" i="1"/>
  <c r="AS800" i="1"/>
  <c r="AM802" i="1"/>
  <c r="AS803" i="1"/>
  <c r="AM805" i="1"/>
  <c r="AS806" i="1"/>
  <c r="AM808" i="1"/>
  <c r="AS809" i="1"/>
  <c r="AM811" i="1"/>
  <c r="AS812" i="1"/>
  <c r="AM814" i="1"/>
  <c r="AS815" i="1"/>
  <c r="AM817" i="1"/>
  <c r="AS818" i="1"/>
  <c r="AM820" i="1"/>
  <c r="AS821" i="1"/>
  <c r="AM823" i="1"/>
  <c r="AS824" i="1"/>
  <c r="AM826" i="1"/>
  <c r="AS827" i="1"/>
  <c r="AM829" i="1"/>
  <c r="AS830" i="1"/>
  <c r="AM832" i="1"/>
  <c r="AS833" i="1"/>
  <c r="AM835" i="1"/>
  <c r="AS836" i="1"/>
  <c r="AM838" i="1"/>
  <c r="AS839" i="1"/>
  <c r="AM841" i="1"/>
  <c r="AS842" i="1"/>
  <c r="AM844" i="1"/>
  <c r="AS845" i="1"/>
  <c r="AM847" i="1"/>
  <c r="AS848" i="1"/>
  <c r="AM850" i="1"/>
  <c r="AS851" i="1"/>
  <c r="AM853" i="1"/>
  <c r="AS854" i="1"/>
  <c r="AM856" i="1"/>
  <c r="AS857" i="1"/>
  <c r="AM859" i="1"/>
  <c r="AS860" i="1"/>
  <c r="AM862" i="1"/>
  <c r="AS863" i="1"/>
  <c r="AM865" i="1"/>
  <c r="AS866" i="1"/>
  <c r="AM868" i="1"/>
  <c r="AS869" i="1"/>
  <c r="AM871" i="1"/>
  <c r="AS872" i="1"/>
  <c r="AM874" i="1"/>
  <c r="AS875" i="1"/>
  <c r="AM877" i="1"/>
  <c r="AS878" i="1"/>
  <c r="AM880" i="1"/>
  <c r="AS881" i="1"/>
  <c r="AM883" i="1"/>
  <c r="AS884" i="1"/>
  <c r="AM886" i="1"/>
  <c r="AS887" i="1"/>
  <c r="AM889" i="1"/>
  <c r="AS890" i="1"/>
  <c r="AM892" i="1"/>
  <c r="AS893" i="1"/>
  <c r="AM895" i="1"/>
  <c r="AS896" i="1"/>
  <c r="AM898" i="1"/>
  <c r="AS899" i="1"/>
  <c r="AM901" i="1"/>
  <c r="AS902" i="1"/>
  <c r="AM904" i="1"/>
  <c r="AS905" i="1"/>
  <c r="AM907" i="1"/>
  <c r="AS908" i="1"/>
  <c r="AM910" i="1"/>
  <c r="AS911" i="1"/>
  <c r="AM913" i="1"/>
  <c r="AS914" i="1"/>
  <c r="AM916" i="1"/>
  <c r="AS917" i="1"/>
  <c r="AM919" i="1"/>
  <c r="AS920" i="1"/>
  <c r="AM922" i="1"/>
  <c r="AS923" i="1"/>
  <c r="AM925" i="1"/>
  <c r="AS926" i="1"/>
  <c r="AM928" i="1"/>
  <c r="AS929" i="1"/>
  <c r="AM931" i="1"/>
  <c r="AS932" i="1"/>
  <c r="AM934" i="1"/>
  <c r="AS935" i="1"/>
  <c r="AM937" i="1"/>
  <c r="AS938" i="1"/>
  <c r="AM940" i="1"/>
  <c r="AS941" i="1"/>
  <c r="AM943" i="1"/>
  <c r="AS944" i="1"/>
  <c r="AM946" i="1"/>
  <c r="AS947" i="1"/>
  <c r="AM949" i="1"/>
  <c r="AS950" i="1"/>
  <c r="AM952" i="1"/>
  <c r="AS953" i="1"/>
  <c r="AM955" i="1"/>
  <c r="AS956" i="1"/>
  <c r="AM958" i="1"/>
  <c r="AS959" i="1"/>
  <c r="AM961" i="1"/>
  <c r="AS962" i="1"/>
  <c r="AM964" i="1"/>
  <c r="AS965" i="1"/>
  <c r="AM967" i="1"/>
  <c r="AS968" i="1"/>
  <c r="AM970" i="1"/>
  <c r="AS971" i="1"/>
  <c r="AM973" i="1"/>
  <c r="AS974" i="1"/>
  <c r="AM976" i="1"/>
  <c r="AS977" i="1"/>
  <c r="AM979" i="1"/>
  <c r="AS980" i="1"/>
  <c r="AM982" i="1"/>
  <c r="AS983" i="1"/>
  <c r="AM985" i="1"/>
  <c r="AS986" i="1"/>
  <c r="AM988" i="1"/>
  <c r="AS989" i="1"/>
  <c r="AM991" i="1"/>
  <c r="AS992" i="1"/>
  <c r="AM994" i="1"/>
  <c r="AS995" i="1"/>
  <c r="AM997" i="1"/>
  <c r="AS998" i="1"/>
  <c r="AM1000" i="1"/>
  <c r="AS1001" i="1"/>
  <c r="AM1003" i="1"/>
  <c r="AS1004" i="1"/>
  <c r="AM1006" i="1"/>
  <c r="AS1007" i="1"/>
  <c r="AM1009" i="1"/>
  <c r="AS1010" i="1"/>
  <c r="AM1012" i="1"/>
  <c r="AS1013" i="1"/>
  <c r="AM1015" i="1"/>
  <c r="AS1016" i="1"/>
  <c r="AM1018" i="1"/>
  <c r="AS1019" i="1"/>
  <c r="AM1021" i="1"/>
  <c r="AS1022" i="1"/>
  <c r="AM1024" i="1"/>
  <c r="AS1025" i="1"/>
  <c r="AM1027" i="1"/>
  <c r="AS1028" i="1"/>
  <c r="AM1030" i="1"/>
  <c r="AS1031" i="1"/>
  <c r="AM1033" i="1"/>
  <c r="AS1034" i="1"/>
  <c r="AM1036" i="1"/>
  <c r="AS1037" i="1"/>
  <c r="AM1039" i="1"/>
  <c r="AS1040" i="1"/>
  <c r="AM1042" i="1"/>
  <c r="AS1043" i="1"/>
  <c r="AM1045" i="1"/>
  <c r="AS1046" i="1"/>
  <c r="AM1048" i="1"/>
  <c r="AS1049" i="1"/>
  <c r="AM1051" i="1"/>
  <c r="AS1052" i="1"/>
  <c r="AM1054" i="1"/>
  <c r="AS1055" i="1"/>
  <c r="AM1057" i="1"/>
  <c r="AS1058" i="1"/>
  <c r="AM1060" i="1"/>
  <c r="AS1061" i="1"/>
  <c r="AM1063" i="1"/>
  <c r="AS1064" i="1"/>
  <c r="AM1066" i="1"/>
  <c r="AS1067" i="1"/>
  <c r="AM1069" i="1"/>
  <c r="AS1070" i="1"/>
  <c r="AM1072" i="1"/>
  <c r="AS1073" i="1"/>
  <c r="AM1075" i="1"/>
  <c r="AS1076" i="1"/>
  <c r="AM1078" i="1"/>
  <c r="AS1079" i="1"/>
  <c r="AM1081" i="1"/>
  <c r="AS1082" i="1"/>
  <c r="AM1084" i="1"/>
  <c r="AS1085" i="1"/>
  <c r="AM1087" i="1"/>
  <c r="AS1088" i="1"/>
  <c r="AM1090" i="1"/>
  <c r="AS1091" i="1"/>
  <c r="AM1093" i="1"/>
  <c r="AS1094" i="1"/>
  <c r="AM1096" i="1"/>
  <c r="AS1097" i="1"/>
  <c r="AM1099" i="1"/>
  <c r="AS1100" i="1"/>
  <c r="AM1102" i="1"/>
  <c r="AS1103" i="1"/>
  <c r="AM1105" i="1"/>
  <c r="AS1106" i="1"/>
  <c r="AM1108" i="1"/>
  <c r="AS1109" i="1"/>
  <c r="AM1111" i="1"/>
  <c r="AS1112" i="1"/>
  <c r="AM1114" i="1"/>
  <c r="AS1115" i="1"/>
  <c r="AM1117" i="1"/>
  <c r="AS1118" i="1"/>
  <c r="AM1120" i="1"/>
  <c r="AS1121" i="1"/>
  <c r="AM1123" i="1"/>
  <c r="AS1124" i="1"/>
  <c r="AM1126" i="1"/>
  <c r="AS1127" i="1"/>
  <c r="AM1129" i="1"/>
  <c r="AS1130" i="1"/>
  <c r="AM1132" i="1"/>
  <c r="AS1133" i="1"/>
  <c r="AM1135" i="1"/>
  <c r="AS1136" i="1"/>
  <c r="AM1138" i="1"/>
  <c r="AS1139" i="1"/>
  <c r="AM1141" i="1"/>
  <c r="AS1142" i="1"/>
  <c r="AM1144" i="1"/>
  <c r="AS1145" i="1"/>
  <c r="AM1147" i="1"/>
  <c r="AS1148" i="1"/>
  <c r="AM1150" i="1"/>
  <c r="AS1151" i="1"/>
  <c r="AM1153" i="1"/>
  <c r="AS1154" i="1"/>
  <c r="AM1156" i="1"/>
  <c r="AS1157" i="1"/>
  <c r="AM1159" i="1"/>
  <c r="AS1160" i="1"/>
  <c r="AM1162" i="1"/>
  <c r="AS1163" i="1"/>
  <c r="AM1165" i="1"/>
  <c r="AS1166" i="1"/>
  <c r="AM1168" i="1"/>
  <c r="AS1169" i="1"/>
  <c r="AM1171" i="1"/>
  <c r="AS1172" i="1"/>
  <c r="AM1174" i="1"/>
  <c r="AS1175" i="1"/>
  <c r="AM1177" i="1"/>
  <c r="AS1178" i="1"/>
  <c r="AM1180" i="1"/>
  <c r="AS1181" i="1"/>
  <c r="AM1183" i="1"/>
  <c r="AS1184" i="1"/>
  <c r="AM1186" i="1"/>
  <c r="AS1187" i="1"/>
  <c r="AM1189" i="1"/>
  <c r="AS1190" i="1"/>
  <c r="AM1192" i="1"/>
  <c r="AS1193" i="1"/>
  <c r="AM1195" i="1"/>
  <c r="AS1196" i="1"/>
  <c r="AM1198" i="1"/>
  <c r="AS1199" i="1"/>
  <c r="AM1201" i="1"/>
  <c r="AS1202" i="1"/>
  <c r="AM1204" i="1"/>
  <c r="AS1205" i="1"/>
  <c r="AM1207" i="1"/>
  <c r="AS1208" i="1"/>
  <c r="AM1210" i="1"/>
  <c r="AS1211" i="1"/>
  <c r="AM1213" i="1"/>
  <c r="AS1214" i="1"/>
  <c r="AM1216" i="1"/>
  <c r="AS1217" i="1"/>
  <c r="AM1219" i="1"/>
  <c r="AS1220" i="1"/>
  <c r="AM1222" i="1"/>
  <c r="AS1223" i="1"/>
  <c r="AM1225" i="1"/>
  <c r="AS1226" i="1"/>
  <c r="AM1228" i="1"/>
  <c r="AS1229" i="1"/>
  <c r="AM1231" i="1"/>
  <c r="AS1232" i="1"/>
  <c r="AM1234" i="1"/>
  <c r="AS1235" i="1"/>
  <c r="AM1237" i="1"/>
  <c r="AS1238" i="1"/>
  <c r="AM1240" i="1"/>
  <c r="AS1241" i="1"/>
  <c r="AM1243" i="1"/>
  <c r="AS1244" i="1"/>
  <c r="AM1246" i="1"/>
  <c r="AS1247" i="1"/>
  <c r="AM1249" i="1"/>
  <c r="AS1250" i="1"/>
  <c r="AM1252" i="1"/>
  <c r="AS1253" i="1"/>
  <c r="AM1255" i="1"/>
  <c r="AS1256" i="1"/>
  <c r="AS5" i="1"/>
  <c r="AP250" i="1"/>
  <c r="AP246" i="1"/>
  <c r="AV5" i="1"/>
  <c r="AV17" i="1"/>
  <c r="AP253" i="1"/>
  <c r="AP7" i="1"/>
  <c r="AP8" i="1"/>
  <c r="AV9" i="1"/>
  <c r="AP10" i="1"/>
  <c r="AV11" i="1"/>
  <c r="AP14" i="1"/>
  <c r="AP15" i="1"/>
  <c r="AP20" i="1"/>
  <c r="AP21" i="1"/>
  <c r="AV22" i="1"/>
  <c r="AP24" i="1"/>
  <c r="AP26" i="1"/>
  <c r="AV27" i="1"/>
  <c r="AP29" i="1"/>
  <c r="AV30" i="1"/>
  <c r="AP32" i="1"/>
  <c r="AV33" i="1"/>
  <c r="AP34" i="1"/>
  <c r="AV35" i="1"/>
  <c r="AP37" i="1"/>
  <c r="AV38" i="1"/>
  <c r="AP40" i="1"/>
  <c r="AV41" i="1"/>
  <c r="AP43" i="1"/>
  <c r="AV45" i="1"/>
  <c r="AV48" i="1"/>
  <c r="AP50" i="1"/>
  <c r="AV51" i="1"/>
  <c r="AP53" i="1"/>
  <c r="AV54" i="1"/>
  <c r="AP56" i="1"/>
  <c r="AV57" i="1"/>
  <c r="AP59" i="1"/>
  <c r="AV60" i="1"/>
  <c r="AP62" i="1"/>
  <c r="AV63" i="1"/>
  <c r="AP65" i="1"/>
  <c r="AV66" i="1"/>
  <c r="AP68" i="1"/>
  <c r="AV69" i="1"/>
  <c r="AP71" i="1"/>
  <c r="AV72" i="1"/>
  <c r="AP74" i="1"/>
  <c r="AV75" i="1"/>
  <c r="AP77" i="1"/>
  <c r="AV78" i="1"/>
  <c r="AP80" i="1"/>
  <c r="AV81" i="1"/>
  <c r="AP83" i="1"/>
  <c r="AV84" i="1"/>
  <c r="AP86" i="1"/>
  <c r="AV87" i="1"/>
  <c r="AP89" i="1"/>
  <c r="AV90" i="1"/>
  <c r="AP92" i="1"/>
  <c r="AV93" i="1"/>
  <c r="AP95" i="1"/>
  <c r="AV96" i="1"/>
  <c r="AP98" i="1"/>
  <c r="AV99" i="1"/>
  <c r="AP101" i="1"/>
  <c r="AV102" i="1"/>
  <c r="AP105" i="1"/>
  <c r="AV106" i="1"/>
  <c r="AP108" i="1"/>
  <c r="AV109" i="1"/>
  <c r="AP111" i="1"/>
  <c r="AV112" i="1"/>
  <c r="AP114" i="1"/>
  <c r="AV115" i="1"/>
  <c r="AP117" i="1"/>
  <c r="AV118" i="1"/>
  <c r="AP120" i="1"/>
  <c r="AV121" i="1"/>
  <c r="AP123" i="1"/>
  <c r="AV124" i="1"/>
  <c r="AP126" i="1"/>
  <c r="AV127" i="1"/>
  <c r="AP129" i="1"/>
  <c r="AV130" i="1"/>
  <c r="AP132" i="1"/>
  <c r="AV133" i="1"/>
  <c r="AP135" i="1"/>
  <c r="AV136" i="1"/>
  <c r="AP138" i="1"/>
  <c r="AV139" i="1"/>
  <c r="AP141" i="1"/>
  <c r="AV142" i="1"/>
  <c r="AP144" i="1"/>
  <c r="AV145" i="1"/>
  <c r="AP147" i="1"/>
  <c r="AV148" i="1"/>
  <c r="AP150" i="1"/>
  <c r="AV151" i="1"/>
  <c r="AP153" i="1"/>
  <c r="AV154" i="1"/>
  <c r="AP156" i="1"/>
  <c r="AV157" i="1"/>
  <c r="AP159" i="1"/>
  <c r="AV160" i="1"/>
  <c r="AP162" i="1"/>
  <c r="AV163" i="1"/>
  <c r="AP165" i="1"/>
  <c r="AV166" i="1"/>
  <c r="AP168" i="1"/>
  <c r="AV169" i="1"/>
  <c r="AP171" i="1"/>
  <c r="AV172" i="1"/>
  <c r="AP174" i="1"/>
  <c r="AV175" i="1"/>
  <c r="AP177" i="1"/>
  <c r="AV178" i="1"/>
  <c r="AP180" i="1"/>
  <c r="AV181" i="1"/>
  <c r="AP183" i="1"/>
  <c r="AV184" i="1"/>
  <c r="AP186" i="1"/>
  <c r="AV187" i="1"/>
  <c r="AP189" i="1"/>
  <c r="AV190" i="1"/>
  <c r="AP192" i="1"/>
  <c r="AV193" i="1"/>
  <c r="AP195" i="1"/>
  <c r="AV196" i="1"/>
  <c r="AP198" i="1"/>
  <c r="AV199" i="1"/>
  <c r="AP202" i="1"/>
  <c r="AV203" i="1"/>
  <c r="AP205" i="1"/>
  <c r="AV206" i="1"/>
  <c r="AP208" i="1"/>
  <c r="AV209" i="1"/>
  <c r="AP211" i="1"/>
  <c r="AV212" i="1"/>
  <c r="AP214" i="1"/>
  <c r="AV215" i="1"/>
  <c r="AP217" i="1"/>
  <c r="AV218" i="1"/>
  <c r="AP220" i="1"/>
  <c r="AV221" i="1"/>
  <c r="AP223" i="1"/>
  <c r="AV224" i="1"/>
  <c r="AP227" i="1"/>
  <c r="AV228" i="1"/>
  <c r="AP230" i="1"/>
  <c r="AV231" i="1"/>
  <c r="AP233" i="1"/>
  <c r="AV234" i="1"/>
  <c r="AP236" i="1"/>
  <c r="AV238" i="1"/>
  <c r="AP240" i="1"/>
  <c r="AV241" i="1"/>
  <c r="AP243" i="1"/>
  <c r="AV244" i="1"/>
  <c r="AV251" i="1"/>
  <c r="AV434" i="1"/>
  <c r="AP526" i="1"/>
  <c r="AV515" i="1"/>
  <c r="AP448" i="1"/>
  <c r="AP439" i="1"/>
  <c r="AP1141" i="1"/>
  <c r="AV1139" i="1"/>
  <c r="AV257" i="1"/>
  <c r="AP262" i="1"/>
  <c r="AV266" i="1"/>
  <c r="AV269" i="1"/>
  <c r="AP274" i="1"/>
  <c r="AV278" i="1"/>
  <c r="AP283" i="1"/>
  <c r="AP286" i="1"/>
  <c r="AP289" i="1"/>
  <c r="AV293" i="1"/>
  <c r="AP298" i="1"/>
  <c r="AP301" i="1"/>
  <c r="AV305" i="1"/>
  <c r="AP310" i="1"/>
  <c r="AV314" i="1"/>
  <c r="AV317" i="1"/>
  <c r="AV320" i="1"/>
  <c r="AV326" i="1"/>
  <c r="AP331" i="1"/>
  <c r="AV335" i="1"/>
  <c r="AP340" i="1"/>
  <c r="AP343" i="1"/>
  <c r="AP346" i="1"/>
  <c r="AP349" i="1"/>
  <c r="AP352" i="1"/>
  <c r="AV356" i="1"/>
  <c r="AP361" i="1"/>
  <c r="AP364" i="1"/>
  <c r="AP367" i="1"/>
  <c r="AP370" i="1"/>
  <c r="AP373" i="1"/>
  <c r="AP376" i="1"/>
  <c r="AP379" i="1"/>
  <c r="AP382" i="1"/>
  <c r="AP385" i="1"/>
  <c r="AP388" i="1"/>
  <c r="AP391" i="1"/>
  <c r="AP394" i="1"/>
  <c r="AP397" i="1"/>
  <c r="AV401" i="1"/>
  <c r="AP406" i="1"/>
  <c r="AP412" i="1"/>
  <c r="AV419" i="1"/>
  <c r="AP433" i="1"/>
  <c r="AV440" i="1"/>
  <c r="AV446" i="1"/>
  <c r="AV452" i="1"/>
  <c r="AV458" i="1"/>
  <c r="AP466" i="1"/>
  <c r="AV473" i="1"/>
  <c r="AV479" i="1"/>
  <c r="AV485" i="1"/>
  <c r="AP493" i="1"/>
  <c r="AP499" i="1"/>
  <c r="AP505" i="1"/>
  <c r="AP511" i="1"/>
  <c r="AV518" i="1"/>
  <c r="AV524" i="1"/>
  <c r="AV530" i="1"/>
  <c r="AP535" i="1"/>
  <c r="AP541" i="1"/>
  <c r="AV548" i="1"/>
  <c r="AV554" i="1"/>
  <c r="AP559" i="1"/>
  <c r="AV563" i="1"/>
  <c r="AV569" i="1"/>
  <c r="AP574" i="1"/>
  <c r="AP580" i="1"/>
  <c r="AP583" i="1"/>
  <c r="AP589" i="1"/>
  <c r="AP595" i="1"/>
  <c r="AP601" i="1"/>
  <c r="AV605" i="1"/>
  <c r="AV611" i="1"/>
  <c r="AP619" i="1"/>
  <c r="AV626" i="1"/>
  <c r="AP634" i="1"/>
  <c r="AV641" i="1"/>
  <c r="AV650" i="1"/>
  <c r="AV656" i="1"/>
  <c r="AP664" i="1"/>
  <c r="AP679" i="1"/>
  <c r="AP709" i="1"/>
  <c r="AV803" i="1"/>
  <c r="AP1144" i="1"/>
  <c r="AV254" i="1"/>
  <c r="AP256" i="1"/>
  <c r="AP259" i="1"/>
  <c r="AV260" i="1"/>
  <c r="AV263" i="1"/>
  <c r="AP265" i="1"/>
  <c r="AP268" i="1"/>
  <c r="AP271" i="1"/>
  <c r="AV272" i="1"/>
  <c r="AV275" i="1"/>
  <c r="AP277" i="1"/>
  <c r="AP280" i="1"/>
  <c r="AV281" i="1"/>
  <c r="AV284" i="1"/>
  <c r="AV287" i="1"/>
  <c r="AV290" i="1"/>
  <c r="AP292" i="1"/>
  <c r="AP295" i="1"/>
  <c r="AV296" i="1"/>
  <c r="AV299" i="1"/>
  <c r="AV302" i="1"/>
  <c r="AP304" i="1"/>
  <c r="AP307" i="1"/>
  <c r="AV308" i="1"/>
  <c r="AV311" i="1"/>
  <c r="AP313" i="1"/>
  <c r="AP316" i="1"/>
  <c r="AP319" i="1"/>
  <c r="AP322" i="1"/>
  <c r="AV323" i="1"/>
  <c r="AP325" i="1"/>
  <c r="AP328" i="1"/>
  <c r="AV329" i="1"/>
  <c r="AV332" i="1"/>
  <c r="AP334" i="1"/>
  <c r="AP337" i="1"/>
  <c r="AV338" i="1"/>
  <c r="AV341" i="1"/>
  <c r="AV344" i="1"/>
  <c r="AV347" i="1"/>
  <c r="AV350" i="1"/>
  <c r="AV353" i="1"/>
  <c r="AP355" i="1"/>
  <c r="AP358" i="1"/>
  <c r="AV359" i="1"/>
  <c r="AV362" i="1"/>
  <c r="AV365" i="1"/>
  <c r="AV368" i="1"/>
  <c r="AV371" i="1"/>
  <c r="AV374" i="1"/>
  <c r="AV377" i="1"/>
  <c r="AV380" i="1"/>
  <c r="AV383" i="1"/>
  <c r="AV386" i="1"/>
  <c r="AV389" i="1"/>
  <c r="AV392" i="1"/>
  <c r="AV395" i="1"/>
  <c r="AV398" i="1"/>
  <c r="AP400" i="1"/>
  <c r="AP403" i="1"/>
  <c r="AV404" i="1"/>
  <c r="AV407" i="1"/>
  <c r="AP409" i="1"/>
  <c r="AV410" i="1"/>
  <c r="AV413" i="1"/>
  <c r="AP415" i="1"/>
  <c r="AV416" i="1"/>
  <c r="AP418" i="1"/>
  <c r="AP421" i="1"/>
  <c r="AV422" i="1"/>
  <c r="AP424" i="1"/>
  <c r="AV425" i="1"/>
  <c r="AP427" i="1"/>
  <c r="AV428" i="1"/>
  <c r="AP430" i="1"/>
  <c r="AV431" i="1"/>
  <c r="AP436" i="1"/>
  <c r="AV443" i="1"/>
  <c r="AP451" i="1"/>
  <c r="AP457" i="1"/>
  <c r="AP463" i="1"/>
  <c r="AV470" i="1"/>
  <c r="AP478" i="1"/>
  <c r="AP484" i="1"/>
  <c r="AP490" i="1"/>
  <c r="AP496" i="1"/>
  <c r="AP502" i="1"/>
  <c r="AP508" i="1"/>
  <c r="AP514" i="1"/>
  <c r="AV521" i="1"/>
  <c r="AV527" i="1"/>
  <c r="AV533" i="1"/>
  <c r="AV539" i="1"/>
  <c r="AP547" i="1"/>
  <c r="AP556" i="1"/>
  <c r="AP562" i="1"/>
  <c r="AV566" i="1"/>
  <c r="AP571" i="1"/>
  <c r="AP577" i="1"/>
  <c r="AV581" i="1"/>
  <c r="AV587" i="1"/>
  <c r="AV593" i="1"/>
  <c r="AP598" i="1"/>
  <c r="AV602" i="1"/>
  <c r="AV608" i="1"/>
  <c r="AV614" i="1"/>
  <c r="AP622" i="1"/>
  <c r="AP628" i="1"/>
  <c r="AP631" i="1"/>
  <c r="AV635" i="1"/>
  <c r="AV638" i="1"/>
  <c r="AV644" i="1"/>
  <c r="AP652" i="1"/>
  <c r="AV659" i="1"/>
  <c r="AV668" i="1"/>
  <c r="AP685" i="1"/>
  <c r="AV725" i="1"/>
  <c r="AV836" i="1"/>
  <c r="AV1142" i="1"/>
  <c r="AP442" i="1"/>
  <c r="AV449" i="1"/>
  <c r="AV455" i="1"/>
  <c r="AV461" i="1"/>
  <c r="AV467" i="1"/>
  <c r="AP475" i="1"/>
  <c r="AP481" i="1"/>
  <c r="AP487" i="1"/>
  <c r="AV494" i="1"/>
  <c r="AV500" i="1"/>
  <c r="AV506" i="1"/>
  <c r="AV512" i="1"/>
  <c r="AP520" i="1"/>
  <c r="AP529" i="1"/>
  <c r="AV536" i="1"/>
  <c r="AP544" i="1"/>
  <c r="AP553" i="1"/>
  <c r="AV560" i="1"/>
  <c r="AP568" i="1"/>
  <c r="AV575" i="1"/>
  <c r="AV584" i="1"/>
  <c r="AP592" i="1"/>
  <c r="AV599" i="1"/>
  <c r="AP607" i="1"/>
  <c r="AP613" i="1"/>
  <c r="AV620" i="1"/>
  <c r="AV629" i="1"/>
  <c r="AP637" i="1"/>
  <c r="AP646" i="1"/>
  <c r="AP655" i="1"/>
  <c r="AP661" i="1"/>
  <c r="AV665" i="1"/>
  <c r="AP670" i="1"/>
  <c r="AV671" i="1"/>
  <c r="AV674" i="1"/>
  <c r="AV677" i="1"/>
  <c r="AP682" i="1"/>
  <c r="AV686" i="1"/>
  <c r="AV689" i="1"/>
  <c r="AV692" i="1"/>
  <c r="AV695" i="1"/>
  <c r="AV698" i="1"/>
  <c r="AV701" i="1"/>
  <c r="AV704" i="1"/>
  <c r="AV707" i="1"/>
  <c r="AP712" i="1"/>
  <c r="AP715" i="1"/>
  <c r="AV719" i="1"/>
  <c r="AP724" i="1"/>
  <c r="AV728" i="1"/>
  <c r="AV731" i="1"/>
  <c r="AV734" i="1"/>
  <c r="AP739" i="1"/>
  <c r="AV743" i="1"/>
  <c r="AV746" i="1"/>
  <c r="AV749" i="1"/>
  <c r="AV752" i="1"/>
  <c r="AV755" i="1"/>
  <c r="AV758" i="1"/>
  <c r="AV761" i="1"/>
  <c r="AV764" i="1"/>
  <c r="AV767" i="1"/>
  <c r="AV770" i="1"/>
  <c r="AV773" i="1"/>
  <c r="AV776" i="1"/>
  <c r="AV779" i="1"/>
  <c r="AV782" i="1"/>
  <c r="AV785" i="1"/>
  <c r="AP790" i="1"/>
  <c r="AP793" i="1"/>
  <c r="AP796" i="1"/>
  <c r="AP799" i="1"/>
  <c r="AV800" i="1"/>
  <c r="AP805" i="1"/>
  <c r="AP808" i="1"/>
  <c r="AP811" i="1"/>
  <c r="AP814" i="1"/>
  <c r="AP817" i="1"/>
  <c r="AP820" i="1"/>
  <c r="AP823" i="1"/>
  <c r="AP826" i="1"/>
  <c r="AP829" i="1"/>
  <c r="AV833" i="1"/>
  <c r="AP838" i="1"/>
  <c r="AP841" i="1"/>
  <c r="AP844" i="1"/>
  <c r="AV848" i="1"/>
  <c r="AV851" i="1"/>
  <c r="AP856" i="1"/>
  <c r="AP859" i="1"/>
  <c r="AV863" i="1"/>
  <c r="AV866" i="1"/>
  <c r="AV869" i="1"/>
  <c r="AV872" i="1"/>
  <c r="AV875" i="1"/>
  <c r="AV878" i="1"/>
  <c r="AV881" i="1"/>
  <c r="AP883" i="1"/>
  <c r="AP886" i="1"/>
  <c r="AP889" i="1"/>
  <c r="AP892" i="1"/>
  <c r="AP895" i="1"/>
  <c r="AV899" i="1"/>
  <c r="AV902" i="1"/>
  <c r="AV905" i="1"/>
  <c r="AP907" i="1"/>
  <c r="AP910" i="1"/>
  <c r="AP913" i="1"/>
  <c r="AP916" i="1"/>
  <c r="AP919" i="1"/>
  <c r="AP922" i="1"/>
  <c r="AP925" i="1"/>
  <c r="AP928" i="1"/>
  <c r="AP931" i="1"/>
  <c r="AP934" i="1"/>
  <c r="AP937" i="1"/>
  <c r="AP940" i="1"/>
  <c r="AP943" i="1"/>
  <c r="AP946" i="1"/>
  <c r="AP949" i="1"/>
  <c r="AP952" i="1"/>
  <c r="AP955" i="1"/>
  <c r="AP958" i="1"/>
  <c r="AP961" i="1"/>
  <c r="AP964" i="1"/>
  <c r="AP967" i="1"/>
  <c r="AP970" i="1"/>
  <c r="AP973" i="1"/>
  <c r="AP976" i="1"/>
  <c r="AP979" i="1"/>
  <c r="AP982" i="1"/>
  <c r="AP985" i="1"/>
  <c r="AP988" i="1"/>
  <c r="AV992" i="1"/>
  <c r="AV995" i="1"/>
  <c r="AV998" i="1"/>
  <c r="AV1001" i="1"/>
  <c r="AV1004" i="1"/>
  <c r="AV1007" i="1"/>
  <c r="AV1010" i="1"/>
  <c r="AV1013" i="1"/>
  <c r="AV1016" i="1"/>
  <c r="AV1019" i="1"/>
  <c r="AV1022" i="1"/>
  <c r="AV1025" i="1"/>
  <c r="AV1028" i="1"/>
  <c r="AV1031" i="1"/>
  <c r="AV1034" i="1"/>
  <c r="AV1037" i="1"/>
  <c r="AV1040" i="1"/>
  <c r="AV1043" i="1"/>
  <c r="AV1046" i="1"/>
  <c r="AV1049" i="1"/>
  <c r="AV1052" i="1"/>
  <c r="AV1055" i="1"/>
  <c r="AV1058" i="1"/>
  <c r="AV1061" i="1"/>
  <c r="AV1064" i="1"/>
  <c r="AV1067" i="1"/>
  <c r="AV1070" i="1"/>
  <c r="AV1073" i="1"/>
  <c r="AV1076" i="1"/>
  <c r="AV1079" i="1"/>
  <c r="AV1082" i="1"/>
  <c r="AV1085" i="1"/>
  <c r="AV1088" i="1"/>
  <c r="AV1091" i="1"/>
  <c r="AV1094" i="1"/>
  <c r="AV1097" i="1"/>
  <c r="AV1100" i="1"/>
  <c r="AV1103" i="1"/>
  <c r="AV1106" i="1"/>
  <c r="AP1111" i="1"/>
  <c r="AV1118" i="1"/>
  <c r="AP1129" i="1"/>
  <c r="AP1153" i="1"/>
  <c r="AV1178" i="1"/>
  <c r="AP1207" i="1"/>
  <c r="AV1229" i="1"/>
  <c r="AV1253" i="1"/>
  <c r="AM88" i="1"/>
  <c r="AS730" i="1"/>
  <c r="AV437" i="1"/>
  <c r="AP445" i="1"/>
  <c r="AP454" i="1"/>
  <c r="AP460" i="1"/>
  <c r="AV464" i="1"/>
  <c r="AP469" i="1"/>
  <c r="AP472" i="1"/>
  <c r="AV476" i="1"/>
  <c r="AV482" i="1"/>
  <c r="AV488" i="1"/>
  <c r="AV491" i="1"/>
  <c r="AV497" i="1"/>
  <c r="AV503" i="1"/>
  <c r="AV509" i="1"/>
  <c r="AP517" i="1"/>
  <c r="AP523" i="1"/>
  <c r="AP532" i="1"/>
  <c r="AP538" i="1"/>
  <c r="AV542" i="1"/>
  <c r="AP550" i="1"/>
  <c r="AV557" i="1"/>
  <c r="AP565" i="1"/>
  <c r="AV572" i="1"/>
  <c r="AV578" i="1"/>
  <c r="AP586" i="1"/>
  <c r="AV590" i="1"/>
  <c r="AV596" i="1"/>
  <c r="AP604" i="1"/>
  <c r="AP610" i="1"/>
  <c r="AP616" i="1"/>
  <c r="AV623" i="1"/>
  <c r="AV632" i="1"/>
  <c r="AP640" i="1"/>
  <c r="AV647" i="1"/>
  <c r="AV653" i="1"/>
  <c r="AP658" i="1"/>
  <c r="AV662" i="1"/>
  <c r="AP667" i="1"/>
  <c r="AP673" i="1"/>
  <c r="AP676" i="1"/>
  <c r="AV680" i="1"/>
  <c r="AV683" i="1"/>
  <c r="AP688" i="1"/>
  <c r="AP691" i="1"/>
  <c r="AP694" i="1"/>
  <c r="AP697" i="1"/>
  <c r="AP700" i="1"/>
  <c r="AP703" i="1"/>
  <c r="AP706" i="1"/>
  <c r="AV710" i="1"/>
  <c r="AV713" i="1"/>
  <c r="AP718" i="1"/>
  <c r="AP721" i="1"/>
  <c r="AP727" i="1"/>
  <c r="AP730" i="1"/>
  <c r="AP733" i="1"/>
  <c r="AP736" i="1"/>
  <c r="AV740" i="1"/>
  <c r="AP745" i="1"/>
  <c r="AP748" i="1"/>
  <c r="AP751" i="1"/>
  <c r="AP754" i="1"/>
  <c r="AP757" i="1"/>
  <c r="AP760" i="1"/>
  <c r="AP763" i="1"/>
  <c r="AP766" i="1"/>
  <c r="AP769" i="1"/>
  <c r="AP772" i="1"/>
  <c r="AP775" i="1"/>
  <c r="AP778" i="1"/>
  <c r="AP781" i="1"/>
  <c r="AP784" i="1"/>
  <c r="AP787" i="1"/>
  <c r="AV788" i="1"/>
  <c r="AV791" i="1"/>
  <c r="AV794" i="1"/>
  <c r="AV797" i="1"/>
  <c r="AP802" i="1"/>
  <c r="AV806" i="1"/>
  <c r="AV809" i="1"/>
  <c r="AV812" i="1"/>
  <c r="AV815" i="1"/>
  <c r="AV818" i="1"/>
  <c r="AV821" i="1"/>
  <c r="AV824" i="1"/>
  <c r="AV827" i="1"/>
  <c r="AV830" i="1"/>
  <c r="AP835" i="1"/>
  <c r="AV839" i="1"/>
  <c r="AV842" i="1"/>
  <c r="AV845" i="1"/>
  <c r="AP850" i="1"/>
  <c r="AP853" i="1"/>
  <c r="AV857" i="1"/>
  <c r="AP862" i="1"/>
  <c r="AP865" i="1"/>
  <c r="AP868" i="1"/>
  <c r="AP871" i="1"/>
  <c r="AP874" i="1"/>
  <c r="AP877" i="1"/>
  <c r="AP880" i="1"/>
  <c r="AV884" i="1"/>
  <c r="AV887" i="1"/>
  <c r="AV890" i="1"/>
  <c r="AV893" i="1"/>
  <c r="AV896" i="1"/>
  <c r="AP898" i="1"/>
  <c r="AP901" i="1"/>
  <c r="AP904" i="1"/>
  <c r="AV908" i="1"/>
  <c r="AV911" i="1"/>
  <c r="AV914" i="1"/>
  <c r="AV917" i="1"/>
  <c r="AV920" i="1"/>
  <c r="AV923" i="1"/>
  <c r="AV926" i="1"/>
  <c r="AV929" i="1"/>
  <c r="AV932" i="1"/>
  <c r="AV935" i="1"/>
  <c r="AV938" i="1"/>
  <c r="AV941" i="1"/>
  <c r="AV944" i="1"/>
  <c r="AV947" i="1"/>
  <c r="AV950" i="1"/>
  <c r="AV953" i="1"/>
  <c r="AV956" i="1"/>
  <c r="AV959" i="1"/>
  <c r="AV962" i="1"/>
  <c r="AV965" i="1"/>
  <c r="AV968" i="1"/>
  <c r="AV971" i="1"/>
  <c r="AV974" i="1"/>
  <c r="AV977" i="1"/>
  <c r="AV980" i="1"/>
  <c r="AV983" i="1"/>
  <c r="AV986" i="1"/>
  <c r="AV989" i="1"/>
  <c r="AP994" i="1"/>
  <c r="AP997" i="1"/>
  <c r="AP1000" i="1"/>
  <c r="AP1003" i="1"/>
  <c r="AP1006" i="1"/>
  <c r="AP1009" i="1"/>
  <c r="AP1012" i="1"/>
  <c r="AP1015" i="1"/>
  <c r="AP1018" i="1"/>
  <c r="AP1021" i="1"/>
  <c r="AP1024" i="1"/>
  <c r="AP1027" i="1"/>
  <c r="AP1030" i="1"/>
  <c r="AP1033" i="1"/>
  <c r="AP1036" i="1"/>
  <c r="AP1039" i="1"/>
  <c r="AP1042" i="1"/>
  <c r="AP1045" i="1"/>
  <c r="AP1048" i="1"/>
  <c r="AP1051" i="1"/>
  <c r="AP1054" i="1"/>
  <c r="AP1057" i="1"/>
  <c r="AP1060" i="1"/>
  <c r="AP1063" i="1"/>
  <c r="AP1066" i="1"/>
  <c r="AP1069" i="1"/>
  <c r="AP1072" i="1"/>
  <c r="AP1075" i="1"/>
  <c r="AP1078" i="1"/>
  <c r="AP1081" i="1"/>
  <c r="AP1084" i="1"/>
  <c r="AP1087" i="1"/>
  <c r="AP1090" i="1"/>
  <c r="AP1093" i="1"/>
  <c r="AP1096" i="1"/>
  <c r="AP1099" i="1"/>
  <c r="AP1102" i="1"/>
  <c r="AP1105" i="1"/>
  <c r="AP1108" i="1"/>
  <c r="AV1109" i="1"/>
  <c r="AV1112" i="1"/>
  <c r="AP1114" i="1"/>
  <c r="AV1115" i="1"/>
  <c r="AP1117" i="1"/>
  <c r="AP1120" i="1"/>
  <c r="AV1121" i="1"/>
  <c r="AP1123" i="1"/>
  <c r="AV1124" i="1"/>
  <c r="AP1126" i="1"/>
  <c r="AV1127" i="1"/>
  <c r="AV1130" i="1"/>
  <c r="AP1132" i="1"/>
  <c r="AV1133" i="1"/>
  <c r="AP1135" i="1"/>
  <c r="AV1136" i="1"/>
  <c r="AP1138" i="1"/>
  <c r="AP1147" i="1"/>
  <c r="AP1150" i="1"/>
  <c r="AV1154" i="1"/>
  <c r="AP1159" i="1"/>
  <c r="AP1162" i="1"/>
  <c r="AV1166" i="1"/>
  <c r="AV1169" i="1"/>
  <c r="AV1172" i="1"/>
  <c r="AV1175" i="1"/>
  <c r="AP1180" i="1"/>
  <c r="AV1187" i="1"/>
  <c r="AP1192" i="1"/>
  <c r="AP1195" i="1"/>
  <c r="AP1198" i="1"/>
  <c r="AP1201" i="1"/>
  <c r="AV1205" i="1"/>
  <c r="AV1214" i="1"/>
  <c r="AP1222" i="1"/>
  <c r="AP1237" i="1"/>
  <c r="AM6" i="1"/>
  <c r="AM12" i="1"/>
  <c r="AM13" i="1"/>
  <c r="AM16" i="1"/>
  <c r="AM18" i="1"/>
  <c r="AS20" i="1"/>
  <c r="AM23" i="1"/>
  <c r="AM25" i="1"/>
  <c r="AM28" i="1"/>
  <c r="AM31" i="1"/>
  <c r="AM36" i="1"/>
  <c r="AS37" i="1"/>
  <c r="AS40" i="1"/>
  <c r="AM42" i="1"/>
  <c r="AM46" i="1"/>
  <c r="AM49" i="1"/>
  <c r="AS53" i="1"/>
  <c r="AS56" i="1"/>
  <c r="AS59" i="1"/>
  <c r="AS62" i="1"/>
  <c r="AS65" i="1"/>
  <c r="AS68" i="1"/>
  <c r="AM73" i="1"/>
  <c r="AS77" i="1"/>
  <c r="AM82" i="1"/>
  <c r="AM85" i="1"/>
  <c r="AS92" i="1"/>
  <c r="AS98" i="1"/>
  <c r="AM103" i="1"/>
  <c r="AM107" i="1"/>
  <c r="AS111" i="1"/>
  <c r="AS114" i="1"/>
  <c r="AS117" i="1"/>
  <c r="AM122" i="1"/>
  <c r="AS126" i="1"/>
  <c r="AM131" i="1"/>
  <c r="AS135" i="1"/>
  <c r="AM140" i="1"/>
  <c r="AS144" i="1"/>
  <c r="AM149" i="1"/>
  <c r="AM155" i="1"/>
  <c r="AM161" i="1"/>
  <c r="AM167" i="1"/>
  <c r="AS171" i="1"/>
  <c r="AM176" i="1"/>
  <c r="AS180" i="1"/>
  <c r="AM185" i="1"/>
  <c r="AS189" i="1"/>
  <c r="AS195" i="1"/>
  <c r="AM200" i="1"/>
  <c r="AS205" i="1"/>
  <c r="AS211" i="1"/>
  <c r="AM216" i="1"/>
  <c r="AM222" i="1"/>
  <c r="AM229" i="1"/>
  <c r="AS233" i="1"/>
  <c r="AM239" i="1"/>
  <c r="AS243" i="1"/>
  <c r="AM248" i="1"/>
  <c r="AS253" i="1"/>
  <c r="AM258" i="1"/>
  <c r="AS259" i="1"/>
  <c r="AM261" i="1"/>
  <c r="AS262" i="1"/>
  <c r="AM264" i="1"/>
  <c r="AS265" i="1"/>
  <c r="AM267" i="1"/>
  <c r="AS268" i="1"/>
  <c r="AM270" i="1"/>
  <c r="AS271" i="1"/>
  <c r="AM273" i="1"/>
  <c r="AS274" i="1"/>
  <c r="AM276" i="1"/>
  <c r="AS277" i="1"/>
  <c r="AS280" i="1"/>
  <c r="AM282" i="1"/>
  <c r="AS283" i="1"/>
  <c r="AM285" i="1"/>
  <c r="AS286" i="1"/>
  <c r="AS289" i="1"/>
  <c r="AM291" i="1"/>
  <c r="AS292" i="1"/>
  <c r="AM294" i="1"/>
  <c r="AS295" i="1"/>
  <c r="AM297" i="1"/>
  <c r="AS298" i="1"/>
  <c r="AM300" i="1"/>
  <c r="AS301" i="1"/>
  <c r="AM303" i="1"/>
  <c r="AS304" i="1"/>
  <c r="AM306" i="1"/>
  <c r="AS307" i="1"/>
  <c r="AM309" i="1"/>
  <c r="AS310" i="1"/>
  <c r="AM312" i="1"/>
  <c r="AS313" i="1"/>
  <c r="AM315" i="1"/>
  <c r="AS316" i="1"/>
  <c r="AM318" i="1"/>
  <c r="AS319" i="1"/>
  <c r="AM321" i="1"/>
  <c r="AS322" i="1"/>
  <c r="AM324" i="1"/>
  <c r="AS325" i="1"/>
  <c r="AM327" i="1"/>
  <c r="AS328" i="1"/>
  <c r="AM330" i="1"/>
  <c r="AS331" i="1"/>
  <c r="AM333" i="1"/>
  <c r="AS334" i="1"/>
  <c r="AM336" i="1"/>
  <c r="AS337" i="1"/>
  <c r="AM339" i="1"/>
  <c r="AS340" i="1"/>
  <c r="AM342" i="1"/>
  <c r="AS343" i="1"/>
  <c r="AM345" i="1"/>
  <c r="AS346" i="1"/>
  <c r="AM348" i="1"/>
  <c r="AS349" i="1"/>
  <c r="AM351" i="1"/>
  <c r="AS352" i="1"/>
  <c r="AM354" i="1"/>
  <c r="AS355" i="1"/>
  <c r="AM357" i="1"/>
  <c r="AS358" i="1"/>
  <c r="AM360" i="1"/>
  <c r="AS361" i="1"/>
  <c r="AM363" i="1"/>
  <c r="AS364" i="1"/>
  <c r="AM366" i="1"/>
  <c r="AS367" i="1"/>
  <c r="AM369" i="1"/>
  <c r="AS370" i="1"/>
  <c r="AM372" i="1"/>
  <c r="AS373" i="1"/>
  <c r="AM375" i="1"/>
  <c r="AS376" i="1"/>
  <c r="AM378" i="1"/>
  <c r="AS379" i="1"/>
  <c r="AM381" i="1"/>
  <c r="AS382" i="1"/>
  <c r="AM384" i="1"/>
  <c r="AS385" i="1"/>
  <c r="AM387" i="1"/>
  <c r="AS388" i="1"/>
  <c r="AM390" i="1"/>
  <c r="AS391" i="1"/>
  <c r="AM393" i="1"/>
  <c r="AS394" i="1"/>
  <c r="AM396" i="1"/>
  <c r="AS397" i="1"/>
  <c r="AM399" i="1"/>
  <c r="AS400" i="1"/>
  <c r="AM402" i="1"/>
  <c r="AS403" i="1"/>
  <c r="AM405" i="1"/>
  <c r="AS406" i="1"/>
  <c r="AM408" i="1"/>
  <c r="AS409" i="1"/>
  <c r="AM411" i="1"/>
  <c r="AS412" i="1"/>
  <c r="AM414" i="1"/>
  <c r="AS415" i="1"/>
  <c r="AM417" i="1"/>
  <c r="AS418" i="1"/>
  <c r="AM420" i="1"/>
  <c r="AS421" i="1"/>
  <c r="AM423" i="1"/>
  <c r="AS424" i="1"/>
  <c r="AM426" i="1"/>
  <c r="AS427" i="1"/>
  <c r="AM429" i="1"/>
  <c r="AS430" i="1"/>
  <c r="AM432" i="1"/>
  <c r="AS433" i="1"/>
  <c r="AM435" i="1"/>
  <c r="AS436" i="1"/>
  <c r="AM438" i="1"/>
  <c r="AS439" i="1"/>
  <c r="AM441" i="1"/>
  <c r="AS442" i="1"/>
  <c r="AM444" i="1"/>
  <c r="AS445" i="1"/>
  <c r="AM447" i="1"/>
  <c r="AS448" i="1"/>
  <c r="AM450" i="1"/>
  <c r="AS451" i="1"/>
  <c r="AM453" i="1"/>
  <c r="AS454" i="1"/>
  <c r="AM456" i="1"/>
  <c r="AS457" i="1"/>
  <c r="AM459" i="1"/>
  <c r="AS460" i="1"/>
  <c r="AM462" i="1"/>
  <c r="AS463" i="1"/>
  <c r="AM465" i="1"/>
  <c r="AS466" i="1"/>
  <c r="AM468" i="1"/>
  <c r="AS469" i="1"/>
  <c r="AM471" i="1"/>
  <c r="AS472" i="1"/>
  <c r="AM474" i="1"/>
  <c r="AS475" i="1"/>
  <c r="AM477" i="1"/>
  <c r="AS478" i="1"/>
  <c r="AM480" i="1"/>
  <c r="AS481" i="1"/>
  <c r="AM483" i="1"/>
  <c r="AS484" i="1"/>
  <c r="AM486" i="1"/>
  <c r="AS487" i="1"/>
  <c r="AM489" i="1"/>
  <c r="AS490" i="1"/>
  <c r="AM492" i="1"/>
  <c r="AS493" i="1"/>
  <c r="AM495" i="1"/>
  <c r="AS496" i="1"/>
  <c r="AM498" i="1"/>
  <c r="AS499" i="1"/>
  <c r="AM501" i="1"/>
  <c r="AS502" i="1"/>
  <c r="AM504" i="1"/>
  <c r="AS505" i="1"/>
  <c r="AM507" i="1"/>
  <c r="AS508" i="1"/>
  <c r="AM510" i="1"/>
  <c r="AS511" i="1"/>
  <c r="AM513" i="1"/>
  <c r="AS514" i="1"/>
  <c r="AM516" i="1"/>
  <c r="AS517" i="1"/>
  <c r="AM519" i="1"/>
  <c r="AS520" i="1"/>
  <c r="AM522" i="1"/>
  <c r="AS523" i="1"/>
  <c r="AM525" i="1"/>
  <c r="AS526" i="1"/>
  <c r="AM528" i="1"/>
  <c r="AS529" i="1"/>
  <c r="AM531" i="1"/>
  <c r="AS532" i="1"/>
  <c r="AM534" i="1"/>
  <c r="AS535" i="1"/>
  <c r="AM537" i="1"/>
  <c r="AS538" i="1"/>
  <c r="AM540" i="1"/>
  <c r="AS541" i="1"/>
  <c r="AM543" i="1"/>
  <c r="AS544" i="1"/>
  <c r="AM546" i="1"/>
  <c r="AS547" i="1"/>
  <c r="AM549" i="1"/>
  <c r="AS550" i="1"/>
  <c r="AM552" i="1"/>
  <c r="AS553" i="1"/>
  <c r="AM555" i="1"/>
  <c r="AS556" i="1"/>
  <c r="AM558" i="1"/>
  <c r="AS559" i="1"/>
  <c r="AM561" i="1"/>
  <c r="AS562" i="1"/>
  <c r="AM564" i="1"/>
  <c r="AS565" i="1"/>
  <c r="AM567" i="1"/>
  <c r="AS568" i="1"/>
  <c r="AM570" i="1"/>
  <c r="AS571" i="1"/>
  <c r="AM573" i="1"/>
  <c r="AS574" i="1"/>
  <c r="AM576" i="1"/>
  <c r="AS577" i="1"/>
  <c r="AM579" i="1"/>
  <c r="AS580" i="1"/>
  <c r="AM582" i="1"/>
  <c r="AS583" i="1"/>
  <c r="AM585" i="1"/>
  <c r="AS586" i="1"/>
  <c r="AM588" i="1"/>
  <c r="AS589" i="1"/>
  <c r="AM591" i="1"/>
  <c r="AS592" i="1"/>
  <c r="AM594" i="1"/>
  <c r="AS595" i="1"/>
  <c r="AM597" i="1"/>
  <c r="AS598" i="1"/>
  <c r="AM600" i="1"/>
  <c r="AS601" i="1"/>
  <c r="AM603" i="1"/>
  <c r="AS604" i="1"/>
  <c r="AM606" i="1"/>
  <c r="AS607" i="1"/>
  <c r="AM609" i="1"/>
  <c r="AS610" i="1"/>
  <c r="AM612" i="1"/>
  <c r="AS613" i="1"/>
  <c r="AM615" i="1"/>
  <c r="AS616" i="1"/>
  <c r="AM618" i="1"/>
  <c r="AS619" i="1"/>
  <c r="AM621" i="1"/>
  <c r="AS622" i="1"/>
  <c r="AM624" i="1"/>
  <c r="AS625" i="1"/>
  <c r="AM627" i="1"/>
  <c r="AS628" i="1"/>
  <c r="AM630" i="1"/>
  <c r="AS631" i="1"/>
  <c r="AM633" i="1"/>
  <c r="AS634" i="1"/>
  <c r="AM636" i="1"/>
  <c r="AS637" i="1"/>
  <c r="AM639" i="1"/>
  <c r="AS640" i="1"/>
  <c r="AM642" i="1"/>
  <c r="AS643" i="1"/>
  <c r="AM645" i="1"/>
  <c r="AS646" i="1"/>
  <c r="AM648" i="1"/>
  <c r="AS649" i="1"/>
  <c r="AM651" i="1"/>
  <c r="AS652" i="1"/>
  <c r="AM654" i="1"/>
  <c r="AS655" i="1"/>
  <c r="AM657" i="1"/>
  <c r="AS658" i="1"/>
  <c r="AM660" i="1"/>
  <c r="AS661" i="1"/>
  <c r="AM663" i="1"/>
  <c r="AS664" i="1"/>
  <c r="AM666" i="1"/>
  <c r="AS667" i="1"/>
  <c r="AM669" i="1"/>
  <c r="AS670" i="1"/>
  <c r="AM672" i="1"/>
  <c r="AS673" i="1"/>
  <c r="AM675" i="1"/>
  <c r="AS676" i="1"/>
  <c r="AM678" i="1"/>
  <c r="AS679" i="1"/>
  <c r="AM681" i="1"/>
  <c r="AS682" i="1"/>
  <c r="AM684" i="1"/>
  <c r="AS685" i="1"/>
  <c r="AM687" i="1"/>
  <c r="AS688" i="1"/>
  <c r="AM690" i="1"/>
  <c r="AS691" i="1"/>
  <c r="AM693" i="1"/>
  <c r="AS694" i="1"/>
  <c r="AS700" i="1"/>
  <c r="AP625" i="1"/>
  <c r="AV722" i="1"/>
  <c r="AP847" i="1"/>
  <c r="AV1148" i="1"/>
  <c r="AV1151" i="1"/>
  <c r="AP1156" i="1"/>
  <c r="AV1160" i="1"/>
  <c r="AP1165" i="1"/>
  <c r="AP1168" i="1"/>
  <c r="AP1171" i="1"/>
  <c r="AP1174" i="1"/>
  <c r="AP1177" i="1"/>
  <c r="AV1181" i="1"/>
  <c r="AV1184" i="1"/>
  <c r="AP1186" i="1"/>
  <c r="AP1189" i="1"/>
  <c r="AV1193" i="1"/>
  <c r="AV1196" i="1"/>
  <c r="AV1199" i="1"/>
  <c r="AV1202" i="1"/>
  <c r="AP1204" i="1"/>
  <c r="AV1208" i="1"/>
  <c r="AV1211" i="1"/>
  <c r="AP1213" i="1"/>
  <c r="AP1216" i="1"/>
  <c r="AP1219" i="1"/>
  <c r="AV1220" i="1"/>
  <c r="AV1223" i="1"/>
  <c r="AP1225" i="1"/>
  <c r="AV1226" i="1"/>
  <c r="AP1228" i="1"/>
  <c r="AP1231" i="1"/>
  <c r="AP1234" i="1"/>
  <c r="AV1235" i="1"/>
  <c r="AV1238" i="1"/>
  <c r="AP1240" i="1"/>
  <c r="AV1241" i="1"/>
  <c r="AP1243" i="1"/>
  <c r="AV1244" i="1"/>
  <c r="AV1247" i="1"/>
  <c r="AP1249" i="1"/>
  <c r="AV1250" i="1"/>
  <c r="AP1255" i="1"/>
  <c r="AV1256" i="1"/>
  <c r="AS7" i="1"/>
  <c r="AS8" i="1"/>
  <c r="AS10" i="1"/>
  <c r="AS14" i="1"/>
  <c r="AS15" i="1"/>
  <c r="AM19" i="1"/>
  <c r="AS21" i="1"/>
  <c r="AS24" i="1"/>
  <c r="AS26" i="1"/>
  <c r="AS29" i="1"/>
  <c r="AS32" i="1"/>
  <c r="AS34" i="1"/>
  <c r="AM39" i="1"/>
  <c r="AS43" i="1"/>
  <c r="AM52" i="1"/>
  <c r="AM55" i="1"/>
  <c r="AM58" i="1"/>
  <c r="AM61" i="1"/>
  <c r="AM64" i="1"/>
  <c r="AM67" i="1"/>
  <c r="AM70" i="1"/>
  <c r="AS71" i="1"/>
  <c r="AS74" i="1"/>
  <c r="AM76" i="1"/>
  <c r="AM79" i="1"/>
  <c r="AS80" i="1"/>
  <c r="AS83" i="1"/>
  <c r="AS86" i="1"/>
  <c r="AS89" i="1"/>
  <c r="AM91" i="1"/>
  <c r="AM94" i="1"/>
  <c r="AS95" i="1"/>
  <c r="AM97" i="1"/>
  <c r="AM100" i="1"/>
  <c r="AS101" i="1"/>
  <c r="AS105" i="1"/>
  <c r="AS108" i="1"/>
  <c r="AM110" i="1"/>
  <c r="AM113" i="1"/>
  <c r="AM116" i="1"/>
  <c r="AM119" i="1"/>
  <c r="AS120" i="1"/>
  <c r="AS123" i="1"/>
  <c r="AM125" i="1"/>
  <c r="AM128" i="1"/>
  <c r="AS129" i="1"/>
  <c r="AS132" i="1"/>
  <c r="AM134" i="1"/>
  <c r="AM137" i="1"/>
  <c r="AS138" i="1"/>
  <c r="AS141" i="1"/>
  <c r="AM143" i="1"/>
  <c r="AM146" i="1"/>
  <c r="AS147" i="1"/>
  <c r="AS150" i="1"/>
  <c r="AM152" i="1"/>
  <c r="AS153" i="1"/>
  <c r="AS156" i="1"/>
  <c r="AM158" i="1"/>
  <c r="AS159" i="1"/>
  <c r="AS162" i="1"/>
  <c r="AM164" i="1"/>
  <c r="AS165" i="1"/>
  <c r="AS168" i="1"/>
  <c r="AM170" i="1"/>
  <c r="AM173" i="1"/>
  <c r="AS174" i="1"/>
  <c r="AS177" i="1"/>
  <c r="AM179" i="1"/>
  <c r="AM182" i="1"/>
  <c r="AS183" i="1"/>
  <c r="AS186" i="1"/>
  <c r="AM188" i="1"/>
  <c r="AM191" i="1"/>
  <c r="AS192" i="1"/>
  <c r="AM194" i="1"/>
  <c r="AM197" i="1"/>
  <c r="AS198" i="1"/>
  <c r="AS202" i="1"/>
  <c r="AM204" i="1"/>
  <c r="AM207" i="1"/>
  <c r="AS208" i="1"/>
  <c r="AM210" i="1"/>
  <c r="AM213" i="1"/>
  <c r="AS214" i="1"/>
  <c r="AS217" i="1"/>
  <c r="AM219" i="1"/>
  <c r="AS220" i="1"/>
  <c r="AS223" i="1"/>
  <c r="AM226" i="1"/>
  <c r="AS227" i="1"/>
  <c r="AS230" i="1"/>
  <c r="AM232" i="1"/>
  <c r="AM235" i="1"/>
  <c r="AS236" i="1"/>
  <c r="AS240" i="1"/>
  <c r="AM242" i="1"/>
  <c r="AM245" i="1"/>
  <c r="AS246" i="1"/>
  <c r="AS250" i="1"/>
  <c r="AM252" i="1"/>
  <c r="AM255" i="1"/>
  <c r="AM288" i="1"/>
  <c r="AM708" i="1"/>
  <c r="AV617" i="1"/>
  <c r="AV716" i="1"/>
  <c r="AP832" i="1"/>
  <c r="AV1145" i="1"/>
  <c r="AM279" i="1"/>
  <c r="AS715" i="1"/>
  <c r="AV551" i="1"/>
  <c r="AP649" i="1"/>
  <c r="AP742" i="1"/>
  <c r="AV860" i="1"/>
  <c r="AP991" i="1"/>
  <c r="AV1157" i="1"/>
  <c r="AP1183" i="1"/>
  <c r="AP1210" i="1"/>
  <c r="AV1232" i="1"/>
  <c r="AP1252" i="1"/>
  <c r="AS50" i="1"/>
  <c r="AS256" i="1"/>
  <c r="AM699" i="1"/>
  <c r="AV545" i="1"/>
  <c r="AP643" i="1"/>
  <c r="AV737" i="1"/>
  <c r="AV854" i="1"/>
  <c r="AV1163" i="1"/>
  <c r="AV1190" i="1"/>
  <c r="AV1217" i="1"/>
  <c r="AP1246" i="1"/>
  <c r="AM804" i="1"/>
  <c r="AS877" i="1"/>
  <c r="AS949" i="1"/>
  <c r="AM1014" i="1"/>
  <c r="AM1074" i="1"/>
  <c r="AM1131" i="1"/>
  <c r="AM1176" i="1"/>
  <c r="AM1212" i="1"/>
  <c r="AM1242" i="1"/>
  <c r="AP12" i="1"/>
  <c r="AP13" i="1"/>
  <c r="AV14" i="1"/>
  <c r="AV15" i="1"/>
  <c r="AP16" i="1"/>
  <c r="AP18" i="1"/>
  <c r="AP19" i="1"/>
  <c r="AV20" i="1"/>
  <c r="AV21" i="1"/>
  <c r="AP23" i="1"/>
  <c r="AV24" i="1"/>
  <c r="AP25" i="1"/>
  <c r="AV26" i="1"/>
  <c r="AP28" i="1"/>
  <c r="AV29" i="1"/>
  <c r="AP31" i="1"/>
  <c r="AV32" i="1"/>
  <c r="AV34" i="1"/>
  <c r="AP36" i="1"/>
  <c r="AV37" i="1"/>
  <c r="AP39" i="1"/>
  <c r="AV40" i="1"/>
  <c r="AP42" i="1"/>
  <c r="AV43" i="1"/>
  <c r="AP46" i="1"/>
  <c r="AP49" i="1"/>
  <c r="AV50" i="1"/>
  <c r="AP52" i="1"/>
  <c r="AV53" i="1"/>
  <c r="AP55" i="1"/>
  <c r="AV56" i="1"/>
  <c r="AP58" i="1"/>
  <c r="AV59" i="1"/>
  <c r="AP61" i="1"/>
  <c r="AV62" i="1"/>
  <c r="AP64" i="1"/>
  <c r="AV65" i="1"/>
  <c r="AP67" i="1"/>
  <c r="AV68" i="1"/>
  <c r="AP70" i="1"/>
  <c r="AV71" i="1"/>
  <c r="AP73" i="1"/>
  <c r="AV74" i="1"/>
  <c r="AP76" i="1"/>
  <c r="AV77" i="1"/>
  <c r="AP79" i="1"/>
  <c r="AV80" i="1"/>
  <c r="AP82" i="1"/>
  <c r="AV83" i="1"/>
  <c r="AP85" i="1"/>
  <c r="AV86" i="1"/>
  <c r="AP88" i="1"/>
  <c r="AV89" i="1"/>
  <c r="AP91" i="1"/>
  <c r="AV92" i="1"/>
  <c r="AP94" i="1"/>
  <c r="AV95" i="1"/>
  <c r="AP97" i="1"/>
  <c r="AV98" i="1"/>
  <c r="AP100" i="1"/>
  <c r="AV101" i="1"/>
  <c r="AP103" i="1"/>
  <c r="AV105" i="1"/>
  <c r="AP107" i="1"/>
  <c r="AV108" i="1"/>
  <c r="AP110" i="1"/>
  <c r="AV111" i="1"/>
  <c r="AP113" i="1"/>
  <c r="AV114" i="1"/>
  <c r="AP116" i="1"/>
  <c r="AV117" i="1"/>
  <c r="AP119" i="1"/>
  <c r="AV120" i="1"/>
  <c r="AP122" i="1"/>
  <c r="AV123" i="1"/>
  <c r="AP125" i="1"/>
  <c r="AV126" i="1"/>
  <c r="AP128" i="1"/>
  <c r="AV129" i="1"/>
  <c r="AP131" i="1"/>
  <c r="AV132" i="1"/>
  <c r="AP134" i="1"/>
  <c r="AV135" i="1"/>
  <c r="AP137" i="1"/>
  <c r="AV138" i="1"/>
  <c r="AP140" i="1"/>
  <c r="AV141" i="1"/>
  <c r="AP143" i="1"/>
  <c r="AV144" i="1"/>
  <c r="AP146" i="1"/>
  <c r="AV147" i="1"/>
  <c r="AP149" i="1"/>
  <c r="AV150" i="1"/>
  <c r="AP152" i="1"/>
  <c r="AV153" i="1"/>
  <c r="AP155" i="1"/>
  <c r="AV156" i="1"/>
  <c r="AP158" i="1"/>
  <c r="AV159" i="1"/>
  <c r="AP161" i="1"/>
  <c r="AV162" i="1"/>
  <c r="AP164" i="1"/>
  <c r="AV165" i="1"/>
  <c r="AP167" i="1"/>
  <c r="AV168" i="1"/>
  <c r="AP170" i="1"/>
  <c r="AV171" i="1"/>
  <c r="AP173" i="1"/>
  <c r="AV174" i="1"/>
  <c r="AP176" i="1"/>
  <c r="AV177" i="1"/>
  <c r="AP179" i="1"/>
  <c r="AV180" i="1"/>
  <c r="AP182" i="1"/>
  <c r="AV183" i="1"/>
  <c r="AP185" i="1"/>
  <c r="AV186" i="1"/>
  <c r="AP188" i="1"/>
  <c r="AV189" i="1"/>
  <c r="AP191" i="1"/>
  <c r="AV192" i="1"/>
  <c r="AP194" i="1"/>
  <c r="AV195" i="1"/>
  <c r="AP197" i="1"/>
  <c r="AV198" i="1"/>
  <c r="AP200" i="1"/>
  <c r="AV202" i="1"/>
  <c r="AP204" i="1"/>
  <c r="AV205" i="1"/>
  <c r="AP207" i="1"/>
  <c r="AV208" i="1"/>
  <c r="AP210" i="1"/>
  <c r="AV211" i="1"/>
  <c r="AP213" i="1"/>
  <c r="AV214" i="1"/>
  <c r="AP216" i="1"/>
  <c r="AV217" i="1"/>
  <c r="AP219" i="1"/>
  <c r="AV220" i="1"/>
  <c r="AP222" i="1"/>
  <c r="AV223" i="1"/>
  <c r="AP226" i="1"/>
  <c r="AV227" i="1"/>
  <c r="AP229" i="1"/>
  <c r="AV230" i="1"/>
  <c r="AP232" i="1"/>
  <c r="AV233" i="1"/>
  <c r="AP235" i="1"/>
  <c r="AV236" i="1"/>
  <c r="AP239" i="1"/>
  <c r="AV240" i="1"/>
  <c r="AP242" i="1"/>
  <c r="AV243" i="1"/>
  <c r="AP245" i="1"/>
  <c r="AV246" i="1"/>
  <c r="AP248" i="1"/>
  <c r="AV250" i="1"/>
  <c r="AP252" i="1"/>
  <c r="AV253" i="1"/>
  <c r="AP255" i="1"/>
  <c r="AV256" i="1"/>
  <c r="AP258" i="1"/>
  <c r="AV259" i="1"/>
  <c r="AP261" i="1"/>
  <c r="AV262" i="1"/>
  <c r="AP264" i="1"/>
  <c r="AV265" i="1"/>
  <c r="AP267" i="1"/>
  <c r="AV268" i="1"/>
  <c r="AP270" i="1"/>
  <c r="AV271" i="1"/>
  <c r="AP273" i="1"/>
  <c r="AV274" i="1"/>
  <c r="AP276" i="1"/>
  <c r="AV277" i="1"/>
  <c r="AP279" i="1"/>
  <c r="AV280" i="1"/>
  <c r="AP282" i="1"/>
  <c r="AV283" i="1"/>
  <c r="AP285" i="1"/>
  <c r="AV286" i="1"/>
  <c r="AP288" i="1"/>
  <c r="AV289" i="1"/>
  <c r="AP291" i="1"/>
  <c r="AV292" i="1"/>
  <c r="AP294" i="1"/>
  <c r="AV295" i="1"/>
  <c r="AP297" i="1"/>
  <c r="AV298" i="1"/>
  <c r="AP300" i="1"/>
  <c r="AV301" i="1"/>
  <c r="AP303" i="1"/>
  <c r="AV304" i="1"/>
  <c r="AP306" i="1"/>
  <c r="AV307" i="1"/>
  <c r="AP309" i="1"/>
  <c r="AV310" i="1"/>
  <c r="AP312" i="1"/>
  <c r="AV313" i="1"/>
  <c r="AP315" i="1"/>
  <c r="AV316" i="1"/>
  <c r="AP318" i="1"/>
  <c r="AV319" i="1"/>
  <c r="AP321" i="1"/>
  <c r="AV322" i="1"/>
  <c r="AP324" i="1"/>
  <c r="AV325" i="1"/>
  <c r="AP327" i="1"/>
  <c r="AV328" i="1"/>
  <c r="AP330" i="1"/>
  <c r="AV331" i="1"/>
  <c r="AP333" i="1"/>
  <c r="AV334" i="1"/>
  <c r="AP336" i="1"/>
  <c r="AV337" i="1"/>
  <c r="AP339" i="1"/>
  <c r="AV340" i="1"/>
  <c r="AP342" i="1"/>
  <c r="AV343" i="1"/>
  <c r="AP345" i="1"/>
  <c r="AV346" i="1"/>
  <c r="AP348" i="1"/>
  <c r="AV349" i="1"/>
  <c r="AP351" i="1"/>
  <c r="AV352" i="1"/>
  <c r="AP354" i="1"/>
  <c r="AV355" i="1"/>
  <c r="AP357" i="1"/>
  <c r="AV358" i="1"/>
  <c r="AP360" i="1"/>
  <c r="AV361" i="1"/>
  <c r="AP363" i="1"/>
  <c r="AV364" i="1"/>
  <c r="AP366" i="1"/>
  <c r="AV367" i="1"/>
  <c r="AP369" i="1"/>
  <c r="AV370" i="1"/>
  <c r="AP372" i="1"/>
  <c r="AV373" i="1"/>
  <c r="AP375" i="1"/>
  <c r="AV376" i="1"/>
  <c r="AP378" i="1"/>
  <c r="AV379" i="1"/>
  <c r="AP381" i="1"/>
  <c r="AV382" i="1"/>
  <c r="AP384" i="1"/>
  <c r="AV385" i="1"/>
  <c r="AP387" i="1"/>
  <c r="AV388" i="1"/>
  <c r="AP390" i="1"/>
  <c r="AV391" i="1"/>
  <c r="AP393" i="1"/>
  <c r="AV394" i="1"/>
  <c r="AP396" i="1"/>
  <c r="AV397" i="1"/>
  <c r="AP399" i="1"/>
  <c r="AV400" i="1"/>
  <c r="AP402" i="1"/>
  <c r="AV403" i="1"/>
  <c r="AP405" i="1"/>
  <c r="AV406" i="1"/>
  <c r="AP408" i="1"/>
  <c r="AV409" i="1"/>
  <c r="AP411" i="1"/>
  <c r="AV412" i="1"/>
  <c r="AP414" i="1"/>
  <c r="AV415" i="1"/>
  <c r="AP417" i="1"/>
  <c r="AV418" i="1"/>
  <c r="AP420" i="1"/>
  <c r="AV421" i="1"/>
  <c r="AP423" i="1"/>
  <c r="AV424" i="1"/>
  <c r="AP426" i="1"/>
  <c r="AV427" i="1"/>
  <c r="AP429" i="1"/>
  <c r="AV430" i="1"/>
  <c r="AP432" i="1"/>
  <c r="AV433" i="1"/>
  <c r="AP435" i="1"/>
  <c r="AV436" i="1"/>
  <c r="AP438" i="1"/>
  <c r="AV439" i="1"/>
  <c r="AP441" i="1"/>
  <c r="AV442" i="1"/>
  <c r="AP444" i="1"/>
  <c r="AV445" i="1"/>
  <c r="AP447" i="1"/>
  <c r="AV448" i="1"/>
  <c r="AP450" i="1"/>
  <c r="AV451" i="1"/>
  <c r="AP453" i="1"/>
  <c r="AV454" i="1"/>
  <c r="AP456" i="1"/>
  <c r="AV457" i="1"/>
  <c r="AP459" i="1"/>
  <c r="AV460" i="1"/>
  <c r="AP462" i="1"/>
  <c r="AV463" i="1"/>
  <c r="AP465" i="1"/>
  <c r="AV466" i="1"/>
  <c r="AP468" i="1"/>
  <c r="AV469" i="1"/>
  <c r="AP471" i="1"/>
  <c r="AV472" i="1"/>
  <c r="AP474" i="1"/>
  <c r="AV475" i="1"/>
  <c r="AP477" i="1"/>
  <c r="AV478" i="1"/>
  <c r="AP480" i="1"/>
  <c r="AV481" i="1"/>
  <c r="AP483" i="1"/>
  <c r="AV484" i="1"/>
  <c r="AP486" i="1"/>
  <c r="AV487" i="1"/>
  <c r="AP489" i="1"/>
  <c r="AV490" i="1"/>
  <c r="AP492" i="1"/>
  <c r="AV493" i="1"/>
  <c r="AP495" i="1"/>
  <c r="AV496" i="1"/>
  <c r="AP498" i="1"/>
  <c r="AV499" i="1"/>
  <c r="AP501" i="1"/>
  <c r="AV502" i="1"/>
  <c r="AP504" i="1"/>
  <c r="AV505" i="1"/>
  <c r="AP507" i="1"/>
  <c r="AV508" i="1"/>
  <c r="AP510" i="1"/>
  <c r="AV511" i="1"/>
  <c r="AP513" i="1"/>
  <c r="AV514" i="1"/>
  <c r="AP516" i="1"/>
  <c r="AV517" i="1"/>
  <c r="AP519" i="1"/>
  <c r="AV520" i="1"/>
  <c r="AP522" i="1"/>
  <c r="AV523" i="1"/>
  <c r="AP525" i="1"/>
  <c r="AV526" i="1"/>
  <c r="AP528" i="1"/>
  <c r="AV529" i="1"/>
  <c r="AP531" i="1"/>
  <c r="AV532" i="1"/>
  <c r="AP534" i="1"/>
  <c r="AV535" i="1"/>
  <c r="AP537" i="1"/>
  <c r="AV538" i="1"/>
  <c r="AP540" i="1"/>
  <c r="AV541" i="1"/>
  <c r="AP543" i="1"/>
  <c r="AV544" i="1"/>
  <c r="AP546" i="1"/>
  <c r="AV547" i="1"/>
  <c r="AP549" i="1"/>
  <c r="AV550" i="1"/>
  <c r="AP552" i="1"/>
  <c r="AV553" i="1"/>
  <c r="AP555" i="1"/>
  <c r="AV556" i="1"/>
  <c r="AP558" i="1"/>
  <c r="AV559" i="1"/>
  <c r="AP561" i="1"/>
  <c r="AV562" i="1"/>
  <c r="AP564" i="1"/>
  <c r="AV565" i="1"/>
  <c r="AP567" i="1"/>
  <c r="AV568" i="1"/>
  <c r="AP570" i="1"/>
  <c r="AV571" i="1"/>
  <c r="AP573" i="1"/>
  <c r="AV574" i="1"/>
  <c r="AP576" i="1"/>
  <c r="AV577" i="1"/>
  <c r="AP579" i="1"/>
  <c r="AV580" i="1"/>
  <c r="AP582" i="1"/>
  <c r="AV583" i="1"/>
  <c r="AP585" i="1"/>
  <c r="AV586" i="1"/>
  <c r="AP588" i="1"/>
  <c r="AV589" i="1"/>
  <c r="AP591" i="1"/>
  <c r="AV592" i="1"/>
  <c r="AP594" i="1"/>
  <c r="AV595" i="1"/>
  <c r="AP597" i="1"/>
  <c r="AV598" i="1"/>
  <c r="AP600" i="1"/>
  <c r="AV601" i="1"/>
  <c r="AP603" i="1"/>
  <c r="AV604" i="1"/>
  <c r="AP606" i="1"/>
  <c r="AV607" i="1"/>
  <c r="AP609" i="1"/>
  <c r="AV610" i="1"/>
  <c r="AP612" i="1"/>
  <c r="AV613" i="1"/>
  <c r="AP615" i="1"/>
  <c r="AV616" i="1"/>
  <c r="AP618" i="1"/>
  <c r="AV619" i="1"/>
  <c r="AP621" i="1"/>
  <c r="AV622" i="1"/>
  <c r="AP624" i="1"/>
  <c r="AV625" i="1"/>
  <c r="AP627" i="1"/>
  <c r="AV628" i="1"/>
  <c r="AP630" i="1"/>
  <c r="AV631" i="1"/>
  <c r="AP633" i="1"/>
  <c r="AV634" i="1"/>
  <c r="AP636" i="1"/>
  <c r="AV637" i="1"/>
  <c r="AP639" i="1"/>
  <c r="AV640" i="1"/>
  <c r="AP642" i="1"/>
  <c r="AV643" i="1"/>
  <c r="AP645" i="1"/>
  <c r="AV646" i="1"/>
  <c r="AP648" i="1"/>
  <c r="AV649" i="1"/>
  <c r="AP651" i="1"/>
  <c r="AV652" i="1"/>
  <c r="AP654" i="1"/>
  <c r="AV655" i="1"/>
  <c r="AP657" i="1"/>
  <c r="AV658" i="1"/>
  <c r="AP660" i="1"/>
  <c r="AV661" i="1"/>
  <c r="AP663" i="1"/>
  <c r="AV664" i="1"/>
  <c r="AP666" i="1"/>
  <c r="AV667" i="1"/>
  <c r="AP669" i="1"/>
  <c r="AV670" i="1"/>
  <c r="AP672" i="1"/>
  <c r="AV673" i="1"/>
  <c r="AP675" i="1"/>
  <c r="AV676" i="1"/>
  <c r="AP678" i="1"/>
  <c r="AV679" i="1"/>
  <c r="AP681" i="1"/>
  <c r="AV682" i="1"/>
  <c r="AP684" i="1"/>
  <c r="AV685" i="1"/>
  <c r="AP687" i="1"/>
  <c r="AV688" i="1"/>
  <c r="AP690" i="1"/>
  <c r="AV691" i="1"/>
  <c r="AP693" i="1"/>
  <c r="AV694" i="1"/>
  <c r="AP696" i="1"/>
  <c r="AV697" i="1"/>
  <c r="AP699" i="1"/>
  <c r="AV700" i="1"/>
  <c r="AP702" i="1"/>
  <c r="AV703" i="1"/>
  <c r="AP705" i="1"/>
  <c r="AV706" i="1"/>
  <c r="AP708" i="1"/>
  <c r="AV709" i="1"/>
  <c r="AP711" i="1"/>
  <c r="AV712" i="1"/>
  <c r="AP714" i="1"/>
  <c r="AV715" i="1"/>
  <c r="AP717" i="1"/>
  <c r="AV718" i="1"/>
  <c r="AP720" i="1"/>
  <c r="AV721" i="1"/>
  <c r="AP723" i="1"/>
  <c r="AV724" i="1"/>
  <c r="AP726" i="1"/>
  <c r="AV727" i="1"/>
  <c r="AP729" i="1"/>
  <c r="AV730" i="1"/>
  <c r="AP732" i="1"/>
  <c r="AV733" i="1"/>
  <c r="AP735" i="1"/>
  <c r="AV736" i="1"/>
  <c r="AP738" i="1"/>
  <c r="AV739" i="1"/>
  <c r="AP741" i="1"/>
  <c r="AV742" i="1"/>
  <c r="AP744" i="1"/>
  <c r="AV745" i="1"/>
  <c r="AP747" i="1"/>
  <c r="AM702" i="1"/>
  <c r="AS703" i="1"/>
  <c r="AM705" i="1"/>
  <c r="AS706" i="1"/>
  <c r="AS709" i="1"/>
  <c r="AM711" i="1"/>
  <c r="AS712" i="1"/>
  <c r="AM714" i="1"/>
  <c r="AM717" i="1"/>
  <c r="AS718" i="1"/>
  <c r="AM720" i="1"/>
  <c r="AS721" i="1"/>
  <c r="AM723" i="1"/>
  <c r="AS724" i="1"/>
  <c r="AM726" i="1"/>
  <c r="AS727" i="1"/>
  <c r="AM729" i="1"/>
  <c r="AM732" i="1"/>
  <c r="AS733" i="1"/>
  <c r="AM735" i="1"/>
  <c r="AS736" i="1"/>
  <c r="AM738" i="1"/>
  <c r="AS739" i="1"/>
  <c r="AM741" i="1"/>
  <c r="AS742" i="1"/>
  <c r="AM744" i="1"/>
  <c r="AS745" i="1"/>
  <c r="AM747" i="1"/>
  <c r="AS748" i="1"/>
  <c r="AM750" i="1"/>
  <c r="AS751" i="1"/>
  <c r="AM753" i="1"/>
  <c r="AS754" i="1"/>
  <c r="AM756" i="1"/>
  <c r="AS757" i="1"/>
  <c r="AM759" i="1"/>
  <c r="AS760" i="1"/>
  <c r="AM762" i="1"/>
  <c r="AS763" i="1"/>
  <c r="AM765" i="1"/>
  <c r="AS766" i="1"/>
  <c r="AM768" i="1"/>
  <c r="AS769" i="1"/>
  <c r="AM771" i="1"/>
  <c r="AS772" i="1"/>
  <c r="AM774" i="1"/>
  <c r="AS775" i="1"/>
  <c r="AM777" i="1"/>
  <c r="AS778" i="1"/>
  <c r="AM780" i="1"/>
  <c r="AS781" i="1"/>
  <c r="AS784" i="1"/>
  <c r="AM786" i="1"/>
  <c r="AS787" i="1"/>
  <c r="AM789" i="1"/>
  <c r="AM792" i="1"/>
  <c r="AS793" i="1"/>
  <c r="AM795" i="1"/>
  <c r="AS796" i="1"/>
  <c r="AM798" i="1"/>
  <c r="AS799" i="1"/>
  <c r="AM801" i="1"/>
  <c r="AS802" i="1"/>
  <c r="AS805" i="1"/>
  <c r="AM807" i="1"/>
  <c r="AS808" i="1"/>
  <c r="AM810" i="1"/>
  <c r="AS811" i="1"/>
  <c r="AM813" i="1"/>
  <c r="AS814" i="1"/>
  <c r="AM816" i="1"/>
  <c r="AS817" i="1"/>
  <c r="AM819" i="1"/>
  <c r="AS820" i="1"/>
  <c r="AM822" i="1"/>
  <c r="AS823" i="1"/>
  <c r="AM825" i="1"/>
  <c r="AS826" i="1"/>
  <c r="AM828" i="1"/>
  <c r="AS829" i="1"/>
  <c r="AM831" i="1"/>
  <c r="AS832" i="1"/>
  <c r="AM834" i="1"/>
  <c r="AS835" i="1"/>
  <c r="AM837" i="1"/>
  <c r="AS838" i="1"/>
  <c r="AM840" i="1"/>
  <c r="AS841" i="1"/>
  <c r="AM843" i="1"/>
  <c r="AS844" i="1"/>
  <c r="AM846" i="1"/>
  <c r="AS847" i="1"/>
  <c r="AM849" i="1"/>
  <c r="AS850" i="1"/>
  <c r="AM852" i="1"/>
  <c r="AS853" i="1"/>
  <c r="AM855" i="1"/>
  <c r="AM858" i="1"/>
  <c r="AS859" i="1"/>
  <c r="AM861" i="1"/>
  <c r="AM864" i="1"/>
  <c r="AS865" i="1"/>
  <c r="AM867" i="1"/>
  <c r="AS868" i="1"/>
  <c r="AM870" i="1"/>
  <c r="AS871" i="1"/>
  <c r="AM873" i="1"/>
  <c r="AS874" i="1"/>
  <c r="AM876" i="1"/>
  <c r="AM879" i="1"/>
  <c r="AS880" i="1"/>
  <c r="AM882" i="1"/>
  <c r="AS883" i="1"/>
  <c r="AM885" i="1"/>
  <c r="AS886" i="1"/>
  <c r="AM888" i="1"/>
  <c r="AS889" i="1"/>
  <c r="AM891" i="1"/>
  <c r="AS892" i="1"/>
  <c r="AM894" i="1"/>
  <c r="AS895" i="1"/>
  <c r="AM897" i="1"/>
  <c r="AS898" i="1"/>
  <c r="AM900" i="1"/>
  <c r="AS901" i="1"/>
  <c r="AM903" i="1"/>
  <c r="AS904" i="1"/>
  <c r="AM906" i="1"/>
  <c r="AS907" i="1"/>
  <c r="AM909" i="1"/>
  <c r="AS910" i="1"/>
  <c r="AM912" i="1"/>
  <c r="AS913" i="1"/>
  <c r="AM915" i="1"/>
  <c r="AS916" i="1"/>
  <c r="AM918" i="1"/>
  <c r="AS919" i="1"/>
  <c r="AM921" i="1"/>
  <c r="AS922" i="1"/>
  <c r="AM924" i="1"/>
  <c r="AS925" i="1"/>
  <c r="AM927" i="1"/>
  <c r="AS928" i="1"/>
  <c r="AM930" i="1"/>
  <c r="AS931" i="1"/>
  <c r="AS934" i="1"/>
  <c r="AM936" i="1"/>
  <c r="AM939" i="1"/>
  <c r="AS940" i="1"/>
  <c r="AM942" i="1"/>
  <c r="AS943" i="1"/>
  <c r="AM945" i="1"/>
  <c r="AS946" i="1"/>
  <c r="AM948" i="1"/>
  <c r="AM951" i="1"/>
  <c r="AS952" i="1"/>
  <c r="AM954" i="1"/>
  <c r="AS955" i="1"/>
  <c r="AM957" i="1"/>
  <c r="AS958" i="1"/>
  <c r="AM960" i="1"/>
  <c r="AS961" i="1"/>
  <c r="AM963" i="1"/>
  <c r="AS964" i="1"/>
  <c r="AM966" i="1"/>
  <c r="AS967" i="1"/>
  <c r="AM969" i="1"/>
  <c r="AS970" i="1"/>
  <c r="AM972" i="1"/>
  <c r="AS973" i="1"/>
  <c r="AM975" i="1"/>
  <c r="AS976" i="1"/>
  <c r="AM978" i="1"/>
  <c r="AS979" i="1"/>
  <c r="AM981" i="1"/>
  <c r="AS982" i="1"/>
  <c r="AM984" i="1"/>
  <c r="AS985" i="1"/>
  <c r="AM987" i="1"/>
  <c r="AS988" i="1"/>
  <c r="AM990" i="1"/>
  <c r="AS991" i="1"/>
  <c r="AM993" i="1"/>
  <c r="AS994" i="1"/>
  <c r="AM996" i="1"/>
  <c r="AS997" i="1"/>
  <c r="AS1000" i="1"/>
  <c r="AM1002" i="1"/>
  <c r="AM1005" i="1"/>
  <c r="AS1006" i="1"/>
  <c r="AM1008" i="1"/>
  <c r="AS1009" i="1"/>
  <c r="AM1011" i="1"/>
  <c r="AS1012" i="1"/>
  <c r="AS1015" i="1"/>
  <c r="AM1017" i="1"/>
  <c r="AS1018" i="1"/>
  <c r="AM1020" i="1"/>
  <c r="AS1021" i="1"/>
  <c r="AM1023" i="1"/>
  <c r="AS1024" i="1"/>
  <c r="AM1026" i="1"/>
  <c r="AS1027" i="1"/>
  <c r="AM1029" i="1"/>
  <c r="AS1030" i="1"/>
  <c r="AM1032" i="1"/>
  <c r="AS1033" i="1"/>
  <c r="AM1035" i="1"/>
  <c r="AS1036" i="1"/>
  <c r="AM1038" i="1"/>
  <c r="AS1039" i="1"/>
  <c r="AM1041" i="1"/>
  <c r="AS1042" i="1"/>
  <c r="AM1044" i="1"/>
  <c r="AS1045" i="1"/>
  <c r="AM1047" i="1"/>
  <c r="AS1048" i="1"/>
  <c r="AM1050" i="1"/>
  <c r="AS1051" i="1"/>
  <c r="AM1053" i="1"/>
  <c r="AS1054" i="1"/>
  <c r="AM1056" i="1"/>
  <c r="AS1057" i="1"/>
  <c r="AM1059" i="1"/>
  <c r="AM1062" i="1"/>
  <c r="AS1063" i="1"/>
  <c r="AS1066" i="1"/>
  <c r="AM1068" i="1"/>
  <c r="AS1069" i="1"/>
  <c r="AM1071" i="1"/>
  <c r="AS1072" i="1"/>
  <c r="AS1075" i="1"/>
  <c r="AM1077" i="1"/>
  <c r="AS1078" i="1"/>
  <c r="AM1080" i="1"/>
  <c r="AS1081" i="1"/>
  <c r="AM1083" i="1"/>
  <c r="AS1084" i="1"/>
  <c r="AM1086" i="1"/>
  <c r="AS1087" i="1"/>
  <c r="AM1089" i="1"/>
  <c r="AS1090" i="1"/>
  <c r="AM1092" i="1"/>
  <c r="AS1093" i="1"/>
  <c r="AM1095" i="1"/>
  <c r="AS1096" i="1"/>
  <c r="AM1098" i="1"/>
  <c r="AS1099" i="1"/>
  <c r="AM1101" i="1"/>
  <c r="AS1102" i="1"/>
  <c r="AM1104" i="1"/>
  <c r="AS1105" i="1"/>
  <c r="AM1107" i="1"/>
  <c r="AS1108" i="1"/>
  <c r="AM1110" i="1"/>
  <c r="AS1111" i="1"/>
  <c r="AM1113" i="1"/>
  <c r="AS1114" i="1"/>
  <c r="AM1116" i="1"/>
  <c r="AS1117" i="1"/>
  <c r="AS1120" i="1"/>
  <c r="AM1122" i="1"/>
  <c r="AM1125" i="1"/>
  <c r="AS1126" i="1"/>
  <c r="AM1128" i="1"/>
  <c r="AS1129" i="1"/>
  <c r="AS1132" i="1"/>
  <c r="AM1134" i="1"/>
  <c r="AS1135" i="1"/>
  <c r="AM1137" i="1"/>
  <c r="AS1138" i="1"/>
  <c r="AM1140" i="1"/>
  <c r="AS1141" i="1"/>
  <c r="AM1143" i="1"/>
  <c r="AS1144" i="1"/>
  <c r="AM1146" i="1"/>
  <c r="AS1147" i="1"/>
  <c r="AM1149" i="1"/>
  <c r="AS1150" i="1"/>
  <c r="AM1152" i="1"/>
  <c r="AS1153" i="1"/>
  <c r="AM1155" i="1"/>
  <c r="AS1156" i="1"/>
  <c r="AM1158" i="1"/>
  <c r="AS1159" i="1"/>
  <c r="AM1161" i="1"/>
  <c r="AS1162" i="1"/>
  <c r="AM1164" i="1"/>
  <c r="AS1165" i="1"/>
  <c r="AM1167" i="1"/>
  <c r="AM1170" i="1"/>
  <c r="AM1173" i="1"/>
  <c r="AS1174" i="1"/>
  <c r="AS1177" i="1"/>
  <c r="AM1179" i="1"/>
  <c r="AS1180" i="1"/>
  <c r="AM1182" i="1"/>
  <c r="AS1183" i="1"/>
  <c r="AM1185" i="1"/>
  <c r="AS1186" i="1"/>
  <c r="AM1188" i="1"/>
  <c r="AS1189" i="1"/>
  <c r="AM1191" i="1"/>
  <c r="AS1192" i="1"/>
  <c r="AM1194" i="1"/>
  <c r="AS1195" i="1"/>
  <c r="AM1197" i="1"/>
  <c r="AS1198" i="1"/>
  <c r="AM1200" i="1"/>
  <c r="AS1201" i="1"/>
  <c r="AM1203" i="1"/>
  <c r="AS1204" i="1"/>
  <c r="AM1209" i="1"/>
  <c r="AS1210" i="1"/>
  <c r="AS1213" i="1"/>
  <c r="AM1215" i="1"/>
  <c r="AS1216" i="1"/>
  <c r="AM1218" i="1"/>
  <c r="AS1219" i="1"/>
  <c r="AM1221" i="1"/>
  <c r="AS1222" i="1"/>
  <c r="AM1224" i="1"/>
  <c r="AS1225" i="1"/>
  <c r="AM1227" i="1"/>
  <c r="AS1228" i="1"/>
  <c r="AM1233" i="1"/>
  <c r="AS1234" i="1"/>
  <c r="AM1236" i="1"/>
  <c r="AS1237" i="1"/>
  <c r="AM1239" i="1"/>
  <c r="AS1240" i="1"/>
  <c r="AS1243" i="1"/>
  <c r="AM1245" i="1"/>
  <c r="AS1246" i="1"/>
  <c r="AM1248" i="1"/>
  <c r="AS1249" i="1"/>
  <c r="AM1251" i="1"/>
  <c r="AS1252" i="1"/>
  <c r="AM1257" i="1"/>
  <c r="AS1258" i="1"/>
  <c r="AM783" i="1"/>
  <c r="AS856" i="1"/>
  <c r="AM933" i="1"/>
  <c r="AM999" i="1"/>
  <c r="AS1060" i="1"/>
  <c r="AM1119" i="1"/>
  <c r="AS1168" i="1"/>
  <c r="AM1206" i="1"/>
  <c r="AM1230" i="1"/>
  <c r="AS1255" i="1"/>
  <c r="AS3" i="1"/>
  <c r="AV3" i="1"/>
  <c r="AP6" i="1"/>
  <c r="AV7" i="1"/>
  <c r="AV8" i="1"/>
  <c r="AV10" i="1"/>
  <c r="AS790" i="1"/>
  <c r="AS862" i="1"/>
  <c r="AS937" i="1"/>
  <c r="AS1003" i="1"/>
  <c r="AM1065" i="1"/>
  <c r="AS1123" i="1"/>
  <c r="AS1171" i="1"/>
  <c r="AS1207" i="1"/>
  <c r="AS1231" i="1"/>
  <c r="AM1254" i="1"/>
  <c r="AP5" i="1"/>
  <c r="AV6" i="1"/>
  <c r="AP9" i="1"/>
  <c r="AP11" i="1"/>
  <c r="AV12" i="1"/>
  <c r="AV13" i="1"/>
  <c r="AV16" i="1"/>
  <c r="AP17" i="1"/>
  <c r="AV18" i="1"/>
  <c r="AV19" i="1"/>
  <c r="AP22" i="1"/>
  <c r="AV23" i="1"/>
  <c r="AV25" i="1"/>
  <c r="AP27" i="1"/>
  <c r="AV28" i="1"/>
  <c r="AP30" i="1"/>
  <c r="AV31" i="1"/>
  <c r="AP33" i="1"/>
  <c r="AP35" i="1"/>
  <c r="AV36" i="1"/>
  <c r="AP38" i="1"/>
  <c r="AV39" i="1"/>
  <c r="AP41" i="1"/>
  <c r="AV42" i="1"/>
  <c r="AP45" i="1"/>
  <c r="AV46" i="1"/>
  <c r="AP48" i="1"/>
  <c r="AV49" i="1"/>
  <c r="AP51" i="1"/>
  <c r="AV52" i="1"/>
  <c r="AP54" i="1"/>
  <c r="AV55" i="1"/>
  <c r="AP57" i="1"/>
  <c r="AV58" i="1"/>
  <c r="AP60" i="1"/>
  <c r="AV61" i="1"/>
  <c r="AP63" i="1"/>
  <c r="AV64" i="1"/>
  <c r="AP66" i="1"/>
  <c r="AV67" i="1"/>
  <c r="AP69" i="1"/>
  <c r="AV70" i="1"/>
  <c r="AP72" i="1"/>
  <c r="AV73" i="1"/>
  <c r="AP75" i="1"/>
  <c r="AV76" i="1"/>
  <c r="AP78" i="1"/>
  <c r="AV79" i="1"/>
  <c r="AP81" i="1"/>
  <c r="AV82" i="1"/>
  <c r="AP84" i="1"/>
  <c r="AV85" i="1"/>
  <c r="AP87" i="1"/>
  <c r="AV88" i="1"/>
  <c r="AP90" i="1"/>
  <c r="AV91" i="1"/>
  <c r="AP93" i="1"/>
  <c r="AV94" i="1"/>
  <c r="AP96" i="1"/>
  <c r="AV97" i="1"/>
  <c r="AP99" i="1"/>
  <c r="AV100" i="1"/>
  <c r="AP102" i="1"/>
  <c r="AV103" i="1"/>
  <c r="AP106" i="1"/>
  <c r="AV107" i="1"/>
  <c r="AP109" i="1"/>
  <c r="AV110" i="1"/>
  <c r="AP112" i="1"/>
  <c r="AV113" i="1"/>
  <c r="AP115" i="1"/>
  <c r="AV116" i="1"/>
  <c r="AP118" i="1"/>
  <c r="AV119" i="1"/>
  <c r="AP121" i="1"/>
  <c r="AV122" i="1"/>
  <c r="AP124" i="1"/>
  <c r="AV125" i="1"/>
  <c r="AP127" i="1"/>
  <c r="AV128" i="1"/>
  <c r="AP130" i="1"/>
  <c r="AV131" i="1"/>
  <c r="AP133" i="1"/>
  <c r="AV134" i="1"/>
  <c r="AP136" i="1"/>
  <c r="AV137" i="1"/>
  <c r="AP139" i="1"/>
  <c r="AV140" i="1"/>
  <c r="AP142" i="1"/>
  <c r="AV143" i="1"/>
  <c r="AP145" i="1"/>
  <c r="AV146" i="1"/>
  <c r="AP148" i="1"/>
  <c r="AV149" i="1"/>
  <c r="AP151" i="1"/>
  <c r="AV152" i="1"/>
  <c r="AP154" i="1"/>
  <c r="AV155" i="1"/>
  <c r="AP157" i="1"/>
  <c r="AV158" i="1"/>
  <c r="AP160" i="1"/>
  <c r="AV161" i="1"/>
  <c r="AP163" i="1"/>
  <c r="AV164" i="1"/>
  <c r="AP166" i="1"/>
  <c r="AV167" i="1"/>
  <c r="AP169" i="1"/>
  <c r="AV170" i="1"/>
  <c r="AP172" i="1"/>
  <c r="AV173" i="1"/>
  <c r="AP175" i="1"/>
  <c r="AV176" i="1"/>
  <c r="AP178" i="1"/>
  <c r="AV179" i="1"/>
  <c r="AP181" i="1"/>
  <c r="AV182" i="1"/>
  <c r="AP184" i="1"/>
  <c r="AV185" i="1"/>
  <c r="AP187" i="1"/>
  <c r="AV188" i="1"/>
  <c r="AP190" i="1"/>
  <c r="AV191" i="1"/>
  <c r="AP193" i="1"/>
  <c r="AV194" i="1"/>
  <c r="AP196" i="1"/>
  <c r="AV197" i="1"/>
  <c r="AP199" i="1"/>
  <c r="AV200" i="1"/>
  <c r="AP203" i="1"/>
  <c r="AV204" i="1"/>
  <c r="AP206" i="1"/>
  <c r="AV207" i="1"/>
  <c r="AP209" i="1"/>
  <c r="AV210" i="1"/>
  <c r="AP212" i="1"/>
  <c r="AV213" i="1"/>
  <c r="AP215" i="1"/>
  <c r="AV216" i="1"/>
  <c r="AP218" i="1"/>
  <c r="AV219" i="1"/>
  <c r="AP221" i="1"/>
  <c r="AV222" i="1"/>
  <c r="AP224" i="1"/>
  <c r="AV226" i="1"/>
  <c r="AP228" i="1"/>
  <c r="AV229" i="1"/>
  <c r="AP231" i="1"/>
  <c r="AV232" i="1"/>
  <c r="AP234" i="1"/>
  <c r="AV235" i="1"/>
  <c r="AP238" i="1"/>
  <c r="AV239" i="1"/>
  <c r="AP241" i="1"/>
  <c r="AV242" i="1"/>
  <c r="AP244" i="1"/>
  <c r="AV245" i="1"/>
  <c r="AP247" i="1"/>
  <c r="AV248" i="1"/>
  <c r="AP251" i="1"/>
  <c r="AV252" i="1"/>
  <c r="AP254" i="1"/>
  <c r="AV255" i="1"/>
  <c r="AP257" i="1"/>
  <c r="AV258" i="1"/>
  <c r="AP260" i="1"/>
  <c r="AV261" i="1"/>
  <c r="AP263" i="1"/>
  <c r="AV264" i="1"/>
  <c r="AP266" i="1"/>
  <c r="AV267" i="1"/>
  <c r="AP269" i="1"/>
  <c r="AV270" i="1"/>
  <c r="AP272" i="1"/>
  <c r="AV273" i="1"/>
  <c r="AP275" i="1"/>
  <c r="AV276" i="1"/>
  <c r="AP278" i="1"/>
  <c r="AV279" i="1"/>
  <c r="AP281" i="1"/>
  <c r="AV282" i="1"/>
  <c r="AP284" i="1"/>
  <c r="AV285" i="1"/>
  <c r="AP287" i="1"/>
  <c r="AV288" i="1"/>
  <c r="AP290" i="1"/>
  <c r="AV291" i="1"/>
  <c r="AP293" i="1"/>
  <c r="AV294" i="1"/>
  <c r="AP296" i="1"/>
  <c r="AV297" i="1"/>
  <c r="AP299" i="1"/>
  <c r="AV300" i="1"/>
  <c r="AP302" i="1"/>
  <c r="AV303" i="1"/>
  <c r="AP305" i="1"/>
  <c r="AV306" i="1"/>
  <c r="AP308" i="1"/>
  <c r="AV309" i="1"/>
  <c r="AP311" i="1"/>
  <c r="AV312" i="1"/>
  <c r="AP314" i="1"/>
  <c r="AV315" i="1"/>
  <c r="AP317" i="1"/>
  <c r="AV318" i="1"/>
  <c r="AP320" i="1"/>
  <c r="AV321" i="1"/>
  <c r="AP323" i="1"/>
  <c r="AV324" i="1"/>
  <c r="AP326" i="1"/>
  <c r="AV327" i="1"/>
  <c r="AP329" i="1"/>
  <c r="AV330" i="1"/>
  <c r="AP332" i="1"/>
  <c r="AV333" i="1"/>
  <c r="AP335" i="1"/>
  <c r="AV336" i="1"/>
  <c r="AP338" i="1"/>
  <c r="AV339" i="1"/>
  <c r="AP341" i="1"/>
  <c r="AV342" i="1"/>
  <c r="AP344" i="1"/>
  <c r="AV345" i="1"/>
  <c r="AP347" i="1"/>
  <c r="AV348" i="1"/>
  <c r="AP350" i="1"/>
  <c r="AV351" i="1"/>
  <c r="AP353" i="1"/>
  <c r="AV354" i="1"/>
  <c r="AP356" i="1"/>
  <c r="AV357" i="1"/>
  <c r="AP359" i="1"/>
  <c r="AV360" i="1"/>
  <c r="AP362" i="1"/>
  <c r="AV363" i="1"/>
  <c r="AP365" i="1"/>
  <c r="AV366" i="1"/>
  <c r="AP368" i="1"/>
  <c r="AV369" i="1"/>
  <c r="AP371" i="1"/>
  <c r="AV372" i="1"/>
  <c r="AP374" i="1"/>
  <c r="AV375" i="1"/>
  <c r="AP377" i="1"/>
  <c r="AV378" i="1"/>
  <c r="AP380" i="1"/>
  <c r="AV381" i="1"/>
  <c r="AP383" i="1"/>
  <c r="AV384" i="1"/>
  <c r="AP386" i="1"/>
  <c r="AV387" i="1"/>
  <c r="AP389" i="1"/>
  <c r="AV390" i="1"/>
  <c r="AP392" i="1"/>
  <c r="AV393" i="1"/>
  <c r="AP395" i="1"/>
  <c r="AV396" i="1"/>
  <c r="AP398" i="1"/>
  <c r="AV399" i="1"/>
  <c r="AP401" i="1"/>
  <c r="AV402" i="1"/>
  <c r="AP404" i="1"/>
  <c r="AV405" i="1"/>
  <c r="AP407" i="1"/>
  <c r="AV408" i="1"/>
  <c r="AP410" i="1"/>
  <c r="AV411" i="1"/>
  <c r="AP413" i="1"/>
  <c r="AV414" i="1"/>
  <c r="AP416" i="1"/>
  <c r="AV417" i="1"/>
  <c r="AP419" i="1"/>
  <c r="AV420" i="1"/>
  <c r="AP422" i="1"/>
  <c r="AV423" i="1"/>
  <c r="AP425" i="1"/>
  <c r="AV426" i="1"/>
  <c r="AP428" i="1"/>
  <c r="AV429" i="1"/>
  <c r="AP431" i="1"/>
  <c r="AV432" i="1"/>
  <c r="AP434" i="1"/>
  <c r="AV435" i="1"/>
  <c r="AP437" i="1"/>
  <c r="AV438" i="1"/>
  <c r="AP440" i="1"/>
  <c r="AV441" i="1"/>
  <c r="AP443" i="1"/>
  <c r="AV444" i="1"/>
  <c r="AP446" i="1"/>
  <c r="AV447" i="1"/>
  <c r="AP449" i="1"/>
  <c r="AV450" i="1"/>
  <c r="AP452" i="1"/>
  <c r="AV453" i="1"/>
  <c r="AP455" i="1"/>
  <c r="AV456" i="1"/>
  <c r="AP458" i="1"/>
  <c r="AV459" i="1"/>
  <c r="AP461" i="1"/>
  <c r="AV462" i="1"/>
  <c r="AP464" i="1"/>
  <c r="AV465" i="1"/>
  <c r="AP467" i="1"/>
  <c r="AV468" i="1"/>
  <c r="AP470" i="1"/>
  <c r="AV471" i="1"/>
  <c r="AP473" i="1"/>
  <c r="AV474" i="1"/>
  <c r="AP476" i="1"/>
  <c r="AV477" i="1"/>
  <c r="AP479" i="1"/>
  <c r="AV480" i="1"/>
  <c r="AP482" i="1"/>
  <c r="AV483" i="1"/>
  <c r="AP485" i="1"/>
  <c r="AV748" i="1"/>
  <c r="AP750" i="1"/>
  <c r="AV751" i="1"/>
  <c r="AP753" i="1"/>
  <c r="AV754" i="1"/>
  <c r="AP756" i="1"/>
  <c r="AV757" i="1"/>
  <c r="AP759" i="1"/>
  <c r="AV760" i="1"/>
  <c r="AP762" i="1"/>
  <c r="AV763" i="1"/>
  <c r="AP765" i="1"/>
  <c r="AV766" i="1"/>
  <c r="AP768" i="1"/>
  <c r="AV769" i="1"/>
  <c r="AP771" i="1"/>
  <c r="AV772" i="1"/>
  <c r="AP774" i="1"/>
  <c r="AV775" i="1"/>
  <c r="AP777" i="1"/>
  <c r="AV778" i="1"/>
  <c r="AP780" i="1"/>
  <c r="AV781" i="1"/>
  <c r="AP783" i="1"/>
  <c r="AV784" i="1"/>
  <c r="AP786" i="1"/>
  <c r="AV787" i="1"/>
  <c r="AP789" i="1"/>
  <c r="AV790" i="1"/>
  <c r="AP792" i="1"/>
  <c r="AV793" i="1"/>
  <c r="AP795" i="1"/>
  <c r="AV796" i="1"/>
  <c r="AP798" i="1"/>
  <c r="AV799" i="1"/>
  <c r="AP801" i="1"/>
  <c r="AV802" i="1"/>
  <c r="AP804" i="1"/>
  <c r="AV805" i="1"/>
  <c r="AP807" i="1"/>
  <c r="AV808" i="1"/>
  <c r="AP810" i="1"/>
  <c r="AV811" i="1"/>
  <c r="AP813" i="1"/>
  <c r="AV814" i="1"/>
  <c r="AP816" i="1"/>
  <c r="AV817" i="1"/>
  <c r="AP819" i="1"/>
  <c r="AV820" i="1"/>
  <c r="AP822" i="1"/>
  <c r="AV823" i="1"/>
  <c r="AP825" i="1"/>
  <c r="AV826" i="1"/>
  <c r="AP828" i="1"/>
  <c r="AV829" i="1"/>
  <c r="AP831" i="1"/>
  <c r="AV832" i="1"/>
  <c r="AP834" i="1"/>
  <c r="AV835" i="1"/>
  <c r="AP837" i="1"/>
  <c r="AV838" i="1"/>
  <c r="AP840" i="1"/>
  <c r="AV841" i="1"/>
  <c r="AP843" i="1"/>
  <c r="AV844" i="1"/>
  <c r="AP846" i="1"/>
  <c r="AV847" i="1"/>
  <c r="AP849" i="1"/>
  <c r="AV850" i="1"/>
  <c r="AP852" i="1"/>
  <c r="AV853" i="1"/>
  <c r="AP855" i="1"/>
  <c r="AV856" i="1"/>
  <c r="AP858" i="1"/>
  <c r="AV859" i="1"/>
  <c r="AP861" i="1"/>
  <c r="AV862" i="1"/>
  <c r="AP864" i="1"/>
  <c r="AV865" i="1"/>
  <c r="AP867" i="1"/>
  <c r="AV868" i="1"/>
  <c r="AP870" i="1"/>
  <c r="AV871" i="1"/>
  <c r="AP873" i="1"/>
  <c r="AV874" i="1"/>
  <c r="AP876" i="1"/>
  <c r="AV877" i="1"/>
  <c r="AP879" i="1"/>
  <c r="AV880" i="1"/>
  <c r="AP882" i="1"/>
  <c r="AV883" i="1"/>
  <c r="AP885" i="1"/>
  <c r="AV886" i="1"/>
  <c r="AP888" i="1"/>
  <c r="AV889" i="1"/>
  <c r="AP891" i="1"/>
  <c r="AV892" i="1"/>
  <c r="AP894" i="1"/>
  <c r="AV895" i="1"/>
  <c r="AP897" i="1"/>
  <c r="AV898" i="1"/>
  <c r="AP900" i="1"/>
  <c r="AV901" i="1"/>
  <c r="AP903" i="1"/>
  <c r="AV904" i="1"/>
  <c r="AP906" i="1"/>
  <c r="AV907" i="1"/>
  <c r="AP909" i="1"/>
  <c r="AV910" i="1"/>
  <c r="AP912" i="1"/>
  <c r="AV913" i="1"/>
  <c r="AP915" i="1"/>
  <c r="AV916" i="1"/>
  <c r="AP918" i="1"/>
  <c r="AV919" i="1"/>
  <c r="AP921" i="1"/>
  <c r="AV922" i="1"/>
  <c r="AP924" i="1"/>
  <c r="AV925" i="1"/>
  <c r="AP927" i="1"/>
  <c r="AV928" i="1"/>
  <c r="AP930" i="1"/>
  <c r="AV931" i="1"/>
  <c r="AP933" i="1"/>
  <c r="AV934" i="1"/>
  <c r="AP936" i="1"/>
  <c r="AV937" i="1"/>
  <c r="AP939" i="1"/>
  <c r="AV940" i="1"/>
  <c r="AP942" i="1"/>
  <c r="AV943" i="1"/>
  <c r="AP945" i="1"/>
  <c r="AV946" i="1"/>
  <c r="AP948" i="1"/>
  <c r="AV949" i="1"/>
  <c r="AP951" i="1"/>
  <c r="AV952" i="1"/>
  <c r="AP954" i="1"/>
  <c r="AV955" i="1"/>
  <c r="AP957" i="1"/>
  <c r="AV958" i="1"/>
  <c r="AP960" i="1"/>
  <c r="AV961" i="1"/>
  <c r="AP963" i="1"/>
  <c r="AV964" i="1"/>
  <c r="AP966" i="1"/>
  <c r="AV967" i="1"/>
  <c r="AP969" i="1"/>
  <c r="AV970" i="1"/>
  <c r="AP972" i="1"/>
  <c r="AV973" i="1"/>
  <c r="AP975" i="1"/>
  <c r="AV976" i="1"/>
  <c r="AP978" i="1"/>
  <c r="AV979" i="1"/>
  <c r="AP981" i="1"/>
  <c r="AV982" i="1"/>
  <c r="AP984" i="1"/>
  <c r="AV985" i="1"/>
  <c r="AP987" i="1"/>
  <c r="AV988" i="1"/>
  <c r="AP990" i="1"/>
  <c r="AV991" i="1"/>
  <c r="AP993" i="1"/>
  <c r="AV994" i="1"/>
  <c r="AP996" i="1"/>
  <c r="AV997" i="1"/>
  <c r="AP999" i="1"/>
  <c r="AV1000" i="1"/>
  <c r="AP1002" i="1"/>
  <c r="AV1003" i="1"/>
  <c r="AP1005" i="1"/>
  <c r="AV1006" i="1"/>
  <c r="AP1008" i="1"/>
  <c r="AV1009" i="1"/>
  <c r="AP1011" i="1"/>
  <c r="AV1012" i="1"/>
  <c r="AP1014" i="1"/>
  <c r="AV1015" i="1"/>
  <c r="AP1017" i="1"/>
  <c r="AV1018" i="1"/>
  <c r="AP1020" i="1"/>
  <c r="AV1021" i="1"/>
  <c r="AP1023" i="1"/>
  <c r="AV1024" i="1"/>
  <c r="AP1026" i="1"/>
  <c r="AV1027" i="1"/>
  <c r="AP1029" i="1"/>
  <c r="AV1030" i="1"/>
  <c r="AP1032" i="1"/>
  <c r="AV1033" i="1"/>
  <c r="AP1035" i="1"/>
  <c r="AV1036" i="1"/>
  <c r="AP1038" i="1"/>
  <c r="AV1039" i="1"/>
  <c r="AP1041" i="1"/>
  <c r="AV1042" i="1"/>
  <c r="AP1044" i="1"/>
  <c r="AV1045" i="1"/>
  <c r="AP1047" i="1"/>
  <c r="AV1048" i="1"/>
  <c r="AP1050" i="1"/>
  <c r="AV1051" i="1"/>
  <c r="AP1053" i="1"/>
  <c r="AV1054" i="1"/>
  <c r="AP1056" i="1"/>
  <c r="AV1057" i="1"/>
  <c r="AP1059" i="1"/>
  <c r="AV1060" i="1"/>
  <c r="AP1062" i="1"/>
  <c r="AV1063" i="1"/>
  <c r="AP1065" i="1"/>
  <c r="AV1066" i="1"/>
  <c r="AP1068" i="1"/>
  <c r="AV1069" i="1"/>
  <c r="AP1071" i="1"/>
  <c r="AV1072" i="1"/>
  <c r="AP1074" i="1"/>
  <c r="AV1075" i="1"/>
  <c r="AP1077" i="1"/>
  <c r="AV1078" i="1"/>
  <c r="AP1080" i="1"/>
  <c r="AV1081" i="1"/>
  <c r="AP1083" i="1"/>
  <c r="AV1084" i="1"/>
  <c r="AP1086" i="1"/>
  <c r="AV1087" i="1"/>
  <c r="AP1089" i="1"/>
  <c r="AV1090" i="1"/>
  <c r="AP1092" i="1"/>
  <c r="AV1093" i="1"/>
  <c r="AP1095" i="1"/>
  <c r="AV1096" i="1"/>
  <c r="AP1098" i="1"/>
  <c r="AV1099" i="1"/>
  <c r="AP1101" i="1"/>
  <c r="AV1102" i="1"/>
  <c r="AP1104" i="1"/>
  <c r="AV1105" i="1"/>
  <c r="AP1107" i="1"/>
  <c r="AV1108" i="1"/>
  <c r="AP1110" i="1"/>
  <c r="AV1111" i="1"/>
  <c r="AP1113" i="1"/>
  <c r="AV1114" i="1"/>
  <c r="AP1116" i="1"/>
  <c r="AV1117" i="1"/>
  <c r="AP1119" i="1"/>
  <c r="AV1120" i="1"/>
  <c r="AP1122" i="1"/>
  <c r="AV1123" i="1"/>
  <c r="AP1125" i="1"/>
  <c r="AV1126" i="1"/>
  <c r="AP1128" i="1"/>
  <c r="AV1129" i="1"/>
  <c r="AP1131" i="1"/>
  <c r="AV1132" i="1"/>
  <c r="AP1134" i="1"/>
  <c r="AV1135" i="1"/>
  <c r="AP1137" i="1"/>
  <c r="AV1138" i="1"/>
  <c r="AP1140" i="1"/>
  <c r="AV1141" i="1"/>
  <c r="AP1143" i="1"/>
  <c r="AV1144" i="1"/>
  <c r="AP1146" i="1"/>
  <c r="AV1147" i="1"/>
  <c r="AP1149" i="1"/>
  <c r="AV1150" i="1"/>
  <c r="AP1152" i="1"/>
  <c r="AV1153" i="1"/>
  <c r="AP1155" i="1"/>
  <c r="AV1156" i="1"/>
  <c r="AP1158" i="1"/>
  <c r="AV1159" i="1"/>
  <c r="AP1161" i="1"/>
  <c r="AV1162" i="1"/>
  <c r="AP1164" i="1"/>
  <c r="AV1165" i="1"/>
  <c r="AP1167" i="1"/>
  <c r="AV1168" i="1"/>
  <c r="AP1170" i="1"/>
  <c r="AV1171" i="1"/>
  <c r="AP1173" i="1"/>
  <c r="AV1174" i="1"/>
  <c r="AP1176" i="1"/>
  <c r="AV1177" i="1"/>
  <c r="AP1179" i="1"/>
  <c r="AV1180" i="1"/>
  <c r="AP1182" i="1"/>
  <c r="AV1183" i="1"/>
  <c r="AP1185" i="1"/>
  <c r="AV1186" i="1"/>
  <c r="AP1188" i="1"/>
  <c r="AV1189" i="1"/>
  <c r="AP1191" i="1"/>
  <c r="AV1192" i="1"/>
  <c r="AP1194" i="1"/>
  <c r="AV1195" i="1"/>
  <c r="AP1197" i="1"/>
  <c r="AV1198" i="1"/>
  <c r="AP1200" i="1"/>
  <c r="AV1201" i="1"/>
  <c r="AP1203" i="1"/>
  <c r="AV1204" i="1"/>
  <c r="AP1206" i="1"/>
  <c r="AV1207" i="1"/>
  <c r="AP1209" i="1"/>
  <c r="AV1210" i="1"/>
  <c r="AP1212" i="1"/>
  <c r="AV1213" i="1"/>
  <c r="AP1215" i="1"/>
  <c r="AV1216" i="1"/>
  <c r="AP1218" i="1"/>
  <c r="AV1219" i="1"/>
  <c r="AP1221" i="1"/>
  <c r="AV1222" i="1"/>
  <c r="AP1224" i="1"/>
  <c r="AV1225" i="1"/>
  <c r="AP1227" i="1"/>
  <c r="AV1228" i="1"/>
  <c r="AP1230" i="1"/>
  <c r="AV1231" i="1"/>
  <c r="AP1233" i="1"/>
  <c r="AV1234" i="1"/>
  <c r="AP1236" i="1"/>
  <c r="AV1237" i="1"/>
  <c r="AP1239" i="1"/>
  <c r="AV1240" i="1"/>
  <c r="AP1242" i="1"/>
  <c r="AV1243" i="1"/>
  <c r="AP1245" i="1"/>
  <c r="AV1246" i="1"/>
  <c r="AP1248" i="1"/>
  <c r="AV1249" i="1"/>
  <c r="AP1251" i="1"/>
  <c r="AV1252" i="1"/>
  <c r="AP1254" i="1"/>
  <c r="AV1255" i="1"/>
  <c r="AP1257" i="1"/>
  <c r="AM5" i="1"/>
  <c r="AS6" i="1"/>
  <c r="AM9" i="1"/>
  <c r="AM11" i="1"/>
  <c r="AS12" i="1"/>
  <c r="AS13" i="1"/>
  <c r="AS16" i="1"/>
  <c r="AM17" i="1"/>
  <c r="AS18" i="1"/>
  <c r="AS19" i="1"/>
  <c r="AM22" i="1"/>
  <c r="AS23" i="1"/>
  <c r="AS25" i="1"/>
  <c r="AM27" i="1"/>
  <c r="AS28" i="1"/>
  <c r="AM30" i="1"/>
  <c r="AS31" i="1"/>
  <c r="AM33" i="1"/>
  <c r="AM35" i="1"/>
  <c r="AS36" i="1"/>
  <c r="AM38" i="1"/>
  <c r="AS39" i="1"/>
  <c r="AM41" i="1"/>
  <c r="AS42" i="1"/>
  <c r="AM45" i="1"/>
  <c r="AS46" i="1"/>
  <c r="AM48" i="1"/>
  <c r="AS49" i="1"/>
  <c r="AM51" i="1"/>
  <c r="AS52" i="1"/>
  <c r="AM54" i="1"/>
  <c r="AS55" i="1"/>
  <c r="AM57" i="1"/>
  <c r="AS58" i="1"/>
  <c r="AM60" i="1"/>
  <c r="AS61" i="1"/>
  <c r="AM63" i="1"/>
  <c r="AS64" i="1"/>
  <c r="AM66" i="1"/>
  <c r="AS67" i="1"/>
  <c r="AM69" i="1"/>
  <c r="AS70" i="1"/>
  <c r="AM72" i="1"/>
  <c r="AS73" i="1"/>
  <c r="AM75" i="1"/>
  <c r="AS76" i="1"/>
  <c r="AM78" i="1"/>
  <c r="AS79" i="1"/>
  <c r="AM81" i="1"/>
  <c r="AS82" i="1"/>
  <c r="AM84" i="1"/>
  <c r="AS85" i="1"/>
  <c r="AM87" i="1"/>
  <c r="AS88" i="1"/>
  <c r="AM90" i="1"/>
  <c r="AS91" i="1"/>
  <c r="AM93" i="1"/>
  <c r="AS94" i="1"/>
  <c r="AM96" i="1"/>
  <c r="AS97" i="1"/>
  <c r="AM99" i="1"/>
  <c r="AS100" i="1"/>
  <c r="AM102" i="1"/>
  <c r="AS103" i="1"/>
  <c r="AM106" i="1"/>
  <c r="AS107" i="1"/>
  <c r="AV486" i="1"/>
  <c r="AP488" i="1"/>
  <c r="AV489" i="1"/>
  <c r="AP491" i="1"/>
  <c r="AV492" i="1"/>
  <c r="AP494" i="1"/>
  <c r="AV495" i="1"/>
  <c r="AP497" i="1"/>
  <c r="AV498" i="1"/>
  <c r="AP500" i="1"/>
  <c r="AV501" i="1"/>
  <c r="AP503" i="1"/>
  <c r="AV504" i="1"/>
  <c r="AP506" i="1"/>
  <c r="AV507" i="1"/>
  <c r="AP509" i="1"/>
  <c r="AV510" i="1"/>
  <c r="AP512" i="1"/>
  <c r="AV513" i="1"/>
  <c r="AP515" i="1"/>
  <c r="AV516" i="1"/>
  <c r="AP518" i="1"/>
  <c r="AV519" i="1"/>
  <c r="AP521" i="1"/>
  <c r="AV522" i="1"/>
  <c r="AP524" i="1"/>
  <c r="AV525" i="1"/>
  <c r="AP527" i="1"/>
  <c r="AV528" i="1"/>
  <c r="AP530" i="1"/>
  <c r="AV531" i="1"/>
  <c r="AP533" i="1"/>
  <c r="AV534" i="1"/>
  <c r="AP536" i="1"/>
  <c r="AV537" i="1"/>
  <c r="AP539" i="1"/>
  <c r="AV540" i="1"/>
  <c r="AP542" i="1"/>
  <c r="AV543" i="1"/>
  <c r="AP545" i="1"/>
  <c r="AM109" i="1"/>
  <c r="AS110" i="1"/>
  <c r="AM112" i="1"/>
  <c r="AS113" i="1"/>
  <c r="AM115" i="1"/>
  <c r="AS116" i="1"/>
  <c r="AM118" i="1"/>
  <c r="AS119" i="1"/>
  <c r="AM121" i="1"/>
  <c r="AS122" i="1"/>
  <c r="AM124" i="1"/>
  <c r="AS125" i="1"/>
  <c r="AM127" i="1"/>
  <c r="AS128" i="1"/>
  <c r="AM130" i="1"/>
  <c r="AS131" i="1"/>
  <c r="AM133" i="1"/>
  <c r="AS134" i="1"/>
  <c r="AM136" i="1"/>
  <c r="AS137" i="1"/>
  <c r="AM139" i="1"/>
  <c r="AS140" i="1"/>
  <c r="AM142" i="1"/>
  <c r="AS143" i="1"/>
  <c r="AM145" i="1"/>
  <c r="AS146" i="1"/>
  <c r="AM148" i="1"/>
  <c r="AS149" i="1"/>
  <c r="AM151" i="1"/>
  <c r="AS152" i="1"/>
  <c r="AM154" i="1"/>
  <c r="AS155" i="1"/>
  <c r="AM157" i="1"/>
  <c r="AS158" i="1"/>
  <c r="AM160" i="1"/>
  <c r="AS161" i="1"/>
  <c r="AM163" i="1"/>
  <c r="AS164" i="1"/>
  <c r="AM166" i="1"/>
  <c r="AS167" i="1"/>
  <c r="AM169" i="1"/>
  <c r="AS170" i="1"/>
  <c r="AM172" i="1"/>
  <c r="AS173" i="1"/>
  <c r="AM175" i="1"/>
  <c r="AS176" i="1"/>
  <c r="AM178" i="1"/>
  <c r="AS179" i="1"/>
  <c r="AM181" i="1"/>
  <c r="AS182" i="1"/>
  <c r="AM184" i="1"/>
  <c r="AS185" i="1"/>
  <c r="AM187" i="1"/>
  <c r="AS188" i="1"/>
  <c r="AM190" i="1"/>
  <c r="AS191" i="1"/>
  <c r="AM193" i="1"/>
  <c r="AS194" i="1"/>
  <c r="AM196" i="1"/>
  <c r="AS197" i="1"/>
  <c r="AM199" i="1"/>
  <c r="AS200" i="1"/>
  <c r="AM203" i="1"/>
  <c r="AS204" i="1"/>
  <c r="AM206" i="1"/>
  <c r="AS207" i="1"/>
  <c r="AM209" i="1"/>
  <c r="AS210" i="1"/>
  <c r="AM212" i="1"/>
  <c r="AS213" i="1"/>
  <c r="AM215" i="1"/>
  <c r="AS216" i="1"/>
  <c r="AM218" i="1"/>
  <c r="AS219" i="1"/>
  <c r="AM221" i="1"/>
  <c r="AS222" i="1"/>
  <c r="AM224" i="1"/>
  <c r="AS226" i="1"/>
  <c r="AM228" i="1"/>
  <c r="AS229" i="1"/>
  <c r="AM231" i="1"/>
  <c r="AS232" i="1"/>
  <c r="AM234" i="1"/>
  <c r="AS235" i="1"/>
  <c r="AM238" i="1"/>
  <c r="AS239" i="1"/>
  <c r="AM241" i="1"/>
  <c r="AS242" i="1"/>
  <c r="AM244" i="1"/>
  <c r="AS245" i="1"/>
  <c r="AM247" i="1"/>
  <c r="AS248" i="1"/>
  <c r="AM251" i="1"/>
  <c r="AS252" i="1"/>
  <c r="AM254" i="1"/>
  <c r="AS255" i="1"/>
  <c r="AM257" i="1"/>
  <c r="AS258" i="1"/>
  <c r="AM260" i="1"/>
  <c r="AS261" i="1"/>
  <c r="AM263" i="1"/>
  <c r="AS264" i="1"/>
  <c r="AM266" i="1"/>
  <c r="AS267" i="1"/>
  <c r="AM269" i="1"/>
  <c r="AS270" i="1"/>
  <c r="AM272" i="1"/>
  <c r="AS273" i="1"/>
  <c r="AM275" i="1"/>
  <c r="AS276" i="1"/>
  <c r="AM278" i="1"/>
  <c r="AS279" i="1"/>
  <c r="AM281" i="1"/>
  <c r="AS282" i="1"/>
  <c r="AM284" i="1"/>
  <c r="AS285" i="1"/>
  <c r="AM287" i="1"/>
  <c r="AS288" i="1"/>
  <c r="AM290" i="1"/>
  <c r="AS291" i="1"/>
  <c r="AM293" i="1"/>
  <c r="AS294" i="1"/>
  <c r="AM296" i="1"/>
  <c r="AS297" i="1"/>
  <c r="AM299" i="1"/>
  <c r="AS300" i="1"/>
  <c r="AM302" i="1"/>
  <c r="AS303" i="1"/>
  <c r="AM305" i="1"/>
  <c r="AS306" i="1"/>
  <c r="AM308" i="1"/>
  <c r="AS309" i="1"/>
  <c r="AM311" i="1"/>
  <c r="AS312" i="1"/>
  <c r="AM314" i="1"/>
  <c r="AS315" i="1"/>
  <c r="AM317" i="1"/>
  <c r="AS318" i="1"/>
  <c r="AM320" i="1"/>
  <c r="AS321" i="1"/>
  <c r="AM323" i="1"/>
  <c r="AS324" i="1"/>
  <c r="AM326" i="1"/>
  <c r="AS327" i="1"/>
  <c r="AM329" i="1"/>
  <c r="AS330" i="1"/>
  <c r="AM332" i="1"/>
  <c r="AS333" i="1"/>
  <c r="AM335" i="1"/>
  <c r="AS336" i="1"/>
  <c r="AM338" i="1"/>
  <c r="AS339" i="1"/>
  <c r="AM341" i="1"/>
  <c r="AS342" i="1"/>
  <c r="AM344" i="1"/>
  <c r="AS345" i="1"/>
  <c r="AM347" i="1"/>
  <c r="AS348" i="1"/>
  <c r="AM350" i="1"/>
  <c r="AS351" i="1"/>
  <c r="AM353" i="1"/>
  <c r="AS354" i="1"/>
  <c r="AM356" i="1"/>
  <c r="AS357" i="1"/>
  <c r="AM359" i="1"/>
  <c r="AS360" i="1"/>
  <c r="AM362" i="1"/>
  <c r="AS363" i="1"/>
  <c r="AM365" i="1"/>
  <c r="AS366" i="1"/>
  <c r="AM368" i="1"/>
  <c r="AS369" i="1"/>
  <c r="AM371" i="1"/>
  <c r="AS372" i="1"/>
  <c r="AM374" i="1"/>
  <c r="AS375" i="1"/>
  <c r="AM377" i="1"/>
  <c r="AS378" i="1"/>
  <c r="AM380" i="1"/>
  <c r="AS381" i="1"/>
  <c r="AM383" i="1"/>
  <c r="AS384" i="1"/>
  <c r="AM386" i="1"/>
  <c r="AS387" i="1"/>
  <c r="AM389" i="1"/>
  <c r="AS390" i="1"/>
  <c r="AM392" i="1"/>
  <c r="AS393" i="1"/>
  <c r="AM395" i="1"/>
  <c r="AS396" i="1"/>
  <c r="AM398" i="1"/>
  <c r="AS399" i="1"/>
  <c r="AM401" i="1"/>
  <c r="AS402" i="1"/>
  <c r="AM404" i="1"/>
  <c r="AS405" i="1"/>
  <c r="AM407" i="1"/>
  <c r="AS408" i="1"/>
  <c r="AM410" i="1"/>
  <c r="AS411" i="1"/>
  <c r="AM413" i="1"/>
  <c r="AS414" i="1"/>
  <c r="AM416" i="1"/>
  <c r="AS417" i="1"/>
  <c r="AM419" i="1"/>
  <c r="AS420" i="1"/>
  <c r="AM422" i="1"/>
  <c r="AS423" i="1"/>
  <c r="AM425" i="1"/>
  <c r="AS426" i="1"/>
  <c r="AM428" i="1"/>
  <c r="AS429" i="1"/>
  <c r="AM431" i="1"/>
  <c r="AS432" i="1"/>
  <c r="AM434" i="1"/>
  <c r="AS435" i="1"/>
  <c r="AM437" i="1"/>
  <c r="AS438" i="1"/>
  <c r="AM440" i="1"/>
  <c r="AS441" i="1"/>
  <c r="AM443" i="1"/>
  <c r="AS444" i="1"/>
  <c r="AM446" i="1"/>
  <c r="AS447" i="1"/>
  <c r="AM449" i="1"/>
  <c r="AS450" i="1"/>
  <c r="AM452" i="1"/>
  <c r="AS453" i="1"/>
  <c r="AM455" i="1"/>
  <c r="AS456" i="1"/>
  <c r="AM458" i="1"/>
  <c r="AS459" i="1"/>
  <c r="AM461" i="1"/>
  <c r="AS462" i="1"/>
  <c r="AM464" i="1"/>
  <c r="AS465" i="1"/>
  <c r="AM467" i="1"/>
  <c r="AS468" i="1"/>
  <c r="AM470" i="1"/>
  <c r="AS471" i="1"/>
  <c r="AM473" i="1"/>
  <c r="AS474" i="1"/>
  <c r="AM476" i="1"/>
  <c r="AS477" i="1"/>
  <c r="AM479" i="1"/>
  <c r="AS480" i="1"/>
  <c r="AM482" i="1"/>
  <c r="AS483" i="1"/>
  <c r="AM485" i="1"/>
  <c r="AS486" i="1"/>
  <c r="AM488" i="1"/>
  <c r="AS489" i="1"/>
  <c r="AM491" i="1"/>
  <c r="AS492" i="1"/>
  <c r="AM494" i="1"/>
  <c r="AS495" i="1"/>
  <c r="AM497" i="1"/>
  <c r="AS498" i="1"/>
  <c r="AM500" i="1"/>
  <c r="AS501" i="1"/>
  <c r="AM503" i="1"/>
  <c r="AS504" i="1"/>
  <c r="AM506" i="1"/>
  <c r="AS507" i="1"/>
  <c r="AM509" i="1"/>
  <c r="AS510" i="1"/>
  <c r="AM512" i="1"/>
  <c r="AS513" i="1"/>
  <c r="AM515" i="1"/>
  <c r="AS516" i="1"/>
  <c r="AM518" i="1"/>
  <c r="AS519" i="1"/>
  <c r="AM521" i="1"/>
  <c r="AS522" i="1"/>
  <c r="AM524" i="1"/>
  <c r="AS525" i="1"/>
  <c r="AM527" i="1"/>
  <c r="AS528" i="1"/>
  <c r="AM530" i="1"/>
  <c r="AS531" i="1"/>
  <c r="AM533" i="1"/>
  <c r="AS534" i="1"/>
  <c r="AM536" i="1"/>
  <c r="AS537" i="1"/>
  <c r="AM539" i="1"/>
  <c r="AS540" i="1"/>
  <c r="AM542" i="1"/>
  <c r="AS543" i="1"/>
  <c r="AM545" i="1"/>
  <c r="AS546" i="1"/>
  <c r="AM548" i="1"/>
  <c r="AS549" i="1"/>
  <c r="AM551" i="1"/>
  <c r="AS552" i="1"/>
  <c r="AM554" i="1"/>
  <c r="AS555" i="1"/>
  <c r="AM557" i="1"/>
  <c r="AS558" i="1"/>
  <c r="AM560" i="1"/>
  <c r="AS561" i="1"/>
  <c r="AM563" i="1"/>
  <c r="AS564" i="1"/>
  <c r="AM566" i="1"/>
  <c r="AS567" i="1"/>
  <c r="AM569" i="1"/>
  <c r="AS570" i="1"/>
  <c r="AM572" i="1"/>
  <c r="AS573" i="1"/>
  <c r="AM575" i="1"/>
  <c r="AS576" i="1"/>
  <c r="AM578" i="1"/>
  <c r="AS579" i="1"/>
  <c r="AM581" i="1"/>
  <c r="AS582" i="1"/>
  <c r="AM584" i="1"/>
  <c r="AS585" i="1"/>
  <c r="AM587" i="1"/>
  <c r="AS588" i="1"/>
  <c r="AM590" i="1"/>
  <c r="AS591" i="1"/>
  <c r="AM593" i="1"/>
  <c r="AS594" i="1"/>
  <c r="AM596" i="1"/>
  <c r="AS597" i="1"/>
  <c r="AM599" i="1"/>
  <c r="AS600" i="1"/>
  <c r="AM602" i="1"/>
  <c r="AS603" i="1"/>
  <c r="AM605" i="1"/>
  <c r="AS606" i="1"/>
  <c r="AM608" i="1"/>
  <c r="AS609" i="1"/>
  <c r="AM611" i="1"/>
  <c r="AS612" i="1"/>
  <c r="AV546" i="1"/>
  <c r="AP548" i="1"/>
  <c r="AV549" i="1"/>
  <c r="AP551" i="1"/>
  <c r="AV552" i="1"/>
  <c r="AP554" i="1"/>
  <c r="AV555" i="1"/>
  <c r="AP557" i="1"/>
  <c r="AV558" i="1"/>
  <c r="AP560" i="1"/>
  <c r="AV561" i="1"/>
  <c r="AP563" i="1"/>
  <c r="AV564" i="1"/>
  <c r="AP566" i="1"/>
  <c r="AV567" i="1"/>
  <c r="AP569" i="1"/>
  <c r="AV570" i="1"/>
  <c r="AP572" i="1"/>
  <c r="AV573" i="1"/>
  <c r="AP575" i="1"/>
  <c r="AV576" i="1"/>
  <c r="AP578" i="1"/>
  <c r="AV579" i="1"/>
  <c r="AP581" i="1"/>
  <c r="AV582" i="1"/>
  <c r="AP584" i="1"/>
  <c r="AV585" i="1"/>
  <c r="AP587" i="1"/>
  <c r="AV588" i="1"/>
  <c r="AP590" i="1"/>
  <c r="AV591" i="1"/>
  <c r="AP593" i="1"/>
  <c r="AV594" i="1"/>
  <c r="AP596" i="1"/>
  <c r="AV597" i="1"/>
  <c r="AP599" i="1"/>
  <c r="AV600" i="1"/>
  <c r="AP602" i="1"/>
  <c r="AV603" i="1"/>
  <c r="AP605" i="1"/>
  <c r="AV606" i="1"/>
  <c r="AP608" i="1"/>
  <c r="AV609" i="1"/>
  <c r="AP611" i="1"/>
  <c r="AV612" i="1"/>
  <c r="AP614" i="1"/>
  <c r="AV615" i="1"/>
  <c r="AP617" i="1"/>
  <c r="AV618" i="1"/>
  <c r="AP620" i="1"/>
  <c r="AV621" i="1"/>
  <c r="AP623" i="1"/>
  <c r="AV624" i="1"/>
  <c r="AP626" i="1"/>
  <c r="AV627" i="1"/>
  <c r="AP629" i="1"/>
  <c r="AV630" i="1"/>
  <c r="AP632" i="1"/>
  <c r="AV633" i="1"/>
  <c r="AP635" i="1"/>
  <c r="AV636" i="1"/>
  <c r="AP638" i="1"/>
  <c r="AV639" i="1"/>
  <c r="AP641" i="1"/>
  <c r="AV642" i="1"/>
  <c r="AP644" i="1"/>
  <c r="AV645" i="1"/>
  <c r="AP647" i="1"/>
  <c r="AV648" i="1"/>
  <c r="AP650" i="1"/>
  <c r="AV651" i="1"/>
  <c r="AP653" i="1"/>
  <c r="AV654" i="1"/>
  <c r="AP656" i="1"/>
  <c r="AV657" i="1"/>
  <c r="AP659" i="1"/>
  <c r="AV660" i="1"/>
  <c r="AP662" i="1"/>
  <c r="AV663" i="1"/>
  <c r="AP665" i="1"/>
  <c r="AV666" i="1"/>
  <c r="AP668" i="1"/>
  <c r="AV669" i="1"/>
  <c r="AP671" i="1"/>
  <c r="AV672" i="1"/>
  <c r="AP674" i="1"/>
  <c r="AV675" i="1"/>
  <c r="AP677" i="1"/>
  <c r="AV678" i="1"/>
  <c r="AP680" i="1"/>
  <c r="AV681" i="1"/>
  <c r="AP683" i="1"/>
  <c r="AV684" i="1"/>
  <c r="AP686" i="1"/>
  <c r="AV687" i="1"/>
  <c r="AP689" i="1"/>
  <c r="AV690" i="1"/>
  <c r="AP692" i="1"/>
  <c r="AV693" i="1"/>
  <c r="AP695" i="1"/>
  <c r="AV696" i="1"/>
  <c r="AP698" i="1"/>
  <c r="AV699" i="1"/>
  <c r="AP701" i="1"/>
  <c r="AV702" i="1"/>
  <c r="AP704" i="1"/>
  <c r="AV705" i="1"/>
  <c r="AP707" i="1"/>
  <c r="AV708" i="1"/>
  <c r="AP710" i="1"/>
  <c r="AV711" i="1"/>
  <c r="AP713" i="1"/>
  <c r="AV714" i="1"/>
  <c r="AP716" i="1"/>
  <c r="AV717" i="1"/>
  <c r="AP719" i="1"/>
  <c r="AV720" i="1"/>
  <c r="AP722" i="1"/>
  <c r="AV723" i="1"/>
  <c r="AP725" i="1"/>
  <c r="AV726" i="1"/>
  <c r="AP728" i="1"/>
  <c r="AV729" i="1"/>
  <c r="AP731" i="1"/>
  <c r="AV732" i="1"/>
  <c r="AP734" i="1"/>
  <c r="AV735" i="1"/>
  <c r="AP737" i="1"/>
  <c r="AV738" i="1"/>
  <c r="AP740" i="1"/>
  <c r="AV741" i="1"/>
  <c r="AP743" i="1"/>
  <c r="AV744" i="1"/>
  <c r="AP746" i="1"/>
  <c r="AV747" i="1"/>
  <c r="AP749" i="1"/>
  <c r="AV750" i="1"/>
  <c r="AP752" i="1"/>
  <c r="AV753" i="1"/>
  <c r="AP755" i="1"/>
  <c r="AV756" i="1"/>
  <c r="AP758" i="1"/>
  <c r="AV759" i="1"/>
  <c r="AP761" i="1"/>
  <c r="AV762" i="1"/>
  <c r="AP764" i="1"/>
  <c r="AV765" i="1"/>
  <c r="AP767" i="1"/>
  <c r="AV768" i="1"/>
  <c r="AP770" i="1"/>
  <c r="AV771" i="1"/>
  <c r="AP773" i="1"/>
  <c r="AV774" i="1"/>
  <c r="AP776" i="1"/>
  <c r="AV777" i="1"/>
  <c r="AP779" i="1"/>
  <c r="AV780" i="1"/>
  <c r="AP782" i="1"/>
  <c r="AV783" i="1"/>
  <c r="AP785" i="1"/>
  <c r="AV786" i="1"/>
  <c r="AP788" i="1"/>
  <c r="AV789" i="1"/>
  <c r="AP791" i="1"/>
  <c r="AV792" i="1"/>
  <c r="AP794" i="1"/>
  <c r="AV795" i="1"/>
  <c r="AP797" i="1"/>
  <c r="AV798" i="1"/>
  <c r="AP800" i="1"/>
  <c r="AV801" i="1"/>
  <c r="AP803" i="1"/>
  <c r="AV804" i="1"/>
  <c r="AP806" i="1"/>
  <c r="AV807" i="1"/>
  <c r="AP809" i="1"/>
  <c r="AV810" i="1"/>
  <c r="AP812" i="1"/>
  <c r="AV813" i="1"/>
  <c r="AP815" i="1"/>
  <c r="AV816" i="1"/>
  <c r="AP818" i="1"/>
  <c r="AV819" i="1"/>
  <c r="AP821" i="1"/>
  <c r="AV822" i="1"/>
  <c r="AP824" i="1"/>
  <c r="AV825" i="1"/>
  <c r="AP827" i="1"/>
  <c r="AV828" i="1"/>
  <c r="AP830" i="1"/>
  <c r="AV831" i="1"/>
  <c r="AP833" i="1"/>
  <c r="AV834" i="1"/>
  <c r="AP836" i="1"/>
  <c r="AV837" i="1"/>
  <c r="AP839" i="1"/>
  <c r="AV840" i="1"/>
  <c r="AP842" i="1"/>
  <c r="AV843" i="1"/>
  <c r="AP845" i="1"/>
  <c r="AV846" i="1"/>
  <c r="AP848" i="1"/>
  <c r="AV849" i="1"/>
  <c r="AP851" i="1"/>
  <c r="AV852" i="1"/>
  <c r="AP854" i="1"/>
  <c r="AV855" i="1"/>
  <c r="AP857" i="1"/>
  <c r="AV858" i="1"/>
  <c r="AP860" i="1"/>
  <c r="AV861" i="1"/>
  <c r="AP863" i="1"/>
  <c r="AV864" i="1"/>
  <c r="AP866" i="1"/>
  <c r="AV867" i="1"/>
  <c r="AP869" i="1"/>
  <c r="AV870" i="1"/>
  <c r="AP872" i="1"/>
  <c r="AV873" i="1"/>
  <c r="AP875" i="1"/>
  <c r="AV876" i="1"/>
  <c r="AP878" i="1"/>
  <c r="AV879" i="1"/>
  <c r="AP881" i="1"/>
  <c r="AV882" i="1"/>
  <c r="AP884" i="1"/>
  <c r="AV885" i="1"/>
  <c r="AP887" i="1"/>
  <c r="AV888" i="1"/>
  <c r="AP890" i="1"/>
  <c r="AV891" i="1"/>
  <c r="AP893" i="1"/>
  <c r="AV894" i="1"/>
  <c r="AP896" i="1"/>
  <c r="AV897" i="1"/>
  <c r="AP899" i="1"/>
  <c r="AV900" i="1"/>
  <c r="AP902" i="1"/>
  <c r="AV903" i="1"/>
  <c r="AP905" i="1"/>
  <c r="AV906" i="1"/>
  <c r="AP908" i="1"/>
  <c r="AV909" i="1"/>
  <c r="AP911" i="1"/>
  <c r="AV912" i="1"/>
  <c r="AP914" i="1"/>
  <c r="AV915" i="1"/>
  <c r="AP917" i="1"/>
  <c r="AV918" i="1"/>
  <c r="AP920" i="1"/>
  <c r="AV921" i="1"/>
  <c r="AP923" i="1"/>
  <c r="AV924" i="1"/>
  <c r="AP926" i="1"/>
  <c r="AV927" i="1"/>
  <c r="AP929" i="1"/>
  <c r="AV930" i="1"/>
  <c r="AP932" i="1"/>
  <c r="AV933" i="1"/>
  <c r="AP935" i="1"/>
  <c r="AV936" i="1"/>
  <c r="AP938" i="1"/>
  <c r="AV939" i="1"/>
  <c r="AP941" i="1"/>
  <c r="AV942" i="1"/>
  <c r="AP944" i="1"/>
  <c r="AV945" i="1"/>
  <c r="AP947" i="1"/>
  <c r="AV948" i="1"/>
  <c r="AP950" i="1"/>
  <c r="AV951" i="1"/>
  <c r="AP953" i="1"/>
  <c r="AV954" i="1"/>
  <c r="AP956" i="1"/>
  <c r="AV957" i="1"/>
  <c r="AP959" i="1"/>
  <c r="AV960" i="1"/>
  <c r="AP962" i="1"/>
  <c r="AV963" i="1"/>
  <c r="AP965" i="1"/>
  <c r="AV966" i="1"/>
  <c r="AP968" i="1"/>
  <c r="AV969" i="1"/>
  <c r="AP971" i="1"/>
  <c r="AV972" i="1"/>
  <c r="AP974" i="1"/>
  <c r="AV975" i="1"/>
  <c r="AP977" i="1"/>
  <c r="AV978" i="1"/>
  <c r="AP980" i="1"/>
  <c r="AV981" i="1"/>
  <c r="AP983" i="1"/>
  <c r="AV984" i="1"/>
  <c r="AP986" i="1"/>
  <c r="AV987" i="1"/>
  <c r="AP989" i="1"/>
  <c r="AV990" i="1"/>
  <c r="AP992" i="1"/>
  <c r="AV993" i="1"/>
  <c r="AP995" i="1"/>
  <c r="AV996" i="1"/>
  <c r="AP998" i="1"/>
  <c r="AV999" i="1"/>
  <c r="AP1001" i="1"/>
  <c r="AV1002" i="1"/>
  <c r="AP1004" i="1"/>
  <c r="AV1005" i="1"/>
  <c r="AP1007" i="1"/>
  <c r="AV1008" i="1"/>
  <c r="AP1010" i="1"/>
  <c r="AV1011" i="1"/>
  <c r="AP1013" i="1"/>
  <c r="AV1014" i="1"/>
  <c r="AP1016" i="1"/>
  <c r="AV1017" i="1"/>
  <c r="AP1019" i="1"/>
  <c r="AV1020" i="1"/>
  <c r="AP1022" i="1"/>
  <c r="AV1023" i="1"/>
  <c r="AP1025" i="1"/>
  <c r="AV1026" i="1"/>
  <c r="AP1028" i="1"/>
  <c r="AV1029" i="1"/>
  <c r="AP1031" i="1"/>
  <c r="AV1032" i="1"/>
  <c r="AP1034" i="1"/>
  <c r="AV1035" i="1"/>
  <c r="AP1037" i="1"/>
  <c r="AV1038" i="1"/>
  <c r="AP1040" i="1"/>
  <c r="AV1041" i="1"/>
  <c r="AP1043" i="1"/>
  <c r="AV1044" i="1"/>
  <c r="AP1046" i="1"/>
  <c r="AV1047" i="1"/>
  <c r="AP1049" i="1"/>
  <c r="AV1050" i="1"/>
  <c r="AP1052" i="1"/>
  <c r="AV1053" i="1"/>
  <c r="AP1055" i="1"/>
  <c r="AV1056" i="1"/>
  <c r="AM614" i="1"/>
  <c r="AS615" i="1"/>
  <c r="AM617" i="1"/>
  <c r="AS618" i="1"/>
  <c r="AM620" i="1"/>
  <c r="AS621" i="1"/>
  <c r="AM623" i="1"/>
  <c r="AS624" i="1"/>
  <c r="AM626" i="1"/>
  <c r="AS627" i="1"/>
  <c r="AM629" i="1"/>
  <c r="AS630" i="1"/>
  <c r="AM632" i="1"/>
  <c r="AS633" i="1"/>
  <c r="AM635" i="1"/>
  <c r="AS636" i="1"/>
  <c r="AM638" i="1"/>
  <c r="AS639" i="1"/>
  <c r="AM641" i="1"/>
  <c r="AS642" i="1"/>
  <c r="AM644" i="1"/>
  <c r="AS645" i="1"/>
  <c r="AM647" i="1"/>
  <c r="AS648" i="1"/>
  <c r="AM650" i="1"/>
  <c r="AS651" i="1"/>
  <c r="AM653" i="1"/>
  <c r="AS654" i="1"/>
  <c r="AM656" i="1"/>
  <c r="AS657" i="1"/>
  <c r="AM659" i="1"/>
  <c r="AS660" i="1"/>
  <c r="AM662" i="1"/>
  <c r="AS663" i="1"/>
  <c r="AM665" i="1"/>
  <c r="AS666" i="1"/>
  <c r="AM668" i="1"/>
  <c r="AS669" i="1"/>
  <c r="AM671" i="1"/>
  <c r="AS672" i="1"/>
  <c r="AM674" i="1"/>
  <c r="AS675" i="1"/>
  <c r="AM677" i="1"/>
  <c r="AS678" i="1"/>
  <c r="AM680" i="1"/>
  <c r="AS681" i="1"/>
  <c r="AM683" i="1"/>
  <c r="AS684" i="1"/>
  <c r="AM686" i="1"/>
  <c r="AS687" i="1"/>
  <c r="AM689" i="1"/>
  <c r="AS690" i="1"/>
  <c r="AM692" i="1"/>
  <c r="AS693" i="1"/>
  <c r="AM695" i="1"/>
  <c r="AS696" i="1"/>
  <c r="AM698" i="1"/>
  <c r="AS699" i="1"/>
  <c r="AM701" i="1"/>
  <c r="AS702" i="1"/>
  <c r="AM704" i="1"/>
  <c r="AS705" i="1"/>
  <c r="AM707" i="1"/>
  <c r="AS708" i="1"/>
  <c r="AM710" i="1"/>
  <c r="AS711" i="1"/>
  <c r="AM713" i="1"/>
  <c r="AS714" i="1"/>
  <c r="AM716" i="1"/>
  <c r="AS717" i="1"/>
  <c r="AM719" i="1"/>
  <c r="AS720" i="1"/>
  <c r="AM722" i="1"/>
  <c r="AS723" i="1"/>
  <c r="AM725" i="1"/>
  <c r="AS726" i="1"/>
  <c r="AM728" i="1"/>
  <c r="AS729" i="1"/>
  <c r="AM731" i="1"/>
  <c r="AS732" i="1"/>
  <c r="AM734" i="1"/>
  <c r="AS735" i="1"/>
  <c r="AM737" i="1"/>
  <c r="AS738" i="1"/>
  <c r="AM740" i="1"/>
  <c r="AS741" i="1"/>
  <c r="AM743" i="1"/>
  <c r="AS744" i="1"/>
  <c r="AM746" i="1"/>
  <c r="AS747" i="1"/>
  <c r="AM749" i="1"/>
  <c r="AS750" i="1"/>
  <c r="AM752" i="1"/>
  <c r="AS753" i="1"/>
  <c r="AM755" i="1"/>
  <c r="AS756" i="1"/>
  <c r="AM758" i="1"/>
  <c r="AS759" i="1"/>
  <c r="AM761" i="1"/>
  <c r="AS762" i="1"/>
  <c r="AM764" i="1"/>
  <c r="AS765" i="1"/>
  <c r="AM767" i="1"/>
  <c r="AS768" i="1"/>
  <c r="AM770" i="1"/>
  <c r="AS771" i="1"/>
  <c r="AM773" i="1"/>
  <c r="AS774" i="1"/>
  <c r="AM776" i="1"/>
  <c r="AS777" i="1"/>
  <c r="AM779" i="1"/>
  <c r="AS780" i="1"/>
  <c r="AM782" i="1"/>
  <c r="AS783" i="1"/>
  <c r="AM785" i="1"/>
  <c r="AS786" i="1"/>
  <c r="AM788" i="1"/>
  <c r="AS789" i="1"/>
  <c r="AM791" i="1"/>
  <c r="AS792" i="1"/>
  <c r="AM794" i="1"/>
  <c r="AS795" i="1"/>
  <c r="AM797" i="1"/>
  <c r="AS798" i="1"/>
  <c r="AM800" i="1"/>
  <c r="AS801" i="1"/>
  <c r="AM803" i="1"/>
  <c r="AS804" i="1"/>
  <c r="AM806" i="1"/>
  <c r="AS807" i="1"/>
  <c r="AM809" i="1"/>
  <c r="AS810" i="1"/>
  <c r="AM812" i="1"/>
  <c r="AS813" i="1"/>
  <c r="AM815" i="1"/>
  <c r="AS816" i="1"/>
  <c r="AM818" i="1"/>
  <c r="AS819" i="1"/>
  <c r="AM821" i="1"/>
  <c r="AS822" i="1"/>
  <c r="AM824" i="1"/>
  <c r="AS825" i="1"/>
  <c r="AM827" i="1"/>
  <c r="AS828" i="1"/>
  <c r="AM830" i="1"/>
  <c r="AS831" i="1"/>
  <c r="AM833" i="1"/>
  <c r="AS834" i="1"/>
  <c r="AM836" i="1"/>
  <c r="AS837" i="1"/>
  <c r="AM839" i="1"/>
  <c r="AS840" i="1"/>
  <c r="AM842" i="1"/>
  <c r="AS843" i="1"/>
  <c r="AM845" i="1"/>
  <c r="AS846" i="1"/>
  <c r="AM848" i="1"/>
  <c r="AS849" i="1"/>
  <c r="AM851" i="1"/>
  <c r="AS852" i="1"/>
  <c r="AM854" i="1"/>
  <c r="AS855" i="1"/>
  <c r="AM857" i="1"/>
  <c r="AS858" i="1"/>
  <c r="AM860" i="1"/>
  <c r="AS861" i="1"/>
  <c r="AM863" i="1"/>
  <c r="AS864" i="1"/>
  <c r="AM866" i="1"/>
  <c r="AS867" i="1"/>
  <c r="AM869" i="1"/>
  <c r="AS870" i="1"/>
  <c r="AM872" i="1"/>
  <c r="AS873" i="1"/>
  <c r="AM875" i="1"/>
  <c r="AS876" i="1"/>
  <c r="AM878" i="1"/>
  <c r="AS879" i="1"/>
  <c r="AM881" i="1"/>
  <c r="AS882" i="1"/>
  <c r="AM884" i="1"/>
  <c r="AS885" i="1"/>
  <c r="AM887" i="1"/>
  <c r="AS888" i="1"/>
  <c r="AM890" i="1"/>
  <c r="AS891" i="1"/>
  <c r="AM893" i="1"/>
  <c r="AS894" i="1"/>
  <c r="AM896" i="1"/>
  <c r="AS897" i="1"/>
  <c r="AM899" i="1"/>
  <c r="AS900" i="1"/>
  <c r="AM902" i="1"/>
  <c r="AS903" i="1"/>
  <c r="AM905" i="1"/>
  <c r="AS906" i="1"/>
  <c r="AM908" i="1"/>
  <c r="AS909" i="1"/>
  <c r="AM911" i="1"/>
  <c r="AS912" i="1"/>
  <c r="AM914" i="1"/>
  <c r="AS915" i="1"/>
  <c r="AM917" i="1"/>
  <c r="AS918" i="1"/>
  <c r="AM920" i="1"/>
  <c r="AS921" i="1"/>
  <c r="AM923" i="1"/>
  <c r="AS924" i="1"/>
  <c r="AM926" i="1"/>
  <c r="AS927" i="1"/>
  <c r="AM929" i="1"/>
  <c r="AS930" i="1"/>
  <c r="AM932" i="1"/>
  <c r="AS933" i="1"/>
  <c r="AM935" i="1"/>
  <c r="AS936" i="1"/>
  <c r="AM938" i="1"/>
  <c r="AS939" i="1"/>
  <c r="AM941" i="1"/>
  <c r="AS942" i="1"/>
  <c r="AM944" i="1"/>
  <c r="AS945" i="1"/>
  <c r="AM947" i="1"/>
  <c r="AS948" i="1"/>
  <c r="AM950" i="1"/>
  <c r="AS951" i="1"/>
  <c r="AM953" i="1"/>
  <c r="AS954" i="1"/>
  <c r="AM956" i="1"/>
  <c r="AS957" i="1"/>
  <c r="AM959" i="1"/>
  <c r="AS960" i="1"/>
  <c r="AM962" i="1"/>
  <c r="AS963" i="1"/>
  <c r="AM965" i="1"/>
  <c r="AS966" i="1"/>
  <c r="AM968" i="1"/>
  <c r="AS969" i="1"/>
  <c r="AM971" i="1"/>
  <c r="AS972" i="1"/>
  <c r="AM974" i="1"/>
  <c r="AS975" i="1"/>
  <c r="AM977" i="1"/>
  <c r="AS978" i="1"/>
  <c r="AM980" i="1"/>
  <c r="AS981" i="1"/>
  <c r="AM983" i="1"/>
  <c r="AS984" i="1"/>
  <c r="AM986" i="1"/>
  <c r="AS987" i="1"/>
  <c r="AM989" i="1"/>
  <c r="AS990" i="1"/>
  <c r="AM992" i="1"/>
  <c r="AS993" i="1"/>
  <c r="AM995" i="1"/>
  <c r="AS996" i="1"/>
  <c r="AM998" i="1"/>
  <c r="AS999" i="1"/>
  <c r="AM1001" i="1"/>
  <c r="AS1002" i="1"/>
  <c r="AM1004" i="1"/>
  <c r="AS1005" i="1"/>
  <c r="AM1007" i="1"/>
  <c r="AS1008" i="1"/>
  <c r="AM1010" i="1"/>
  <c r="AS1011" i="1"/>
  <c r="AM1013" i="1"/>
  <c r="AS1014" i="1"/>
  <c r="AM1016" i="1"/>
  <c r="AS1017" i="1"/>
  <c r="AM1019" i="1"/>
  <c r="AS1020" i="1"/>
  <c r="AM1022" i="1"/>
  <c r="AS1023" i="1"/>
  <c r="AM1025" i="1"/>
  <c r="AS1026" i="1"/>
  <c r="AM1028" i="1"/>
  <c r="AS1029" i="1"/>
  <c r="AM1031" i="1"/>
  <c r="AS1032" i="1"/>
  <c r="AM1034" i="1"/>
  <c r="AS1035" i="1"/>
  <c r="AM1037" i="1"/>
  <c r="AS1038" i="1"/>
  <c r="AM1040" i="1"/>
  <c r="AS1041" i="1"/>
  <c r="AM1043" i="1"/>
  <c r="AS1044" i="1"/>
  <c r="AM1046" i="1"/>
  <c r="AS1047" i="1"/>
  <c r="AM1049" i="1"/>
  <c r="AS1050" i="1"/>
  <c r="AM1052" i="1"/>
  <c r="AS1053" i="1"/>
  <c r="AM1055" i="1"/>
  <c r="AS1056" i="1"/>
  <c r="AM1058" i="1"/>
  <c r="AS1059" i="1"/>
  <c r="AM1061" i="1"/>
  <c r="AS1062" i="1"/>
  <c r="AM1064" i="1"/>
  <c r="AS1065" i="1"/>
  <c r="AM1067" i="1"/>
  <c r="AS1068" i="1"/>
  <c r="AM1070" i="1"/>
  <c r="AS1071" i="1"/>
  <c r="AM1073" i="1"/>
  <c r="AS1074" i="1"/>
  <c r="AM1076" i="1"/>
  <c r="AS1077" i="1"/>
  <c r="AM1079" i="1"/>
  <c r="AS1080" i="1"/>
  <c r="AM1082" i="1"/>
  <c r="AS1083" i="1"/>
  <c r="AM1085" i="1"/>
  <c r="AS1086" i="1"/>
  <c r="AM1088" i="1"/>
  <c r="AS1089" i="1"/>
  <c r="AM1091" i="1"/>
  <c r="AS1092" i="1"/>
  <c r="AM1094" i="1"/>
  <c r="AS1095" i="1"/>
  <c r="AM1097" i="1"/>
  <c r="AS1098" i="1"/>
  <c r="AM1100" i="1"/>
  <c r="AS1101" i="1"/>
  <c r="AM1103" i="1"/>
  <c r="AS1104" i="1"/>
  <c r="AM1106" i="1"/>
  <c r="AS1107" i="1"/>
  <c r="AM1109" i="1"/>
  <c r="AS1110" i="1"/>
  <c r="AM1112" i="1"/>
  <c r="AS1113" i="1"/>
  <c r="AM1115" i="1"/>
  <c r="AS1116" i="1"/>
  <c r="AM1118" i="1"/>
  <c r="AS1119" i="1"/>
  <c r="AM1121" i="1"/>
  <c r="AS1122" i="1"/>
  <c r="AM1124" i="1"/>
  <c r="AP1058" i="1"/>
  <c r="AV1059" i="1"/>
  <c r="AP1061" i="1"/>
  <c r="AV1062" i="1"/>
  <c r="AP1064" i="1"/>
  <c r="AV1065" i="1"/>
  <c r="AP1067" i="1"/>
  <c r="AV1068" i="1"/>
  <c r="AP1070" i="1"/>
  <c r="AV1071" i="1"/>
  <c r="AP1073" i="1"/>
  <c r="AV1074" i="1"/>
  <c r="AP1076" i="1"/>
  <c r="AV1077" i="1"/>
  <c r="AP1079" i="1"/>
  <c r="AV1080" i="1"/>
  <c r="AP1082" i="1"/>
  <c r="AV1083" i="1"/>
  <c r="AP1085" i="1"/>
  <c r="AV1086" i="1"/>
  <c r="AP1088" i="1"/>
  <c r="AV1089" i="1"/>
  <c r="AP1091" i="1"/>
  <c r="AV1092" i="1"/>
  <c r="AP1094" i="1"/>
  <c r="AV1095" i="1"/>
  <c r="AP1097" i="1"/>
  <c r="AV1098" i="1"/>
  <c r="AP1100" i="1"/>
  <c r="AV1101" i="1"/>
  <c r="AP1103" i="1"/>
  <c r="AV1104" i="1"/>
  <c r="AP1106" i="1"/>
  <c r="AV1107" i="1"/>
  <c r="AP1109" i="1"/>
  <c r="AV1110" i="1"/>
  <c r="AP1112" i="1"/>
  <c r="AV1113" i="1"/>
  <c r="AP1115" i="1"/>
  <c r="AV1116" i="1"/>
  <c r="AP1118" i="1"/>
  <c r="AV1119" i="1"/>
  <c r="AP1121" i="1"/>
  <c r="AV1122" i="1"/>
  <c r="AP1124" i="1"/>
  <c r="AV1125" i="1"/>
  <c r="AP1127" i="1"/>
  <c r="AV1128" i="1"/>
  <c r="AP1130" i="1"/>
  <c r="AV1131" i="1"/>
  <c r="AP1133" i="1"/>
  <c r="AV1134" i="1"/>
  <c r="AP1136" i="1"/>
  <c r="AV1137" i="1"/>
  <c r="AP1139" i="1"/>
  <c r="AV1140" i="1"/>
  <c r="AP1142" i="1"/>
  <c r="AV1143" i="1"/>
  <c r="AP1145" i="1"/>
  <c r="AV1146" i="1"/>
  <c r="AP1148" i="1"/>
  <c r="AV1149" i="1"/>
  <c r="AP1151" i="1"/>
  <c r="AV1152" i="1"/>
  <c r="AP1154" i="1"/>
  <c r="AV1155" i="1"/>
  <c r="AP1157" i="1"/>
  <c r="AV1158" i="1"/>
  <c r="AP1160" i="1"/>
  <c r="AV1161" i="1"/>
  <c r="AP1163" i="1"/>
  <c r="AV1164" i="1"/>
  <c r="AP1166" i="1"/>
  <c r="AV1167" i="1"/>
  <c r="AP1169" i="1"/>
  <c r="AV1170" i="1"/>
  <c r="AP1172" i="1"/>
  <c r="AV1173" i="1"/>
  <c r="AP1175" i="1"/>
  <c r="AV1176" i="1"/>
  <c r="AP1178" i="1"/>
  <c r="AV1179" i="1"/>
  <c r="AP1181" i="1"/>
  <c r="AV1182" i="1"/>
  <c r="AP1184" i="1"/>
  <c r="AV1185" i="1"/>
  <c r="AP1187" i="1"/>
  <c r="AV1188" i="1"/>
  <c r="AP1190" i="1"/>
  <c r="AV1191" i="1"/>
  <c r="AP1193" i="1"/>
  <c r="AV1194" i="1"/>
  <c r="AP1196" i="1"/>
  <c r="AV1197" i="1"/>
  <c r="AP1199" i="1"/>
  <c r="AV1200" i="1"/>
  <c r="AP1202" i="1"/>
  <c r="AV1203" i="1"/>
  <c r="AP1205" i="1"/>
  <c r="AV1206" i="1"/>
  <c r="AP1208" i="1"/>
  <c r="AV1209" i="1"/>
  <c r="AP1211" i="1"/>
  <c r="AV1212" i="1"/>
  <c r="AP1214" i="1"/>
  <c r="AV1215" i="1"/>
  <c r="AP1217" i="1"/>
  <c r="AV1218" i="1"/>
  <c r="AP1220" i="1"/>
  <c r="AV1221" i="1"/>
  <c r="AP1223" i="1"/>
  <c r="AV1224" i="1"/>
  <c r="AP1226" i="1"/>
  <c r="AV1227" i="1"/>
  <c r="H48" i="3"/>
  <c r="H49" i="3" s="1"/>
  <c r="Y3" i="3"/>
  <c r="T368" i="3"/>
  <c r="T367" i="3"/>
  <c r="T366" i="3"/>
  <c r="T365" i="3"/>
  <c r="T364" i="3"/>
  <c r="T363" i="3"/>
  <c r="T362" i="3"/>
  <c r="T361" i="3"/>
  <c r="T360" i="3"/>
  <c r="T359" i="3"/>
  <c r="T358" i="3"/>
  <c r="T357" i="3"/>
  <c r="T356" i="3"/>
  <c r="T355" i="3"/>
  <c r="T354" i="3"/>
  <c r="T353" i="3"/>
  <c r="T352" i="3"/>
  <c r="T351" i="3"/>
  <c r="T350" i="3"/>
  <c r="T349" i="3"/>
  <c r="T348" i="3"/>
  <c r="T347" i="3"/>
  <c r="T346" i="3"/>
  <c r="T345" i="3"/>
  <c r="T344" i="3"/>
  <c r="T343" i="3"/>
  <c r="T342" i="3"/>
  <c r="T341" i="3"/>
  <c r="T340" i="3"/>
  <c r="T339" i="3"/>
  <c r="T338" i="3"/>
  <c r="T337" i="3"/>
  <c r="T336" i="3"/>
  <c r="T335" i="3"/>
  <c r="T334" i="3"/>
  <c r="T333" i="3"/>
  <c r="T332" i="3"/>
  <c r="T331" i="3"/>
  <c r="T330" i="3"/>
  <c r="T329" i="3"/>
  <c r="T328" i="3"/>
  <c r="T327" i="3"/>
  <c r="T326" i="3"/>
  <c r="T325" i="3"/>
  <c r="T324" i="3"/>
  <c r="T323" i="3"/>
  <c r="T322" i="3"/>
  <c r="T321" i="3"/>
  <c r="T320" i="3"/>
  <c r="T319" i="3"/>
  <c r="T318" i="3"/>
  <c r="T317" i="3"/>
  <c r="T316" i="3"/>
  <c r="T315" i="3"/>
  <c r="T314" i="3"/>
  <c r="T313" i="3"/>
  <c r="T312" i="3"/>
  <c r="T311" i="3"/>
  <c r="T310" i="3"/>
  <c r="T309" i="3"/>
  <c r="T308" i="3"/>
  <c r="T307" i="3"/>
  <c r="T306" i="3"/>
  <c r="T305" i="3"/>
  <c r="T304" i="3"/>
  <c r="T303" i="3"/>
  <c r="T302" i="3"/>
  <c r="T301" i="3"/>
  <c r="T300" i="3"/>
  <c r="T299" i="3"/>
  <c r="T298" i="3"/>
  <c r="T297" i="3"/>
  <c r="T296" i="3"/>
  <c r="T295" i="3"/>
  <c r="T294" i="3"/>
  <c r="T293" i="3"/>
  <c r="T292" i="3"/>
  <c r="T291" i="3"/>
  <c r="T290" i="3"/>
  <c r="T289" i="3"/>
  <c r="T288" i="3"/>
  <c r="T287" i="3"/>
  <c r="T286" i="3"/>
  <c r="T285" i="3"/>
  <c r="T284" i="3"/>
  <c r="T283" i="3"/>
  <c r="T282" i="3"/>
  <c r="T281" i="3"/>
  <c r="T280" i="3"/>
  <c r="T279" i="3"/>
  <c r="T278" i="3"/>
  <c r="T277" i="3"/>
  <c r="T276" i="3"/>
  <c r="T275" i="3"/>
  <c r="T274" i="3"/>
  <c r="T273" i="3"/>
  <c r="T272" i="3"/>
  <c r="T271" i="3"/>
  <c r="T270" i="3"/>
  <c r="T269" i="3"/>
  <c r="T268" i="3"/>
  <c r="T267" i="3"/>
  <c r="T266" i="3"/>
  <c r="T265" i="3"/>
  <c r="T264" i="3"/>
  <c r="T263" i="3"/>
  <c r="T262" i="3"/>
  <c r="T261" i="3"/>
  <c r="T260" i="3"/>
  <c r="T259" i="3"/>
  <c r="T258" i="3"/>
  <c r="T257" i="3"/>
  <c r="T256" i="3"/>
  <c r="T255" i="3"/>
  <c r="T254" i="3"/>
  <c r="T253" i="3"/>
  <c r="T252" i="3"/>
  <c r="T251" i="3"/>
  <c r="T250" i="3"/>
  <c r="T249" i="3"/>
  <c r="T248" i="3"/>
  <c r="T247" i="3"/>
  <c r="T246" i="3"/>
  <c r="T245" i="3"/>
  <c r="T244" i="3"/>
  <c r="T243" i="3"/>
  <c r="T242" i="3"/>
  <c r="T241" i="3"/>
  <c r="T240" i="3"/>
  <c r="T239" i="3"/>
  <c r="T238" i="3"/>
  <c r="T237" i="3"/>
  <c r="T236" i="3"/>
  <c r="T235" i="3"/>
  <c r="T234" i="3"/>
  <c r="T233" i="3"/>
  <c r="T232" i="3"/>
  <c r="T231" i="3"/>
  <c r="T230" i="3"/>
  <c r="T229" i="3"/>
  <c r="T228" i="3"/>
  <c r="T227" i="3"/>
  <c r="T226" i="3"/>
  <c r="T225" i="3"/>
  <c r="T224" i="3"/>
  <c r="T223" i="3"/>
  <c r="T222" i="3"/>
  <c r="T221" i="3"/>
  <c r="T220" i="3"/>
  <c r="T219" i="3"/>
  <c r="T218" i="3"/>
  <c r="T217" i="3"/>
  <c r="T216" i="3"/>
  <c r="T215" i="3"/>
  <c r="T214" i="3"/>
  <c r="T213" i="3"/>
  <c r="T212" i="3"/>
  <c r="T211" i="3"/>
  <c r="T210" i="3"/>
  <c r="T209" i="3"/>
  <c r="T208" i="3"/>
  <c r="T207" i="3"/>
  <c r="T206" i="3"/>
  <c r="T205" i="3"/>
  <c r="T204" i="3"/>
  <c r="T203" i="3"/>
  <c r="T202" i="3"/>
  <c r="T201" i="3"/>
  <c r="T200" i="3"/>
  <c r="T199" i="3"/>
  <c r="T198" i="3"/>
  <c r="T197" i="3"/>
  <c r="T196" i="3"/>
  <c r="T195" i="3"/>
  <c r="T194" i="3"/>
  <c r="T193" i="3"/>
  <c r="T192" i="3"/>
  <c r="T191" i="3"/>
  <c r="T190" i="3"/>
  <c r="T189" i="3"/>
  <c r="T188" i="3"/>
  <c r="T187" i="3"/>
  <c r="T186" i="3"/>
  <c r="T185" i="3"/>
  <c r="T184" i="3"/>
  <c r="T183" i="3"/>
  <c r="T182" i="3"/>
  <c r="T181" i="3"/>
  <c r="T180" i="3"/>
  <c r="T179" i="3"/>
  <c r="T178" i="3"/>
  <c r="T177" i="3"/>
  <c r="T176" i="3"/>
  <c r="T175" i="3"/>
  <c r="T174" i="3"/>
  <c r="T173" i="3"/>
  <c r="T172" i="3"/>
  <c r="T171" i="3"/>
  <c r="T170" i="3"/>
  <c r="T169" i="3"/>
  <c r="T168" i="3"/>
  <c r="T167" i="3"/>
  <c r="T166" i="3"/>
  <c r="T165" i="3"/>
  <c r="T164" i="3"/>
  <c r="T163" i="3"/>
  <c r="T162" i="3"/>
  <c r="T161" i="3"/>
  <c r="T160" i="3"/>
  <c r="T159" i="3"/>
  <c r="T158" i="3"/>
  <c r="T157" i="3"/>
  <c r="T156" i="3"/>
  <c r="T155" i="3"/>
  <c r="T154" i="3"/>
  <c r="T153" i="3"/>
  <c r="T152" i="3"/>
  <c r="T151" i="3"/>
  <c r="T150" i="3"/>
  <c r="T149" i="3"/>
  <c r="T148" i="3"/>
  <c r="T147" i="3"/>
  <c r="T146" i="3"/>
  <c r="T145" i="3"/>
  <c r="T144" i="3"/>
  <c r="T143" i="3"/>
  <c r="T142" i="3"/>
  <c r="T141" i="3"/>
  <c r="T140" i="3"/>
  <c r="T139" i="3"/>
  <c r="T138" i="3"/>
  <c r="T137" i="3"/>
  <c r="T136" i="3"/>
  <c r="T135" i="3"/>
  <c r="T134" i="3"/>
  <c r="T133" i="3"/>
  <c r="T132" i="3"/>
  <c r="T131" i="3"/>
  <c r="T130" i="3"/>
  <c r="T129" i="3"/>
  <c r="T128" i="3"/>
  <c r="T127" i="3"/>
  <c r="T126" i="3"/>
  <c r="T125" i="3"/>
  <c r="T124" i="3"/>
  <c r="T123" i="3"/>
  <c r="T122" i="3"/>
  <c r="T121" i="3"/>
  <c r="T120" i="3"/>
  <c r="T119" i="3"/>
  <c r="T118" i="3"/>
  <c r="T117" i="3"/>
  <c r="T116" i="3"/>
  <c r="T115" i="3"/>
  <c r="T114" i="3"/>
  <c r="T113" i="3"/>
  <c r="T112" i="3"/>
  <c r="T111" i="3"/>
  <c r="T110" i="3"/>
  <c r="T109" i="3"/>
  <c r="T108" i="3"/>
  <c r="T107" i="3"/>
  <c r="T106" i="3"/>
  <c r="T105" i="3"/>
  <c r="T104" i="3"/>
  <c r="T103" i="3"/>
  <c r="T102" i="3"/>
  <c r="T101" i="3"/>
  <c r="T100" i="3"/>
  <c r="T99" i="3"/>
  <c r="T98" i="3"/>
  <c r="T97" i="3"/>
  <c r="T96" i="3"/>
  <c r="T95" i="3"/>
  <c r="T94" i="3"/>
  <c r="T93" i="3"/>
  <c r="T92" i="3"/>
  <c r="T91" i="3"/>
  <c r="T90" i="3"/>
  <c r="T89" i="3"/>
  <c r="T88" i="3"/>
  <c r="T87" i="3"/>
  <c r="T86" i="3"/>
  <c r="T85" i="3"/>
  <c r="T84" i="3"/>
  <c r="T83" i="3"/>
  <c r="T82" i="3"/>
  <c r="T81" i="3"/>
  <c r="T80" i="3"/>
  <c r="T79" i="3"/>
  <c r="T78" i="3"/>
  <c r="T77" i="3"/>
  <c r="T76" i="3"/>
  <c r="T75" i="3"/>
  <c r="T74" i="3"/>
  <c r="T73" i="3"/>
  <c r="T72" i="3"/>
  <c r="T71" i="3"/>
  <c r="T70" i="3"/>
  <c r="T69" i="3"/>
  <c r="T68" i="3"/>
  <c r="T67" i="3"/>
  <c r="T66" i="3"/>
  <c r="T65" i="3"/>
  <c r="T64" i="3"/>
  <c r="T63" i="3"/>
  <c r="T62" i="3"/>
  <c r="T61" i="3"/>
  <c r="T60" i="3"/>
  <c r="T59" i="3"/>
  <c r="T58" i="3"/>
  <c r="T57" i="3"/>
  <c r="T56" i="3"/>
  <c r="T55" i="3"/>
  <c r="T54" i="3"/>
  <c r="T53" i="3"/>
  <c r="T52" i="3"/>
  <c r="T51" i="3"/>
  <c r="T50" i="3"/>
  <c r="T49" i="3"/>
  <c r="T48" i="3"/>
  <c r="T47" i="3"/>
  <c r="T46" i="3"/>
  <c r="T45" i="3"/>
  <c r="T44" i="3"/>
  <c r="T43" i="3"/>
  <c r="T42" i="3"/>
  <c r="T41" i="3"/>
  <c r="T40" i="3"/>
  <c r="T39" i="3"/>
  <c r="T38" i="3"/>
  <c r="T37" i="3"/>
  <c r="T36" i="3"/>
  <c r="T35" i="3"/>
  <c r="T34" i="3"/>
  <c r="T33" i="3"/>
  <c r="T32" i="3"/>
  <c r="T31" i="3"/>
  <c r="T30" i="3"/>
  <c r="T29" i="3"/>
  <c r="T28" i="3"/>
  <c r="T27" i="3"/>
  <c r="T26" i="3"/>
  <c r="T25" i="3"/>
  <c r="T24" i="3"/>
  <c r="T23" i="3"/>
  <c r="T22" i="3"/>
  <c r="T21" i="3"/>
  <c r="T20" i="3"/>
  <c r="T19" i="3"/>
  <c r="T18" i="3"/>
  <c r="T17" i="3"/>
  <c r="T16" i="3"/>
  <c r="T15" i="3"/>
  <c r="T14" i="3"/>
  <c r="T13" i="3"/>
  <c r="T12" i="3"/>
  <c r="T11" i="3"/>
  <c r="T10" i="3"/>
  <c r="T9" i="3"/>
  <c r="T8" i="3"/>
  <c r="T7" i="3"/>
  <c r="T6" i="3"/>
  <c r="T5" i="3"/>
  <c r="T4" i="3"/>
  <c r="U51" i="3"/>
  <c r="U52" i="3" s="1"/>
  <c r="U53" i="3" s="1"/>
  <c r="U54" i="3" s="1"/>
  <c r="U55" i="3" s="1"/>
  <c r="U56" i="3" s="1"/>
  <c r="U57" i="3" s="1"/>
  <c r="U58" i="3" s="1"/>
  <c r="U59" i="3" s="1"/>
  <c r="U60" i="3" s="1"/>
  <c r="U61" i="3" s="1"/>
  <c r="U62" i="3" s="1"/>
  <c r="U63" i="3" s="1"/>
  <c r="U64" i="3" s="1"/>
  <c r="U65" i="3" s="1"/>
  <c r="U66" i="3" s="1"/>
  <c r="U67" i="3" s="1"/>
  <c r="U68" i="3" s="1"/>
  <c r="U69" i="3" s="1"/>
  <c r="U70" i="3" s="1"/>
  <c r="U71" i="3" s="1"/>
  <c r="U72" i="3" s="1"/>
  <c r="U73" i="3" s="1"/>
  <c r="U74" i="3" s="1"/>
  <c r="U75" i="3" s="1"/>
  <c r="U76" i="3" s="1"/>
  <c r="U77" i="3" s="1"/>
  <c r="U78" i="3" s="1"/>
  <c r="U79" i="3" s="1"/>
  <c r="U80" i="3" s="1"/>
  <c r="U81" i="3" s="1"/>
  <c r="U82" i="3" s="1"/>
  <c r="U83" i="3" s="1"/>
  <c r="U84" i="3" s="1"/>
  <c r="U85" i="3" s="1"/>
  <c r="U86" i="3" s="1"/>
  <c r="U87" i="3" s="1"/>
  <c r="U88" i="3" s="1"/>
  <c r="U89" i="3" s="1"/>
  <c r="U90" i="3" s="1"/>
  <c r="U91" i="3" s="1"/>
  <c r="U92" i="3" s="1"/>
  <c r="U93" i="3" s="1"/>
  <c r="U94" i="3" s="1"/>
  <c r="U95" i="3" s="1"/>
  <c r="U96" i="3" s="1"/>
  <c r="U97" i="3" s="1"/>
  <c r="U98" i="3" s="1"/>
  <c r="U99" i="3" s="1"/>
  <c r="U100" i="3" s="1"/>
  <c r="U101" i="3" s="1"/>
  <c r="U102" i="3" s="1"/>
  <c r="U103" i="3" s="1"/>
  <c r="U104" i="3" s="1"/>
  <c r="U105" i="3" s="1"/>
  <c r="U106" i="3" s="1"/>
  <c r="U107" i="3" s="1"/>
  <c r="U108" i="3" s="1"/>
  <c r="U109" i="3" s="1"/>
  <c r="U110" i="3" s="1"/>
  <c r="U111" i="3" s="1"/>
  <c r="U112" i="3" s="1"/>
  <c r="U113" i="3" s="1"/>
  <c r="U114" i="3" s="1"/>
  <c r="U115" i="3" s="1"/>
  <c r="U116" i="3" s="1"/>
  <c r="U117" i="3" s="1"/>
  <c r="U118" i="3" s="1"/>
  <c r="U119" i="3" s="1"/>
  <c r="U120" i="3" s="1"/>
  <c r="U121" i="3" s="1"/>
  <c r="U122" i="3" s="1"/>
  <c r="U123" i="3" s="1"/>
  <c r="U124" i="3" s="1"/>
  <c r="U125" i="3" s="1"/>
  <c r="U126" i="3" s="1"/>
  <c r="U127" i="3" s="1"/>
  <c r="U128" i="3" s="1"/>
  <c r="U129" i="3" s="1"/>
  <c r="U130" i="3" s="1"/>
  <c r="U131" i="3" s="1"/>
  <c r="U132" i="3" s="1"/>
  <c r="U133" i="3" s="1"/>
  <c r="U134" i="3" s="1"/>
  <c r="U135" i="3" s="1"/>
  <c r="U136" i="3" s="1"/>
  <c r="U137" i="3" s="1"/>
  <c r="U138" i="3" s="1"/>
  <c r="U139" i="3" s="1"/>
  <c r="U140" i="3" s="1"/>
  <c r="U141" i="3" s="1"/>
  <c r="U142" i="3" s="1"/>
  <c r="U143" i="3" s="1"/>
  <c r="U144" i="3" s="1"/>
  <c r="U145" i="3" s="1"/>
  <c r="U146" i="3" s="1"/>
  <c r="U147" i="3" s="1"/>
  <c r="U148" i="3" s="1"/>
  <c r="U149" i="3" s="1"/>
  <c r="U150" i="3" s="1"/>
  <c r="U151" i="3" s="1"/>
  <c r="U152" i="3" s="1"/>
  <c r="U153" i="3" s="1"/>
  <c r="U154" i="3" s="1"/>
  <c r="U155" i="3" s="1"/>
  <c r="U156" i="3" s="1"/>
  <c r="U157" i="3" s="1"/>
  <c r="U158" i="3" s="1"/>
  <c r="U159" i="3" s="1"/>
  <c r="U160" i="3" s="1"/>
  <c r="U161" i="3" s="1"/>
  <c r="U162" i="3" s="1"/>
  <c r="U163" i="3" s="1"/>
  <c r="U164" i="3" s="1"/>
  <c r="U165" i="3" s="1"/>
  <c r="U166" i="3" s="1"/>
  <c r="U167" i="3" s="1"/>
  <c r="U168" i="3" s="1"/>
  <c r="U169" i="3" s="1"/>
  <c r="U170" i="3" s="1"/>
  <c r="U171" i="3" s="1"/>
  <c r="U172" i="3" s="1"/>
  <c r="U173" i="3" s="1"/>
  <c r="U174" i="3" s="1"/>
  <c r="U175" i="3" s="1"/>
  <c r="U176" i="3" s="1"/>
  <c r="U177" i="3" s="1"/>
  <c r="U178" i="3" s="1"/>
  <c r="U179" i="3" s="1"/>
  <c r="U180" i="3" s="1"/>
  <c r="U181" i="3" s="1"/>
  <c r="U182" i="3" s="1"/>
  <c r="U183" i="3" s="1"/>
  <c r="U184" i="3" s="1"/>
  <c r="U185" i="3" s="1"/>
  <c r="U186" i="3" s="1"/>
  <c r="U187" i="3" s="1"/>
  <c r="U188" i="3" s="1"/>
  <c r="U189" i="3" s="1"/>
  <c r="U190" i="3" s="1"/>
  <c r="U191" i="3" s="1"/>
  <c r="U192" i="3" s="1"/>
  <c r="U193" i="3" s="1"/>
  <c r="U194" i="3" s="1"/>
  <c r="U195" i="3" s="1"/>
  <c r="U196" i="3" s="1"/>
  <c r="U197" i="3" s="1"/>
  <c r="U198" i="3" s="1"/>
  <c r="U199" i="3" s="1"/>
  <c r="U200" i="3" s="1"/>
  <c r="U201" i="3" s="1"/>
  <c r="U202" i="3" s="1"/>
  <c r="U203" i="3" s="1"/>
  <c r="U204" i="3" s="1"/>
  <c r="U205" i="3" s="1"/>
  <c r="U206" i="3" s="1"/>
  <c r="U207" i="3" s="1"/>
  <c r="U208" i="3" s="1"/>
  <c r="U209" i="3" s="1"/>
  <c r="U210" i="3" s="1"/>
  <c r="U211" i="3" s="1"/>
  <c r="U212" i="3" s="1"/>
  <c r="U213" i="3" s="1"/>
  <c r="U214" i="3" s="1"/>
  <c r="U215" i="3" s="1"/>
  <c r="U216" i="3" s="1"/>
  <c r="U217" i="3" s="1"/>
  <c r="U218" i="3" s="1"/>
  <c r="U219" i="3" s="1"/>
  <c r="U220" i="3" s="1"/>
  <c r="U221" i="3" s="1"/>
  <c r="U222" i="3" s="1"/>
  <c r="U223" i="3" s="1"/>
  <c r="U224" i="3" s="1"/>
  <c r="U225" i="3" s="1"/>
  <c r="U226" i="3" s="1"/>
  <c r="U227" i="3" s="1"/>
  <c r="U228" i="3" s="1"/>
  <c r="U229" i="3" s="1"/>
  <c r="U230" i="3" s="1"/>
  <c r="U231" i="3" s="1"/>
  <c r="U232" i="3" s="1"/>
  <c r="U233" i="3" s="1"/>
  <c r="U234" i="3" s="1"/>
  <c r="U235" i="3" s="1"/>
  <c r="U236" i="3" s="1"/>
  <c r="U237" i="3" s="1"/>
  <c r="U238" i="3" s="1"/>
  <c r="U239" i="3" s="1"/>
  <c r="U240" i="3" s="1"/>
  <c r="U241" i="3" s="1"/>
  <c r="U242" i="3" s="1"/>
  <c r="U243" i="3" s="1"/>
  <c r="U244" i="3" s="1"/>
  <c r="U245" i="3" s="1"/>
  <c r="U246" i="3" s="1"/>
  <c r="U247" i="3" s="1"/>
  <c r="U248" i="3" s="1"/>
  <c r="U249" i="3" s="1"/>
  <c r="U250" i="3" s="1"/>
  <c r="U251" i="3" s="1"/>
  <c r="U252" i="3" s="1"/>
  <c r="U253" i="3" s="1"/>
  <c r="U254" i="3" s="1"/>
  <c r="U255" i="3" s="1"/>
  <c r="U256" i="3" s="1"/>
  <c r="U257" i="3" s="1"/>
  <c r="U258" i="3" s="1"/>
  <c r="U259" i="3" s="1"/>
  <c r="U260" i="3" s="1"/>
  <c r="U261" i="3" s="1"/>
  <c r="U262" i="3" s="1"/>
  <c r="U263" i="3" s="1"/>
  <c r="U264" i="3" s="1"/>
  <c r="U265" i="3" s="1"/>
  <c r="U266" i="3" s="1"/>
  <c r="U267" i="3" s="1"/>
  <c r="U268" i="3" s="1"/>
  <c r="U269" i="3" s="1"/>
  <c r="U270" i="3" s="1"/>
  <c r="U271" i="3" s="1"/>
  <c r="U272" i="3" s="1"/>
  <c r="U273" i="3" s="1"/>
  <c r="U274" i="3" s="1"/>
  <c r="U275" i="3" s="1"/>
  <c r="U276" i="3" s="1"/>
  <c r="U277" i="3" s="1"/>
  <c r="U278" i="3" s="1"/>
  <c r="U279" i="3" s="1"/>
  <c r="U280" i="3" s="1"/>
  <c r="U281" i="3" s="1"/>
  <c r="U282" i="3" s="1"/>
  <c r="U283" i="3" s="1"/>
  <c r="U284" i="3" s="1"/>
  <c r="U285" i="3" s="1"/>
  <c r="U286" i="3" s="1"/>
  <c r="U287" i="3" s="1"/>
  <c r="U288" i="3" s="1"/>
  <c r="U289" i="3" s="1"/>
  <c r="U290" i="3" s="1"/>
  <c r="U291" i="3" s="1"/>
  <c r="U292" i="3" s="1"/>
  <c r="U293" i="3" s="1"/>
  <c r="U294" i="3" s="1"/>
  <c r="U295" i="3" s="1"/>
  <c r="U296" i="3" s="1"/>
  <c r="U297" i="3" s="1"/>
  <c r="U298" i="3" s="1"/>
  <c r="U299" i="3" s="1"/>
  <c r="U300" i="3" s="1"/>
  <c r="U301" i="3" s="1"/>
  <c r="U302" i="3" s="1"/>
  <c r="U303" i="3" s="1"/>
  <c r="U304" i="3" s="1"/>
  <c r="U305" i="3" s="1"/>
  <c r="U306" i="3" s="1"/>
  <c r="U307" i="3" s="1"/>
  <c r="U308" i="3" s="1"/>
  <c r="U309" i="3" s="1"/>
  <c r="U310" i="3" s="1"/>
  <c r="U311" i="3" s="1"/>
  <c r="U312" i="3" s="1"/>
  <c r="U313" i="3" s="1"/>
  <c r="U314" i="3" s="1"/>
  <c r="U315" i="3" s="1"/>
  <c r="U316" i="3" s="1"/>
  <c r="U317" i="3" s="1"/>
  <c r="U318" i="3" s="1"/>
  <c r="U319" i="3" s="1"/>
  <c r="U320" i="3" s="1"/>
  <c r="U321" i="3" s="1"/>
  <c r="U322" i="3" s="1"/>
  <c r="U323" i="3" s="1"/>
  <c r="U324" i="3" s="1"/>
  <c r="U325" i="3" s="1"/>
  <c r="U326" i="3" s="1"/>
  <c r="U327" i="3" s="1"/>
  <c r="U328" i="3" s="1"/>
  <c r="U329" i="3" s="1"/>
  <c r="U330" i="3" s="1"/>
  <c r="U331" i="3" s="1"/>
  <c r="U332" i="3" s="1"/>
  <c r="U333" i="3" s="1"/>
  <c r="U334" i="3" s="1"/>
  <c r="U335" i="3" s="1"/>
  <c r="U336" i="3" s="1"/>
  <c r="U337" i="3" s="1"/>
  <c r="U338" i="3" s="1"/>
  <c r="U339" i="3" s="1"/>
  <c r="U340" i="3" s="1"/>
  <c r="U341" i="3" s="1"/>
  <c r="U342" i="3" s="1"/>
  <c r="U343" i="3" s="1"/>
  <c r="U344" i="3" s="1"/>
  <c r="U345" i="3" s="1"/>
  <c r="U346" i="3" s="1"/>
  <c r="U347" i="3" s="1"/>
  <c r="U348" i="3" s="1"/>
  <c r="U349" i="3" s="1"/>
  <c r="U350" i="3" s="1"/>
  <c r="U351" i="3" s="1"/>
  <c r="U352" i="3" s="1"/>
  <c r="U353" i="3" s="1"/>
  <c r="U354" i="3" s="1"/>
  <c r="U355" i="3" s="1"/>
  <c r="U356" i="3" s="1"/>
  <c r="U357" i="3" s="1"/>
  <c r="U358" i="3" s="1"/>
  <c r="U359" i="3" s="1"/>
  <c r="U360" i="3" s="1"/>
  <c r="U361" i="3" s="1"/>
  <c r="U362" i="3" s="1"/>
  <c r="U363" i="3" s="1"/>
  <c r="U364" i="3" s="1"/>
  <c r="U365" i="3" s="1"/>
  <c r="U366" i="3" s="1"/>
  <c r="U367" i="3" s="1"/>
  <c r="U368" i="3" s="1"/>
  <c r="X4" i="3"/>
  <c r="X5" i="3" s="1"/>
  <c r="X6" i="3" s="1"/>
  <c r="X7" i="3" s="1"/>
  <c r="X8" i="3" s="1"/>
  <c r="X9" i="3" s="1"/>
  <c r="X10" i="3" s="1"/>
  <c r="X11" i="3" s="1"/>
  <c r="X12" i="3" s="1"/>
  <c r="X13" i="3" s="1"/>
  <c r="X14" i="3" s="1"/>
  <c r="X15" i="3" s="1"/>
  <c r="X16" i="3" s="1"/>
  <c r="X17" i="3" s="1"/>
  <c r="X18" i="3" s="1"/>
  <c r="X19" i="3" s="1"/>
  <c r="X20" i="3" s="1"/>
  <c r="X21" i="3" s="1"/>
  <c r="X22" i="3" s="1"/>
  <c r="X23" i="3" s="1"/>
  <c r="X24" i="3" s="1"/>
  <c r="X25" i="3" s="1"/>
  <c r="X26" i="3" s="1"/>
  <c r="X27" i="3" s="1"/>
  <c r="X28" i="3" s="1"/>
  <c r="X29" i="3" s="1"/>
  <c r="X30" i="3" s="1"/>
  <c r="X31" i="3" s="1"/>
  <c r="X32" i="3" s="1"/>
  <c r="X33" i="3" s="1"/>
  <c r="X34" i="3" s="1"/>
  <c r="X35" i="3" s="1"/>
  <c r="X36" i="3" s="1"/>
  <c r="X37" i="3" s="1"/>
  <c r="X38" i="3" s="1"/>
  <c r="X39" i="3" s="1"/>
  <c r="X40" i="3" s="1"/>
  <c r="X41" i="3" s="1"/>
  <c r="X42" i="3" s="1"/>
  <c r="X43" i="3" s="1"/>
  <c r="X44" i="3" s="1"/>
  <c r="X45" i="3" s="1"/>
  <c r="X46" i="3" s="1"/>
  <c r="X47" i="3" s="1"/>
  <c r="X48" i="3" s="1"/>
  <c r="X49" i="3" s="1"/>
  <c r="X50" i="3" s="1"/>
  <c r="X51" i="3" s="1"/>
  <c r="X52" i="3" s="1"/>
  <c r="X53" i="3" s="1"/>
  <c r="X54" i="3" s="1"/>
  <c r="X55" i="3" s="1"/>
  <c r="X56" i="3" s="1"/>
  <c r="X57" i="3" s="1"/>
  <c r="X58" i="3" s="1"/>
  <c r="X59" i="3" s="1"/>
  <c r="X60" i="3" s="1"/>
  <c r="X61" i="3" s="1"/>
  <c r="X62" i="3" s="1"/>
  <c r="X63" i="3" s="1"/>
  <c r="X64" i="3" s="1"/>
  <c r="X65" i="3" s="1"/>
  <c r="X66" i="3" s="1"/>
  <c r="X67" i="3" s="1"/>
  <c r="X68" i="3" s="1"/>
  <c r="X69" i="3" s="1"/>
  <c r="X70" i="3" s="1"/>
  <c r="X71" i="3" s="1"/>
  <c r="X72" i="3" s="1"/>
  <c r="X73" i="3" s="1"/>
  <c r="X74" i="3" s="1"/>
  <c r="X75" i="3" s="1"/>
  <c r="X76" i="3" s="1"/>
  <c r="X77" i="3" s="1"/>
  <c r="X78" i="3" s="1"/>
  <c r="X79" i="3" s="1"/>
  <c r="X80" i="3" s="1"/>
  <c r="X81" i="3" s="1"/>
  <c r="X82" i="3" s="1"/>
  <c r="X83" i="3" s="1"/>
  <c r="X84" i="3" s="1"/>
  <c r="X85" i="3" s="1"/>
  <c r="X86" i="3" s="1"/>
  <c r="X87" i="3" s="1"/>
  <c r="X88" i="3" s="1"/>
  <c r="X89" i="3" s="1"/>
  <c r="X90" i="3" s="1"/>
  <c r="X91" i="3" s="1"/>
  <c r="X92" i="3" s="1"/>
  <c r="X93" i="3" s="1"/>
  <c r="X94" i="3" s="1"/>
  <c r="X95" i="3" s="1"/>
  <c r="X96" i="3" s="1"/>
  <c r="X97" i="3" s="1"/>
  <c r="X98" i="3" s="1"/>
  <c r="X99" i="3" s="1"/>
  <c r="X100" i="3" s="1"/>
  <c r="X101" i="3" s="1"/>
  <c r="X102" i="3" s="1"/>
  <c r="X103" i="3" s="1"/>
  <c r="X104" i="3" s="1"/>
  <c r="X105" i="3" s="1"/>
  <c r="X106" i="3" s="1"/>
  <c r="X107" i="3" s="1"/>
  <c r="X108" i="3" s="1"/>
  <c r="X109" i="3" s="1"/>
  <c r="X110" i="3" s="1"/>
  <c r="X111" i="3" s="1"/>
  <c r="X112" i="3" s="1"/>
  <c r="X113" i="3" s="1"/>
  <c r="X114" i="3" s="1"/>
  <c r="X115" i="3" s="1"/>
  <c r="X116" i="3" s="1"/>
  <c r="X117" i="3" s="1"/>
  <c r="X118" i="3" s="1"/>
  <c r="X119" i="3" s="1"/>
  <c r="X120" i="3" s="1"/>
  <c r="X121" i="3" s="1"/>
  <c r="X122" i="3" s="1"/>
  <c r="X123" i="3" s="1"/>
  <c r="X124" i="3" s="1"/>
  <c r="X125" i="3" s="1"/>
  <c r="X126" i="3" s="1"/>
  <c r="X127" i="3" s="1"/>
  <c r="X128" i="3" s="1"/>
  <c r="X129" i="3" s="1"/>
  <c r="X130" i="3" s="1"/>
  <c r="X131" i="3" s="1"/>
  <c r="X132" i="3" s="1"/>
  <c r="X133" i="3" s="1"/>
  <c r="X134" i="3" s="1"/>
  <c r="X135" i="3" s="1"/>
  <c r="X136" i="3" s="1"/>
  <c r="X137" i="3" s="1"/>
  <c r="X138" i="3" s="1"/>
  <c r="X139" i="3" s="1"/>
  <c r="X140" i="3" s="1"/>
  <c r="X141" i="3" s="1"/>
  <c r="X142" i="3" s="1"/>
  <c r="X143" i="3" s="1"/>
  <c r="X144" i="3" s="1"/>
  <c r="X145" i="3" s="1"/>
  <c r="X146" i="3" s="1"/>
  <c r="X147" i="3" s="1"/>
  <c r="X148" i="3" s="1"/>
  <c r="X149" i="3" s="1"/>
  <c r="X150" i="3" s="1"/>
  <c r="X151" i="3" s="1"/>
  <c r="X152" i="3" s="1"/>
  <c r="X153" i="3" s="1"/>
  <c r="X154" i="3" s="1"/>
  <c r="X155" i="3" s="1"/>
  <c r="X156" i="3" s="1"/>
  <c r="X157" i="3" s="1"/>
  <c r="X158" i="3" s="1"/>
  <c r="X159" i="3" s="1"/>
  <c r="X160" i="3" s="1"/>
  <c r="X161" i="3" s="1"/>
  <c r="X162" i="3" s="1"/>
  <c r="X163" i="3" s="1"/>
  <c r="X164" i="3" s="1"/>
  <c r="X165" i="3" s="1"/>
  <c r="X166" i="3" s="1"/>
  <c r="X167" i="3" s="1"/>
  <c r="X168" i="3" s="1"/>
  <c r="X169" i="3" s="1"/>
  <c r="X170" i="3" s="1"/>
  <c r="X171" i="3" s="1"/>
  <c r="X172" i="3" s="1"/>
  <c r="X173" i="3" s="1"/>
  <c r="X174" i="3" s="1"/>
  <c r="X175" i="3" s="1"/>
  <c r="X176" i="3" s="1"/>
  <c r="X177" i="3" s="1"/>
  <c r="X178" i="3" s="1"/>
  <c r="X179" i="3" s="1"/>
  <c r="X180" i="3" s="1"/>
  <c r="X181" i="3" s="1"/>
  <c r="X182" i="3" s="1"/>
  <c r="X183" i="3" s="1"/>
  <c r="X184" i="3" s="1"/>
  <c r="X185" i="3" s="1"/>
  <c r="X186" i="3" s="1"/>
  <c r="X187" i="3" s="1"/>
  <c r="X188" i="3" s="1"/>
  <c r="X189" i="3" s="1"/>
  <c r="X190" i="3" s="1"/>
  <c r="X191" i="3" s="1"/>
  <c r="X192" i="3" s="1"/>
  <c r="X193" i="3" s="1"/>
  <c r="X194" i="3" s="1"/>
  <c r="X195" i="3" s="1"/>
  <c r="X196" i="3" s="1"/>
  <c r="X197" i="3" s="1"/>
  <c r="X198" i="3" s="1"/>
  <c r="X199" i="3" s="1"/>
  <c r="X200" i="3" s="1"/>
  <c r="X201" i="3" s="1"/>
  <c r="X202" i="3" s="1"/>
  <c r="X203" i="3" s="1"/>
  <c r="X204" i="3" s="1"/>
  <c r="X205" i="3" s="1"/>
  <c r="X206" i="3" s="1"/>
  <c r="X207" i="3" s="1"/>
  <c r="X208" i="3" s="1"/>
  <c r="X209" i="3" s="1"/>
  <c r="X210" i="3" s="1"/>
  <c r="X211" i="3" s="1"/>
  <c r="X212" i="3" s="1"/>
  <c r="X213" i="3" s="1"/>
  <c r="X214" i="3" s="1"/>
  <c r="X215" i="3" s="1"/>
  <c r="X216" i="3" s="1"/>
  <c r="X217" i="3" s="1"/>
  <c r="X218" i="3" s="1"/>
  <c r="X219" i="3" s="1"/>
  <c r="X220" i="3" s="1"/>
  <c r="X221" i="3" s="1"/>
  <c r="X222" i="3" s="1"/>
  <c r="X223" i="3" s="1"/>
  <c r="X224" i="3" s="1"/>
  <c r="X225" i="3" s="1"/>
  <c r="X226" i="3" s="1"/>
  <c r="X227" i="3" s="1"/>
  <c r="X228" i="3" s="1"/>
  <c r="X229" i="3" s="1"/>
  <c r="X230" i="3" s="1"/>
  <c r="X231" i="3" s="1"/>
  <c r="X232" i="3" s="1"/>
  <c r="X233" i="3" s="1"/>
  <c r="X234" i="3" s="1"/>
  <c r="X235" i="3" s="1"/>
  <c r="X236" i="3" s="1"/>
  <c r="X237" i="3" s="1"/>
  <c r="X238" i="3" s="1"/>
  <c r="X239" i="3" s="1"/>
  <c r="X240" i="3" s="1"/>
  <c r="X241" i="3" s="1"/>
  <c r="X242" i="3" s="1"/>
  <c r="X243" i="3" s="1"/>
  <c r="X244" i="3" s="1"/>
  <c r="X245" i="3" s="1"/>
  <c r="X246" i="3" s="1"/>
  <c r="X247" i="3" s="1"/>
  <c r="X248" i="3" s="1"/>
  <c r="X249" i="3" s="1"/>
  <c r="X250" i="3" s="1"/>
  <c r="X251" i="3" s="1"/>
  <c r="X252" i="3" s="1"/>
  <c r="X253" i="3" s="1"/>
  <c r="X254" i="3" s="1"/>
  <c r="X255" i="3" s="1"/>
  <c r="X256" i="3" s="1"/>
  <c r="X257" i="3" s="1"/>
  <c r="X258" i="3" s="1"/>
  <c r="X259" i="3" s="1"/>
  <c r="X260" i="3" s="1"/>
  <c r="X261" i="3" s="1"/>
  <c r="X262" i="3" s="1"/>
  <c r="X263" i="3" s="1"/>
  <c r="X264" i="3" s="1"/>
  <c r="X265" i="3" s="1"/>
  <c r="X266" i="3" s="1"/>
  <c r="X267" i="3" s="1"/>
  <c r="X268" i="3" s="1"/>
  <c r="X269" i="3" s="1"/>
  <c r="X270" i="3" s="1"/>
  <c r="X271" i="3" s="1"/>
  <c r="X272" i="3" s="1"/>
  <c r="X273" i="3" s="1"/>
  <c r="X274" i="3" s="1"/>
  <c r="X275" i="3" s="1"/>
  <c r="X276" i="3" s="1"/>
  <c r="X277" i="3" s="1"/>
  <c r="X278" i="3" s="1"/>
  <c r="X279" i="3" s="1"/>
  <c r="X280" i="3" s="1"/>
  <c r="X281" i="3" s="1"/>
  <c r="X282" i="3" s="1"/>
  <c r="X283" i="3" s="1"/>
  <c r="X284" i="3" s="1"/>
  <c r="X285" i="3" s="1"/>
  <c r="X286" i="3" s="1"/>
  <c r="X287" i="3" s="1"/>
  <c r="X288" i="3" s="1"/>
  <c r="X289" i="3" s="1"/>
  <c r="X290" i="3" s="1"/>
  <c r="X291" i="3" s="1"/>
  <c r="X292" i="3" s="1"/>
  <c r="X293" i="3" s="1"/>
  <c r="X294" i="3" s="1"/>
  <c r="X295" i="3" s="1"/>
  <c r="X296" i="3" s="1"/>
  <c r="X297" i="3" s="1"/>
  <c r="X298" i="3" s="1"/>
  <c r="X299" i="3" s="1"/>
  <c r="X300" i="3" s="1"/>
  <c r="X301" i="3" s="1"/>
  <c r="X302" i="3" s="1"/>
  <c r="X303" i="3" s="1"/>
  <c r="X304" i="3" s="1"/>
  <c r="X305" i="3" s="1"/>
  <c r="X306" i="3" s="1"/>
  <c r="X307" i="3" s="1"/>
  <c r="X308" i="3" s="1"/>
  <c r="X309" i="3" s="1"/>
  <c r="X310" i="3" s="1"/>
  <c r="X311" i="3" s="1"/>
  <c r="X312" i="3" s="1"/>
  <c r="X313" i="3" s="1"/>
  <c r="X314" i="3" s="1"/>
  <c r="X315" i="3" s="1"/>
  <c r="X316" i="3" s="1"/>
  <c r="X317" i="3" s="1"/>
  <c r="X318" i="3" s="1"/>
  <c r="X319" i="3" s="1"/>
  <c r="X320" i="3" s="1"/>
  <c r="X321" i="3" s="1"/>
  <c r="X322" i="3" s="1"/>
  <c r="X323" i="3" s="1"/>
  <c r="X324" i="3" s="1"/>
  <c r="X325" i="3" s="1"/>
  <c r="X326" i="3" s="1"/>
  <c r="X327" i="3" s="1"/>
  <c r="X328" i="3" s="1"/>
  <c r="X329" i="3" s="1"/>
  <c r="X330" i="3" s="1"/>
  <c r="X331" i="3" s="1"/>
  <c r="X332" i="3" s="1"/>
  <c r="X333" i="3" s="1"/>
  <c r="X334" i="3" s="1"/>
  <c r="X335" i="3" s="1"/>
  <c r="X336" i="3" s="1"/>
  <c r="X337" i="3" s="1"/>
  <c r="X338" i="3" s="1"/>
  <c r="X339" i="3" s="1"/>
  <c r="X340" i="3" s="1"/>
  <c r="X341" i="3" s="1"/>
  <c r="X342" i="3" s="1"/>
  <c r="X343" i="3" s="1"/>
  <c r="X344" i="3" s="1"/>
  <c r="X345" i="3" s="1"/>
  <c r="X346" i="3" s="1"/>
  <c r="X347" i="3" s="1"/>
  <c r="X348" i="3" s="1"/>
  <c r="X349" i="3" s="1"/>
  <c r="X350" i="3" s="1"/>
  <c r="X351" i="3" s="1"/>
  <c r="X352" i="3" s="1"/>
  <c r="X353" i="3" s="1"/>
  <c r="X354" i="3" s="1"/>
  <c r="X355" i="3" s="1"/>
  <c r="X356" i="3" s="1"/>
  <c r="X357" i="3" s="1"/>
  <c r="X358" i="3" s="1"/>
  <c r="X359" i="3" s="1"/>
  <c r="X360" i="3" s="1"/>
  <c r="X361" i="3" s="1"/>
  <c r="X362" i="3" s="1"/>
  <c r="X363" i="3" s="1"/>
  <c r="X364" i="3" s="1"/>
  <c r="X365" i="3" s="1"/>
  <c r="X366" i="3" s="1"/>
  <c r="X367" i="3" s="1"/>
  <c r="X368" i="3" s="1"/>
  <c r="W4" i="3"/>
  <c r="W5" i="3" s="1"/>
  <c r="W6" i="3" s="1"/>
  <c r="W7" i="3" s="1"/>
  <c r="W8" i="3" s="1"/>
  <c r="W9" i="3" s="1"/>
  <c r="W10" i="3" s="1"/>
  <c r="W11" i="3" s="1"/>
  <c r="W12" i="3" s="1"/>
  <c r="W13" i="3" s="1"/>
  <c r="W14" i="3" s="1"/>
  <c r="W15" i="3" s="1"/>
  <c r="W16" i="3" s="1"/>
  <c r="W17" i="3" s="1"/>
  <c r="W18" i="3" s="1"/>
  <c r="W19" i="3" s="1"/>
  <c r="W20" i="3" s="1"/>
  <c r="W21" i="3" s="1"/>
  <c r="W22" i="3" s="1"/>
  <c r="W23" i="3" s="1"/>
  <c r="W24" i="3" s="1"/>
  <c r="W25" i="3" s="1"/>
  <c r="W26" i="3" s="1"/>
  <c r="W27" i="3" s="1"/>
  <c r="W28" i="3" s="1"/>
  <c r="W29" i="3" s="1"/>
  <c r="W30" i="3" s="1"/>
  <c r="W31" i="3" s="1"/>
  <c r="W32" i="3" s="1"/>
  <c r="W33" i="3" s="1"/>
  <c r="W34" i="3" s="1"/>
  <c r="W35" i="3" s="1"/>
  <c r="W36" i="3" s="1"/>
  <c r="W37" i="3" s="1"/>
  <c r="W38" i="3" s="1"/>
  <c r="W39" i="3" s="1"/>
  <c r="W40" i="3" s="1"/>
  <c r="W41" i="3" s="1"/>
  <c r="W42" i="3" s="1"/>
  <c r="W43" i="3" s="1"/>
  <c r="W44" i="3" s="1"/>
  <c r="W45" i="3" s="1"/>
  <c r="W46" i="3" s="1"/>
  <c r="W47" i="3" s="1"/>
  <c r="W48" i="3" s="1"/>
  <c r="W49" i="3" s="1"/>
  <c r="W50" i="3" s="1"/>
  <c r="W51" i="3" s="1"/>
  <c r="W52" i="3" s="1"/>
  <c r="W53" i="3" s="1"/>
  <c r="W54" i="3" s="1"/>
  <c r="W55" i="3" s="1"/>
  <c r="W56" i="3" s="1"/>
  <c r="W57" i="3" s="1"/>
  <c r="W58" i="3" s="1"/>
  <c r="W59" i="3" s="1"/>
  <c r="W60" i="3" s="1"/>
  <c r="W61" i="3" s="1"/>
  <c r="W62" i="3" s="1"/>
  <c r="W63" i="3" s="1"/>
  <c r="W64" i="3" s="1"/>
  <c r="W65" i="3" s="1"/>
  <c r="W66" i="3" s="1"/>
  <c r="W67" i="3" s="1"/>
  <c r="W68" i="3" s="1"/>
  <c r="W69" i="3" s="1"/>
  <c r="W70" i="3" s="1"/>
  <c r="W71" i="3" s="1"/>
  <c r="W72" i="3" s="1"/>
  <c r="W73" i="3" s="1"/>
  <c r="W74" i="3" s="1"/>
  <c r="W75" i="3" s="1"/>
  <c r="W76" i="3" s="1"/>
  <c r="W77" i="3" s="1"/>
  <c r="W78" i="3" s="1"/>
  <c r="W79" i="3" s="1"/>
  <c r="W80" i="3" s="1"/>
  <c r="W81" i="3" s="1"/>
  <c r="W82" i="3" s="1"/>
  <c r="W83" i="3" s="1"/>
  <c r="W84" i="3" s="1"/>
  <c r="W85" i="3" s="1"/>
  <c r="W86" i="3" s="1"/>
  <c r="W87" i="3" s="1"/>
  <c r="W88" i="3" s="1"/>
  <c r="W89" i="3" s="1"/>
  <c r="W90" i="3" s="1"/>
  <c r="W91" i="3" s="1"/>
  <c r="W92" i="3" s="1"/>
  <c r="W93" i="3" s="1"/>
  <c r="W94" i="3" s="1"/>
  <c r="W95" i="3" s="1"/>
  <c r="W96" i="3" s="1"/>
  <c r="W97" i="3" s="1"/>
  <c r="W98" i="3" s="1"/>
  <c r="W99" i="3" s="1"/>
  <c r="W100" i="3" s="1"/>
  <c r="W101" i="3" s="1"/>
  <c r="W102" i="3" s="1"/>
  <c r="W103" i="3" s="1"/>
  <c r="W104" i="3" s="1"/>
  <c r="W105" i="3" s="1"/>
  <c r="W106" i="3" s="1"/>
  <c r="W107" i="3" s="1"/>
  <c r="W108" i="3" s="1"/>
  <c r="W109" i="3" s="1"/>
  <c r="W110" i="3" s="1"/>
  <c r="W111" i="3" s="1"/>
  <c r="W112" i="3" s="1"/>
  <c r="W113" i="3" s="1"/>
  <c r="W114" i="3" s="1"/>
  <c r="W115" i="3" s="1"/>
  <c r="W116" i="3" s="1"/>
  <c r="W117" i="3" s="1"/>
  <c r="W118" i="3" s="1"/>
  <c r="W119" i="3" s="1"/>
  <c r="W120" i="3" s="1"/>
  <c r="W121" i="3" s="1"/>
  <c r="W122" i="3" s="1"/>
  <c r="W123" i="3" s="1"/>
  <c r="W124" i="3" s="1"/>
  <c r="W125" i="3" s="1"/>
  <c r="W126" i="3" s="1"/>
  <c r="W127" i="3" s="1"/>
  <c r="W128" i="3" s="1"/>
  <c r="W129" i="3" s="1"/>
  <c r="W130" i="3" s="1"/>
  <c r="W131" i="3" s="1"/>
  <c r="W132" i="3" s="1"/>
  <c r="W133" i="3" s="1"/>
  <c r="W134" i="3" s="1"/>
  <c r="W135" i="3" s="1"/>
  <c r="W136" i="3" s="1"/>
  <c r="W137" i="3" s="1"/>
  <c r="W138" i="3" s="1"/>
  <c r="W139" i="3" s="1"/>
  <c r="W140" i="3" s="1"/>
  <c r="W141" i="3" s="1"/>
  <c r="W142" i="3" s="1"/>
  <c r="W143" i="3" s="1"/>
  <c r="W144" i="3" s="1"/>
  <c r="W145" i="3" s="1"/>
  <c r="W146" i="3" s="1"/>
  <c r="W147" i="3" s="1"/>
  <c r="W148" i="3" s="1"/>
  <c r="W149" i="3" s="1"/>
  <c r="W150" i="3" s="1"/>
  <c r="W151" i="3" s="1"/>
  <c r="W152" i="3" s="1"/>
  <c r="W153" i="3" s="1"/>
  <c r="W154" i="3" s="1"/>
  <c r="W155" i="3" s="1"/>
  <c r="W156" i="3" s="1"/>
  <c r="W157" i="3" s="1"/>
  <c r="W158" i="3" s="1"/>
  <c r="W159" i="3" s="1"/>
  <c r="W160" i="3" s="1"/>
  <c r="W161" i="3" s="1"/>
  <c r="W162" i="3" s="1"/>
  <c r="W163" i="3" s="1"/>
  <c r="W164" i="3" s="1"/>
  <c r="W165" i="3" s="1"/>
  <c r="W166" i="3" s="1"/>
  <c r="W167" i="3" s="1"/>
  <c r="W168" i="3" s="1"/>
  <c r="W169" i="3" s="1"/>
  <c r="W170" i="3" s="1"/>
  <c r="W171" i="3" s="1"/>
  <c r="W172" i="3" s="1"/>
  <c r="W173" i="3" s="1"/>
  <c r="W174" i="3" s="1"/>
  <c r="W175" i="3" s="1"/>
  <c r="W176" i="3" s="1"/>
  <c r="W177" i="3" s="1"/>
  <c r="W178" i="3" s="1"/>
  <c r="W179" i="3" s="1"/>
  <c r="W180" i="3" s="1"/>
  <c r="W181" i="3" s="1"/>
  <c r="W182" i="3" s="1"/>
  <c r="W183" i="3" s="1"/>
  <c r="W184" i="3" s="1"/>
  <c r="W185" i="3" s="1"/>
  <c r="W186" i="3" s="1"/>
  <c r="W187" i="3" s="1"/>
  <c r="W188" i="3" s="1"/>
  <c r="W189" i="3" s="1"/>
  <c r="W190" i="3" s="1"/>
  <c r="W191" i="3" s="1"/>
  <c r="W192" i="3" s="1"/>
  <c r="W193" i="3" s="1"/>
  <c r="W194" i="3" s="1"/>
  <c r="W195" i="3" s="1"/>
  <c r="W196" i="3" s="1"/>
  <c r="W197" i="3" s="1"/>
  <c r="W198" i="3" s="1"/>
  <c r="W199" i="3" s="1"/>
  <c r="W200" i="3" s="1"/>
  <c r="W201" i="3" s="1"/>
  <c r="W202" i="3" s="1"/>
  <c r="W203" i="3" s="1"/>
  <c r="W204" i="3" s="1"/>
  <c r="W205" i="3" s="1"/>
  <c r="W206" i="3" s="1"/>
  <c r="W207" i="3" s="1"/>
  <c r="W208" i="3" s="1"/>
  <c r="W209" i="3" s="1"/>
  <c r="W210" i="3" s="1"/>
  <c r="W211" i="3" s="1"/>
  <c r="W212" i="3" s="1"/>
  <c r="W213" i="3" s="1"/>
  <c r="W214" i="3" s="1"/>
  <c r="W215" i="3" s="1"/>
  <c r="W216" i="3" s="1"/>
  <c r="W217" i="3" s="1"/>
  <c r="W218" i="3" s="1"/>
  <c r="W219" i="3" s="1"/>
  <c r="W220" i="3" s="1"/>
  <c r="W221" i="3" s="1"/>
  <c r="W222" i="3" s="1"/>
  <c r="W223" i="3" s="1"/>
  <c r="W224" i="3" s="1"/>
  <c r="W225" i="3" s="1"/>
  <c r="W226" i="3" s="1"/>
  <c r="W227" i="3" s="1"/>
  <c r="W228" i="3" s="1"/>
  <c r="W229" i="3" s="1"/>
  <c r="W230" i="3" s="1"/>
  <c r="W231" i="3" s="1"/>
  <c r="W232" i="3" s="1"/>
  <c r="W233" i="3" s="1"/>
  <c r="W234" i="3" s="1"/>
  <c r="W235" i="3" s="1"/>
  <c r="W236" i="3" s="1"/>
  <c r="W237" i="3" s="1"/>
  <c r="W238" i="3" s="1"/>
  <c r="W239" i="3" s="1"/>
  <c r="W240" i="3" s="1"/>
  <c r="W241" i="3" s="1"/>
  <c r="W242" i="3" s="1"/>
  <c r="W243" i="3" s="1"/>
  <c r="W244" i="3" s="1"/>
  <c r="W245" i="3" s="1"/>
  <c r="W246" i="3" s="1"/>
  <c r="W247" i="3" s="1"/>
  <c r="W248" i="3" s="1"/>
  <c r="W249" i="3" s="1"/>
  <c r="W250" i="3" s="1"/>
  <c r="W251" i="3" s="1"/>
  <c r="W252" i="3" s="1"/>
  <c r="W253" i="3" s="1"/>
  <c r="W254" i="3" s="1"/>
  <c r="W255" i="3" s="1"/>
  <c r="W256" i="3" s="1"/>
  <c r="W257" i="3" s="1"/>
  <c r="W258" i="3" s="1"/>
  <c r="W259" i="3" s="1"/>
  <c r="W260" i="3" s="1"/>
  <c r="W261" i="3" s="1"/>
  <c r="W262" i="3" s="1"/>
  <c r="W263" i="3" s="1"/>
  <c r="W264" i="3" s="1"/>
  <c r="W265" i="3" s="1"/>
  <c r="W266" i="3" s="1"/>
  <c r="W267" i="3" s="1"/>
  <c r="W268" i="3" s="1"/>
  <c r="W269" i="3" s="1"/>
  <c r="W270" i="3" s="1"/>
  <c r="W271" i="3" s="1"/>
  <c r="W272" i="3" s="1"/>
  <c r="W273" i="3" s="1"/>
  <c r="W274" i="3" s="1"/>
  <c r="W275" i="3" s="1"/>
  <c r="W276" i="3" s="1"/>
  <c r="W277" i="3" s="1"/>
  <c r="W278" i="3" s="1"/>
  <c r="W279" i="3" s="1"/>
  <c r="W280" i="3" s="1"/>
  <c r="W281" i="3" s="1"/>
  <c r="W282" i="3" s="1"/>
  <c r="W283" i="3" s="1"/>
  <c r="W284" i="3" s="1"/>
  <c r="W285" i="3" s="1"/>
  <c r="W286" i="3" s="1"/>
  <c r="W287" i="3" s="1"/>
  <c r="W288" i="3" s="1"/>
  <c r="W289" i="3" s="1"/>
  <c r="W290" i="3" s="1"/>
  <c r="W291" i="3" s="1"/>
  <c r="W292" i="3" s="1"/>
  <c r="W293" i="3" s="1"/>
  <c r="W294" i="3" s="1"/>
  <c r="W295" i="3" s="1"/>
  <c r="W296" i="3" s="1"/>
  <c r="W297" i="3" s="1"/>
  <c r="W298" i="3" s="1"/>
  <c r="W299" i="3" s="1"/>
  <c r="W300" i="3" s="1"/>
  <c r="W301" i="3" s="1"/>
  <c r="W302" i="3" s="1"/>
  <c r="W303" i="3" s="1"/>
  <c r="W304" i="3" s="1"/>
  <c r="W305" i="3" s="1"/>
  <c r="W306" i="3" s="1"/>
  <c r="W307" i="3" s="1"/>
  <c r="W308" i="3" s="1"/>
  <c r="W309" i="3" s="1"/>
  <c r="W310" i="3" s="1"/>
  <c r="W311" i="3" s="1"/>
  <c r="W312" i="3" s="1"/>
  <c r="W313" i="3" s="1"/>
  <c r="W314" i="3" s="1"/>
  <c r="W315" i="3" s="1"/>
  <c r="W316" i="3" s="1"/>
  <c r="W317" i="3" s="1"/>
  <c r="W318" i="3" s="1"/>
  <c r="W319" i="3" s="1"/>
  <c r="W320" i="3" s="1"/>
  <c r="W321" i="3" s="1"/>
  <c r="W322" i="3" s="1"/>
  <c r="W323" i="3" s="1"/>
  <c r="W324" i="3" s="1"/>
  <c r="W325" i="3" s="1"/>
  <c r="W326" i="3" s="1"/>
  <c r="W327" i="3" s="1"/>
  <c r="W328" i="3" s="1"/>
  <c r="W329" i="3" s="1"/>
  <c r="W330" i="3" s="1"/>
  <c r="W331" i="3" s="1"/>
  <c r="W332" i="3" s="1"/>
  <c r="W333" i="3" s="1"/>
  <c r="W334" i="3" s="1"/>
  <c r="W335" i="3" s="1"/>
  <c r="W336" i="3" s="1"/>
  <c r="W337" i="3" s="1"/>
  <c r="W338" i="3" s="1"/>
  <c r="W339" i="3" s="1"/>
  <c r="W340" i="3" s="1"/>
  <c r="W341" i="3" s="1"/>
  <c r="W342" i="3" s="1"/>
  <c r="W343" i="3" s="1"/>
  <c r="W344" i="3" s="1"/>
  <c r="W345" i="3" s="1"/>
  <c r="W346" i="3" s="1"/>
  <c r="W347" i="3" s="1"/>
  <c r="W348" i="3" s="1"/>
  <c r="W349" i="3" s="1"/>
  <c r="W350" i="3" s="1"/>
  <c r="W351" i="3" s="1"/>
  <c r="W352" i="3" s="1"/>
  <c r="W353" i="3" s="1"/>
  <c r="W354" i="3" s="1"/>
  <c r="W355" i="3" s="1"/>
  <c r="W356" i="3" s="1"/>
  <c r="W357" i="3" s="1"/>
  <c r="W358" i="3" s="1"/>
  <c r="W359" i="3" s="1"/>
  <c r="W360" i="3" s="1"/>
  <c r="W361" i="3" s="1"/>
  <c r="W362" i="3" s="1"/>
  <c r="W363" i="3" s="1"/>
  <c r="W364" i="3" s="1"/>
  <c r="W365" i="3" s="1"/>
  <c r="W366" i="3" s="1"/>
  <c r="W367" i="3" s="1"/>
  <c r="W368" i="3" s="1"/>
  <c r="V4" i="3"/>
  <c r="V5" i="3" s="1"/>
  <c r="V6" i="3" s="1"/>
  <c r="V7" i="3" s="1"/>
  <c r="V8" i="3" s="1"/>
  <c r="V9" i="3" s="1"/>
  <c r="V10" i="3" s="1"/>
  <c r="V11" i="3" s="1"/>
  <c r="V12" i="3" s="1"/>
  <c r="V13" i="3" s="1"/>
  <c r="V14" i="3" s="1"/>
  <c r="V15" i="3" s="1"/>
  <c r="V16" i="3" s="1"/>
  <c r="V17" i="3" s="1"/>
  <c r="V18" i="3" s="1"/>
  <c r="V19" i="3" s="1"/>
  <c r="V20" i="3" s="1"/>
  <c r="V21" i="3" s="1"/>
  <c r="V22" i="3" s="1"/>
  <c r="V23" i="3" s="1"/>
  <c r="V24" i="3" s="1"/>
  <c r="V25" i="3" s="1"/>
  <c r="V26" i="3" s="1"/>
  <c r="V27" i="3" s="1"/>
  <c r="V28" i="3" s="1"/>
  <c r="V29" i="3" s="1"/>
  <c r="V30" i="3" s="1"/>
  <c r="V31" i="3" s="1"/>
  <c r="V32" i="3" s="1"/>
  <c r="V33" i="3" s="1"/>
  <c r="V34" i="3" s="1"/>
  <c r="V35" i="3" s="1"/>
  <c r="V36" i="3" s="1"/>
  <c r="V37" i="3" s="1"/>
  <c r="V38" i="3" s="1"/>
  <c r="V39" i="3" s="1"/>
  <c r="V40" i="3" s="1"/>
  <c r="V41" i="3" s="1"/>
  <c r="V42" i="3" s="1"/>
  <c r="V43" i="3" s="1"/>
  <c r="V44" i="3" s="1"/>
  <c r="V45" i="3" s="1"/>
  <c r="V46" i="3" s="1"/>
  <c r="V47" i="3" s="1"/>
  <c r="V48" i="3" s="1"/>
  <c r="V49" i="3" s="1"/>
  <c r="V50" i="3" s="1"/>
  <c r="V51" i="3" s="1"/>
  <c r="V52" i="3" s="1"/>
  <c r="V53" i="3" s="1"/>
  <c r="V54" i="3" s="1"/>
  <c r="V55" i="3" s="1"/>
  <c r="V56" i="3" s="1"/>
  <c r="V57" i="3" s="1"/>
  <c r="V58" i="3" s="1"/>
  <c r="V59" i="3" s="1"/>
  <c r="V60" i="3" s="1"/>
  <c r="V61" i="3" s="1"/>
  <c r="V62" i="3" s="1"/>
  <c r="V63" i="3" s="1"/>
  <c r="V64" i="3" s="1"/>
  <c r="V65" i="3" s="1"/>
  <c r="V66" i="3" s="1"/>
  <c r="V67" i="3" s="1"/>
  <c r="V68" i="3" s="1"/>
  <c r="V69" i="3" s="1"/>
  <c r="V70" i="3" s="1"/>
  <c r="V71" i="3" s="1"/>
  <c r="V72" i="3" s="1"/>
  <c r="V73" i="3" s="1"/>
  <c r="V74" i="3" s="1"/>
  <c r="V75" i="3" s="1"/>
  <c r="V76" i="3" s="1"/>
  <c r="V77" i="3" s="1"/>
  <c r="V78" i="3" s="1"/>
  <c r="V79" i="3" s="1"/>
  <c r="V80" i="3" s="1"/>
  <c r="V81" i="3" s="1"/>
  <c r="V82" i="3" s="1"/>
  <c r="V83" i="3" s="1"/>
  <c r="V84" i="3" s="1"/>
  <c r="V85" i="3" s="1"/>
  <c r="V86" i="3" s="1"/>
  <c r="V87" i="3" s="1"/>
  <c r="V88" i="3" s="1"/>
  <c r="V89" i="3" s="1"/>
  <c r="V90" i="3" s="1"/>
  <c r="V91" i="3" s="1"/>
  <c r="V92" i="3" s="1"/>
  <c r="V93" i="3" s="1"/>
  <c r="V94" i="3" s="1"/>
  <c r="V95" i="3" s="1"/>
  <c r="V96" i="3" s="1"/>
  <c r="V97" i="3" s="1"/>
  <c r="V98" i="3" s="1"/>
  <c r="V99" i="3" s="1"/>
  <c r="V100" i="3" s="1"/>
  <c r="V101" i="3" s="1"/>
  <c r="V102" i="3" s="1"/>
  <c r="V103" i="3" s="1"/>
  <c r="V104" i="3" s="1"/>
  <c r="V105" i="3" s="1"/>
  <c r="V106" i="3" s="1"/>
  <c r="V107" i="3" s="1"/>
  <c r="V108" i="3" s="1"/>
  <c r="V109" i="3" s="1"/>
  <c r="V110" i="3" s="1"/>
  <c r="V111" i="3" s="1"/>
  <c r="V112" i="3" s="1"/>
  <c r="V113" i="3" s="1"/>
  <c r="V114" i="3" s="1"/>
  <c r="V115" i="3" s="1"/>
  <c r="V116" i="3" s="1"/>
  <c r="V117" i="3" s="1"/>
  <c r="V118" i="3" s="1"/>
  <c r="V119" i="3" s="1"/>
  <c r="V120" i="3" s="1"/>
  <c r="V121" i="3" s="1"/>
  <c r="V122" i="3" s="1"/>
  <c r="V123" i="3" s="1"/>
  <c r="V124" i="3" s="1"/>
  <c r="V125" i="3" s="1"/>
  <c r="V126" i="3" s="1"/>
  <c r="V127" i="3" s="1"/>
  <c r="V128" i="3" s="1"/>
  <c r="V129" i="3" s="1"/>
  <c r="V130" i="3" s="1"/>
  <c r="V131" i="3" s="1"/>
  <c r="V132" i="3" s="1"/>
  <c r="V133" i="3" s="1"/>
  <c r="V134" i="3" s="1"/>
  <c r="V135" i="3" s="1"/>
  <c r="V136" i="3" s="1"/>
  <c r="V137" i="3" s="1"/>
  <c r="V138" i="3" s="1"/>
  <c r="V139" i="3" s="1"/>
  <c r="V140" i="3" s="1"/>
  <c r="V141" i="3" s="1"/>
  <c r="V142" i="3" s="1"/>
  <c r="V143" i="3" s="1"/>
  <c r="V144" i="3" s="1"/>
  <c r="V145" i="3" s="1"/>
  <c r="V146" i="3" s="1"/>
  <c r="V147" i="3" s="1"/>
  <c r="V148" i="3" s="1"/>
  <c r="V149" i="3" s="1"/>
  <c r="V150" i="3" s="1"/>
  <c r="V151" i="3" s="1"/>
  <c r="V152" i="3" s="1"/>
  <c r="V153" i="3" s="1"/>
  <c r="V154" i="3" s="1"/>
  <c r="V155" i="3" s="1"/>
  <c r="V156" i="3" s="1"/>
  <c r="V157" i="3" s="1"/>
  <c r="V158" i="3" s="1"/>
  <c r="V159" i="3" s="1"/>
  <c r="V160" i="3" s="1"/>
  <c r="V161" i="3" s="1"/>
  <c r="V162" i="3" s="1"/>
  <c r="V163" i="3" s="1"/>
  <c r="V164" i="3" s="1"/>
  <c r="V165" i="3" s="1"/>
  <c r="V166" i="3" s="1"/>
  <c r="V167" i="3" s="1"/>
  <c r="V168" i="3" s="1"/>
  <c r="V169" i="3" s="1"/>
  <c r="V170" i="3" s="1"/>
  <c r="V171" i="3" s="1"/>
  <c r="V172" i="3" s="1"/>
  <c r="V173" i="3" s="1"/>
  <c r="V174" i="3" s="1"/>
  <c r="V175" i="3" s="1"/>
  <c r="V176" i="3" s="1"/>
  <c r="V177" i="3" s="1"/>
  <c r="V178" i="3" s="1"/>
  <c r="V179" i="3" s="1"/>
  <c r="V180" i="3" s="1"/>
  <c r="V181" i="3" s="1"/>
  <c r="V182" i="3" s="1"/>
  <c r="V183" i="3" s="1"/>
  <c r="V184" i="3" s="1"/>
  <c r="V185" i="3" s="1"/>
  <c r="V186" i="3" s="1"/>
  <c r="V187" i="3" s="1"/>
  <c r="V188" i="3" s="1"/>
  <c r="V189" i="3" s="1"/>
  <c r="V190" i="3" s="1"/>
  <c r="V191" i="3" s="1"/>
  <c r="V192" i="3" s="1"/>
  <c r="V193" i="3" s="1"/>
  <c r="V194" i="3" s="1"/>
  <c r="V195" i="3" s="1"/>
  <c r="V196" i="3" s="1"/>
  <c r="V197" i="3" s="1"/>
  <c r="V198" i="3" s="1"/>
  <c r="V199" i="3" s="1"/>
  <c r="V200" i="3" s="1"/>
  <c r="V201" i="3" s="1"/>
  <c r="V202" i="3" s="1"/>
  <c r="V203" i="3" s="1"/>
  <c r="V204" i="3" s="1"/>
  <c r="V205" i="3" s="1"/>
  <c r="V206" i="3" s="1"/>
  <c r="V207" i="3" s="1"/>
  <c r="V208" i="3" s="1"/>
  <c r="V209" i="3" s="1"/>
  <c r="V210" i="3" s="1"/>
  <c r="V211" i="3" s="1"/>
  <c r="V212" i="3" s="1"/>
  <c r="V213" i="3" s="1"/>
  <c r="V214" i="3" s="1"/>
  <c r="V215" i="3" s="1"/>
  <c r="V216" i="3" s="1"/>
  <c r="V217" i="3" s="1"/>
  <c r="V218" i="3" s="1"/>
  <c r="V219" i="3" s="1"/>
  <c r="V220" i="3" s="1"/>
  <c r="V221" i="3" s="1"/>
  <c r="V222" i="3" s="1"/>
  <c r="V223" i="3" s="1"/>
  <c r="V224" i="3" s="1"/>
  <c r="V225" i="3" s="1"/>
  <c r="V226" i="3" s="1"/>
  <c r="V227" i="3" s="1"/>
  <c r="V228" i="3" s="1"/>
  <c r="V229" i="3" s="1"/>
  <c r="V230" i="3" s="1"/>
  <c r="V231" i="3" s="1"/>
  <c r="V232" i="3" s="1"/>
  <c r="V233" i="3" s="1"/>
  <c r="V234" i="3" s="1"/>
  <c r="V235" i="3" s="1"/>
  <c r="V236" i="3" s="1"/>
  <c r="V237" i="3" s="1"/>
  <c r="V238" i="3" s="1"/>
  <c r="V239" i="3" s="1"/>
  <c r="V240" i="3" s="1"/>
  <c r="V241" i="3" s="1"/>
  <c r="V242" i="3" s="1"/>
  <c r="V243" i="3" s="1"/>
  <c r="V244" i="3" s="1"/>
  <c r="V245" i="3" s="1"/>
  <c r="V246" i="3" s="1"/>
  <c r="V247" i="3" s="1"/>
  <c r="V248" i="3" s="1"/>
  <c r="V249" i="3" s="1"/>
  <c r="V250" i="3" s="1"/>
  <c r="V251" i="3" s="1"/>
  <c r="V252" i="3" s="1"/>
  <c r="V253" i="3" s="1"/>
  <c r="V254" i="3" s="1"/>
  <c r="V255" i="3" s="1"/>
  <c r="V256" i="3" s="1"/>
  <c r="V257" i="3" s="1"/>
  <c r="V258" i="3" s="1"/>
  <c r="V259" i="3" s="1"/>
  <c r="V260" i="3" s="1"/>
  <c r="V261" i="3" s="1"/>
  <c r="V262" i="3" s="1"/>
  <c r="V263" i="3" s="1"/>
  <c r="V264" i="3" s="1"/>
  <c r="V265" i="3" s="1"/>
  <c r="V266" i="3" s="1"/>
  <c r="V267" i="3" s="1"/>
  <c r="V268" i="3" s="1"/>
  <c r="V269" i="3" s="1"/>
  <c r="V270" i="3" s="1"/>
  <c r="V271" i="3" s="1"/>
  <c r="V272" i="3" s="1"/>
  <c r="V273" i="3" s="1"/>
  <c r="V274" i="3" s="1"/>
  <c r="V275" i="3" s="1"/>
  <c r="V276" i="3" s="1"/>
  <c r="V277" i="3" s="1"/>
  <c r="V278" i="3" s="1"/>
  <c r="V279" i="3" s="1"/>
  <c r="V280" i="3" s="1"/>
  <c r="V281" i="3" s="1"/>
  <c r="V282" i="3" s="1"/>
  <c r="V283" i="3" s="1"/>
  <c r="V284" i="3" s="1"/>
  <c r="V285" i="3" s="1"/>
  <c r="V286" i="3" s="1"/>
  <c r="V287" i="3" s="1"/>
  <c r="V288" i="3" s="1"/>
  <c r="V289" i="3" s="1"/>
  <c r="V290" i="3" s="1"/>
  <c r="V291" i="3" s="1"/>
  <c r="V292" i="3" s="1"/>
  <c r="V293" i="3" s="1"/>
  <c r="V294" i="3" s="1"/>
  <c r="V295" i="3" s="1"/>
  <c r="V296" i="3" s="1"/>
  <c r="V297" i="3" s="1"/>
  <c r="V298" i="3" s="1"/>
  <c r="V299" i="3" s="1"/>
  <c r="V300" i="3" s="1"/>
  <c r="V301" i="3" s="1"/>
  <c r="V302" i="3" s="1"/>
  <c r="V303" i="3" s="1"/>
  <c r="V304" i="3" s="1"/>
  <c r="V305" i="3" s="1"/>
  <c r="V306" i="3" s="1"/>
  <c r="V307" i="3" s="1"/>
  <c r="V308" i="3" s="1"/>
  <c r="V309" i="3" s="1"/>
  <c r="V310" i="3" s="1"/>
  <c r="V311" i="3" s="1"/>
  <c r="V312" i="3" s="1"/>
  <c r="V313" i="3" s="1"/>
  <c r="V314" i="3" s="1"/>
  <c r="V315" i="3" s="1"/>
  <c r="V316" i="3" s="1"/>
  <c r="V317" i="3" s="1"/>
  <c r="V318" i="3" s="1"/>
  <c r="V319" i="3" s="1"/>
  <c r="V320" i="3" s="1"/>
  <c r="V321" i="3" s="1"/>
  <c r="V322" i="3" s="1"/>
  <c r="V323" i="3" s="1"/>
  <c r="V324" i="3" s="1"/>
  <c r="V325" i="3" s="1"/>
  <c r="V326" i="3" s="1"/>
  <c r="V327" i="3" s="1"/>
  <c r="V328" i="3" s="1"/>
  <c r="V329" i="3" s="1"/>
  <c r="V330" i="3" s="1"/>
  <c r="V331" i="3" s="1"/>
  <c r="V332" i="3" s="1"/>
  <c r="V333" i="3" s="1"/>
  <c r="V334" i="3" s="1"/>
  <c r="V335" i="3" s="1"/>
  <c r="V336" i="3" s="1"/>
  <c r="V337" i="3" s="1"/>
  <c r="V338" i="3" s="1"/>
  <c r="V339" i="3" s="1"/>
  <c r="V340" i="3" s="1"/>
  <c r="V341" i="3" s="1"/>
  <c r="V342" i="3" s="1"/>
  <c r="V343" i="3" s="1"/>
  <c r="V344" i="3" s="1"/>
  <c r="V345" i="3" s="1"/>
  <c r="V346" i="3" s="1"/>
  <c r="V347" i="3" s="1"/>
  <c r="V348" i="3" s="1"/>
  <c r="V349" i="3" s="1"/>
  <c r="V350" i="3" s="1"/>
  <c r="V351" i="3" s="1"/>
  <c r="V352" i="3" s="1"/>
  <c r="V353" i="3" s="1"/>
  <c r="V354" i="3" s="1"/>
  <c r="V355" i="3" s="1"/>
  <c r="V356" i="3" s="1"/>
  <c r="V357" i="3" s="1"/>
  <c r="V358" i="3" s="1"/>
  <c r="V359" i="3" s="1"/>
  <c r="V360" i="3" s="1"/>
  <c r="V361" i="3" s="1"/>
  <c r="V362" i="3" s="1"/>
  <c r="V363" i="3" s="1"/>
  <c r="V364" i="3" s="1"/>
  <c r="V365" i="3" s="1"/>
  <c r="V366" i="3" s="1"/>
  <c r="V367" i="3" s="1"/>
  <c r="V368" i="3" s="1"/>
  <c r="U4" i="3"/>
  <c r="U5" i="3" s="1"/>
  <c r="U6" i="3" s="1"/>
  <c r="U7" i="3" s="1"/>
  <c r="U8" i="3" s="1"/>
  <c r="U9" i="3" s="1"/>
  <c r="U10" i="3" s="1"/>
  <c r="U11" i="3" s="1"/>
  <c r="U12" i="3" s="1"/>
  <c r="U13" i="3" s="1"/>
  <c r="U14" i="3" s="1"/>
  <c r="U15" i="3" s="1"/>
  <c r="U16" i="3" s="1"/>
  <c r="U17" i="3" s="1"/>
  <c r="U18" i="3" s="1"/>
  <c r="U19" i="3" s="1"/>
  <c r="U20" i="3" s="1"/>
  <c r="U21" i="3" s="1"/>
  <c r="U22" i="3" s="1"/>
  <c r="U23" i="3" s="1"/>
  <c r="U24" i="3" s="1"/>
  <c r="U25" i="3" s="1"/>
  <c r="U26" i="3" s="1"/>
  <c r="U27" i="3" s="1"/>
  <c r="U28" i="3" s="1"/>
  <c r="U29" i="3" s="1"/>
  <c r="U30" i="3" s="1"/>
  <c r="U31" i="3" s="1"/>
  <c r="U32" i="3" s="1"/>
  <c r="U33" i="3" s="1"/>
  <c r="U34" i="3" s="1"/>
  <c r="U35" i="3" s="1"/>
  <c r="U36" i="3" s="1"/>
  <c r="U37" i="3" s="1"/>
  <c r="U38" i="3" s="1"/>
  <c r="U39" i="3" s="1"/>
  <c r="U40" i="3" s="1"/>
  <c r="U41" i="3" s="1"/>
  <c r="U42" i="3" s="1"/>
  <c r="U43" i="3" s="1"/>
  <c r="U44" i="3" s="1"/>
  <c r="U45" i="3" s="1"/>
  <c r="U46" i="3" s="1"/>
  <c r="U47" i="3" s="1"/>
  <c r="U48" i="3" s="1"/>
  <c r="U49" i="3" s="1"/>
  <c r="F4" i="3"/>
  <c r="F5" i="3" s="1"/>
  <c r="G4" i="3"/>
  <c r="G5" i="3" s="1"/>
  <c r="H4" i="3"/>
  <c r="H5" i="3" s="1"/>
  <c r="I4" i="3"/>
  <c r="I5" i="3" s="1"/>
  <c r="Y7" i="3" l="1"/>
  <c r="Y25" i="3"/>
  <c r="Y8" i="3"/>
  <c r="Y28" i="3"/>
  <c r="Y10" i="3"/>
  <c r="Y31" i="3"/>
  <c r="Y11" i="3"/>
  <c r="Y32" i="3"/>
  <c r="Y12" i="3"/>
  <c r="Y34" i="3"/>
  <c r="Y368" i="3"/>
  <c r="Y13" i="3"/>
  <c r="Y35" i="3"/>
  <c r="Y16" i="3"/>
  <c r="Y36" i="3"/>
  <c r="Y19" i="3"/>
  <c r="Y37" i="3"/>
  <c r="Y20" i="3"/>
  <c r="Y40" i="3"/>
  <c r="Y22" i="3"/>
  <c r="Y43" i="3"/>
  <c r="Y23" i="3"/>
  <c r="Y46" i="3"/>
  <c r="Y4" i="3"/>
  <c r="Y24" i="3"/>
  <c r="Y358" i="3"/>
  <c r="Y47" i="3"/>
  <c r="Y59" i="3"/>
  <c r="Y71" i="3"/>
  <c r="Y83" i="3"/>
  <c r="Y95" i="3"/>
  <c r="Y107" i="3"/>
  <c r="Y119" i="3"/>
  <c r="Y131" i="3"/>
  <c r="Y143" i="3"/>
  <c r="Y155" i="3"/>
  <c r="Y167" i="3"/>
  <c r="Y179" i="3"/>
  <c r="Y191" i="3"/>
  <c r="Y203" i="3"/>
  <c r="Y215" i="3"/>
  <c r="Y227" i="3"/>
  <c r="Y239" i="3"/>
  <c r="Y251" i="3"/>
  <c r="Y263" i="3"/>
  <c r="Y275" i="3"/>
  <c r="Y287" i="3"/>
  <c r="Y299" i="3"/>
  <c r="Y311" i="3"/>
  <c r="Y323" i="3"/>
  <c r="Y335" i="3"/>
  <c r="Y347" i="3"/>
  <c r="Y359" i="3"/>
  <c r="Y334" i="3"/>
  <c r="Y48" i="3"/>
  <c r="Y60" i="3"/>
  <c r="Y72" i="3"/>
  <c r="Y84" i="3"/>
  <c r="Y96" i="3"/>
  <c r="Y108" i="3"/>
  <c r="Y120" i="3"/>
  <c r="Y132" i="3"/>
  <c r="Y144" i="3"/>
  <c r="Y156" i="3"/>
  <c r="Y168" i="3"/>
  <c r="Y180" i="3"/>
  <c r="Y192" i="3"/>
  <c r="Y204" i="3"/>
  <c r="Y216" i="3"/>
  <c r="Y228" i="3"/>
  <c r="Y240" i="3"/>
  <c r="Y252" i="3"/>
  <c r="Y264" i="3"/>
  <c r="Y276" i="3"/>
  <c r="Y288" i="3"/>
  <c r="Y300" i="3"/>
  <c r="Y312" i="3"/>
  <c r="Y324" i="3"/>
  <c r="Y336" i="3"/>
  <c r="Y348" i="3"/>
  <c r="Y360" i="3"/>
  <c r="Y346" i="3"/>
  <c r="Y49" i="3"/>
  <c r="Y61" i="3"/>
  <c r="Y73" i="3"/>
  <c r="Y85" i="3"/>
  <c r="Y97" i="3"/>
  <c r="Y109" i="3"/>
  <c r="Y121" i="3"/>
  <c r="Y133" i="3"/>
  <c r="Y145" i="3"/>
  <c r="Y157" i="3"/>
  <c r="Y169" i="3"/>
  <c r="Y181" i="3"/>
  <c r="Y193" i="3"/>
  <c r="Y205" i="3"/>
  <c r="Y217" i="3"/>
  <c r="Y229" i="3"/>
  <c r="Y241" i="3"/>
  <c r="Y253" i="3"/>
  <c r="Y265" i="3"/>
  <c r="Y277" i="3"/>
  <c r="Y289" i="3"/>
  <c r="Y301" i="3"/>
  <c r="Y313" i="3"/>
  <c r="Y325" i="3"/>
  <c r="Y337" i="3"/>
  <c r="Y349" i="3"/>
  <c r="Y361" i="3"/>
  <c r="Y82" i="3"/>
  <c r="Y118" i="3"/>
  <c r="Y166" i="3"/>
  <c r="Y262" i="3"/>
  <c r="Y14" i="3"/>
  <c r="Y26" i="3"/>
  <c r="Y38" i="3"/>
  <c r="Y50" i="3"/>
  <c r="Y62" i="3"/>
  <c r="Y74" i="3"/>
  <c r="Y86" i="3"/>
  <c r="Y98" i="3"/>
  <c r="Y110" i="3"/>
  <c r="Y122" i="3"/>
  <c r="Y134" i="3"/>
  <c r="Y146" i="3"/>
  <c r="Y158" i="3"/>
  <c r="Y170" i="3"/>
  <c r="Y182" i="3"/>
  <c r="Y194" i="3"/>
  <c r="Y206" i="3"/>
  <c r="Y218" i="3"/>
  <c r="Y230" i="3"/>
  <c r="Y242" i="3"/>
  <c r="Y254" i="3"/>
  <c r="Y266" i="3"/>
  <c r="Y278" i="3"/>
  <c r="Y290" i="3"/>
  <c r="Y302" i="3"/>
  <c r="Y314" i="3"/>
  <c r="Y326" i="3"/>
  <c r="Y338" i="3"/>
  <c r="Y350" i="3"/>
  <c r="Y362" i="3"/>
  <c r="Y310" i="3"/>
  <c r="Y15" i="3"/>
  <c r="Y27" i="3"/>
  <c r="Y39" i="3"/>
  <c r="Y51" i="3"/>
  <c r="Y63" i="3"/>
  <c r="Y75" i="3"/>
  <c r="Y87" i="3"/>
  <c r="Y99" i="3"/>
  <c r="Y111" i="3"/>
  <c r="Y123" i="3"/>
  <c r="Y135" i="3"/>
  <c r="Y147" i="3"/>
  <c r="Y159" i="3"/>
  <c r="Y171" i="3"/>
  <c r="Y183" i="3"/>
  <c r="Y195" i="3"/>
  <c r="Y207" i="3"/>
  <c r="Y219" i="3"/>
  <c r="Y231" i="3"/>
  <c r="Y243" i="3"/>
  <c r="Y255" i="3"/>
  <c r="Y267" i="3"/>
  <c r="Y279" i="3"/>
  <c r="Y291" i="3"/>
  <c r="Y303" i="3"/>
  <c r="Y315" i="3"/>
  <c r="Y327" i="3"/>
  <c r="Y339" i="3"/>
  <c r="Y351" i="3"/>
  <c r="Y363" i="3"/>
  <c r="Y322" i="3"/>
  <c r="Y52" i="3"/>
  <c r="Y64" i="3"/>
  <c r="Y76" i="3"/>
  <c r="Y88" i="3"/>
  <c r="Y100" i="3"/>
  <c r="Y112" i="3"/>
  <c r="Y124" i="3"/>
  <c r="Y136" i="3"/>
  <c r="Y148" i="3"/>
  <c r="Y160" i="3"/>
  <c r="Y172" i="3"/>
  <c r="Y184" i="3"/>
  <c r="Y196" i="3"/>
  <c r="Y208" i="3"/>
  <c r="Y220" i="3"/>
  <c r="Y232" i="3"/>
  <c r="Y244" i="3"/>
  <c r="Y256" i="3"/>
  <c r="Y268" i="3"/>
  <c r="Y280" i="3"/>
  <c r="Y292" i="3"/>
  <c r="Y304" i="3"/>
  <c r="Y316" i="3"/>
  <c r="Y328" i="3"/>
  <c r="Y340" i="3"/>
  <c r="Y352" i="3"/>
  <c r="Y364" i="3"/>
  <c r="Y58" i="3"/>
  <c r="Y106" i="3"/>
  <c r="Y142" i="3"/>
  <c r="Y190" i="3"/>
  <c r="Y214" i="3"/>
  <c r="Y286" i="3"/>
  <c r="Y5" i="3"/>
  <c r="Y17" i="3"/>
  <c r="Y29" i="3"/>
  <c r="Y41" i="3"/>
  <c r="Y53" i="3"/>
  <c r="Y65" i="3"/>
  <c r="Y77" i="3"/>
  <c r="Y89" i="3"/>
  <c r="Y101" i="3"/>
  <c r="Y113" i="3"/>
  <c r="Y125" i="3"/>
  <c r="Y137" i="3"/>
  <c r="Y149" i="3"/>
  <c r="Y161" i="3"/>
  <c r="Y173" i="3"/>
  <c r="Y185" i="3"/>
  <c r="Y197" i="3"/>
  <c r="Y209" i="3"/>
  <c r="Y221" i="3"/>
  <c r="Y233" i="3"/>
  <c r="Y245" i="3"/>
  <c r="Y257" i="3"/>
  <c r="Y269" i="3"/>
  <c r="Y281" i="3"/>
  <c r="Y293" i="3"/>
  <c r="Y305" i="3"/>
  <c r="Y317" i="3"/>
  <c r="Y329" i="3"/>
  <c r="Y341" i="3"/>
  <c r="Y353" i="3"/>
  <c r="Y365" i="3"/>
  <c r="Y94" i="3"/>
  <c r="Y154" i="3"/>
  <c r="Y202" i="3"/>
  <c r="Y226" i="3"/>
  <c r="Y298" i="3"/>
  <c r="Y6" i="3"/>
  <c r="Y18" i="3"/>
  <c r="Y30" i="3"/>
  <c r="Y42" i="3"/>
  <c r="Y54" i="3"/>
  <c r="Y66" i="3"/>
  <c r="Y78" i="3"/>
  <c r="Y90" i="3"/>
  <c r="Y102" i="3"/>
  <c r="Y114" i="3"/>
  <c r="Y126" i="3"/>
  <c r="Y138" i="3"/>
  <c r="Y150" i="3"/>
  <c r="Y162" i="3"/>
  <c r="Y174" i="3"/>
  <c r="Y186" i="3"/>
  <c r="Y198" i="3"/>
  <c r="Y210" i="3"/>
  <c r="Y222" i="3"/>
  <c r="Y234" i="3"/>
  <c r="Y246" i="3"/>
  <c r="Y258" i="3"/>
  <c r="Y270" i="3"/>
  <c r="Y282" i="3"/>
  <c r="Y294" i="3"/>
  <c r="Y306" i="3"/>
  <c r="Y318" i="3"/>
  <c r="Y330" i="3"/>
  <c r="Y342" i="3"/>
  <c r="Y354" i="3"/>
  <c r="Y366" i="3"/>
  <c r="Y250" i="3"/>
  <c r="Y55" i="3"/>
  <c r="Y67" i="3"/>
  <c r="Y79" i="3"/>
  <c r="Y91" i="3"/>
  <c r="Y103" i="3"/>
  <c r="Y115" i="3"/>
  <c r="Y127" i="3"/>
  <c r="Y139" i="3"/>
  <c r="Y151" i="3"/>
  <c r="Y163" i="3"/>
  <c r="Y175" i="3"/>
  <c r="Y187" i="3"/>
  <c r="Y199" i="3"/>
  <c r="Y211" i="3"/>
  <c r="Y223" i="3"/>
  <c r="Y235" i="3"/>
  <c r="Y247" i="3"/>
  <c r="Y259" i="3"/>
  <c r="Y271" i="3"/>
  <c r="Y283" i="3"/>
  <c r="Y295" i="3"/>
  <c r="Y307" i="3"/>
  <c r="Y319" i="3"/>
  <c r="Y331" i="3"/>
  <c r="Y343" i="3"/>
  <c r="Y355" i="3"/>
  <c r="Y367" i="3"/>
  <c r="Y238" i="3"/>
  <c r="Y44" i="3"/>
  <c r="Y56" i="3"/>
  <c r="Y68" i="3"/>
  <c r="Y80" i="3"/>
  <c r="Y92" i="3"/>
  <c r="Y104" i="3"/>
  <c r="Y116" i="3"/>
  <c r="Y128" i="3"/>
  <c r="Y140" i="3"/>
  <c r="Y152" i="3"/>
  <c r="Y164" i="3"/>
  <c r="Y176" i="3"/>
  <c r="Y188" i="3"/>
  <c r="Y200" i="3"/>
  <c r="Y212" i="3"/>
  <c r="Y224" i="3"/>
  <c r="Y236" i="3"/>
  <c r="Y248" i="3"/>
  <c r="Y260" i="3"/>
  <c r="Y272" i="3"/>
  <c r="Y284" i="3"/>
  <c r="Y296" i="3"/>
  <c r="Y308" i="3"/>
  <c r="Y320" i="3"/>
  <c r="Y332" i="3"/>
  <c r="Y344" i="3"/>
  <c r="Y356" i="3"/>
  <c r="Y70" i="3"/>
  <c r="Y130" i="3"/>
  <c r="Y178" i="3"/>
  <c r="Y274" i="3"/>
  <c r="Y9" i="3"/>
  <c r="Y21" i="3"/>
  <c r="Y33" i="3"/>
  <c r="Y45" i="3"/>
  <c r="Y57" i="3"/>
  <c r="Y69" i="3"/>
  <c r="Y81" i="3"/>
  <c r="Y93" i="3"/>
  <c r="Y105" i="3"/>
  <c r="Y117" i="3"/>
  <c r="Y129" i="3"/>
  <c r="Y141" i="3"/>
  <c r="Y153" i="3"/>
  <c r="Y165" i="3"/>
  <c r="Y177" i="3"/>
  <c r="Y189" i="3"/>
  <c r="Y201" i="3"/>
  <c r="Y213" i="3"/>
  <c r="Y225" i="3"/>
  <c r="Y237" i="3"/>
  <c r="Y249" i="3"/>
  <c r="Y261" i="3"/>
  <c r="Y273" i="3"/>
  <c r="Y285" i="3"/>
  <c r="Y297" i="3"/>
  <c r="Y309" i="3"/>
  <c r="Y321" i="3"/>
  <c r="Y333" i="3"/>
  <c r="Y345" i="3"/>
  <c r="Y357" i="3"/>
  <c r="H6" i="3"/>
  <c r="G6" i="3"/>
  <c r="I6" i="3"/>
  <c r="F6" i="3"/>
  <c r="F7" i="3" l="1"/>
  <c r="I7" i="3"/>
  <c r="G7" i="3"/>
  <c r="H7" i="3"/>
  <c r="H53" i="3"/>
  <c r="I8" i="3" l="1"/>
  <c r="H8" i="3"/>
  <c r="G8" i="3"/>
  <c r="F8" i="3"/>
  <c r="H54" i="3"/>
  <c r="F9" i="3" l="1"/>
  <c r="G9" i="3"/>
  <c r="H9" i="3"/>
  <c r="I9" i="3"/>
  <c r="H55" i="3"/>
  <c r="I10" i="3" l="1"/>
  <c r="H10" i="3"/>
  <c r="G10" i="3"/>
  <c r="F10" i="3"/>
  <c r="H56" i="3"/>
  <c r="F11" i="3" l="1"/>
  <c r="G11" i="3"/>
  <c r="H11" i="3"/>
  <c r="I11" i="3"/>
  <c r="H57" i="3"/>
  <c r="I12" i="3" l="1"/>
  <c r="H12" i="3"/>
  <c r="G12" i="3"/>
  <c r="F12" i="3"/>
  <c r="H58" i="3"/>
  <c r="F13" i="3" l="1"/>
  <c r="G13" i="3"/>
  <c r="H13" i="3"/>
  <c r="I13" i="3"/>
  <c r="I59" i="3"/>
  <c r="H59" i="3"/>
  <c r="I14" i="3" l="1"/>
  <c r="H14" i="3"/>
  <c r="G14" i="3"/>
  <c r="F14" i="3"/>
  <c r="H60" i="3"/>
  <c r="I60" i="3"/>
  <c r="F15" i="3" l="1"/>
  <c r="G15" i="3"/>
  <c r="H15" i="3"/>
  <c r="I15" i="3"/>
  <c r="I61" i="3"/>
  <c r="H61" i="3"/>
  <c r="I16" i="3" l="1"/>
  <c r="G16" i="3"/>
  <c r="H16" i="3"/>
  <c r="F16" i="3"/>
  <c r="H62" i="3"/>
  <c r="I62" i="3"/>
  <c r="H17" i="3" l="1"/>
  <c r="G17" i="3"/>
  <c r="F17" i="3"/>
  <c r="I17" i="3"/>
  <c r="I63" i="3"/>
  <c r="H63" i="3"/>
  <c r="I18" i="3" l="1"/>
  <c r="F18" i="3"/>
  <c r="G18" i="3"/>
  <c r="H18" i="3"/>
  <c r="H64" i="3"/>
  <c r="I64" i="3"/>
  <c r="H19" i="3" l="1"/>
  <c r="F19" i="3"/>
  <c r="G19" i="3"/>
  <c r="I19" i="3"/>
  <c r="I65" i="3"/>
  <c r="H65" i="3"/>
  <c r="I20" i="3" l="1"/>
  <c r="G20" i="3"/>
  <c r="F20" i="3"/>
  <c r="H20" i="3"/>
  <c r="H66" i="3"/>
  <c r="I66" i="3"/>
  <c r="H21" i="3" l="1"/>
  <c r="F21" i="3"/>
  <c r="G21" i="3"/>
  <c r="I21" i="3"/>
  <c r="I67" i="3"/>
  <c r="I68" i="3" s="1"/>
  <c r="H67" i="3"/>
  <c r="H68" i="3" s="1"/>
  <c r="I22" i="3" l="1"/>
  <c r="G22" i="3"/>
  <c r="F22" i="3"/>
  <c r="H22" i="3"/>
  <c r="H69" i="3"/>
  <c r="I69" i="3"/>
  <c r="F23" i="3" l="1"/>
  <c r="H23" i="3"/>
  <c r="G23" i="3"/>
  <c r="I23" i="3"/>
  <c r="I70" i="3"/>
  <c r="H70" i="3"/>
  <c r="I24" i="3" l="1"/>
  <c r="G24" i="3"/>
  <c r="H24" i="3"/>
  <c r="F24" i="3"/>
  <c r="H71" i="3"/>
  <c r="I71" i="3"/>
  <c r="I72" i="3" s="1"/>
  <c r="H25" i="3" l="1"/>
  <c r="F25" i="3"/>
  <c r="G25" i="3"/>
  <c r="I25" i="3"/>
  <c r="I73" i="3"/>
  <c r="H72" i="3"/>
  <c r="I26" i="3" l="1"/>
  <c r="G26" i="3"/>
  <c r="F26" i="3"/>
  <c r="H26" i="3"/>
  <c r="H73" i="3"/>
  <c r="I74" i="3"/>
  <c r="F27" i="3" l="1"/>
  <c r="H27" i="3"/>
  <c r="G27" i="3"/>
  <c r="I27" i="3"/>
  <c r="I75" i="3"/>
  <c r="H74" i="3"/>
  <c r="H28" i="3" l="1"/>
  <c r="G28" i="3"/>
  <c r="I28" i="3"/>
  <c r="F28" i="3"/>
  <c r="I76" i="3"/>
  <c r="H75" i="3"/>
  <c r="F29" i="3" l="1"/>
  <c r="I29" i="3"/>
  <c r="G29" i="3"/>
  <c r="H29" i="3"/>
  <c r="I77" i="3"/>
  <c r="H76" i="3"/>
  <c r="F30" i="3" l="1"/>
  <c r="H30" i="3"/>
  <c r="G30" i="3"/>
  <c r="I30" i="3"/>
  <c r="H77" i="3"/>
  <c r="I78" i="3"/>
  <c r="I31" i="3" l="1"/>
  <c r="G31" i="3"/>
  <c r="H31" i="3"/>
  <c r="F31" i="3"/>
  <c r="H78" i="3"/>
  <c r="I79" i="3"/>
  <c r="G32" i="3" l="1"/>
  <c r="F32" i="3"/>
  <c r="H32" i="3"/>
  <c r="I32" i="3"/>
  <c r="I80" i="3"/>
  <c r="H79" i="3"/>
  <c r="H80" i="3" s="1"/>
  <c r="I33" i="3" l="1"/>
  <c r="G33" i="3"/>
  <c r="H33" i="3"/>
  <c r="F33" i="3"/>
  <c r="H81" i="3"/>
  <c r="I81" i="3"/>
  <c r="F34" i="3" l="1"/>
  <c r="H34" i="3"/>
  <c r="G34" i="3"/>
  <c r="I34" i="3"/>
  <c r="I82" i="3"/>
  <c r="I83" i="3" s="1"/>
  <c r="H82" i="3"/>
  <c r="I35" i="3" l="1"/>
  <c r="G35" i="3"/>
  <c r="H35" i="3"/>
  <c r="F35" i="3"/>
  <c r="H83" i="3"/>
  <c r="I84" i="3"/>
  <c r="F36" i="3" l="1"/>
  <c r="G36" i="3"/>
  <c r="H36" i="3"/>
  <c r="I36" i="3"/>
  <c r="I85" i="3"/>
  <c r="H84" i="3"/>
  <c r="I37" i="3" l="1"/>
  <c r="H37" i="3"/>
  <c r="G37" i="3"/>
  <c r="G38" i="3" s="1"/>
  <c r="F37" i="3"/>
  <c r="F38" i="3" s="1"/>
  <c r="H85" i="3"/>
  <c r="I86" i="3"/>
  <c r="G39" i="3" l="1"/>
  <c r="F39" i="3"/>
  <c r="H38" i="3"/>
  <c r="H39" i="3" s="1"/>
  <c r="I38" i="3"/>
  <c r="I39" i="3" s="1"/>
  <c r="I87" i="3"/>
  <c r="H86" i="3"/>
  <c r="H40" i="3" l="1"/>
  <c r="I40" i="3"/>
  <c r="G40" i="3"/>
  <c r="F40" i="3"/>
  <c r="H87" i="3"/>
  <c r="I88" i="3"/>
  <c r="G41" i="3" l="1"/>
  <c r="F41" i="3"/>
  <c r="H41" i="3"/>
  <c r="I41" i="3"/>
  <c r="I89" i="3"/>
  <c r="H88" i="3"/>
  <c r="I42" i="3" l="1"/>
  <c r="H42" i="3"/>
  <c r="H43" i="3" s="1"/>
  <c r="F42" i="3"/>
  <c r="G42" i="3"/>
  <c r="H89" i="3"/>
  <c r="I90" i="3"/>
  <c r="G43" i="3" l="1"/>
  <c r="F43" i="3"/>
  <c r="H44" i="3"/>
  <c r="I43" i="3"/>
  <c r="I91" i="3"/>
  <c r="H90" i="3"/>
  <c r="H45" i="3" l="1"/>
  <c r="I44" i="3"/>
  <c r="F44" i="3"/>
  <c r="G44" i="3"/>
  <c r="H91" i="3"/>
  <c r="I92" i="3"/>
  <c r="G45" i="3" l="1"/>
  <c r="F45" i="3"/>
  <c r="F46" i="3" s="1"/>
  <c r="F47" i="3" s="1"/>
  <c r="F48" i="3" s="1"/>
  <c r="F49" i="3" s="1"/>
  <c r="F51" i="3" s="1"/>
  <c r="I45" i="3"/>
  <c r="H46" i="3"/>
  <c r="I93" i="3"/>
  <c r="H92" i="3"/>
  <c r="F52" i="3" l="1"/>
  <c r="F53" i="3" s="1"/>
  <c r="F54" i="3" s="1"/>
  <c r="F55" i="3" s="1"/>
  <c r="F56" i="3" s="1"/>
  <c r="F57" i="3" s="1"/>
  <c r="F58" i="3" s="1"/>
  <c r="F59" i="3" s="1"/>
  <c r="F60" i="3" s="1"/>
  <c r="F61" i="3" s="1"/>
  <c r="F62" i="3" s="1"/>
  <c r="G46" i="3"/>
  <c r="G47" i="3" s="1"/>
  <c r="G48" i="3" s="1"/>
  <c r="G49" i="3" s="1"/>
  <c r="G51" i="3" s="1"/>
  <c r="G52" i="3" s="1"/>
  <c r="G53" i="3" s="1"/>
  <c r="G54" i="3" s="1"/>
  <c r="G55" i="3" s="1"/>
  <c r="G56" i="3" s="1"/>
  <c r="G57" i="3" s="1"/>
  <c r="G58" i="3" s="1"/>
  <c r="G59" i="3" s="1"/>
  <c r="G60" i="3" s="1"/>
  <c r="G61" i="3" s="1"/>
  <c r="G62" i="3" s="1"/>
  <c r="I46" i="3"/>
  <c r="I47" i="3" s="1"/>
  <c r="I48" i="3" s="1"/>
  <c r="I49" i="3" s="1"/>
  <c r="H93" i="3"/>
  <c r="I94" i="3"/>
  <c r="G63" i="3" l="1"/>
  <c r="F63" i="3"/>
  <c r="I95" i="3"/>
  <c r="H94" i="3"/>
  <c r="F64" i="3" l="1"/>
  <c r="F65" i="3" s="1"/>
  <c r="F66" i="3" s="1"/>
  <c r="F67" i="3" s="1"/>
  <c r="F68" i="3" s="1"/>
  <c r="F69" i="3" s="1"/>
  <c r="F70" i="3" s="1"/>
  <c r="F71" i="3" s="1"/>
  <c r="F72" i="3" s="1"/>
  <c r="F73" i="3" s="1"/>
  <c r="F74" i="3" s="1"/>
  <c r="F75" i="3" s="1"/>
  <c r="F76" i="3" s="1"/>
  <c r="F77" i="3" s="1"/>
  <c r="F78" i="3" s="1"/>
  <c r="F79" i="3" s="1"/>
  <c r="F80" i="3" s="1"/>
  <c r="F81" i="3" s="1"/>
  <c r="F82" i="3" s="1"/>
  <c r="F83" i="3" s="1"/>
  <c r="F84" i="3" s="1"/>
  <c r="F85" i="3" s="1"/>
  <c r="F86" i="3" s="1"/>
  <c r="F87" i="3" s="1"/>
  <c r="F88" i="3" s="1"/>
  <c r="F89" i="3" s="1"/>
  <c r="F90" i="3" s="1"/>
  <c r="F91" i="3" s="1"/>
  <c r="F92" i="3" s="1"/>
  <c r="F93" i="3" s="1"/>
  <c r="G64" i="3"/>
  <c r="G65" i="3" s="1"/>
  <c r="G66" i="3" s="1"/>
  <c r="G67" i="3" s="1"/>
  <c r="G68" i="3" s="1"/>
  <c r="G69" i="3" s="1"/>
  <c r="G70" i="3" s="1"/>
  <c r="G71" i="3" s="1"/>
  <c r="G72" i="3" s="1"/>
  <c r="G73" i="3" s="1"/>
  <c r="G74" i="3" s="1"/>
  <c r="G75" i="3" s="1"/>
  <c r="G76" i="3" s="1"/>
  <c r="G77" i="3" s="1"/>
  <c r="G78" i="3" s="1"/>
  <c r="G79" i="3" s="1"/>
  <c r="G80" i="3" s="1"/>
  <c r="G81" i="3" s="1"/>
  <c r="G82" i="3" s="1"/>
  <c r="G83" i="3" s="1"/>
  <c r="G84" i="3" s="1"/>
  <c r="G85" i="3" s="1"/>
  <c r="G86" i="3" s="1"/>
  <c r="G87" i="3" s="1"/>
  <c r="G88" i="3" s="1"/>
  <c r="G89" i="3" s="1"/>
  <c r="G90" i="3" s="1"/>
  <c r="G91" i="3" s="1"/>
  <c r="G92" i="3" s="1"/>
  <c r="G93" i="3" s="1"/>
  <c r="I96" i="3"/>
  <c r="H95" i="3"/>
  <c r="G94" i="3" l="1"/>
  <c r="G95" i="3" s="1"/>
  <c r="G96" i="3" s="1"/>
  <c r="F94" i="3"/>
  <c r="F95" i="3" s="1"/>
  <c r="F96" i="3" s="1"/>
  <c r="F97" i="3" s="1"/>
  <c r="F98" i="3" s="1"/>
  <c r="I97" i="3"/>
  <c r="H96" i="3"/>
  <c r="I98" i="3" l="1"/>
  <c r="G97" i="3"/>
  <c r="H97" i="3"/>
  <c r="F99" i="3"/>
  <c r="I99" i="3" l="1"/>
  <c r="H98" i="3"/>
  <c r="F100" i="3"/>
  <c r="G98" i="3"/>
  <c r="I100" i="3" l="1"/>
  <c r="F101" i="3"/>
  <c r="F102" i="3" s="1"/>
  <c r="G99" i="3"/>
  <c r="H99" i="3"/>
  <c r="H100" i="3" l="1"/>
  <c r="G100" i="3"/>
  <c r="F103" i="3"/>
  <c r="F104" i="3" s="1"/>
  <c r="I101" i="3"/>
  <c r="I102" i="3" l="1"/>
  <c r="I103" i="3" s="1"/>
  <c r="F105" i="3"/>
  <c r="G101" i="3"/>
  <c r="H101" i="3"/>
  <c r="H102" i="3" l="1"/>
  <c r="G102" i="3"/>
  <c r="F106" i="3"/>
  <c r="I104" i="3"/>
  <c r="I105" i="3" s="1"/>
  <c r="F107" i="3" l="1"/>
  <c r="I106" i="3"/>
  <c r="I107" i="3" s="1"/>
  <c r="G103" i="3"/>
  <c r="H103" i="3"/>
  <c r="H104" i="3" l="1"/>
  <c r="G104" i="3"/>
  <c r="I108" i="3"/>
  <c r="F108" i="3"/>
  <c r="F109" i="3" l="1"/>
  <c r="I109" i="3"/>
  <c r="G105" i="3"/>
  <c r="H105" i="3"/>
  <c r="H106" i="3" s="1"/>
  <c r="H107" i="3" l="1"/>
  <c r="G106" i="3"/>
  <c r="I110" i="3"/>
  <c r="F110" i="3"/>
  <c r="F111" i="3" l="1"/>
  <c r="I111" i="3"/>
  <c r="G107" i="3"/>
  <c r="H108" i="3"/>
  <c r="AD1259" i="1"/>
  <c r="AC1259" i="1"/>
  <c r="AA1259" i="1"/>
  <c r="Y1259" i="1"/>
  <c r="U1259" i="1"/>
  <c r="T1259" i="1"/>
  <c r="R1259" i="1"/>
  <c r="Q1259" i="1"/>
  <c r="P1259" i="1"/>
  <c r="O1259" i="1"/>
  <c r="N1259" i="1"/>
  <c r="F1259" i="1"/>
  <c r="G1259" i="1"/>
  <c r="H109" i="3" l="1"/>
  <c r="G108" i="3"/>
  <c r="I112" i="3"/>
  <c r="F112" i="3"/>
  <c r="F113" i="3" l="1"/>
  <c r="I113" i="3"/>
  <c r="G109" i="3"/>
  <c r="G110" i="3" s="1"/>
  <c r="H110" i="3"/>
  <c r="H111" i="3" s="1"/>
  <c r="H112" i="3" l="1"/>
  <c r="G111" i="3"/>
  <c r="I114" i="3"/>
  <c r="F114" i="3"/>
  <c r="F115" i="3" l="1"/>
  <c r="I115" i="3"/>
  <c r="G112" i="3"/>
  <c r="H113" i="3"/>
  <c r="G113" i="3" l="1"/>
  <c r="I116" i="3"/>
  <c r="H114" i="3"/>
  <c r="F116" i="3"/>
  <c r="F117" i="3" l="1"/>
  <c r="H115" i="3"/>
  <c r="I117" i="3"/>
  <c r="G114" i="3"/>
  <c r="G115" i="3" l="1"/>
  <c r="I118" i="3"/>
  <c r="H116" i="3"/>
  <c r="F118" i="3"/>
  <c r="F119" i="3" l="1"/>
  <c r="H117" i="3"/>
  <c r="I119" i="3"/>
  <c r="G116" i="3"/>
  <c r="G117" i="3" l="1"/>
  <c r="I120" i="3"/>
  <c r="I121" i="3" s="1"/>
  <c r="H118" i="3"/>
  <c r="F120" i="3"/>
  <c r="F121" i="3" l="1"/>
  <c r="H119" i="3"/>
  <c r="I122" i="3"/>
  <c r="G118" i="3"/>
  <c r="G119" i="3" l="1"/>
  <c r="I123" i="3"/>
  <c r="H120" i="3"/>
  <c r="F122" i="3"/>
  <c r="F123" i="3" l="1"/>
  <c r="H121" i="3"/>
  <c r="H122" i="3" s="1"/>
  <c r="I124" i="3"/>
  <c r="G120" i="3"/>
  <c r="G121" i="3" l="1"/>
  <c r="I125" i="3"/>
  <c r="H123" i="3"/>
  <c r="H124" i="3" s="1"/>
  <c r="F124" i="3"/>
  <c r="F125" i="3" l="1"/>
  <c r="H125" i="3"/>
  <c r="I126" i="3"/>
  <c r="G122" i="3"/>
  <c r="G123" i="3" l="1"/>
  <c r="I127" i="3"/>
  <c r="H126" i="3"/>
  <c r="F126" i="3"/>
  <c r="F127" i="3" l="1"/>
  <c r="I128" i="3"/>
  <c r="H127" i="3"/>
  <c r="G124" i="3"/>
  <c r="G125" i="3" l="1"/>
  <c r="H128" i="3"/>
  <c r="I129" i="3"/>
  <c r="F128" i="3"/>
  <c r="F129" i="3" l="1"/>
  <c r="I130" i="3"/>
  <c r="H129" i="3"/>
  <c r="G126" i="3"/>
  <c r="G127" i="3" l="1"/>
  <c r="H130" i="3"/>
  <c r="I131" i="3"/>
  <c r="F130" i="3"/>
  <c r="F131" i="3" l="1"/>
  <c r="I132" i="3"/>
  <c r="H131" i="3"/>
  <c r="G128" i="3"/>
  <c r="G129" i="3" l="1"/>
  <c r="H132" i="3"/>
  <c r="I133" i="3"/>
  <c r="F132" i="3"/>
  <c r="F133" i="3" l="1"/>
  <c r="I134" i="3"/>
  <c r="H133" i="3"/>
  <c r="G130" i="3"/>
  <c r="G131" i="3" l="1"/>
  <c r="H134" i="3"/>
  <c r="I135" i="3"/>
  <c r="F134" i="3"/>
  <c r="F135" i="3" l="1"/>
  <c r="H135" i="3"/>
  <c r="I136" i="3"/>
  <c r="G132" i="3"/>
  <c r="G133" i="3" l="1"/>
  <c r="I137" i="3"/>
  <c r="H136" i="3"/>
  <c r="F136" i="3"/>
  <c r="F137" i="3" l="1"/>
  <c r="H137" i="3"/>
  <c r="I138" i="3"/>
  <c r="G134" i="3"/>
  <c r="G135" i="3" l="1"/>
  <c r="I139" i="3"/>
  <c r="H138" i="3"/>
  <c r="F138" i="3"/>
  <c r="F139" i="3" l="1"/>
  <c r="H139" i="3"/>
  <c r="I140" i="3"/>
  <c r="G136" i="3"/>
  <c r="G137" i="3" l="1"/>
  <c r="I141" i="3"/>
  <c r="H140" i="3"/>
  <c r="F140" i="3"/>
  <c r="F141" i="3" l="1"/>
  <c r="H141" i="3"/>
  <c r="I142" i="3"/>
  <c r="G138" i="3"/>
  <c r="G139" i="3" l="1"/>
  <c r="I143" i="3"/>
  <c r="H142" i="3"/>
  <c r="F142" i="3"/>
  <c r="F143" i="3" l="1"/>
  <c r="H143" i="3"/>
  <c r="I144" i="3"/>
  <c r="G140" i="3"/>
  <c r="G141" i="3" l="1"/>
  <c r="I145" i="3"/>
  <c r="H144" i="3"/>
  <c r="F144" i="3"/>
  <c r="F145" i="3" l="1"/>
  <c r="H145" i="3"/>
  <c r="I146" i="3"/>
  <c r="G142" i="3"/>
  <c r="G143" i="3" l="1"/>
  <c r="I147" i="3"/>
  <c r="H146" i="3"/>
  <c r="F146" i="3"/>
  <c r="F147" i="3" l="1"/>
  <c r="H147" i="3"/>
  <c r="I148" i="3"/>
  <c r="G144" i="3"/>
  <c r="G145" i="3" l="1"/>
  <c r="I149" i="3"/>
  <c r="H148" i="3"/>
  <c r="F148" i="3"/>
  <c r="F149" i="3" l="1"/>
  <c r="H149" i="3"/>
  <c r="I150" i="3"/>
  <c r="G146" i="3"/>
  <c r="G147" i="3" l="1"/>
  <c r="I151" i="3"/>
  <c r="H150" i="3"/>
  <c r="F150" i="3"/>
  <c r="F151" i="3" l="1"/>
  <c r="H151" i="3"/>
  <c r="I152" i="3"/>
  <c r="G148" i="3"/>
  <c r="G149" i="3" l="1"/>
  <c r="I153" i="3"/>
  <c r="H152" i="3"/>
  <c r="F152" i="3"/>
  <c r="F153" i="3" l="1"/>
  <c r="H153" i="3"/>
  <c r="I154" i="3"/>
  <c r="G150" i="3"/>
  <c r="G151" i="3" l="1"/>
  <c r="I155" i="3"/>
  <c r="H154" i="3"/>
  <c r="F154" i="3"/>
  <c r="F155" i="3" l="1"/>
  <c r="H155" i="3"/>
  <c r="I156" i="3"/>
  <c r="G152" i="3"/>
  <c r="G153" i="3" l="1"/>
  <c r="I157" i="3"/>
  <c r="H156" i="3"/>
  <c r="F156" i="3"/>
  <c r="F157" i="3" l="1"/>
  <c r="H157" i="3"/>
  <c r="I158" i="3"/>
  <c r="G154" i="3"/>
  <c r="G155" i="3" l="1"/>
  <c r="I159" i="3"/>
  <c r="H158" i="3"/>
  <c r="F158" i="3"/>
  <c r="F159" i="3" l="1"/>
  <c r="H159" i="3"/>
  <c r="I160" i="3"/>
  <c r="G156" i="3"/>
  <c r="G157" i="3" l="1"/>
  <c r="I161" i="3"/>
  <c r="H160" i="3"/>
  <c r="F160" i="3"/>
  <c r="F161" i="3" l="1"/>
  <c r="H161" i="3"/>
  <c r="I162" i="3"/>
  <c r="G158" i="3"/>
  <c r="G159" i="3" l="1"/>
  <c r="I163" i="3"/>
  <c r="H162" i="3"/>
  <c r="F162" i="3"/>
  <c r="F163" i="3" l="1"/>
  <c r="H163" i="3"/>
  <c r="I164" i="3"/>
  <c r="G160" i="3"/>
  <c r="G161" i="3" l="1"/>
  <c r="I165" i="3"/>
  <c r="H164" i="3"/>
  <c r="F164" i="3"/>
  <c r="F165" i="3" l="1"/>
  <c r="H165" i="3"/>
  <c r="I166" i="3"/>
  <c r="G162" i="3"/>
  <c r="G163" i="3" l="1"/>
  <c r="I167" i="3"/>
  <c r="H166" i="3"/>
  <c r="F166" i="3"/>
  <c r="F167" i="3" l="1"/>
  <c r="H167" i="3"/>
  <c r="H168" i="3" s="1"/>
  <c r="I168" i="3"/>
  <c r="G164" i="3"/>
  <c r="G165" i="3" l="1"/>
  <c r="I169" i="3"/>
  <c r="H169" i="3"/>
  <c r="F168" i="3"/>
  <c r="F169" i="3" l="1"/>
  <c r="H170" i="3"/>
  <c r="I170" i="3"/>
  <c r="G166" i="3"/>
  <c r="G167" i="3" l="1"/>
  <c r="I171" i="3"/>
  <c r="H171" i="3"/>
  <c r="F170" i="3"/>
  <c r="F171" i="3" l="1"/>
  <c r="H172" i="3"/>
  <c r="I172" i="3"/>
  <c r="G168" i="3"/>
  <c r="G169" i="3" l="1"/>
  <c r="I173" i="3"/>
  <c r="H173" i="3"/>
  <c r="F172" i="3"/>
  <c r="F173" i="3" l="1"/>
  <c r="H174" i="3"/>
  <c r="I174" i="3"/>
  <c r="G170" i="3"/>
  <c r="G171" i="3" l="1"/>
  <c r="I175" i="3"/>
  <c r="H175" i="3"/>
  <c r="F174" i="3"/>
  <c r="F175" i="3" l="1"/>
  <c r="H176" i="3"/>
  <c r="I176" i="3"/>
  <c r="G172" i="3"/>
  <c r="G173" i="3" l="1"/>
  <c r="I177" i="3"/>
  <c r="H177" i="3"/>
  <c r="F176" i="3"/>
  <c r="F177" i="3" l="1"/>
  <c r="H178" i="3"/>
  <c r="I178" i="3"/>
  <c r="G174" i="3"/>
  <c r="G175" i="3" l="1"/>
  <c r="I179" i="3"/>
  <c r="H179" i="3"/>
  <c r="F178" i="3"/>
  <c r="F179" i="3" l="1"/>
  <c r="H180" i="3"/>
  <c r="I180" i="3"/>
  <c r="G176" i="3"/>
  <c r="G177" i="3" l="1"/>
  <c r="I181" i="3"/>
  <c r="H181" i="3"/>
  <c r="F180" i="3"/>
  <c r="F181" i="3" l="1"/>
  <c r="H182" i="3"/>
  <c r="I182" i="3"/>
  <c r="G178" i="3"/>
  <c r="G179" i="3" l="1"/>
  <c r="I183" i="3"/>
  <c r="H183" i="3"/>
  <c r="F182" i="3"/>
  <c r="F183" i="3" l="1"/>
  <c r="H184" i="3"/>
  <c r="I184" i="3"/>
  <c r="G180" i="3"/>
  <c r="G181" i="3" s="1"/>
  <c r="G182" i="3" l="1"/>
  <c r="I185" i="3"/>
  <c r="H185" i="3"/>
  <c r="F184" i="3"/>
  <c r="F185" i="3" l="1"/>
  <c r="H186" i="3"/>
  <c r="I186" i="3"/>
  <c r="G183" i="3"/>
  <c r="G184" i="3" l="1"/>
  <c r="I187" i="3"/>
  <c r="H187" i="3"/>
  <c r="F186" i="3"/>
  <c r="F187" i="3" l="1"/>
  <c r="H188" i="3"/>
  <c r="I188" i="3"/>
  <c r="G185" i="3"/>
  <c r="G186" i="3" l="1"/>
  <c r="I189" i="3"/>
  <c r="H189" i="3"/>
  <c r="F188" i="3"/>
  <c r="F189" i="3" l="1"/>
  <c r="H190" i="3"/>
  <c r="I190" i="3"/>
  <c r="G187" i="3"/>
  <c r="G188" i="3" l="1"/>
  <c r="I191" i="3"/>
  <c r="H191" i="3"/>
  <c r="F190" i="3"/>
  <c r="F191" i="3" l="1"/>
  <c r="H192" i="3"/>
  <c r="I192" i="3"/>
  <c r="G189" i="3"/>
  <c r="G190" i="3" l="1"/>
  <c r="I193" i="3"/>
  <c r="H193" i="3"/>
  <c r="F192" i="3"/>
  <c r="F193" i="3" l="1"/>
  <c r="H194" i="3"/>
  <c r="I194" i="3"/>
  <c r="G191" i="3"/>
  <c r="G192" i="3" l="1"/>
  <c r="I195" i="3"/>
  <c r="H195" i="3"/>
  <c r="F194" i="3"/>
  <c r="F195" i="3" l="1"/>
  <c r="H196" i="3"/>
  <c r="I196" i="3"/>
  <c r="G193" i="3"/>
  <c r="G194" i="3" l="1"/>
  <c r="I197" i="3"/>
  <c r="H197" i="3"/>
  <c r="F196" i="3"/>
  <c r="F197" i="3" l="1"/>
  <c r="H198" i="3"/>
  <c r="I198" i="3"/>
  <c r="G195" i="3"/>
  <c r="G196" i="3" l="1"/>
  <c r="I199" i="3"/>
  <c r="H199" i="3"/>
  <c r="F198" i="3"/>
  <c r="F199" i="3" l="1"/>
  <c r="H200" i="3"/>
  <c r="I200" i="3"/>
  <c r="G197" i="3"/>
  <c r="G198" i="3" l="1"/>
  <c r="I201" i="3"/>
  <c r="H201" i="3"/>
  <c r="F200" i="3"/>
  <c r="F201" i="3" l="1"/>
  <c r="H202" i="3"/>
  <c r="I202" i="3"/>
  <c r="G199" i="3"/>
  <c r="G200" i="3" l="1"/>
  <c r="I203" i="3"/>
  <c r="H203" i="3"/>
  <c r="F202" i="3"/>
  <c r="F203" i="3" l="1"/>
  <c r="H204" i="3"/>
  <c r="I204" i="3"/>
  <c r="G201" i="3"/>
  <c r="G202" i="3" l="1"/>
  <c r="I205" i="3"/>
  <c r="H205" i="3"/>
  <c r="F204" i="3"/>
  <c r="F205" i="3" l="1"/>
  <c r="H206" i="3"/>
  <c r="I206" i="3"/>
  <c r="G203" i="3"/>
  <c r="G204" i="3" l="1"/>
  <c r="I207" i="3"/>
  <c r="H207" i="3"/>
  <c r="F206" i="3"/>
  <c r="F207" i="3" l="1"/>
  <c r="H208" i="3"/>
  <c r="I208" i="3"/>
  <c r="G205" i="3"/>
  <c r="G206" i="3" l="1"/>
  <c r="I209" i="3"/>
  <c r="H209" i="3"/>
  <c r="F208" i="3"/>
  <c r="F209" i="3" l="1"/>
  <c r="H210" i="3"/>
  <c r="I210" i="3"/>
  <c r="G207" i="3"/>
  <c r="G208" i="3" l="1"/>
  <c r="I211" i="3"/>
  <c r="H211" i="3"/>
  <c r="F210" i="3"/>
  <c r="S1258" i="1"/>
  <c r="S1257" i="1"/>
  <c r="S1256" i="1"/>
  <c r="S1255" i="1"/>
  <c r="S1254" i="1"/>
  <c r="S1253" i="1"/>
  <c r="S1252" i="1"/>
  <c r="S1251" i="1"/>
  <c r="S1250" i="1"/>
  <c r="S1249" i="1"/>
  <c r="S1248" i="1"/>
  <c r="S1247" i="1"/>
  <c r="S1246" i="1"/>
  <c r="S1245" i="1"/>
  <c r="S1244" i="1"/>
  <c r="S1243" i="1"/>
  <c r="S1242" i="1"/>
  <c r="S1241" i="1"/>
  <c r="S1240" i="1"/>
  <c r="S1239" i="1"/>
  <c r="S1238" i="1"/>
  <c r="S1237" i="1"/>
  <c r="S1236" i="1"/>
  <c r="S1235" i="1"/>
  <c r="S1234" i="1"/>
  <c r="S1233" i="1"/>
  <c r="S1232" i="1"/>
  <c r="S1231" i="1"/>
  <c r="S1230" i="1"/>
  <c r="S1229" i="1"/>
  <c r="S1228" i="1"/>
  <c r="S1227" i="1"/>
  <c r="S1226" i="1"/>
  <c r="S1225" i="1"/>
  <c r="S1224" i="1"/>
  <c r="S1223" i="1"/>
  <c r="S1222" i="1"/>
  <c r="S1221" i="1"/>
  <c r="S1220" i="1"/>
  <c r="S1219" i="1"/>
  <c r="S1218" i="1"/>
  <c r="S1217" i="1"/>
  <c r="S1216" i="1"/>
  <c r="S1215" i="1"/>
  <c r="S1214" i="1"/>
  <c r="S1213" i="1"/>
  <c r="S1212" i="1"/>
  <c r="S1211" i="1"/>
  <c r="S1210" i="1"/>
  <c r="S1209" i="1"/>
  <c r="S1208" i="1"/>
  <c r="S1207" i="1"/>
  <c r="S1206" i="1"/>
  <c r="S1205" i="1"/>
  <c r="S1204" i="1"/>
  <c r="S1203" i="1"/>
  <c r="S1202" i="1"/>
  <c r="S1201" i="1"/>
  <c r="S1200" i="1"/>
  <c r="S1199" i="1"/>
  <c r="S1198" i="1"/>
  <c r="S1197" i="1"/>
  <c r="S1196" i="1"/>
  <c r="S1195" i="1"/>
  <c r="S1194" i="1"/>
  <c r="S1193" i="1"/>
  <c r="S1192" i="1"/>
  <c r="S1191" i="1"/>
  <c r="S1190" i="1"/>
  <c r="S1189" i="1"/>
  <c r="S1188" i="1"/>
  <c r="S1187" i="1"/>
  <c r="S1186" i="1"/>
  <c r="S1185" i="1"/>
  <c r="S1184" i="1"/>
  <c r="S1183" i="1"/>
  <c r="S1182" i="1"/>
  <c r="S1181" i="1"/>
  <c r="S1180" i="1"/>
  <c r="S1179" i="1"/>
  <c r="S1178" i="1"/>
  <c r="S1177" i="1"/>
  <c r="S1176" i="1"/>
  <c r="S1175" i="1"/>
  <c r="S1174" i="1"/>
  <c r="S1173" i="1"/>
  <c r="S1172" i="1"/>
  <c r="S1171" i="1"/>
  <c r="S1170" i="1"/>
  <c r="S1169" i="1"/>
  <c r="S1168" i="1"/>
  <c r="S1167" i="1"/>
  <c r="S1166" i="1"/>
  <c r="S1165" i="1"/>
  <c r="S1164" i="1"/>
  <c r="S1163" i="1"/>
  <c r="S1162" i="1"/>
  <c r="S1161" i="1"/>
  <c r="S1160" i="1"/>
  <c r="S1159" i="1"/>
  <c r="S1158" i="1"/>
  <c r="S1157" i="1"/>
  <c r="S1156" i="1"/>
  <c r="S1155" i="1"/>
  <c r="S1154" i="1"/>
  <c r="S1153" i="1"/>
  <c r="S1152" i="1"/>
  <c r="S1151" i="1"/>
  <c r="S1150" i="1"/>
  <c r="S1149" i="1"/>
  <c r="S1148" i="1"/>
  <c r="S1147" i="1"/>
  <c r="S1146" i="1"/>
  <c r="S1145" i="1"/>
  <c r="S1144" i="1"/>
  <c r="S1143" i="1"/>
  <c r="S1142" i="1"/>
  <c r="S1141" i="1"/>
  <c r="S1140" i="1"/>
  <c r="S1139" i="1"/>
  <c r="S1138" i="1"/>
  <c r="S1137" i="1"/>
  <c r="S1136" i="1"/>
  <c r="S1135" i="1"/>
  <c r="S1134" i="1"/>
  <c r="S1133" i="1"/>
  <c r="S1132" i="1"/>
  <c r="S1131" i="1"/>
  <c r="S1130" i="1"/>
  <c r="S1129" i="1"/>
  <c r="S1128" i="1"/>
  <c r="S1127" i="1"/>
  <c r="S1126" i="1"/>
  <c r="S1125" i="1"/>
  <c r="S1124" i="1"/>
  <c r="S1123" i="1"/>
  <c r="S1122" i="1"/>
  <c r="S1121" i="1"/>
  <c r="S1120" i="1"/>
  <c r="S1119" i="1"/>
  <c r="S1118" i="1"/>
  <c r="S1117" i="1"/>
  <c r="S1116" i="1"/>
  <c r="S1115" i="1"/>
  <c r="S1114" i="1"/>
  <c r="S1113" i="1"/>
  <c r="S1112" i="1"/>
  <c r="S1111" i="1"/>
  <c r="S1110" i="1"/>
  <c r="S1109" i="1"/>
  <c r="S1108" i="1"/>
  <c r="S1107" i="1"/>
  <c r="S1106" i="1"/>
  <c r="S1105" i="1"/>
  <c r="S1104" i="1"/>
  <c r="S1103" i="1"/>
  <c r="S1102" i="1"/>
  <c r="S1101" i="1"/>
  <c r="S1100" i="1"/>
  <c r="S1099" i="1"/>
  <c r="S1098" i="1"/>
  <c r="S1097" i="1"/>
  <c r="S1096" i="1"/>
  <c r="S1095" i="1"/>
  <c r="S1094" i="1"/>
  <c r="S1093" i="1"/>
  <c r="S1092" i="1"/>
  <c r="S1091" i="1"/>
  <c r="S1090" i="1"/>
  <c r="S1089" i="1"/>
  <c r="S1088" i="1"/>
  <c r="S1087" i="1"/>
  <c r="S1086" i="1"/>
  <c r="S1085" i="1"/>
  <c r="S1084" i="1"/>
  <c r="S1083" i="1"/>
  <c r="S1082" i="1"/>
  <c r="S1081" i="1"/>
  <c r="S1080" i="1"/>
  <c r="S1079" i="1"/>
  <c r="S1078" i="1"/>
  <c r="S1077" i="1"/>
  <c r="S1076" i="1"/>
  <c r="S1075" i="1"/>
  <c r="S1074" i="1"/>
  <c r="S1073" i="1"/>
  <c r="S1072" i="1"/>
  <c r="S1071" i="1"/>
  <c r="S1070" i="1"/>
  <c r="S1069" i="1"/>
  <c r="S1068" i="1"/>
  <c r="S1067" i="1"/>
  <c r="S1066" i="1"/>
  <c r="S1065" i="1"/>
  <c r="S1064" i="1"/>
  <c r="S1063" i="1"/>
  <c r="S1062" i="1"/>
  <c r="S1061" i="1"/>
  <c r="S1060" i="1"/>
  <c r="S1059" i="1"/>
  <c r="S1058" i="1"/>
  <c r="S1057" i="1"/>
  <c r="S1056" i="1"/>
  <c r="S1055" i="1"/>
  <c r="S1054" i="1"/>
  <c r="S1053" i="1"/>
  <c r="S1052" i="1"/>
  <c r="S1051" i="1"/>
  <c r="S1050" i="1"/>
  <c r="S1049" i="1"/>
  <c r="S1048" i="1"/>
  <c r="S1047" i="1"/>
  <c r="S1046" i="1"/>
  <c r="S1045" i="1"/>
  <c r="S1044" i="1"/>
  <c r="S1043" i="1"/>
  <c r="S1042" i="1"/>
  <c r="S1041" i="1"/>
  <c r="S1040" i="1"/>
  <c r="S1039" i="1"/>
  <c r="S1038" i="1"/>
  <c r="S1037" i="1"/>
  <c r="S1036" i="1"/>
  <c r="S1035" i="1"/>
  <c r="S1034" i="1"/>
  <c r="S1033" i="1"/>
  <c r="S1032" i="1"/>
  <c r="S1031" i="1"/>
  <c r="S1030" i="1"/>
  <c r="S1029" i="1"/>
  <c r="S1028" i="1"/>
  <c r="S1027" i="1"/>
  <c r="S1026" i="1"/>
  <c r="S1025" i="1"/>
  <c r="S1024" i="1"/>
  <c r="S1023" i="1"/>
  <c r="S1022" i="1"/>
  <c r="S1021" i="1"/>
  <c r="S1020" i="1"/>
  <c r="S1019" i="1"/>
  <c r="S1018" i="1"/>
  <c r="S1017" i="1"/>
  <c r="S1016" i="1"/>
  <c r="S1015" i="1"/>
  <c r="S1014" i="1"/>
  <c r="S1013" i="1"/>
  <c r="S1012" i="1"/>
  <c r="S1011" i="1"/>
  <c r="S1010" i="1"/>
  <c r="S1009" i="1"/>
  <c r="S1008" i="1"/>
  <c r="S1007" i="1"/>
  <c r="S1006" i="1"/>
  <c r="S1005" i="1"/>
  <c r="S1004" i="1"/>
  <c r="S1003" i="1"/>
  <c r="S1002" i="1"/>
  <c r="S1001" i="1"/>
  <c r="S1000" i="1"/>
  <c r="S999" i="1"/>
  <c r="S998" i="1"/>
  <c r="S997" i="1"/>
  <c r="S996" i="1"/>
  <c r="S995" i="1"/>
  <c r="S994" i="1"/>
  <c r="S993" i="1"/>
  <c r="S992" i="1"/>
  <c r="S991" i="1"/>
  <c r="S990" i="1"/>
  <c r="S989" i="1"/>
  <c r="S988" i="1"/>
  <c r="S987" i="1"/>
  <c r="S986" i="1"/>
  <c r="S985" i="1"/>
  <c r="S984" i="1"/>
  <c r="S983" i="1"/>
  <c r="S982" i="1"/>
  <c r="S981" i="1"/>
  <c r="S980" i="1"/>
  <c r="S979" i="1"/>
  <c r="S978" i="1"/>
  <c r="S977" i="1"/>
  <c r="S976" i="1"/>
  <c r="S975" i="1"/>
  <c r="S974" i="1"/>
  <c r="S973" i="1"/>
  <c r="S972" i="1"/>
  <c r="S971" i="1"/>
  <c r="S970" i="1"/>
  <c r="S969" i="1"/>
  <c r="S968" i="1"/>
  <c r="S967" i="1"/>
  <c r="S966" i="1"/>
  <c r="S965" i="1"/>
  <c r="S964" i="1"/>
  <c r="S963" i="1"/>
  <c r="S962" i="1"/>
  <c r="S961" i="1"/>
  <c r="S960" i="1"/>
  <c r="S959" i="1"/>
  <c r="S958" i="1"/>
  <c r="S957" i="1"/>
  <c r="S956" i="1"/>
  <c r="S955" i="1"/>
  <c r="S954" i="1"/>
  <c r="S953" i="1"/>
  <c r="S952" i="1"/>
  <c r="S951" i="1"/>
  <c r="S950" i="1"/>
  <c r="S949" i="1"/>
  <c r="S948" i="1"/>
  <c r="S947" i="1"/>
  <c r="S946" i="1"/>
  <c r="S945" i="1"/>
  <c r="S944" i="1"/>
  <c r="S943" i="1"/>
  <c r="S942" i="1"/>
  <c r="S941" i="1"/>
  <c r="S940" i="1"/>
  <c r="S939" i="1"/>
  <c r="S938" i="1"/>
  <c r="S937" i="1"/>
  <c r="S936" i="1"/>
  <c r="S935" i="1"/>
  <c r="S934" i="1"/>
  <c r="S933" i="1"/>
  <c r="S932" i="1"/>
  <c r="S931" i="1"/>
  <c r="S930" i="1"/>
  <c r="S929" i="1"/>
  <c r="S928" i="1"/>
  <c r="S927" i="1"/>
  <c r="S926" i="1"/>
  <c r="S925" i="1"/>
  <c r="S924" i="1"/>
  <c r="S923" i="1"/>
  <c r="S922" i="1"/>
  <c r="S921" i="1"/>
  <c r="S920" i="1"/>
  <c r="S919" i="1"/>
  <c r="S918" i="1"/>
  <c r="S917" i="1"/>
  <c r="S916" i="1"/>
  <c r="S915" i="1"/>
  <c r="S914" i="1"/>
  <c r="S913" i="1"/>
  <c r="S912" i="1"/>
  <c r="S911" i="1"/>
  <c r="S910" i="1"/>
  <c r="S909" i="1"/>
  <c r="S908" i="1"/>
  <c r="S907" i="1"/>
  <c r="S906" i="1"/>
  <c r="S905" i="1"/>
  <c r="S904" i="1"/>
  <c r="S903" i="1"/>
  <c r="S902" i="1"/>
  <c r="S901" i="1"/>
  <c r="S900" i="1"/>
  <c r="S899" i="1"/>
  <c r="S898" i="1"/>
  <c r="S897" i="1"/>
  <c r="S896" i="1"/>
  <c r="S895" i="1"/>
  <c r="S894" i="1"/>
  <c r="S893" i="1"/>
  <c r="S892" i="1"/>
  <c r="S891" i="1"/>
  <c r="S890" i="1"/>
  <c r="S889" i="1"/>
  <c r="S888" i="1"/>
  <c r="S887" i="1"/>
  <c r="S886" i="1"/>
  <c r="S885" i="1"/>
  <c r="S884" i="1"/>
  <c r="S883" i="1"/>
  <c r="S882" i="1"/>
  <c r="S881" i="1"/>
  <c r="S880" i="1"/>
  <c r="S879" i="1"/>
  <c r="S878" i="1"/>
  <c r="S877" i="1"/>
  <c r="S876" i="1"/>
  <c r="S875" i="1"/>
  <c r="S874" i="1"/>
  <c r="S873" i="1"/>
  <c r="S872" i="1"/>
  <c r="S871" i="1"/>
  <c r="S870" i="1"/>
  <c r="S869" i="1"/>
  <c r="S868" i="1"/>
  <c r="S867" i="1"/>
  <c r="S866" i="1"/>
  <c r="S865" i="1"/>
  <c r="S864" i="1"/>
  <c r="S863" i="1"/>
  <c r="S862" i="1"/>
  <c r="S861" i="1"/>
  <c r="S860" i="1"/>
  <c r="S859" i="1"/>
  <c r="S858" i="1"/>
  <c r="S857" i="1"/>
  <c r="S856" i="1"/>
  <c r="S855" i="1"/>
  <c r="S854" i="1"/>
  <c r="S853" i="1"/>
  <c r="S852" i="1"/>
  <c r="S851" i="1"/>
  <c r="S850" i="1"/>
  <c r="S849" i="1"/>
  <c r="S848" i="1"/>
  <c r="S847" i="1"/>
  <c r="S846" i="1"/>
  <c r="S845" i="1"/>
  <c r="S844" i="1"/>
  <c r="S843" i="1"/>
  <c r="S842" i="1"/>
  <c r="S841" i="1"/>
  <c r="S840" i="1"/>
  <c r="S839" i="1"/>
  <c r="S838" i="1"/>
  <c r="S837" i="1"/>
  <c r="S836" i="1"/>
  <c r="S835" i="1"/>
  <c r="S834" i="1"/>
  <c r="S833" i="1"/>
  <c r="S832" i="1"/>
  <c r="S831" i="1"/>
  <c r="S830" i="1"/>
  <c r="S829" i="1"/>
  <c r="S828" i="1"/>
  <c r="S827" i="1"/>
  <c r="S826" i="1"/>
  <c r="S825" i="1"/>
  <c r="S824" i="1"/>
  <c r="S823" i="1"/>
  <c r="S822" i="1"/>
  <c r="S821" i="1"/>
  <c r="S820" i="1"/>
  <c r="S819" i="1"/>
  <c r="S818" i="1"/>
  <c r="S817" i="1"/>
  <c r="S816" i="1"/>
  <c r="S815" i="1"/>
  <c r="S814" i="1"/>
  <c r="S813" i="1"/>
  <c r="S812" i="1"/>
  <c r="S811" i="1"/>
  <c r="S810" i="1"/>
  <c r="S809" i="1"/>
  <c r="S808" i="1"/>
  <c r="S807" i="1"/>
  <c r="S806" i="1"/>
  <c r="S805" i="1"/>
  <c r="S804" i="1"/>
  <c r="S803" i="1"/>
  <c r="S802" i="1"/>
  <c r="S801" i="1"/>
  <c r="S800" i="1"/>
  <c r="S799" i="1"/>
  <c r="S798" i="1"/>
  <c r="S797" i="1"/>
  <c r="S796" i="1"/>
  <c r="S795" i="1"/>
  <c r="S794" i="1"/>
  <c r="S793" i="1"/>
  <c r="S792" i="1"/>
  <c r="S791" i="1"/>
  <c r="S790" i="1"/>
  <c r="S789" i="1"/>
  <c r="S788" i="1"/>
  <c r="S787" i="1"/>
  <c r="S786" i="1"/>
  <c r="S785" i="1"/>
  <c r="S784" i="1"/>
  <c r="S783" i="1"/>
  <c r="S782" i="1"/>
  <c r="S781" i="1"/>
  <c r="S780" i="1"/>
  <c r="S779" i="1"/>
  <c r="S778" i="1"/>
  <c r="S777" i="1"/>
  <c r="S776" i="1"/>
  <c r="S775" i="1"/>
  <c r="S774" i="1"/>
  <c r="S773" i="1"/>
  <c r="S772" i="1"/>
  <c r="S771" i="1"/>
  <c r="S770" i="1"/>
  <c r="S769" i="1"/>
  <c r="S768" i="1"/>
  <c r="S767" i="1"/>
  <c r="S766" i="1"/>
  <c r="S765" i="1"/>
  <c r="S764" i="1"/>
  <c r="S763" i="1"/>
  <c r="S762" i="1"/>
  <c r="S761" i="1"/>
  <c r="S760" i="1"/>
  <c r="S759" i="1"/>
  <c r="S758" i="1"/>
  <c r="S757" i="1"/>
  <c r="S756" i="1"/>
  <c r="S755" i="1"/>
  <c r="S754" i="1"/>
  <c r="S753" i="1"/>
  <c r="S752" i="1"/>
  <c r="S751" i="1"/>
  <c r="S750" i="1"/>
  <c r="S749" i="1"/>
  <c r="S748" i="1"/>
  <c r="S747" i="1"/>
  <c r="S746" i="1"/>
  <c r="S745" i="1"/>
  <c r="S744" i="1"/>
  <c r="S743" i="1"/>
  <c r="S742" i="1"/>
  <c r="S741" i="1"/>
  <c r="S740" i="1"/>
  <c r="S739" i="1"/>
  <c r="S738" i="1"/>
  <c r="S737" i="1"/>
  <c r="S736" i="1"/>
  <c r="S735" i="1"/>
  <c r="S734" i="1"/>
  <c r="S733" i="1"/>
  <c r="S732" i="1"/>
  <c r="S731" i="1"/>
  <c r="S730" i="1"/>
  <c r="S729" i="1"/>
  <c r="S728" i="1"/>
  <c r="S727" i="1"/>
  <c r="S726" i="1"/>
  <c r="S725" i="1"/>
  <c r="S724" i="1"/>
  <c r="S723" i="1"/>
  <c r="S722" i="1"/>
  <c r="S721" i="1"/>
  <c r="S720" i="1"/>
  <c r="S719" i="1"/>
  <c r="S718" i="1"/>
  <c r="S717" i="1"/>
  <c r="S716" i="1"/>
  <c r="S715" i="1"/>
  <c r="S714" i="1"/>
  <c r="S713" i="1"/>
  <c r="S712" i="1"/>
  <c r="S711" i="1"/>
  <c r="S710" i="1"/>
  <c r="S709" i="1"/>
  <c r="S708" i="1"/>
  <c r="S707" i="1"/>
  <c r="S706" i="1"/>
  <c r="S705" i="1"/>
  <c r="S704" i="1"/>
  <c r="S703" i="1"/>
  <c r="S702" i="1"/>
  <c r="S701" i="1"/>
  <c r="S700" i="1"/>
  <c r="S699" i="1"/>
  <c r="S698" i="1"/>
  <c r="S697" i="1"/>
  <c r="S696" i="1"/>
  <c r="S695" i="1"/>
  <c r="S694" i="1"/>
  <c r="S693" i="1"/>
  <c r="S692" i="1"/>
  <c r="S691" i="1"/>
  <c r="S690" i="1"/>
  <c r="S689" i="1"/>
  <c r="S688" i="1"/>
  <c r="S687" i="1"/>
  <c r="S686" i="1"/>
  <c r="S685" i="1"/>
  <c r="S684" i="1"/>
  <c r="S683" i="1"/>
  <c r="S682" i="1"/>
  <c r="S681" i="1"/>
  <c r="S680" i="1"/>
  <c r="S679" i="1"/>
  <c r="S678" i="1"/>
  <c r="S677" i="1"/>
  <c r="S676" i="1"/>
  <c r="S675" i="1"/>
  <c r="S674" i="1"/>
  <c r="S673" i="1"/>
  <c r="S672" i="1"/>
  <c r="S671" i="1"/>
  <c r="S670" i="1"/>
  <c r="S669" i="1"/>
  <c r="S668" i="1"/>
  <c r="S667" i="1"/>
  <c r="S666" i="1"/>
  <c r="S665" i="1"/>
  <c r="S664" i="1"/>
  <c r="S663" i="1"/>
  <c r="S662" i="1"/>
  <c r="S661" i="1"/>
  <c r="S660" i="1"/>
  <c r="S659" i="1"/>
  <c r="S658" i="1"/>
  <c r="S657" i="1"/>
  <c r="S656" i="1"/>
  <c r="S655" i="1"/>
  <c r="S654" i="1"/>
  <c r="S653" i="1"/>
  <c r="S652" i="1"/>
  <c r="S651" i="1"/>
  <c r="S650" i="1"/>
  <c r="S649" i="1"/>
  <c r="S648" i="1"/>
  <c r="S647" i="1"/>
  <c r="S646" i="1"/>
  <c r="S645" i="1"/>
  <c r="S644" i="1"/>
  <c r="S643" i="1"/>
  <c r="S642" i="1"/>
  <c r="S641" i="1"/>
  <c r="S640" i="1"/>
  <c r="S639" i="1"/>
  <c r="S638" i="1"/>
  <c r="S637" i="1"/>
  <c r="S636" i="1"/>
  <c r="S635" i="1"/>
  <c r="S634" i="1"/>
  <c r="S633" i="1"/>
  <c r="S632" i="1"/>
  <c r="S631" i="1"/>
  <c r="S630" i="1"/>
  <c r="S629" i="1"/>
  <c r="S628" i="1"/>
  <c r="S627" i="1"/>
  <c r="S626" i="1"/>
  <c r="S625" i="1"/>
  <c r="S624" i="1"/>
  <c r="S623" i="1"/>
  <c r="S622" i="1"/>
  <c r="S621" i="1"/>
  <c r="S620" i="1"/>
  <c r="S619" i="1"/>
  <c r="S618" i="1"/>
  <c r="S617" i="1"/>
  <c r="S616" i="1"/>
  <c r="S615" i="1"/>
  <c r="S614" i="1"/>
  <c r="S613" i="1"/>
  <c r="S612" i="1"/>
  <c r="S611" i="1"/>
  <c r="S610" i="1"/>
  <c r="S609" i="1"/>
  <c r="S608" i="1"/>
  <c r="S607" i="1"/>
  <c r="S606" i="1"/>
  <c r="S605" i="1"/>
  <c r="S604" i="1"/>
  <c r="S603" i="1"/>
  <c r="S602" i="1"/>
  <c r="S601" i="1"/>
  <c r="S600" i="1"/>
  <c r="S599" i="1"/>
  <c r="S598" i="1"/>
  <c r="S597" i="1"/>
  <c r="S596" i="1"/>
  <c r="S595" i="1"/>
  <c r="S594" i="1"/>
  <c r="S593" i="1"/>
  <c r="S592" i="1"/>
  <c r="S591" i="1"/>
  <c r="S590" i="1"/>
  <c r="S589" i="1"/>
  <c r="S588" i="1"/>
  <c r="S587" i="1"/>
  <c r="S586" i="1"/>
  <c r="S585" i="1"/>
  <c r="S584" i="1"/>
  <c r="S583" i="1"/>
  <c r="S582" i="1"/>
  <c r="S581" i="1"/>
  <c r="S580" i="1"/>
  <c r="S579" i="1"/>
  <c r="S578" i="1"/>
  <c r="S577" i="1"/>
  <c r="S576" i="1"/>
  <c r="S575" i="1"/>
  <c r="S574" i="1"/>
  <c r="S573" i="1"/>
  <c r="S572" i="1"/>
  <c r="S571" i="1"/>
  <c r="S570" i="1"/>
  <c r="S569" i="1"/>
  <c r="S568" i="1"/>
  <c r="S567" i="1"/>
  <c r="S566" i="1"/>
  <c r="S565" i="1"/>
  <c r="S564" i="1"/>
  <c r="S563" i="1"/>
  <c r="S562" i="1"/>
  <c r="S561" i="1"/>
  <c r="S560" i="1"/>
  <c r="S559" i="1"/>
  <c r="S558" i="1"/>
  <c r="S557" i="1"/>
  <c r="S556" i="1"/>
  <c r="S555" i="1"/>
  <c r="S554" i="1"/>
  <c r="S553" i="1"/>
  <c r="S552" i="1"/>
  <c r="S551" i="1"/>
  <c r="S550" i="1"/>
  <c r="S549" i="1"/>
  <c r="S548" i="1"/>
  <c r="S547" i="1"/>
  <c r="S546" i="1"/>
  <c r="S545" i="1"/>
  <c r="S544" i="1"/>
  <c r="S543" i="1"/>
  <c r="S542" i="1"/>
  <c r="S541" i="1"/>
  <c r="S540" i="1"/>
  <c r="S539" i="1"/>
  <c r="S538" i="1"/>
  <c r="S537" i="1"/>
  <c r="S536" i="1"/>
  <c r="S535" i="1"/>
  <c r="S534" i="1"/>
  <c r="S533" i="1"/>
  <c r="S532" i="1"/>
  <c r="S531" i="1"/>
  <c r="S530" i="1"/>
  <c r="S529" i="1"/>
  <c r="S528" i="1"/>
  <c r="S527" i="1"/>
  <c r="S526" i="1"/>
  <c r="S525" i="1"/>
  <c r="S524" i="1"/>
  <c r="S523" i="1"/>
  <c r="S522" i="1"/>
  <c r="S521" i="1"/>
  <c r="S520" i="1"/>
  <c r="S519" i="1"/>
  <c r="S518" i="1"/>
  <c r="S517" i="1"/>
  <c r="S516" i="1"/>
  <c r="S515" i="1"/>
  <c r="S514" i="1"/>
  <c r="S513" i="1"/>
  <c r="S512" i="1"/>
  <c r="S511" i="1"/>
  <c r="S510" i="1"/>
  <c r="S509" i="1"/>
  <c r="S508" i="1"/>
  <c r="S507" i="1"/>
  <c r="S506" i="1"/>
  <c r="S505" i="1"/>
  <c r="S504" i="1"/>
  <c r="S503" i="1"/>
  <c r="S502" i="1"/>
  <c r="S501" i="1"/>
  <c r="S500" i="1"/>
  <c r="S499" i="1"/>
  <c r="S498" i="1"/>
  <c r="S497" i="1"/>
  <c r="S496" i="1"/>
  <c r="S495" i="1"/>
  <c r="S494" i="1"/>
  <c r="S493" i="1"/>
  <c r="S492" i="1"/>
  <c r="S491" i="1"/>
  <c r="S490" i="1"/>
  <c r="S489" i="1"/>
  <c r="S488" i="1"/>
  <c r="S487" i="1"/>
  <c r="S486" i="1"/>
  <c r="S485" i="1"/>
  <c r="S484" i="1"/>
  <c r="S483" i="1"/>
  <c r="S482" i="1"/>
  <c r="S481" i="1"/>
  <c r="S480" i="1"/>
  <c r="S479" i="1"/>
  <c r="S478" i="1"/>
  <c r="S477" i="1"/>
  <c r="S476" i="1"/>
  <c r="S475" i="1"/>
  <c r="S474" i="1"/>
  <c r="S473" i="1"/>
  <c r="S472" i="1"/>
  <c r="S471" i="1"/>
  <c r="S470" i="1"/>
  <c r="S469" i="1"/>
  <c r="S468" i="1"/>
  <c r="S467" i="1"/>
  <c r="S466" i="1"/>
  <c r="S465" i="1"/>
  <c r="S464" i="1"/>
  <c r="S463" i="1"/>
  <c r="S462" i="1"/>
  <c r="S461" i="1"/>
  <c r="S460" i="1"/>
  <c r="S459" i="1"/>
  <c r="S458" i="1"/>
  <c r="S457" i="1"/>
  <c r="S456" i="1"/>
  <c r="S455" i="1"/>
  <c r="S454" i="1"/>
  <c r="S453" i="1"/>
  <c r="S452" i="1"/>
  <c r="S451" i="1"/>
  <c r="S450" i="1"/>
  <c r="S449" i="1"/>
  <c r="S448" i="1"/>
  <c r="S447" i="1"/>
  <c r="S446" i="1"/>
  <c r="S445" i="1"/>
  <c r="S444" i="1"/>
  <c r="S443" i="1"/>
  <c r="S442" i="1"/>
  <c r="S441" i="1"/>
  <c r="S440" i="1"/>
  <c r="S439" i="1"/>
  <c r="S438" i="1"/>
  <c r="S437" i="1"/>
  <c r="S436" i="1"/>
  <c r="S435" i="1"/>
  <c r="S434" i="1"/>
  <c r="S433" i="1"/>
  <c r="S432" i="1"/>
  <c r="S431" i="1"/>
  <c r="S430" i="1"/>
  <c r="S429" i="1"/>
  <c r="S428" i="1"/>
  <c r="S427" i="1"/>
  <c r="S426" i="1"/>
  <c r="S425" i="1"/>
  <c r="S424" i="1"/>
  <c r="S423" i="1"/>
  <c r="S422" i="1"/>
  <c r="S421" i="1"/>
  <c r="S420" i="1"/>
  <c r="S419" i="1"/>
  <c r="S418" i="1"/>
  <c r="S417" i="1"/>
  <c r="S416" i="1"/>
  <c r="S415" i="1"/>
  <c r="S414" i="1"/>
  <c r="S413" i="1"/>
  <c r="S412" i="1"/>
  <c r="S411" i="1"/>
  <c r="S410" i="1"/>
  <c r="S409" i="1"/>
  <c r="S408" i="1"/>
  <c r="S407" i="1"/>
  <c r="S406" i="1"/>
  <c r="S405" i="1"/>
  <c r="S404" i="1"/>
  <c r="S403" i="1"/>
  <c r="S402" i="1"/>
  <c r="S401" i="1"/>
  <c r="S400" i="1"/>
  <c r="S399" i="1"/>
  <c r="S398" i="1"/>
  <c r="S397" i="1"/>
  <c r="S396" i="1"/>
  <c r="S395" i="1"/>
  <c r="S394" i="1"/>
  <c r="S393" i="1"/>
  <c r="S392" i="1"/>
  <c r="S391" i="1"/>
  <c r="S390" i="1"/>
  <c r="S389" i="1"/>
  <c r="S388" i="1"/>
  <c r="S387" i="1"/>
  <c r="S386" i="1"/>
  <c r="S385" i="1"/>
  <c r="S384" i="1"/>
  <c r="S383" i="1"/>
  <c r="S382" i="1"/>
  <c r="S381" i="1"/>
  <c r="S380" i="1"/>
  <c r="S379" i="1"/>
  <c r="S378" i="1"/>
  <c r="S377" i="1"/>
  <c r="S376" i="1"/>
  <c r="S375" i="1"/>
  <c r="S374" i="1"/>
  <c r="S373" i="1"/>
  <c r="S372" i="1"/>
  <c r="S371" i="1"/>
  <c r="S370" i="1"/>
  <c r="S369" i="1"/>
  <c r="S368" i="1"/>
  <c r="S367" i="1"/>
  <c r="S366" i="1"/>
  <c r="S365" i="1"/>
  <c r="S364" i="1"/>
  <c r="S363" i="1"/>
  <c r="S362" i="1"/>
  <c r="S361"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10" i="1"/>
  <c r="S309" i="1"/>
  <c r="S308" i="1"/>
  <c r="S307" i="1"/>
  <c r="S306" i="1"/>
  <c r="S305" i="1"/>
  <c r="S304" i="1"/>
  <c r="S303" i="1"/>
  <c r="S302" i="1"/>
  <c r="S301" i="1"/>
  <c r="S300" i="1"/>
  <c r="S299" i="1"/>
  <c r="S298" i="1"/>
  <c r="S297" i="1"/>
  <c r="S296" i="1"/>
  <c r="S295" i="1"/>
  <c r="S294" i="1"/>
  <c r="S293" i="1"/>
  <c r="S292" i="1"/>
  <c r="S291" i="1"/>
  <c r="S290" i="1"/>
  <c r="S289" i="1"/>
  <c r="S288" i="1"/>
  <c r="S287" i="1"/>
  <c r="S286" i="1"/>
  <c r="S285" i="1"/>
  <c r="S284" i="1"/>
  <c r="S283" i="1"/>
  <c r="S282" i="1"/>
  <c r="S281" i="1"/>
  <c r="S280" i="1"/>
  <c r="S279" i="1"/>
  <c r="S278" i="1"/>
  <c r="S277" i="1"/>
  <c r="S276" i="1"/>
  <c r="S275" i="1"/>
  <c r="S274" i="1"/>
  <c r="S273" i="1"/>
  <c r="S272" i="1"/>
  <c r="S271" i="1"/>
  <c r="S270" i="1"/>
  <c r="S269" i="1"/>
  <c r="S268" i="1"/>
  <c r="S267" i="1"/>
  <c r="S266" i="1"/>
  <c r="S265" i="1"/>
  <c r="S264" i="1"/>
  <c r="S263" i="1"/>
  <c r="AI263" i="1" s="1"/>
  <c r="S262" i="1"/>
  <c r="AI262" i="1" s="1"/>
  <c r="S261" i="1"/>
  <c r="S260" i="1"/>
  <c r="S259" i="1"/>
  <c r="S258" i="1"/>
  <c r="AI258" i="1" s="1"/>
  <c r="S257" i="1"/>
  <c r="S256" i="1"/>
  <c r="S255" i="1"/>
  <c r="S254" i="1"/>
  <c r="AI254" i="1" s="1"/>
  <c r="AI253" i="1"/>
  <c r="S252" i="1"/>
  <c r="S251" i="1"/>
  <c r="S250" i="1"/>
  <c r="AI250" i="1" s="1"/>
  <c r="S248" i="1"/>
  <c r="AI248" i="1" s="1"/>
  <c r="S247" i="1"/>
  <c r="AI247" i="1" s="1"/>
  <c r="S246" i="1"/>
  <c r="AI246" i="1" s="1"/>
  <c r="S245" i="1"/>
  <c r="AI245" i="1" s="1"/>
  <c r="S244" i="1"/>
  <c r="AI244" i="1" s="1"/>
  <c r="S243" i="1"/>
  <c r="AI243" i="1" s="1"/>
  <c r="S242" i="1"/>
  <c r="AI242" i="1" s="1"/>
  <c r="S241" i="1"/>
  <c r="AI241" i="1" s="1"/>
  <c r="S240" i="1"/>
  <c r="AI240" i="1" s="1"/>
  <c r="S239" i="1"/>
  <c r="AI239" i="1" s="1"/>
  <c r="S238" i="1"/>
  <c r="AI238" i="1" s="1"/>
  <c r="S236" i="1"/>
  <c r="AI236" i="1" s="1"/>
  <c r="S235" i="1"/>
  <c r="AI235" i="1" s="1"/>
  <c r="S234" i="1"/>
  <c r="AI234" i="1" s="1"/>
  <c r="S233" i="1"/>
  <c r="AI233" i="1" s="1"/>
  <c r="S232" i="1"/>
  <c r="AI232" i="1" s="1"/>
  <c r="S231" i="1"/>
  <c r="AI231" i="1" s="1"/>
  <c r="S230" i="1"/>
  <c r="AI230" i="1" s="1"/>
  <c r="S229" i="1"/>
  <c r="AI229" i="1" s="1"/>
  <c r="S228" i="1"/>
  <c r="AI228" i="1" s="1"/>
  <c r="S227" i="1"/>
  <c r="AI227" i="1" s="1"/>
  <c r="S226" i="1"/>
  <c r="AI226" i="1" s="1"/>
  <c r="S224" i="1"/>
  <c r="AI224" i="1" s="1"/>
  <c r="S223" i="1"/>
  <c r="AI223" i="1" s="1"/>
  <c r="S222" i="1"/>
  <c r="AI222" i="1" s="1"/>
  <c r="S221" i="1"/>
  <c r="AI221" i="1" s="1"/>
  <c r="S220" i="1"/>
  <c r="AI220" i="1" s="1"/>
  <c r="S219" i="1"/>
  <c r="AI219" i="1" s="1"/>
  <c r="S218" i="1"/>
  <c r="S217" i="1"/>
  <c r="AI217" i="1" s="1"/>
  <c r="S216" i="1"/>
  <c r="AI216" i="1" s="1"/>
  <c r="S215" i="1"/>
  <c r="AI215" i="1" s="1"/>
  <c r="S214" i="1"/>
  <c r="AI214" i="1" s="1"/>
  <c r="S213" i="1"/>
  <c r="AI213" i="1" s="1"/>
  <c r="S212" i="1"/>
  <c r="AI212" i="1" s="1"/>
  <c r="S211" i="1"/>
  <c r="AI211" i="1" s="1"/>
  <c r="S210" i="1"/>
  <c r="AI210" i="1" s="1"/>
  <c r="S209" i="1"/>
  <c r="AI209" i="1" s="1"/>
  <c r="S208" i="1"/>
  <c r="AI208" i="1" s="1"/>
  <c r="S207" i="1"/>
  <c r="AI207" i="1" s="1"/>
  <c r="S206" i="1"/>
  <c r="AI206" i="1" s="1"/>
  <c r="S205" i="1"/>
  <c r="AI205" i="1" s="1"/>
  <c r="S204" i="1"/>
  <c r="AI204" i="1" s="1"/>
  <c r="S203" i="1"/>
  <c r="AI203" i="1" s="1"/>
  <c r="S202" i="1"/>
  <c r="AI202" i="1" s="1"/>
  <c r="S200" i="1"/>
  <c r="AI200" i="1" s="1"/>
  <c r="S199" i="1"/>
  <c r="AI199" i="1" s="1"/>
  <c r="S198" i="1"/>
  <c r="AI198" i="1" s="1"/>
  <c r="S197" i="1"/>
  <c r="AI197" i="1" s="1"/>
  <c r="S196" i="1"/>
  <c r="AI196" i="1" s="1"/>
  <c r="S195" i="1"/>
  <c r="AI195" i="1" s="1"/>
  <c r="S194" i="1"/>
  <c r="AI194" i="1" s="1"/>
  <c r="S193" i="1"/>
  <c r="AI193" i="1" s="1"/>
  <c r="S192" i="1"/>
  <c r="AI192" i="1" s="1"/>
  <c r="S191" i="1"/>
  <c r="AI191" i="1" s="1"/>
  <c r="S190" i="1"/>
  <c r="AI190" i="1" s="1"/>
  <c r="S189" i="1"/>
  <c r="AI189" i="1" s="1"/>
  <c r="S188" i="1"/>
  <c r="AI188" i="1" s="1"/>
  <c r="S187" i="1"/>
  <c r="AI187" i="1" s="1"/>
  <c r="S186" i="1"/>
  <c r="AI186" i="1" s="1"/>
  <c r="S185" i="1"/>
  <c r="AI185" i="1" s="1"/>
  <c r="S184" i="1"/>
  <c r="AI184" i="1" s="1"/>
  <c r="S183" i="1"/>
  <c r="AI183" i="1" s="1"/>
  <c r="S182" i="1"/>
  <c r="AI182" i="1" s="1"/>
  <c r="S181" i="1"/>
  <c r="AI181" i="1" s="1"/>
  <c r="S180" i="1"/>
  <c r="AI180" i="1" s="1"/>
  <c r="S179" i="1"/>
  <c r="AI179" i="1" s="1"/>
  <c r="S178" i="1"/>
  <c r="AI178" i="1" s="1"/>
  <c r="S177" i="1"/>
  <c r="AI177" i="1" s="1"/>
  <c r="S176" i="1"/>
  <c r="AI176" i="1" s="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AI128" i="1" s="1"/>
  <c r="S127" i="1"/>
  <c r="AI127" i="1" s="1"/>
  <c r="S126" i="1"/>
  <c r="AI126" i="1" s="1"/>
  <c r="S125" i="1"/>
  <c r="AI125" i="1" s="1"/>
  <c r="S124" i="1"/>
  <c r="AI124" i="1" s="1"/>
  <c r="S123" i="1"/>
  <c r="AI123" i="1" s="1"/>
  <c r="S122" i="1"/>
  <c r="AI122" i="1" s="1"/>
  <c r="S121" i="1"/>
  <c r="AI121" i="1" s="1"/>
  <c r="S120" i="1"/>
  <c r="AI120" i="1" s="1"/>
  <c r="S119" i="1"/>
  <c r="AI119" i="1" s="1"/>
  <c r="S118" i="1"/>
  <c r="AI118" i="1" s="1"/>
  <c r="S117" i="1"/>
  <c r="AI117" i="1" s="1"/>
  <c r="S116" i="1"/>
  <c r="AI116" i="1" s="1"/>
  <c r="S115" i="1"/>
  <c r="AI115" i="1" s="1"/>
  <c r="S114" i="1"/>
  <c r="AI114" i="1" s="1"/>
  <c r="S113" i="1"/>
  <c r="S112" i="1"/>
  <c r="S111" i="1"/>
  <c r="S110" i="1"/>
  <c r="AI110" i="1" s="1"/>
  <c r="S109" i="1"/>
  <c r="AI109" i="1" s="1"/>
  <c r="S108" i="1"/>
  <c r="AI108" i="1" s="1"/>
  <c r="S107" i="1"/>
  <c r="AI107" i="1" s="1"/>
  <c r="S106" i="1"/>
  <c r="AI106" i="1" s="1"/>
  <c r="S105" i="1"/>
  <c r="AI105" i="1" s="1"/>
  <c r="S103" i="1"/>
  <c r="AI103" i="1" s="1"/>
  <c r="S102" i="1"/>
  <c r="AI102" i="1" s="1"/>
  <c r="S101" i="1"/>
  <c r="AI101" i="1" s="1"/>
  <c r="S100" i="1"/>
  <c r="AI100" i="1" s="1"/>
  <c r="S99" i="1"/>
  <c r="AI99" i="1" s="1"/>
  <c r="S98" i="1"/>
  <c r="AI98" i="1" s="1"/>
  <c r="S97" i="1"/>
  <c r="AI97" i="1" s="1"/>
  <c r="S96" i="1"/>
  <c r="AI96" i="1" s="1"/>
  <c r="S95" i="1"/>
  <c r="AI95" i="1" s="1"/>
  <c r="S94" i="1"/>
  <c r="AI94" i="1" s="1"/>
  <c r="S93" i="1"/>
  <c r="AI93" i="1" s="1"/>
  <c r="S92" i="1"/>
  <c r="AI92" i="1" s="1"/>
  <c r="S91" i="1"/>
  <c r="AI91" i="1" s="1"/>
  <c r="S90" i="1"/>
  <c r="AI90" i="1" s="1"/>
  <c r="S89" i="1"/>
  <c r="AI89" i="1" s="1"/>
  <c r="S88" i="1"/>
  <c r="AI88" i="1" s="1"/>
  <c r="S87" i="1"/>
  <c r="AI87" i="1" s="1"/>
  <c r="S86" i="1"/>
  <c r="AI86" i="1" s="1"/>
  <c r="S85" i="1"/>
  <c r="AI85" i="1" s="1"/>
  <c r="S84" i="1"/>
  <c r="AI84" i="1" s="1"/>
  <c r="S83" i="1"/>
  <c r="AI83" i="1" s="1"/>
  <c r="S82" i="1"/>
  <c r="AI82" i="1" s="1"/>
  <c r="S81" i="1"/>
  <c r="AI81" i="1" s="1"/>
  <c r="S80" i="1"/>
  <c r="AI80" i="1" s="1"/>
  <c r="S79" i="1"/>
  <c r="AI79" i="1" s="1"/>
  <c r="S78" i="1"/>
  <c r="S77" i="1"/>
  <c r="S76" i="1"/>
  <c r="S75" i="1"/>
  <c r="S74" i="1"/>
  <c r="S73" i="1"/>
  <c r="S72" i="1"/>
  <c r="S71" i="1"/>
  <c r="S70" i="1"/>
  <c r="S69" i="1"/>
  <c r="S68" i="1"/>
  <c r="S67" i="1"/>
  <c r="S66" i="1"/>
  <c r="S59" i="1"/>
  <c r="S58" i="1"/>
  <c r="AI58" i="1" s="1"/>
  <c r="S57" i="1"/>
  <c r="AI57" i="1" s="1"/>
  <c r="S56" i="1"/>
  <c r="AI56" i="1" s="1"/>
  <c r="S55" i="1"/>
  <c r="AI55" i="1" s="1"/>
  <c r="S54" i="1"/>
  <c r="AI54" i="1" s="1"/>
  <c r="S53" i="1"/>
  <c r="S52" i="1"/>
  <c r="AI52" i="1" s="1"/>
  <c r="S51" i="1"/>
  <c r="S50" i="1"/>
  <c r="S49" i="1"/>
  <c r="AI49" i="1" s="1"/>
  <c r="S48" i="1"/>
  <c r="S46" i="1"/>
  <c r="AI46" i="1" s="1"/>
  <c r="S45" i="1"/>
  <c r="AI45" i="1" s="1"/>
  <c r="S43" i="1"/>
  <c r="AI43" i="1" s="1"/>
  <c r="S42" i="1"/>
  <c r="AI42" i="1" s="1"/>
  <c r="S41" i="1"/>
  <c r="AI41" i="1" s="1"/>
  <c r="S40" i="1"/>
  <c r="AI40" i="1" s="1"/>
  <c r="S39" i="1"/>
  <c r="AI39" i="1" s="1"/>
  <c r="S38" i="1"/>
  <c r="AI38" i="1" s="1"/>
  <c r="S37" i="1"/>
  <c r="AI37" i="1" s="1"/>
  <c r="S36" i="1"/>
  <c r="AI36" i="1" s="1"/>
  <c r="S35" i="1"/>
  <c r="AI35" i="1" s="1"/>
  <c r="S34" i="1"/>
  <c r="AI34" i="1" s="1"/>
  <c r="S33" i="1"/>
  <c r="AI33" i="1" s="1"/>
  <c r="S32" i="1"/>
  <c r="S31" i="1"/>
  <c r="AI31" i="1" s="1"/>
  <c r="S30" i="1"/>
  <c r="AI30" i="1" s="1"/>
  <c r="S29" i="1"/>
  <c r="AI29" i="1" s="1"/>
  <c r="S28" i="1"/>
  <c r="AI28" i="1" s="1"/>
  <c r="S27" i="1"/>
  <c r="AI27" i="1" s="1"/>
  <c r="S26" i="1"/>
  <c r="AI26" i="1" s="1"/>
  <c r="S24" i="1"/>
  <c r="AI24" i="1" s="1"/>
  <c r="S23" i="1"/>
  <c r="AI23" i="1" s="1"/>
  <c r="S22" i="1"/>
  <c r="AI22" i="1" s="1"/>
  <c r="S21" i="1"/>
  <c r="AI21" i="1" s="1"/>
  <c r="S20" i="1"/>
  <c r="AI20" i="1" s="1"/>
  <c r="S19" i="1"/>
  <c r="AI19" i="1" s="1"/>
  <c r="S18" i="1"/>
  <c r="AI18" i="1" s="1"/>
  <c r="S17" i="1"/>
  <c r="AI17" i="1" s="1"/>
  <c r="S16" i="1"/>
  <c r="AI16" i="1" s="1"/>
  <c r="S15" i="1"/>
  <c r="AI15" i="1" s="1"/>
  <c r="S14" i="1"/>
  <c r="AI14" i="1" s="1"/>
  <c r="S13" i="1"/>
  <c r="AI13" i="1" s="1"/>
  <c r="S12" i="1"/>
  <c r="AI12" i="1" s="1"/>
  <c r="S11" i="1"/>
  <c r="AI11" i="1" s="1"/>
  <c r="S10" i="1"/>
  <c r="AI10" i="1" s="1"/>
  <c r="S9" i="1"/>
  <c r="AI9" i="1" s="1"/>
  <c r="S8" i="1"/>
  <c r="AI8" i="1" s="1"/>
  <c r="S7" i="1"/>
  <c r="AI7" i="1" s="1"/>
  <c r="S6" i="1"/>
  <c r="AI6" i="1" s="1"/>
  <c r="S3" i="1"/>
  <c r="AI3" i="1" s="1"/>
  <c r="A9" i="1" l="1"/>
  <c r="S1259" i="1"/>
  <c r="A8" i="1"/>
  <c r="F211" i="3"/>
  <c r="H212" i="3"/>
  <c r="I212" i="3"/>
  <c r="G209" i="3"/>
  <c r="A13" i="1" l="1"/>
  <c r="G210" i="3"/>
  <c r="I213" i="3"/>
  <c r="H213" i="3"/>
  <c r="F212" i="3"/>
  <c r="H214" i="3" l="1"/>
  <c r="F213" i="3"/>
  <c r="I214" i="3"/>
  <c r="G211" i="3"/>
  <c r="AH250" i="1" l="1"/>
  <c r="AH248" i="1"/>
  <c r="AH254" i="1"/>
  <c r="AH253" i="1"/>
  <c r="AH252" i="1"/>
  <c r="AH251" i="1"/>
  <c r="AE254" i="1"/>
  <c r="AE253" i="1"/>
  <c r="AE252" i="1"/>
  <c r="AE251" i="1"/>
  <c r="AE250" i="1"/>
  <c r="AE248" i="1"/>
  <c r="AE100" i="1"/>
  <c r="AG100" i="1" s="1"/>
  <c r="AE92" i="1"/>
  <c r="AE84" i="1"/>
  <c r="AE98" i="1"/>
  <c r="AE87" i="1"/>
  <c r="AE86" i="1"/>
  <c r="AE99" i="1"/>
  <c r="AG99" i="1" s="1"/>
  <c r="AE91" i="1"/>
  <c r="AE83" i="1"/>
  <c r="AG83" i="1" s="1"/>
  <c r="AE82" i="1"/>
  <c r="AE90" i="1"/>
  <c r="AE94" i="1"/>
  <c r="AE97" i="1"/>
  <c r="AE89" i="1"/>
  <c r="AE81" i="1"/>
  <c r="AG81" i="1" s="1"/>
  <c r="AE79" i="1"/>
  <c r="AE96" i="1"/>
  <c r="AG96" i="1" s="1"/>
  <c r="AE88" i="1"/>
  <c r="AE80" i="1"/>
  <c r="AE102" i="1"/>
  <c r="AE101" i="1"/>
  <c r="AE93" i="1"/>
  <c r="AE85" i="1"/>
  <c r="AG85" i="1" s="1"/>
  <c r="AE103" i="1"/>
  <c r="AE95" i="1"/>
  <c r="AG95" i="1" s="1"/>
  <c r="AH101" i="1"/>
  <c r="AH93" i="1"/>
  <c r="AJ93" i="1" s="1"/>
  <c r="AH85" i="1"/>
  <c r="AH100" i="1"/>
  <c r="AH92" i="1"/>
  <c r="AH84" i="1"/>
  <c r="AJ84" i="1" s="1"/>
  <c r="AH79" i="1"/>
  <c r="AH99" i="1"/>
  <c r="AH91" i="1"/>
  <c r="AH83" i="1"/>
  <c r="AJ83" i="1" s="1"/>
  <c r="AH98" i="1"/>
  <c r="AH90" i="1"/>
  <c r="AH82" i="1"/>
  <c r="AH87" i="1"/>
  <c r="AJ87" i="1" s="1"/>
  <c r="AH97" i="1"/>
  <c r="AH89" i="1"/>
  <c r="AH81" i="1"/>
  <c r="AH103" i="1"/>
  <c r="AJ103" i="1" s="1"/>
  <c r="AH96" i="1"/>
  <c r="AH88" i="1"/>
  <c r="AH80" i="1"/>
  <c r="AH95" i="1"/>
  <c r="AJ95" i="1" s="1"/>
  <c r="AH102" i="1"/>
  <c r="AH94" i="1"/>
  <c r="AH86" i="1"/>
  <c r="AH24" i="1"/>
  <c r="AJ24" i="1" s="1"/>
  <c r="AH20" i="1"/>
  <c r="AJ20" i="1" s="1"/>
  <c r="AH22" i="1"/>
  <c r="AJ22" i="1" s="1"/>
  <c r="AH23" i="1"/>
  <c r="AJ23" i="1" s="1"/>
  <c r="AH8" i="1"/>
  <c r="AH10" i="1"/>
  <c r="AJ10" i="1" s="1"/>
  <c r="AH5" i="1"/>
  <c r="AH9" i="1"/>
  <c r="AH11" i="1"/>
  <c r="AH4" i="1"/>
  <c r="AJ4" i="1" s="1"/>
  <c r="AH6" i="1"/>
  <c r="AH7" i="1"/>
  <c r="AH58" i="1"/>
  <c r="AH57" i="1"/>
  <c r="AH56" i="1"/>
  <c r="AJ56" i="1" s="1"/>
  <c r="AH55" i="1"/>
  <c r="AH59" i="1"/>
  <c r="AJ59" i="1" s="1"/>
  <c r="AE59" i="1"/>
  <c r="AE58" i="1"/>
  <c r="AG58" i="1" s="1"/>
  <c r="AE57" i="1"/>
  <c r="AE56" i="1"/>
  <c r="AE55" i="1"/>
  <c r="AE22" i="1"/>
  <c r="AG22" i="1" s="1"/>
  <c r="AE21" i="1"/>
  <c r="AG21" i="1" s="1"/>
  <c r="AE19" i="1"/>
  <c r="AG19" i="1" s="1"/>
  <c r="AE20" i="1"/>
  <c r="AG20" i="1" s="1"/>
  <c r="AE18" i="1"/>
  <c r="AG18" i="1" s="1"/>
  <c r="AE23" i="1"/>
  <c r="AG23" i="1" s="1"/>
  <c r="AE17" i="1"/>
  <c r="AG17" i="1" s="1"/>
  <c r="AE24" i="1"/>
  <c r="AE4" i="1"/>
  <c r="AG4" i="1" s="1"/>
  <c r="AE7" i="1"/>
  <c r="AE14" i="1"/>
  <c r="AG14" i="1" s="1"/>
  <c r="AE6" i="1"/>
  <c r="AE3" i="1"/>
  <c r="AE13" i="1"/>
  <c r="AE5" i="1"/>
  <c r="AE11" i="1"/>
  <c r="AE12" i="1"/>
  <c r="AE10" i="1"/>
  <c r="AE9" i="1"/>
  <c r="AE15" i="1"/>
  <c r="AG15" i="1" s="1"/>
  <c r="AE16" i="1"/>
  <c r="AG16" i="1" s="1"/>
  <c r="AE8" i="1"/>
  <c r="AI1235" i="1"/>
  <c r="AJ1235" i="1" s="1"/>
  <c r="AJ883" i="1"/>
  <c r="AJ379" i="1"/>
  <c r="AG1250" i="1"/>
  <c r="AG1242" i="1"/>
  <c r="AG1234" i="1"/>
  <c r="AI1226" i="1"/>
  <c r="AJ1226" i="1" s="1"/>
  <c r="AG1218" i="1"/>
  <c r="AI1202" i="1"/>
  <c r="AJ1202" i="1" s="1"/>
  <c r="AI1186" i="1"/>
  <c r="AJ1186" i="1" s="1"/>
  <c r="AI1178" i="1"/>
  <c r="AJ1178" i="1" s="1"/>
  <c r="AG1170" i="1"/>
  <c r="AI1154" i="1"/>
  <c r="AJ1154" i="1" s="1"/>
  <c r="AI1138" i="1"/>
  <c r="AJ1138" i="1" s="1"/>
  <c r="AG1082" i="1"/>
  <c r="AI1066" i="1"/>
  <c r="AJ1066" i="1" s="1"/>
  <c r="AG1042" i="1"/>
  <c r="AG1002" i="1"/>
  <c r="AG986" i="1"/>
  <c r="AG970" i="1"/>
  <c r="AG962" i="1"/>
  <c r="AG938" i="1"/>
  <c r="AG890" i="1"/>
  <c r="AJ882" i="1"/>
  <c r="AG866" i="1"/>
  <c r="AG858" i="1"/>
  <c r="AG842" i="1"/>
  <c r="AJ818" i="1"/>
  <c r="AJ802" i="1"/>
  <c r="AJ786" i="1"/>
  <c r="AJ754" i="1"/>
  <c r="AG746" i="1"/>
  <c r="AG722" i="1"/>
  <c r="AJ714" i="1"/>
  <c r="AG706" i="1"/>
  <c r="AG698" i="1"/>
  <c r="AG674" i="1"/>
  <c r="AJ666" i="1"/>
  <c r="AJ642" i="1"/>
  <c r="AG634" i="1"/>
  <c r="AG610" i="1"/>
  <c r="AG602" i="1"/>
  <c r="AJ594" i="1"/>
  <c r="AG578" i="1"/>
  <c r="AJ554" i="1"/>
  <c r="AG522" i="1"/>
  <c r="AG482" i="1"/>
  <c r="AG466" i="1"/>
  <c r="AG458" i="1"/>
  <c r="AG434" i="1"/>
  <c r="AJ362" i="1"/>
  <c r="AG330" i="1"/>
  <c r="AG306" i="1"/>
  <c r="AJ282" i="1"/>
  <c r="AJ274" i="1"/>
  <c r="AG250" i="1"/>
  <c r="AG241" i="1"/>
  <c r="AG232" i="1"/>
  <c r="AG207" i="1"/>
  <c r="AJ182" i="1"/>
  <c r="AJ174" i="1"/>
  <c r="AJ118" i="1"/>
  <c r="AJ101" i="1"/>
  <c r="AG93" i="1"/>
  <c r="AG77" i="1"/>
  <c r="AJ61" i="1"/>
  <c r="AJ36" i="1"/>
  <c r="AG1203" i="1"/>
  <c r="AG1123" i="1"/>
  <c r="AG1051" i="1"/>
  <c r="AJ859" i="1"/>
  <c r="AG771" i="1"/>
  <c r="AG659" i="1"/>
  <c r="AJ175" i="1"/>
  <c r="AG1257" i="1"/>
  <c r="AG1249" i="1"/>
  <c r="AI1241" i="1"/>
  <c r="AJ1241" i="1" s="1"/>
  <c r="AG1233" i="1"/>
  <c r="AI1217" i="1"/>
  <c r="AJ1217" i="1" s="1"/>
  <c r="AG1209" i="1"/>
  <c r="AG1201" i="1"/>
  <c r="AG1185" i="1"/>
  <c r="AG1177" i="1"/>
  <c r="AI1169" i="1"/>
  <c r="AJ1169" i="1" s="1"/>
  <c r="AG1153" i="1"/>
  <c r="AG1145" i="1"/>
  <c r="AI1137" i="1"/>
  <c r="AJ1137" i="1" s="1"/>
  <c r="AI1129" i="1"/>
  <c r="AJ1129" i="1" s="1"/>
  <c r="AG1089" i="1"/>
  <c r="AI1081" i="1"/>
  <c r="AJ1081" i="1" s="1"/>
  <c r="AG1073" i="1"/>
  <c r="AG1033" i="1"/>
  <c r="AG1017" i="1"/>
  <c r="AJ1009" i="1"/>
  <c r="AJ985" i="1"/>
  <c r="AG929" i="1"/>
  <c r="AG881" i="1"/>
  <c r="AJ865" i="1"/>
  <c r="AG857" i="1"/>
  <c r="AJ849" i="1"/>
  <c r="AJ817" i="1"/>
  <c r="AG793" i="1"/>
  <c r="AJ777" i="1"/>
  <c r="AJ753" i="1"/>
  <c r="AJ729" i="1"/>
  <c r="AG713" i="1"/>
  <c r="AJ705" i="1"/>
  <c r="AG689" i="1"/>
  <c r="AJ681" i="1"/>
  <c r="AJ673" i="1"/>
  <c r="AG665" i="1"/>
  <c r="AJ657" i="1"/>
  <c r="AJ625" i="1"/>
  <c r="AJ601" i="1"/>
  <c r="AG577" i="1"/>
  <c r="AJ569" i="1"/>
  <c r="AJ545" i="1"/>
  <c r="AJ521" i="1"/>
  <c r="AG505" i="1"/>
  <c r="AG497" i="1"/>
  <c r="AJ457" i="1"/>
  <c r="AG449" i="1"/>
  <c r="AJ425" i="1"/>
  <c r="AG409" i="1"/>
  <c r="AG401" i="1"/>
  <c r="AG369" i="1"/>
  <c r="AG345" i="1"/>
  <c r="AJ337" i="1"/>
  <c r="AJ297" i="1"/>
  <c r="AG281" i="1"/>
  <c r="AG222" i="1"/>
  <c r="AG214" i="1"/>
  <c r="AG197" i="1"/>
  <c r="AG173" i="1"/>
  <c r="AJ149" i="1"/>
  <c r="AJ68" i="1"/>
  <c r="AJ52" i="1"/>
  <c r="AJ28" i="1"/>
  <c r="AG26" i="1"/>
  <c r="AG1227" i="1"/>
  <c r="AG1091" i="1"/>
  <c r="AJ939" i="1"/>
  <c r="AG795" i="1"/>
  <c r="AJ86" i="1"/>
  <c r="AJ675" i="1"/>
  <c r="AJ571" i="1"/>
  <c r="AJ371" i="1"/>
  <c r="AG275" i="1"/>
  <c r="AJ119" i="1"/>
  <c r="AJ62" i="1"/>
  <c r="AG1179" i="1"/>
  <c r="AG899" i="1"/>
  <c r="AJ787" i="1"/>
  <c r="AG475" i="1"/>
  <c r="AG387" i="1"/>
  <c r="AG283" i="1"/>
  <c r="AG1256" i="1"/>
  <c r="AG1224" i="1"/>
  <c r="AI1200" i="1"/>
  <c r="AJ1200" i="1" s="1"/>
  <c r="AI1184" i="1"/>
  <c r="AJ1184" i="1" s="1"/>
  <c r="AI1160" i="1"/>
  <c r="AJ1160" i="1" s="1"/>
  <c r="AI1152" i="1"/>
  <c r="AJ1152" i="1" s="1"/>
  <c r="AI1144" i="1"/>
  <c r="AJ1144" i="1" s="1"/>
  <c r="AG1136" i="1"/>
  <c r="AI1112" i="1"/>
  <c r="AJ1112" i="1" s="1"/>
  <c r="AG1104" i="1"/>
  <c r="AI1096" i="1"/>
  <c r="AJ1096" i="1" s="1"/>
  <c r="AI1080" i="1"/>
  <c r="AJ1080" i="1" s="1"/>
  <c r="AJ1024" i="1"/>
  <c r="AG1008" i="1"/>
  <c r="AG984" i="1"/>
  <c r="AG968" i="1"/>
  <c r="AJ960" i="1"/>
  <c r="AG944" i="1"/>
  <c r="AJ928" i="1"/>
  <c r="AG920" i="1"/>
  <c r="AJ912" i="1"/>
  <c r="AG888" i="1"/>
  <c r="AG872" i="1"/>
  <c r="AG864" i="1"/>
  <c r="AJ856" i="1"/>
  <c r="AG848" i="1"/>
  <c r="AG840" i="1"/>
  <c r="AJ800" i="1"/>
  <c r="AG784" i="1"/>
  <c r="AJ736" i="1"/>
  <c r="AG728" i="1"/>
  <c r="AJ696" i="1"/>
  <c r="AG688" i="1"/>
  <c r="AG680" i="1"/>
  <c r="AJ672" i="1"/>
  <c r="AG664" i="1"/>
  <c r="AG616" i="1"/>
  <c r="AG584" i="1"/>
  <c r="AJ568" i="1"/>
  <c r="AJ536" i="1"/>
  <c r="AG496" i="1"/>
  <c r="AG488" i="1"/>
  <c r="AG464" i="1"/>
  <c r="AG456" i="1"/>
  <c r="AG432" i="1"/>
  <c r="AJ424" i="1"/>
  <c r="AJ416" i="1"/>
  <c r="AG408" i="1"/>
  <c r="AG328" i="1"/>
  <c r="AJ312" i="1"/>
  <c r="AG288" i="1"/>
  <c r="AJ280" i="1"/>
  <c r="AG264" i="1"/>
  <c r="AG213" i="1"/>
  <c r="AG205" i="1"/>
  <c r="AG180" i="1"/>
  <c r="AG140" i="1"/>
  <c r="AG91" i="1"/>
  <c r="AG75" i="1"/>
  <c r="AJ67" i="1"/>
  <c r="AJ42" i="1"/>
  <c r="AG1171" i="1"/>
  <c r="AG1083" i="1"/>
  <c r="AG827" i="1"/>
  <c r="AJ579" i="1"/>
  <c r="AJ443" i="1"/>
  <c r="AJ1003" i="1"/>
  <c r="AG1251" i="1"/>
  <c r="AI1115" i="1"/>
  <c r="AJ1115" i="1" s="1"/>
  <c r="AG971" i="1"/>
  <c r="AJ843" i="1"/>
  <c r="AJ603" i="1"/>
  <c r="AG251" i="1"/>
  <c r="AJ46" i="1"/>
  <c r="AI1255" i="1"/>
  <c r="AJ1255" i="1" s="1"/>
  <c r="AG1247" i="1"/>
  <c r="AI1231" i="1"/>
  <c r="AJ1231" i="1" s="1"/>
  <c r="AI1223" i="1"/>
  <c r="AJ1223" i="1" s="1"/>
  <c r="AI1207" i="1"/>
  <c r="AJ1207" i="1" s="1"/>
  <c r="AI1199" i="1"/>
  <c r="AJ1199" i="1" s="1"/>
  <c r="AG1191" i="1"/>
  <c r="AG1183" i="1"/>
  <c r="AI1175" i="1"/>
  <c r="AJ1175" i="1" s="1"/>
  <c r="AI1167" i="1"/>
  <c r="AJ1167" i="1" s="1"/>
  <c r="AG1159" i="1"/>
  <c r="AI1151" i="1"/>
  <c r="AJ1151" i="1" s="1"/>
  <c r="AI1143" i="1"/>
  <c r="AJ1143" i="1" s="1"/>
  <c r="AI1135" i="1"/>
  <c r="AJ1135" i="1" s="1"/>
  <c r="AI1127" i="1"/>
  <c r="AJ1127" i="1" s="1"/>
  <c r="AI1111" i="1"/>
  <c r="AJ1111" i="1" s="1"/>
  <c r="AG1095" i="1"/>
  <c r="AI1087" i="1"/>
  <c r="AJ1087" i="1" s="1"/>
  <c r="AG1079" i="1"/>
  <c r="AG1039" i="1"/>
  <c r="AG1023" i="1"/>
  <c r="AJ991" i="1"/>
  <c r="AJ967" i="1"/>
  <c r="AG959" i="1"/>
  <c r="AG927" i="1"/>
  <c r="AG911" i="1"/>
  <c r="AJ879" i="1"/>
  <c r="AG863" i="1"/>
  <c r="AJ831" i="1"/>
  <c r="AJ815" i="1"/>
  <c r="AJ799" i="1"/>
  <c r="AJ751" i="1"/>
  <c r="AG735" i="1"/>
  <c r="AG727" i="1"/>
  <c r="AG719" i="1"/>
  <c r="AJ711" i="1"/>
  <c r="AG695" i="1"/>
  <c r="AG671" i="1"/>
  <c r="AJ639" i="1"/>
  <c r="AG631" i="1"/>
  <c r="AJ615" i="1"/>
  <c r="AJ607" i="1"/>
  <c r="AJ599" i="1"/>
  <c r="AJ567" i="1"/>
  <c r="AJ559" i="1"/>
  <c r="AG551" i="1"/>
  <c r="AJ527" i="1"/>
  <c r="AJ487" i="1"/>
  <c r="AG479" i="1"/>
  <c r="AJ471" i="1"/>
  <c r="AG447" i="1"/>
  <c r="AG407" i="1"/>
  <c r="AG391" i="1"/>
  <c r="AJ327" i="1"/>
  <c r="AJ319" i="1"/>
  <c r="AG311" i="1"/>
  <c r="AG295" i="1"/>
  <c r="AJ271" i="1"/>
  <c r="AG263" i="1"/>
  <c r="AJ255" i="1"/>
  <c r="AG220" i="1"/>
  <c r="AJ171" i="1"/>
  <c r="AG147" i="1"/>
  <c r="AJ115" i="1"/>
  <c r="AG98" i="1"/>
  <c r="AJ74" i="1"/>
  <c r="AJ41" i="1"/>
  <c r="AG216" i="1"/>
  <c r="AJ233" i="1"/>
  <c r="AG1246" i="1"/>
  <c r="AG382" i="1"/>
  <c r="AG178" i="1"/>
  <c r="AG138" i="1"/>
  <c r="AJ49" i="1"/>
  <c r="AI1211" i="1"/>
  <c r="AJ1211" i="1" s="1"/>
  <c r="AG1107" i="1"/>
  <c r="AG763" i="1"/>
  <c r="AG435" i="1"/>
  <c r="AG242" i="1"/>
  <c r="AG135" i="1"/>
  <c r="AI1190" i="1"/>
  <c r="AJ1190" i="1" s="1"/>
  <c r="AG662" i="1"/>
  <c r="AI1238" i="1"/>
  <c r="AJ1238" i="1" s="1"/>
  <c r="AG1174" i="1"/>
  <c r="AJ1006" i="1"/>
  <c r="AJ942" i="1"/>
  <c r="AG542" i="1"/>
  <c r="AJ438" i="1"/>
  <c r="AG422" i="1"/>
  <c r="AJ294" i="1"/>
  <c r="AJ262" i="1"/>
  <c r="AJ245" i="1"/>
  <c r="AG162" i="1"/>
  <c r="AG106" i="1"/>
  <c r="AI1075" i="1"/>
  <c r="AJ1075" i="1" s="1"/>
  <c r="AG955" i="1"/>
  <c r="AG875" i="1"/>
  <c r="AG739" i="1"/>
  <c r="AJ619" i="1"/>
  <c r="AG267" i="1"/>
  <c r="AG982" i="1"/>
  <c r="AJ862" i="1"/>
  <c r="AG710" i="1"/>
  <c r="AJ654" i="1"/>
  <c r="AJ430" i="1"/>
  <c r="AJ278" i="1"/>
  <c r="AJ254" i="1"/>
  <c r="AG236" i="1"/>
  <c r="AG122" i="1"/>
  <c r="AG1253" i="1"/>
  <c r="AG1221" i="1"/>
  <c r="AG1197" i="1"/>
  <c r="AI1181" i="1"/>
  <c r="AJ1181" i="1" s="1"/>
  <c r="AG1149" i="1"/>
  <c r="AI1141" i="1"/>
  <c r="AJ1141" i="1" s="1"/>
  <c r="AG1101" i="1"/>
  <c r="AI1069" i="1"/>
  <c r="AJ1069" i="1" s="1"/>
  <c r="AG989" i="1"/>
  <c r="AG973" i="1"/>
  <c r="AJ949" i="1"/>
  <c r="AG917" i="1"/>
  <c r="AG909" i="1"/>
  <c r="AJ901" i="1"/>
  <c r="AG893" i="1"/>
  <c r="AG885" i="1"/>
  <c r="AJ861" i="1"/>
  <c r="AJ797" i="1"/>
  <c r="AJ789" i="1"/>
  <c r="AJ781" i="1"/>
  <c r="AG757" i="1"/>
  <c r="AG725" i="1"/>
  <c r="AJ717" i="1"/>
  <c r="AG709" i="1"/>
  <c r="AG701" i="1"/>
  <c r="AJ693" i="1"/>
  <c r="AG677" i="1"/>
  <c r="AJ645" i="1"/>
  <c r="AJ629" i="1"/>
  <c r="AG613" i="1"/>
  <c r="AG605" i="1"/>
  <c r="AG581" i="1"/>
  <c r="AJ565" i="1"/>
  <c r="AG533" i="1"/>
  <c r="AJ509" i="1"/>
  <c r="AG493" i="1"/>
  <c r="AG485" i="1"/>
  <c r="AG469" i="1"/>
  <c r="AG461" i="1"/>
  <c r="AG429" i="1"/>
  <c r="AJ389" i="1"/>
  <c r="AG381" i="1"/>
  <c r="AJ373" i="1"/>
  <c r="AG357" i="1"/>
  <c r="AG317" i="1"/>
  <c r="AJ301" i="1"/>
  <c r="AJ285" i="1"/>
  <c r="AG269" i="1"/>
  <c r="AJ261" i="1"/>
  <c r="AG253" i="1"/>
  <c r="AG227" i="1"/>
  <c r="AG177" i="1"/>
  <c r="AG161" i="1"/>
  <c r="AJ153" i="1"/>
  <c r="AJ145" i="1"/>
  <c r="AJ137" i="1"/>
  <c r="AG129" i="1"/>
  <c r="AJ105" i="1"/>
  <c r="AJ39" i="1"/>
  <c r="AI1147" i="1"/>
  <c r="AJ1147" i="1" s="1"/>
  <c r="AG891" i="1"/>
  <c r="AG707" i="1"/>
  <c r="AG643" i="1"/>
  <c r="AG563" i="1"/>
  <c r="AJ291" i="1"/>
  <c r="AJ224" i="1"/>
  <c r="AJ70" i="1"/>
  <c r="AG1158" i="1"/>
  <c r="AG1054" i="1"/>
  <c r="AG926" i="1"/>
  <c r="AG822" i="1"/>
  <c r="AG766" i="1"/>
  <c r="AG670" i="1"/>
  <c r="AJ867" i="1"/>
  <c r="AG731" i="1"/>
  <c r="AG595" i="1"/>
  <c r="AG208" i="1"/>
  <c r="AI1198" i="1"/>
  <c r="AJ1198" i="1" s="1"/>
  <c r="AG1014" i="1"/>
  <c r="AG838" i="1"/>
  <c r="AG790" i="1"/>
  <c r="AG734" i="1"/>
  <c r="AG686" i="1"/>
  <c r="AG494" i="1"/>
  <c r="AI1254" i="1"/>
  <c r="AJ1254" i="1" s="1"/>
  <c r="AI1230" i="1"/>
  <c r="AJ1230" i="1" s="1"/>
  <c r="AI1206" i="1"/>
  <c r="AJ1206" i="1" s="1"/>
  <c r="AG950" i="1"/>
  <c r="AG902" i="1"/>
  <c r="AG854" i="1"/>
  <c r="AJ678" i="1"/>
  <c r="AG470" i="1"/>
  <c r="AJ358" i="1"/>
  <c r="AG1252" i="1"/>
  <c r="AG1244" i="1"/>
  <c r="AI1220" i="1"/>
  <c r="AJ1220" i="1" s="1"/>
  <c r="AG1204" i="1"/>
  <c r="AI1196" i="1"/>
  <c r="AJ1196" i="1" s="1"/>
  <c r="AI1188" i="1"/>
  <c r="AJ1188" i="1" s="1"/>
  <c r="AI1180" i="1"/>
  <c r="AJ1180" i="1" s="1"/>
  <c r="AI1172" i="1"/>
  <c r="AJ1172" i="1" s="1"/>
  <c r="AI1164" i="1"/>
  <c r="AJ1164" i="1" s="1"/>
  <c r="AI1148" i="1"/>
  <c r="AJ1148" i="1" s="1"/>
  <c r="AI1140" i="1"/>
  <c r="AJ1140" i="1" s="1"/>
  <c r="AI1132" i="1"/>
  <c r="AJ1132" i="1" s="1"/>
  <c r="AI1108" i="1"/>
  <c r="AJ1108" i="1" s="1"/>
  <c r="AI1092" i="1"/>
  <c r="AJ1092" i="1" s="1"/>
  <c r="AG1036" i="1"/>
  <c r="AG1020" i="1"/>
  <c r="AJ1012" i="1"/>
  <c r="AG980" i="1"/>
  <c r="AJ964" i="1"/>
  <c r="AG908" i="1"/>
  <c r="AG884" i="1"/>
  <c r="AJ876" i="1"/>
  <c r="AG860" i="1"/>
  <c r="AG852" i="1"/>
  <c r="AG836" i="1"/>
  <c r="AJ828" i="1"/>
  <c r="AJ804" i="1"/>
  <c r="AJ772" i="1"/>
  <c r="AJ732" i="1"/>
  <c r="AG716" i="1"/>
  <c r="AJ708" i="1"/>
  <c r="AG692" i="1"/>
  <c r="AJ684" i="1"/>
  <c r="AG668" i="1"/>
  <c r="AJ660" i="1"/>
  <c r="AG652" i="1"/>
  <c r="AJ628" i="1"/>
  <c r="AG596" i="1"/>
  <c r="AG588" i="1"/>
  <c r="AJ548" i="1"/>
  <c r="AG524" i="1"/>
  <c r="AJ500" i="1"/>
  <c r="AG476" i="1"/>
  <c r="AG452" i="1"/>
  <c r="AJ444" i="1"/>
  <c r="AJ436" i="1"/>
  <c r="AJ412" i="1"/>
  <c r="AG396" i="1"/>
  <c r="AG372" i="1"/>
  <c r="AJ340" i="1"/>
  <c r="AG300" i="1"/>
  <c r="AJ292" i="1"/>
  <c r="AG276" i="1"/>
  <c r="AJ268" i="1"/>
  <c r="AG252" i="1"/>
  <c r="AG243" i="1"/>
  <c r="AJ234" i="1"/>
  <c r="AJ226" i="1"/>
  <c r="AG160" i="1"/>
  <c r="AG152" i="1"/>
  <c r="AG144" i="1"/>
  <c r="AJ128" i="1"/>
  <c r="AG120" i="1"/>
  <c r="AJ112" i="1"/>
  <c r="AG87" i="1"/>
  <c r="AJ71" i="1"/>
  <c r="AJ31" i="1"/>
  <c r="AG1243" i="1"/>
  <c r="AG1027" i="1"/>
  <c r="AG683" i="1"/>
  <c r="AJ539" i="1"/>
  <c r="AG515" i="1"/>
  <c r="AG467" i="1"/>
  <c r="AJ259" i="1"/>
  <c r="AI1182" i="1"/>
  <c r="AJ1182" i="1" s="1"/>
  <c r="AI1126" i="1"/>
  <c r="AJ1126" i="1" s="1"/>
  <c r="AG1086" i="1"/>
  <c r="AG1030" i="1"/>
  <c r="AG966" i="1"/>
  <c r="AJ894" i="1"/>
  <c r="AJ846" i="1"/>
  <c r="AG518" i="1"/>
  <c r="AJ65" i="1"/>
  <c r="A15" i="1"/>
  <c r="G212" i="3"/>
  <c r="I215" i="3"/>
  <c r="F214" i="3"/>
  <c r="H215" i="3"/>
  <c r="AG1075" i="1"/>
  <c r="AI1136" i="1"/>
  <c r="AJ1136" i="1" s="1"/>
  <c r="AJ290" i="1"/>
  <c r="AG545" i="1"/>
  <c r="AG373" i="1"/>
  <c r="AG994" i="1"/>
  <c r="AJ427" i="1"/>
  <c r="AJ177" i="1"/>
  <c r="AJ400" i="1"/>
  <c r="AG400" i="1"/>
  <c r="AG1181" i="1"/>
  <c r="AG817" i="1"/>
  <c r="AG1196" i="1"/>
  <c r="AG1173" i="1"/>
  <c r="AG681" i="1"/>
  <c r="AG397" i="1"/>
  <c r="AG673" i="1"/>
  <c r="AG1009" i="1"/>
  <c r="AJ850" i="1"/>
  <c r="AG166" i="1"/>
  <c r="AG1211" i="1"/>
  <c r="AG1111" i="1"/>
  <c r="AG1226" i="1"/>
  <c r="AG1126" i="1"/>
  <c r="AJ670" i="1"/>
  <c r="AG549" i="1"/>
  <c r="AG41" i="1"/>
  <c r="AG799" i="1"/>
  <c r="AG1228" i="1"/>
  <c r="AJ449" i="1"/>
  <c r="AG290" i="1"/>
  <c r="AG960" i="1"/>
  <c r="AJ637" i="1"/>
  <c r="AJ32" i="1"/>
  <c r="AJ864" i="1"/>
  <c r="AJ664" i="1"/>
  <c r="AG1019" i="1"/>
  <c r="AJ940" i="1"/>
  <c r="AJ937" i="1"/>
  <c r="AJ749" i="1"/>
  <c r="AJ634" i="1"/>
  <c r="AJ608" i="1"/>
  <c r="AG567" i="1"/>
  <c r="AJ563" i="1"/>
  <c r="AJ256" i="1"/>
  <c r="AG1231" i="1"/>
  <c r="AI1179" i="1"/>
  <c r="AJ1179" i="1" s="1"/>
  <c r="AI1149" i="1"/>
  <c r="AJ1149" i="1" s="1"/>
  <c r="AG1116" i="1"/>
  <c r="AJ897" i="1"/>
  <c r="AG894" i="1"/>
  <c r="AJ581" i="1"/>
  <c r="AJ330" i="1"/>
  <c r="AG148" i="1"/>
  <c r="AG48" i="1"/>
  <c r="AG1238" i="1"/>
  <c r="AI1234" i="1"/>
  <c r="AJ1234" i="1" s="1"/>
  <c r="AI1216" i="1"/>
  <c r="AJ1216" i="1" s="1"/>
  <c r="AG996" i="1"/>
  <c r="AG882" i="1"/>
  <c r="AJ759" i="1"/>
  <c r="AG637" i="1"/>
  <c r="AJ584" i="1"/>
  <c r="AG256" i="1"/>
  <c r="AG1168" i="1"/>
  <c r="AJ999" i="1"/>
  <c r="AG897" i="1"/>
  <c r="AJ766" i="1"/>
  <c r="AG717" i="1"/>
  <c r="AG501" i="1"/>
  <c r="AJ397" i="1"/>
  <c r="AG337" i="1"/>
  <c r="AG322" i="1"/>
  <c r="AG63" i="1"/>
  <c r="AI1185" i="1"/>
  <c r="AJ1185" i="1" s="1"/>
  <c r="AG1108" i="1"/>
  <c r="AG939" i="1"/>
  <c r="AG843" i="1"/>
  <c r="AJ477" i="1"/>
  <c r="AJ206" i="1"/>
  <c r="AG1141" i="1"/>
  <c r="AG1006" i="1"/>
  <c r="AG781" i="1"/>
  <c r="AJ38" i="1"/>
  <c r="AJ853" i="1"/>
  <c r="AJ803" i="1"/>
  <c r="AG1199" i="1"/>
  <c r="AG1129" i="1"/>
  <c r="AG684" i="1"/>
  <c r="AJ396" i="1"/>
  <c r="AG358" i="1"/>
  <c r="AG343" i="1"/>
  <c r="AG38" i="1"/>
  <c r="AJ968" i="1"/>
  <c r="AJ982" i="1"/>
  <c r="AJ757" i="1"/>
  <c r="AJ605" i="1"/>
  <c r="AJ560" i="1"/>
  <c r="AJ456" i="1"/>
  <c r="AJ433" i="1"/>
  <c r="AG1241" i="1"/>
  <c r="AI1213" i="1"/>
  <c r="AJ1213" i="1" s="1"/>
  <c r="AG1169" i="1"/>
  <c r="AG1112" i="1"/>
  <c r="AJ950" i="1"/>
  <c r="AJ904" i="1"/>
  <c r="AJ842" i="1"/>
  <c r="AJ823" i="1"/>
  <c r="AG809" i="1"/>
  <c r="AJ805" i="1"/>
  <c r="AG656" i="1"/>
  <c r="AG430" i="1"/>
  <c r="AG427" i="1"/>
  <c r="AG390" i="1"/>
  <c r="AG292" i="1"/>
  <c r="AG130" i="1"/>
  <c r="AG84" i="1"/>
  <c r="AI1118" i="1"/>
  <c r="AJ1118" i="1" s="1"/>
  <c r="AG1213" i="1"/>
  <c r="AG1092" i="1"/>
  <c r="AG1016" i="1"/>
  <c r="AJ981" i="1"/>
  <c r="AG942" i="1"/>
  <c r="AG823" i="1"/>
  <c r="AG772" i="1"/>
  <c r="AJ769" i="1"/>
  <c r="AJ718" i="1"/>
  <c r="AJ368" i="1"/>
  <c r="AJ317" i="1"/>
  <c r="AJ227" i="1"/>
  <c r="AI1257" i="1"/>
  <c r="AJ1257" i="1" s="1"/>
  <c r="AG1216" i="1"/>
  <c r="AI1191" i="1"/>
  <c r="AJ1191" i="1" s="1"/>
  <c r="AI1171" i="1"/>
  <c r="AJ1171" i="1" s="1"/>
  <c r="AI1161" i="1"/>
  <c r="AJ1161" i="1" s="1"/>
  <c r="AG1154" i="1"/>
  <c r="AG1151" i="1"/>
  <c r="AG1125" i="1"/>
  <c r="AG1118" i="1"/>
  <c r="AG1081" i="1"/>
  <c r="AG1066" i="1"/>
  <c r="AJ952" i="1"/>
  <c r="AJ848" i="1"/>
  <c r="AG759" i="1"/>
  <c r="AG644" i="1"/>
  <c r="AG480" i="1"/>
  <c r="AG451" i="1"/>
  <c r="AG444" i="1"/>
  <c r="AJ405" i="1"/>
  <c r="AJ381" i="1"/>
  <c r="AJ364" i="1"/>
  <c r="AJ144" i="1"/>
  <c r="AG110" i="1"/>
  <c r="AJ102" i="1"/>
  <c r="AJ60" i="1"/>
  <c r="AI1201" i="1"/>
  <c r="AJ1201" i="1" s="1"/>
  <c r="AJ962" i="1"/>
  <c r="AJ955" i="1"/>
  <c r="AG769" i="1"/>
  <c r="AG729" i="1"/>
  <c r="AJ513" i="1"/>
  <c r="AG154" i="1"/>
  <c r="AJ106" i="1"/>
  <c r="AJ94" i="1"/>
  <c r="AJ63" i="1"/>
  <c r="AG952" i="1"/>
  <c r="AJ892" i="1"/>
  <c r="AJ858" i="1"/>
  <c r="AG804" i="1"/>
  <c r="AG718" i="1"/>
  <c r="AG708" i="1"/>
  <c r="AJ476" i="1"/>
  <c r="AG454" i="1"/>
  <c r="AJ418" i="1"/>
  <c r="AJ415" i="1"/>
  <c r="AG405" i="1"/>
  <c r="AJ377" i="1"/>
  <c r="AG364" i="1"/>
  <c r="AG280" i="1"/>
  <c r="AJ199" i="1"/>
  <c r="AG113" i="1"/>
  <c r="AG60" i="1"/>
  <c r="AG1184" i="1"/>
  <c r="AI1153" i="1"/>
  <c r="AJ1153" i="1" s="1"/>
  <c r="AI1124" i="1"/>
  <c r="AJ1124" i="1" s="1"/>
  <c r="AI1104" i="1"/>
  <c r="AJ1104" i="1" s="1"/>
  <c r="AI1101" i="1"/>
  <c r="AJ1101" i="1" s="1"/>
  <c r="AJ854" i="1"/>
  <c r="AJ761" i="1"/>
  <c r="AG625" i="1"/>
  <c r="AJ596" i="1"/>
  <c r="AG579" i="1"/>
  <c r="AG509" i="1"/>
  <c r="AJ395" i="1"/>
  <c r="AJ176" i="1"/>
  <c r="AJ109" i="1"/>
  <c r="AI1228" i="1"/>
  <c r="AJ1228" i="1" s="1"/>
  <c r="AG1094" i="1"/>
  <c r="AJ993" i="1"/>
  <c r="AJ986" i="1"/>
  <c r="AG892" i="1"/>
  <c r="AJ847" i="1"/>
  <c r="AG711" i="1"/>
  <c r="AG539" i="1"/>
  <c r="AG472" i="1"/>
  <c r="AG418" i="1"/>
  <c r="AG415" i="1"/>
  <c r="AJ257" i="1"/>
  <c r="AG218" i="1"/>
  <c r="AG199" i="1"/>
  <c r="AG78" i="1"/>
  <c r="AG1180" i="1"/>
  <c r="AG1167" i="1"/>
  <c r="AG1147" i="1"/>
  <c r="AG1140" i="1"/>
  <c r="AG1110" i="1"/>
  <c r="AG696" i="1"/>
  <c r="AG621" i="1"/>
  <c r="AG603" i="1"/>
  <c r="AG527" i="1"/>
  <c r="AG490" i="1"/>
  <c r="AG411" i="1"/>
  <c r="AG395" i="1"/>
  <c r="AG268" i="1"/>
  <c r="AG1034" i="1"/>
  <c r="AG976" i="1"/>
  <c r="AJ931" i="1"/>
  <c r="AG813" i="1"/>
  <c r="AJ813" i="1"/>
  <c r="AG700" i="1"/>
  <c r="AG609" i="1"/>
  <c r="AJ609" i="1"/>
  <c r="AI1224" i="1"/>
  <c r="AJ1224" i="1" s="1"/>
  <c r="AI1221" i="1"/>
  <c r="AJ1221" i="1" s="1"/>
  <c r="AI1218" i="1"/>
  <c r="AJ1218" i="1" s="1"/>
  <c r="AI1176" i="1"/>
  <c r="AJ1176" i="1" s="1"/>
  <c r="AI1162" i="1"/>
  <c r="AJ1162" i="1" s="1"/>
  <c r="AI1156" i="1"/>
  <c r="AJ1156" i="1" s="1"/>
  <c r="AG1156" i="1"/>
  <c r="AG965" i="1"/>
  <c r="AJ965" i="1"/>
  <c r="AJ768" i="1"/>
  <c r="AG768" i="1"/>
  <c r="AJ706" i="1"/>
  <c r="AJ655" i="1"/>
  <c r="AG655" i="1"/>
  <c r="AG592" i="1"/>
  <c r="AG820" i="1"/>
  <c r="AJ744" i="1"/>
  <c r="AJ287" i="1"/>
  <c r="AG179" i="1"/>
  <c r="AI1173" i="1"/>
  <c r="AJ1173" i="1" s="1"/>
  <c r="AI1168" i="1"/>
  <c r="AJ1168" i="1" s="1"/>
  <c r="AI1155" i="1"/>
  <c r="AJ1155" i="1" s="1"/>
  <c r="AG1138" i="1"/>
  <c r="AG1132" i="1"/>
  <c r="AI1125" i="1"/>
  <c r="AJ1125" i="1" s="1"/>
  <c r="AI1110" i="1"/>
  <c r="AJ1110" i="1" s="1"/>
  <c r="AI1094" i="1"/>
  <c r="AJ1094" i="1" s="1"/>
  <c r="AG1026" i="1"/>
  <c r="AG958" i="1"/>
  <c r="AJ958" i="1"/>
  <c r="AJ852" i="1"/>
  <c r="AJ839" i="1"/>
  <c r="AG812" i="1"/>
  <c r="AJ767" i="1"/>
  <c r="AJ688" i="1"/>
  <c r="AG352" i="1"/>
  <c r="AJ352" i="1"/>
  <c r="AJ127" i="1"/>
  <c r="AI1242" i="1"/>
  <c r="AJ1242" i="1" s="1"/>
  <c r="AG1162" i="1"/>
  <c r="AI1116" i="1"/>
  <c r="AJ1116" i="1" s="1"/>
  <c r="AG1088" i="1"/>
  <c r="AJ994" i="1"/>
  <c r="AJ957" i="1"/>
  <c r="AJ930" i="1"/>
  <c r="AG930" i="1"/>
  <c r="AJ886" i="1"/>
  <c r="AJ816" i="1"/>
  <c r="AG802" i="1"/>
  <c r="AJ743" i="1"/>
  <c r="AJ739" i="1"/>
  <c r="AG333" i="1"/>
  <c r="AJ333" i="1"/>
  <c r="AJ296" i="1"/>
  <c r="AG1155" i="1"/>
  <c r="AG948" i="1"/>
  <c r="AJ873" i="1"/>
  <c r="AG873" i="1"/>
  <c r="AJ835" i="1"/>
  <c r="AG829" i="1"/>
  <c r="AJ829" i="1"/>
  <c r="AJ611" i="1"/>
  <c r="AG611" i="1"/>
  <c r="AG375" i="1"/>
  <c r="AJ375" i="1"/>
  <c r="AG163" i="1"/>
  <c r="AI1170" i="1"/>
  <c r="AJ1170" i="1" s="1"/>
  <c r="AI1077" i="1"/>
  <c r="AJ1077" i="1" s="1"/>
  <c r="AG1077" i="1"/>
  <c r="AG1025" i="1"/>
  <c r="AG1001" i="1"/>
  <c r="AJ1001" i="1"/>
  <c r="AJ963" i="1"/>
  <c r="AJ954" i="1"/>
  <c r="AG954" i="1"/>
  <c r="AG918" i="1"/>
  <c r="AG855" i="1"/>
  <c r="AJ855" i="1"/>
  <c r="AG846" i="1"/>
  <c r="AG825" i="1"/>
  <c r="AJ643" i="1"/>
  <c r="AG1178" i="1"/>
  <c r="AG1137" i="1"/>
  <c r="AG1069" i="1"/>
  <c r="AJ933" i="1"/>
  <c r="AG933" i="1"/>
  <c r="AG883" i="1"/>
  <c r="AG879" i="1"/>
  <c r="AG835" i="1"/>
  <c r="AJ790" i="1"/>
  <c r="AJ735" i="1"/>
  <c r="AJ691" i="1"/>
  <c r="AG691" i="1"/>
  <c r="AJ622" i="1"/>
  <c r="AG1217" i="1"/>
  <c r="AG1202" i="1"/>
  <c r="AI1189" i="1"/>
  <c r="AJ1189" i="1" s="1"/>
  <c r="AI1183" i="1"/>
  <c r="AJ1183" i="1" s="1"/>
  <c r="AI1158" i="1"/>
  <c r="AJ1158" i="1" s="1"/>
  <c r="AG1152" i="1"/>
  <c r="AI1121" i="1"/>
  <c r="AJ1121" i="1" s="1"/>
  <c r="AG1087" i="1"/>
  <c r="AG1003" i="1"/>
  <c r="AG991" i="1"/>
  <c r="AG910" i="1"/>
  <c r="AJ910" i="1"/>
  <c r="AJ888" i="1"/>
  <c r="AJ885" i="1"/>
  <c r="AG818" i="1"/>
  <c r="AG811" i="1"/>
  <c r="AJ811" i="1"/>
  <c r="AJ793" i="1"/>
  <c r="AJ741" i="1"/>
  <c r="AG600" i="1"/>
  <c r="AJ600" i="1"/>
  <c r="AG223" i="1"/>
  <c r="AJ223" i="1"/>
  <c r="AI1225" i="1"/>
  <c r="AJ1225" i="1" s="1"/>
  <c r="AI1204" i="1"/>
  <c r="AJ1204" i="1" s="1"/>
  <c r="AI1174" i="1"/>
  <c r="AJ1174" i="1" s="1"/>
  <c r="AG1080" i="1"/>
  <c r="AI1054" i="1"/>
  <c r="AJ1054" i="1" s="1"/>
  <c r="AG1028" i="1"/>
  <c r="AG845" i="1"/>
  <c r="AJ845" i="1"/>
  <c r="AJ820" i="1"/>
  <c r="AG807" i="1"/>
  <c r="AG787" i="1"/>
  <c r="AJ687" i="1"/>
  <c r="AG687" i="1"/>
  <c r="AG653" i="1"/>
  <c r="AJ593" i="1"/>
  <c r="AG593" i="1"/>
  <c r="AI1219" i="1"/>
  <c r="AJ1219" i="1" s="1"/>
  <c r="AG1127" i="1"/>
  <c r="AJ980" i="1"/>
  <c r="AG977" i="1"/>
  <c r="AG953" i="1"/>
  <c r="AJ953" i="1"/>
  <c r="AG936" i="1"/>
  <c r="AG831" i="1"/>
  <c r="AG745" i="1"/>
  <c r="AG741" i="1"/>
  <c r="AJ700" i="1"/>
  <c r="AG697" i="1"/>
  <c r="AJ697" i="1"/>
  <c r="AJ690" i="1"/>
  <c r="AG690" i="1"/>
  <c r="AJ652" i="1"/>
  <c r="AJ592" i="1"/>
  <c r="AG324" i="1"/>
  <c r="AJ324" i="1"/>
  <c r="AG273" i="1"/>
  <c r="AJ273" i="1"/>
  <c r="AG1225" i="1"/>
  <c r="AG1031" i="1"/>
  <c r="AJ946" i="1"/>
  <c r="AG946" i="1"/>
  <c r="AG924" i="1"/>
  <c r="AJ924" i="1"/>
  <c r="AG912" i="1"/>
  <c r="AG800" i="1"/>
  <c r="AG693" i="1"/>
  <c r="AI1246" i="1"/>
  <c r="AJ1246" i="1" s="1"/>
  <c r="AJ989" i="1"/>
  <c r="AG874" i="1"/>
  <c r="AJ844" i="1"/>
  <c r="AG830" i="1"/>
  <c r="AG724" i="1"/>
  <c r="AJ724" i="1"/>
  <c r="AJ663" i="1"/>
  <c r="AG663" i="1"/>
  <c r="AG638" i="1"/>
  <c r="AG349" i="1"/>
  <c r="AJ349" i="1"/>
  <c r="AI1103" i="1"/>
  <c r="AJ1103" i="1" s="1"/>
  <c r="AG1012" i="1"/>
  <c r="AJ971" i="1"/>
  <c r="AG867" i="1"/>
  <c r="AG861" i="1"/>
  <c r="AJ762" i="1"/>
  <c r="AG666" i="1"/>
  <c r="AJ578" i="1"/>
  <c r="AG513" i="1"/>
  <c r="AG495" i="1"/>
  <c r="AJ374" i="1"/>
  <c r="AJ372" i="1"/>
  <c r="AJ363" i="1"/>
  <c r="AJ357" i="1"/>
  <c r="AJ335" i="1"/>
  <c r="AJ208" i="1"/>
  <c r="AG176" i="1"/>
  <c r="AJ159" i="1"/>
  <c r="AJ122" i="1"/>
  <c r="AG112" i="1"/>
  <c r="AJ519" i="1"/>
  <c r="AJ97" i="1"/>
  <c r="AG537" i="1"/>
  <c r="AJ488" i="1"/>
  <c r="AG374" i="1"/>
  <c r="AG363" i="1"/>
  <c r="AG354" i="1"/>
  <c r="AG335" i="1"/>
  <c r="AJ236" i="1"/>
  <c r="AG185" i="1"/>
  <c r="AG159" i="1"/>
  <c r="AG149" i="1"/>
  <c r="AJ857" i="1"/>
  <c r="AJ834" i="1"/>
  <c r="AJ784" i="1"/>
  <c r="AG704" i="1"/>
  <c r="AG519" i="1"/>
  <c r="AG471" i="1"/>
  <c r="AG453" i="1"/>
  <c r="AJ422" i="1"/>
  <c r="AJ390" i="1"/>
  <c r="AG319" i="1"/>
  <c r="AJ246" i="1"/>
  <c r="AJ172" i="1"/>
  <c r="AJ152" i="1"/>
  <c r="AG97" i="1"/>
  <c r="AJ90" i="1"/>
  <c r="AG68" i="1"/>
  <c r="AG62" i="1"/>
  <c r="AG34" i="1"/>
  <c r="AG32" i="1"/>
  <c r="AJ214" i="1"/>
  <c r="AJ161" i="1"/>
  <c r="AJ135" i="1"/>
  <c r="AJ43" i="1"/>
  <c r="AJ40" i="1"/>
  <c r="AG246" i="1"/>
  <c r="AG90" i="1"/>
  <c r="AJ54" i="1"/>
  <c r="AJ610" i="1"/>
  <c r="AJ577" i="1"/>
  <c r="AG546" i="1"/>
  <c r="AG536" i="1"/>
  <c r="AJ493" i="1"/>
  <c r="AJ490" i="1"/>
  <c r="AG412" i="1"/>
  <c r="AG368" i="1"/>
  <c r="AJ343" i="1"/>
  <c r="AJ304" i="1"/>
  <c r="AJ253" i="1"/>
  <c r="AJ154" i="1"/>
  <c r="AJ110" i="1"/>
  <c r="AG103" i="1"/>
  <c r="AG43" i="1"/>
  <c r="AG27" i="1"/>
  <c r="AJ454" i="1"/>
  <c r="AJ451" i="1"/>
  <c r="AJ482" i="1"/>
  <c r="AJ345" i="1"/>
  <c r="AJ306" i="1"/>
  <c r="AG1133" i="1"/>
  <c r="AI1133" i="1"/>
  <c r="AJ1133" i="1" s="1"/>
  <c r="AG1106" i="1"/>
  <c r="AI1106" i="1"/>
  <c r="AJ1106" i="1" s="1"/>
  <c r="AG1215" i="1"/>
  <c r="AI1215" i="1"/>
  <c r="AJ1215" i="1" s="1"/>
  <c r="AI1187" i="1"/>
  <c r="AJ1187" i="1" s="1"/>
  <c r="AG1187" i="1"/>
  <c r="AJ779" i="1"/>
  <c r="AI1205" i="1"/>
  <c r="AJ1205" i="1" s="1"/>
  <c r="AG1205" i="1"/>
  <c r="AI1084" i="1"/>
  <c r="AJ1084" i="1" s="1"/>
  <c r="AG1084" i="1"/>
  <c r="AG782" i="1"/>
  <c r="AJ782" i="1"/>
  <c r="AI1114" i="1"/>
  <c r="AJ1114" i="1" s="1"/>
  <c r="AG1114" i="1"/>
  <c r="AI1208" i="1"/>
  <c r="AJ1208" i="1" s="1"/>
  <c r="AG1208" i="1"/>
  <c r="AJ1015" i="1"/>
  <c r="AG1015" i="1"/>
  <c r="AJ903" i="1"/>
  <c r="AG903" i="1"/>
  <c r="AG1222" i="1"/>
  <c r="AI1222" i="1"/>
  <c r="AJ1222" i="1" s="1"/>
  <c r="AG1150" i="1"/>
  <c r="AI1150" i="1"/>
  <c r="AJ1150" i="1" s="1"/>
  <c r="AI1063" i="1"/>
  <c r="AJ1063" i="1" s="1"/>
  <c r="AG1063" i="1"/>
  <c r="AJ1018" i="1"/>
  <c r="AG1018" i="1"/>
  <c r="AG1237" i="1"/>
  <c r="AI1237" i="1"/>
  <c r="AJ1237" i="1" s="1"/>
  <c r="AG1192" i="1"/>
  <c r="AI1192" i="1"/>
  <c r="AJ1192" i="1" s="1"/>
  <c r="AJ1021" i="1"/>
  <c r="AG1021" i="1"/>
  <c r="AG1240" i="1"/>
  <c r="AI1240" i="1"/>
  <c r="AJ1240" i="1" s="1"/>
  <c r="AI1122" i="1"/>
  <c r="AJ1122" i="1" s="1"/>
  <c r="AG1122" i="1"/>
  <c r="AG983" i="1"/>
  <c r="AJ983" i="1"/>
  <c r="AG998" i="1"/>
  <c r="AJ998" i="1"/>
  <c r="AG1236" i="1"/>
  <c r="AI1236" i="1"/>
  <c r="AJ1236" i="1" s="1"/>
  <c r="AI1210" i="1"/>
  <c r="AJ1210" i="1" s="1"/>
  <c r="AG1210" i="1"/>
  <c r="AG1195" i="1"/>
  <c r="AI1195" i="1"/>
  <c r="AJ1195" i="1" s="1"/>
  <c r="AI1157" i="1"/>
  <c r="AJ1157" i="1" s="1"/>
  <c r="AG1157" i="1"/>
  <c r="AG1245" i="1"/>
  <c r="AI1245" i="1"/>
  <c r="AJ1245" i="1" s="1"/>
  <c r="AG1239" i="1"/>
  <c r="AI1239" i="1"/>
  <c r="AJ1239" i="1" s="1"/>
  <c r="AI1229" i="1"/>
  <c r="AJ1229" i="1" s="1"/>
  <c r="AG1229" i="1"/>
  <c r="AG1207" i="1"/>
  <c r="AG1200" i="1"/>
  <c r="AG1189" i="1"/>
  <c r="AI1159" i="1"/>
  <c r="AJ1159" i="1" s="1"/>
  <c r="AI1089" i="1"/>
  <c r="AJ1089" i="1" s="1"/>
  <c r="AJ906" i="1"/>
  <c r="AG906" i="1"/>
  <c r="AJ785" i="1"/>
  <c r="AI1258" i="1"/>
  <c r="AJ1258" i="1" s="1"/>
  <c r="AI1252" i="1"/>
  <c r="AJ1252" i="1" s="1"/>
  <c r="AG1219" i="1"/>
  <c r="AI1209" i="1"/>
  <c r="AJ1209" i="1" s="1"/>
  <c r="AG1176" i="1"/>
  <c r="AG1164" i="1"/>
  <c r="AG1161" i="1"/>
  <c r="AG1124" i="1"/>
  <c r="AG1103" i="1"/>
  <c r="AG1100" i="1"/>
  <c r="AG1029" i="1"/>
  <c r="AI1233" i="1"/>
  <c r="AJ1233" i="1" s="1"/>
  <c r="AG1212" i="1"/>
  <c r="AI1212" i="1"/>
  <c r="AJ1212" i="1" s="1"/>
  <c r="AG1186" i="1"/>
  <c r="AI1146" i="1"/>
  <c r="AJ1146" i="1" s="1"/>
  <c r="AI1105" i="1"/>
  <c r="AJ1105" i="1" s="1"/>
  <c r="AG1105" i="1"/>
  <c r="AG1000" i="1"/>
  <c r="AJ1000" i="1"/>
  <c r="AG1194" i="1"/>
  <c r="AI1194" i="1"/>
  <c r="AJ1194" i="1" s="1"/>
  <c r="AI1086" i="1"/>
  <c r="AJ1086" i="1" s="1"/>
  <c r="AG1011" i="1"/>
  <c r="AG1005" i="1"/>
  <c r="AJ919" i="1"/>
  <c r="AG919" i="1"/>
  <c r="AG633" i="1"/>
  <c r="AJ633" i="1"/>
  <c r="AG478" i="1"/>
  <c r="AJ478" i="1"/>
  <c r="AG426" i="1"/>
  <c r="AJ426" i="1"/>
  <c r="AG1255" i="1"/>
  <c r="AI1243" i="1"/>
  <c r="AJ1243" i="1" s="1"/>
  <c r="AI1214" i="1"/>
  <c r="AJ1214" i="1" s="1"/>
  <c r="AG1214" i="1"/>
  <c r="AI1166" i="1"/>
  <c r="AJ1166" i="1" s="1"/>
  <c r="AG1166" i="1"/>
  <c r="AI1163" i="1"/>
  <c r="AJ1163" i="1" s="1"/>
  <c r="AG1163" i="1"/>
  <c r="AG1143" i="1"/>
  <c r="AG1037" i="1"/>
  <c r="AG988" i="1"/>
  <c r="AJ988" i="1"/>
  <c r="AG915" i="1"/>
  <c r="AJ915" i="1"/>
  <c r="AG755" i="1"/>
  <c r="AI1177" i="1"/>
  <c r="AJ1177" i="1" s="1"/>
  <c r="AI1091" i="1"/>
  <c r="AJ1091" i="1" s="1"/>
  <c r="AG1013" i="1"/>
  <c r="AG1010" i="1"/>
  <c r="AG758" i="1"/>
  <c r="AI1251" i="1"/>
  <c r="AJ1251" i="1" s="1"/>
  <c r="AG1235" i="1"/>
  <c r="AI1227" i="1"/>
  <c r="AJ1227" i="1" s="1"/>
  <c r="AI1203" i="1"/>
  <c r="AJ1203" i="1" s="1"/>
  <c r="AG1198" i="1"/>
  <c r="AG1188" i="1"/>
  <c r="AG1175" i="1"/>
  <c r="AG1160" i="1"/>
  <c r="AI1099" i="1"/>
  <c r="AJ1099" i="1" s="1"/>
  <c r="AG1099" i="1"/>
  <c r="AI1093" i="1"/>
  <c r="AJ1093" i="1" s="1"/>
  <c r="AG1093" i="1"/>
  <c r="AG1007" i="1"/>
  <c r="AG1004" i="1"/>
  <c r="AJ972" i="1"/>
  <c r="AG972" i="1"/>
  <c r="AJ922" i="1"/>
  <c r="AG764" i="1"/>
  <c r="AJ764" i="1"/>
  <c r="AG1230" i="1"/>
  <c r="AG1220" i="1"/>
  <c r="AG1206" i="1"/>
  <c r="AG1190" i="1"/>
  <c r="AG1165" i="1"/>
  <c r="AI1165" i="1"/>
  <c r="AJ1165" i="1" s="1"/>
  <c r="AI1082" i="1"/>
  <c r="AJ1082" i="1" s="1"/>
  <c r="AG1022" i="1"/>
  <c r="AJ990" i="1"/>
  <c r="AG990" i="1"/>
  <c r="AG776" i="1"/>
  <c r="AG1254" i="1"/>
  <c r="AG1248" i="1"/>
  <c r="AI1248" i="1"/>
  <c r="AJ1248" i="1" s="1"/>
  <c r="AI1193" i="1"/>
  <c r="AJ1193" i="1" s="1"/>
  <c r="AG1193" i="1"/>
  <c r="AI1057" i="1"/>
  <c r="AJ1057" i="1" s="1"/>
  <c r="AG1057" i="1"/>
  <c r="AG975" i="1"/>
  <c r="AJ975" i="1"/>
  <c r="AG826" i="1"/>
  <c r="AJ826" i="1"/>
  <c r="AJ702" i="1"/>
  <c r="AG702" i="1"/>
  <c r="AJ699" i="1"/>
  <c r="AG699" i="1"/>
  <c r="AI1232" i="1"/>
  <c r="AJ1232" i="1" s="1"/>
  <c r="AG1232" i="1"/>
  <c r="AG1182" i="1"/>
  <c r="AG1098" i="1"/>
  <c r="AI1098" i="1"/>
  <c r="AJ1098" i="1" s="1"/>
  <c r="AG995" i="1"/>
  <c r="AJ841" i="1"/>
  <c r="AG841" i="1"/>
  <c r="AG851" i="1"/>
  <c r="AJ851" i="1"/>
  <c r="AG748" i="1"/>
  <c r="AJ720" i="1"/>
  <c r="AG720" i="1"/>
  <c r="AG590" i="1"/>
  <c r="AJ590" i="1"/>
  <c r="AJ512" i="1"/>
  <c r="AG512" i="1"/>
  <c r="AG69" i="1"/>
  <c r="AJ69" i="1"/>
  <c r="AG928" i="1"/>
  <c r="AJ895" i="1"/>
  <c r="AG775" i="1"/>
  <c r="AJ775" i="1"/>
  <c r="AG751" i="1"/>
  <c r="AG736" i="1"/>
  <c r="AG733" i="1"/>
  <c r="AJ733" i="1"/>
  <c r="AJ727" i="1"/>
  <c r="AG574" i="1"/>
  <c r="AJ574" i="1"/>
  <c r="AG484" i="1"/>
  <c r="AJ484" i="1"/>
  <c r="AG394" i="1"/>
  <c r="AJ394" i="1"/>
  <c r="AJ921" i="1"/>
  <c r="AG921" i="1"/>
  <c r="AG870" i="1"/>
  <c r="AJ870" i="1"/>
  <c r="AG808" i="1"/>
  <c r="AJ808" i="1"/>
  <c r="AG754" i="1"/>
  <c r="AI1249" i="1"/>
  <c r="AJ1249" i="1" s="1"/>
  <c r="AI1197" i="1"/>
  <c r="AJ1197" i="1" s="1"/>
  <c r="AI1113" i="1"/>
  <c r="AJ1113" i="1" s="1"/>
  <c r="AJ976" i="1"/>
  <c r="AJ973" i="1"/>
  <c r="AJ763" i="1"/>
  <c r="AJ723" i="1"/>
  <c r="AG679" i="1"/>
  <c r="AJ679" i="1"/>
  <c r="AG661" i="1"/>
  <c r="AJ661" i="1"/>
  <c r="AJ648" i="1"/>
  <c r="AG648" i="1"/>
  <c r="AG431" i="1"/>
  <c r="AJ431" i="1"/>
  <c r="AG876" i="1"/>
  <c r="AJ863" i="1"/>
  <c r="AJ798" i="1"/>
  <c r="AJ780" i="1"/>
  <c r="AJ750" i="1"/>
  <c r="AG750" i="1"/>
  <c r="AJ726" i="1"/>
  <c r="AG726" i="1"/>
  <c r="AG641" i="1"/>
  <c r="AG624" i="1"/>
  <c r="AJ624" i="1"/>
  <c r="AG582" i="1"/>
  <c r="AJ582" i="1"/>
  <c r="AG462" i="1"/>
  <c r="AJ462" i="1"/>
  <c r="AG211" i="1"/>
  <c r="AJ211" i="1"/>
  <c r="AJ945" i="1"/>
  <c r="AG901" i="1"/>
  <c r="AJ821" i="1"/>
  <c r="AG786" i="1"/>
  <c r="AJ651" i="1"/>
  <c r="AG651" i="1"/>
  <c r="AG1223" i="1"/>
  <c r="AG1172" i="1"/>
  <c r="AG1148" i="1"/>
  <c r="AG1115" i="1"/>
  <c r="AG1113" i="1"/>
  <c r="AG1096" i="1"/>
  <c r="AG1040" i="1"/>
  <c r="AG1024" i="1"/>
  <c r="AG993" i="1"/>
  <c r="AJ944" i="1"/>
  <c r="AJ913" i="1"/>
  <c r="AJ836" i="1"/>
  <c r="AJ795" i="1"/>
  <c r="AG789" i="1"/>
  <c r="AG777" i="1"/>
  <c r="AG773" i="1"/>
  <c r="AJ771" i="1"/>
  <c r="AG753" i="1"/>
  <c r="AJ978" i="1"/>
  <c r="AG978" i="1"/>
  <c r="AG964" i="1"/>
  <c r="AJ669" i="1"/>
  <c r="AG669" i="1"/>
  <c r="AG630" i="1"/>
  <c r="AJ630" i="1"/>
  <c r="AJ486" i="1"/>
  <c r="AJ970" i="1"/>
  <c r="AG900" i="1"/>
  <c r="AG791" i="1"/>
  <c r="AJ746" i="1"/>
  <c r="AG417" i="1"/>
  <c r="AJ417" i="1"/>
  <c r="AG947" i="1"/>
  <c r="AJ947" i="1"/>
  <c r="AJ877" i="1"/>
  <c r="AJ868" i="1"/>
  <c r="AG849" i="1"/>
  <c r="AG794" i="1"/>
  <c r="AJ748" i="1"/>
  <c r="AJ745" i="1"/>
  <c r="AG740" i="1"/>
  <c r="AG715" i="1"/>
  <c r="AJ715" i="1"/>
  <c r="AJ709" i="1"/>
  <c r="AG646" i="1"/>
  <c r="AJ646" i="1"/>
  <c r="AG587" i="1"/>
  <c r="AJ587" i="1"/>
  <c r="AG440" i="1"/>
  <c r="AJ440" i="1"/>
  <c r="AG420" i="1"/>
  <c r="AJ420" i="1"/>
  <c r="AG635" i="1"/>
  <c r="AG570" i="1"/>
  <c r="AJ518" i="1"/>
  <c r="AJ489" i="1"/>
  <c r="AG465" i="1"/>
  <c r="AJ408" i="1"/>
  <c r="AG126" i="1"/>
  <c r="AJ126" i="1"/>
  <c r="AG675" i="1"/>
  <c r="AG657" i="1"/>
  <c r="AG650" i="1"/>
  <c r="AG645" i="1"/>
  <c r="AJ602" i="1"/>
  <c r="AJ561" i="1"/>
  <c r="AG561" i="1"/>
  <c r="AJ531" i="1"/>
  <c r="AJ467" i="1"/>
  <c r="AJ464" i="1"/>
  <c r="AG433" i="1"/>
  <c r="AG393" i="1"/>
  <c r="AJ393" i="1"/>
  <c r="AJ386" i="1"/>
  <c r="AG338" i="1"/>
  <c r="AJ338" i="1"/>
  <c r="AG320" i="1"/>
  <c r="AJ320" i="1"/>
  <c r="AG217" i="1"/>
  <c r="AJ217" i="1"/>
  <c r="AG181" i="1"/>
  <c r="AJ682" i="1"/>
  <c r="AG678" i="1"/>
  <c r="AG660" i="1"/>
  <c r="AG647" i="1"/>
  <c r="AG608" i="1"/>
  <c r="AJ597" i="1"/>
  <c r="AG597" i="1"/>
  <c r="AG573" i="1"/>
  <c r="AJ573" i="1"/>
  <c r="AJ566" i="1"/>
  <c r="AG500" i="1"/>
  <c r="AJ479" i="1"/>
  <c r="AG348" i="1"/>
  <c r="AJ348" i="1"/>
  <c r="AG248" i="1"/>
  <c r="AJ248" i="1"/>
  <c r="AG192" i="1"/>
  <c r="AJ192" i="1"/>
  <c r="AG188" i="1"/>
  <c r="AJ188" i="1"/>
  <c r="AG165" i="1"/>
  <c r="AG139" i="1"/>
  <c r="AG436" i="1"/>
  <c r="AG416" i="1"/>
  <c r="AG299" i="1"/>
  <c r="AJ299" i="1"/>
  <c r="AG258" i="1"/>
  <c r="AJ258" i="1"/>
  <c r="AG184" i="1"/>
  <c r="AJ184" i="1"/>
  <c r="AG168" i="1"/>
  <c r="AJ168" i="1"/>
  <c r="AG108" i="1"/>
  <c r="AG642" i="1"/>
  <c r="AG566" i="1"/>
  <c r="AG554" i="1"/>
  <c r="AJ445" i="1"/>
  <c r="AG445" i="1"/>
  <c r="AG404" i="1"/>
  <c r="AJ404" i="1"/>
  <c r="AG392" i="1"/>
  <c r="AG385" i="1"/>
  <c r="AJ385" i="1"/>
  <c r="AJ382" i="1"/>
  <c r="AG329" i="1"/>
  <c r="AJ329" i="1"/>
  <c r="AJ100" i="1"/>
  <c r="AG705" i="1"/>
  <c r="AG682" i="1"/>
  <c r="AG672" i="1"/>
  <c r="AG654" i="1"/>
  <c r="AG639" i="1"/>
  <c r="AG628" i="1"/>
  <c r="AG622" i="1"/>
  <c r="AG586" i="1"/>
  <c r="AJ586" i="1"/>
  <c r="AJ575" i="1"/>
  <c r="AG575" i="1"/>
  <c r="AG560" i="1"/>
  <c r="AG438" i="1"/>
  <c r="AG379" i="1"/>
  <c r="AG302" i="1"/>
  <c r="AJ302" i="1"/>
  <c r="AJ289" i="1"/>
  <c r="AG289" i="1"/>
  <c r="AG230" i="1"/>
  <c r="AJ209" i="1"/>
  <c r="AG195" i="1"/>
  <c r="AJ195" i="1"/>
  <c r="AG158" i="1"/>
  <c r="AJ158" i="1"/>
  <c r="AJ631" i="1"/>
  <c r="AJ591" i="1"/>
  <c r="AG591" i="1"/>
  <c r="AJ588" i="1"/>
  <c r="AG421" i="1"/>
  <c r="AJ421" i="1"/>
  <c r="AG331" i="1"/>
  <c r="AJ331" i="1"/>
  <c r="AG312" i="1"/>
  <c r="AG131" i="1"/>
  <c r="AJ131" i="1"/>
  <c r="AG117" i="1"/>
  <c r="AJ117" i="1"/>
  <c r="AJ96" i="1"/>
  <c r="AG599" i="1"/>
  <c r="AJ557" i="1"/>
  <c r="AG557" i="1"/>
  <c r="AG506" i="1"/>
  <c r="AJ435" i="1"/>
  <c r="AG424" i="1"/>
  <c r="AG340" i="1"/>
  <c r="AG315" i="1"/>
  <c r="AJ315" i="1"/>
  <c r="AG233" i="1"/>
  <c r="AG198" i="1"/>
  <c r="AJ198" i="1"/>
  <c r="AG183" i="1"/>
  <c r="AJ183" i="1"/>
  <c r="AG167" i="1"/>
  <c r="AG82" i="1"/>
  <c r="AJ82" i="1"/>
  <c r="AG487" i="1"/>
  <c r="AG403" i="1"/>
  <c r="AJ403" i="1"/>
  <c r="AJ378" i="1"/>
  <c r="AG378" i="1"/>
  <c r="AG367" i="1"/>
  <c r="AJ367" i="1"/>
  <c r="AG186" i="1"/>
  <c r="AJ186" i="1"/>
  <c r="AJ874" i="1"/>
  <c r="AJ838" i="1"/>
  <c r="AJ825" i="1"/>
  <c r="AJ807" i="1"/>
  <c r="AJ635" i="1"/>
  <c r="AJ621" i="1"/>
  <c r="AJ614" i="1"/>
  <c r="AJ522" i="1"/>
  <c r="AJ466" i="1"/>
  <c r="AJ411" i="1"/>
  <c r="AG355" i="1"/>
  <c r="AJ355" i="1"/>
  <c r="AG260" i="1"/>
  <c r="AJ260" i="1"/>
  <c r="AG240" i="1"/>
  <c r="AJ240" i="1"/>
  <c r="AJ546" i="1"/>
  <c r="AJ501" i="1"/>
  <c r="AJ495" i="1"/>
  <c r="AJ485" i="1"/>
  <c r="AJ480" i="1"/>
  <c r="AG377" i="1"/>
  <c r="AJ354" i="1"/>
  <c r="AJ322" i="1"/>
  <c r="AG304" i="1"/>
  <c r="AG296" i="1"/>
  <c r="AJ239" i="1"/>
  <c r="AJ230" i="1"/>
  <c r="AG206" i="1"/>
  <c r="AJ549" i="1"/>
  <c r="AJ504" i="1"/>
  <c r="AJ475" i="1"/>
  <c r="AJ472" i="1"/>
  <c r="AJ453" i="1"/>
  <c r="AJ434" i="1"/>
  <c r="AJ402" i="1"/>
  <c r="AJ370" i="1"/>
  <c r="AJ361" i="1"/>
  <c r="AJ342" i="1"/>
  <c r="AG239" i="1"/>
  <c r="AJ80" i="1"/>
  <c r="AJ51" i="1"/>
  <c r="AJ35" i="1"/>
  <c r="AG383" i="1"/>
  <c r="AJ376" i="1"/>
  <c r="AG370" i="1"/>
  <c r="AG361" i="1"/>
  <c r="AJ351" i="1"/>
  <c r="AJ346" i="1"/>
  <c r="AG342" i="1"/>
  <c r="AJ313" i="1"/>
  <c r="AJ275" i="1"/>
  <c r="AJ263" i="1"/>
  <c r="AJ243" i="1"/>
  <c r="AJ220" i="1"/>
  <c r="AJ215" i="1"/>
  <c r="AJ205" i="1"/>
  <c r="AJ202" i="1"/>
  <c r="AJ190" i="1"/>
  <c r="AJ166" i="1"/>
  <c r="AG127" i="1"/>
  <c r="AG102" i="1"/>
  <c r="AG80" i="1"/>
  <c r="AG71" i="1"/>
  <c r="AG51" i="1"/>
  <c r="AJ48" i="1"/>
  <c r="AG35" i="1"/>
  <c r="AJ311" i="1"/>
  <c r="AJ308" i="1"/>
  <c r="AJ266" i="1"/>
  <c r="AJ238" i="1"/>
  <c r="AJ229" i="1"/>
  <c r="AJ179" i="1"/>
  <c r="AG172" i="1"/>
  <c r="AJ140" i="1"/>
  <c r="AG121" i="1"/>
  <c r="AG54" i="1"/>
  <c r="AG40" i="1"/>
  <c r="AJ37" i="1"/>
  <c r="AJ33" i="1"/>
  <c r="AG376" i="1"/>
  <c r="AG365" i="1"/>
  <c r="AG351" i="1"/>
  <c r="AG346" i="1"/>
  <c r="AG313" i="1"/>
  <c r="AG287" i="1"/>
  <c r="AG215" i="1"/>
  <c r="AG202" i="1"/>
  <c r="AG190" i="1"/>
  <c r="AG308" i="1"/>
  <c r="AG238" i="1"/>
  <c r="AG229" i="1"/>
  <c r="AG111" i="1"/>
  <c r="AJ98" i="1"/>
  <c r="AJ76" i="1"/>
  <c r="AJ50" i="1"/>
  <c r="AJ45" i="1"/>
  <c r="AG37" i="1"/>
  <c r="AG33" i="1"/>
  <c r="AJ30" i="1"/>
  <c r="AJ34" i="1"/>
  <c r="AJ27" i="1"/>
  <c r="AJ113" i="1"/>
  <c r="AG76" i="1"/>
  <c r="AG50" i="1"/>
  <c r="AG45" i="1"/>
  <c r="AG30" i="1"/>
  <c r="AJ25" i="1"/>
  <c r="AG73" i="1"/>
  <c r="AJ73" i="1"/>
  <c r="AI1072" i="1"/>
  <c r="AJ1072" i="1" s="1"/>
  <c r="AG1072" i="1"/>
  <c r="AG925" i="1"/>
  <c r="AJ925" i="1"/>
  <c r="AI1120" i="1"/>
  <c r="AJ1120" i="1" s="1"/>
  <c r="AG1120" i="1"/>
  <c r="AG1032" i="1"/>
  <c r="AJ1032" i="1"/>
  <c r="AG1139" i="1"/>
  <c r="AI1139" i="1"/>
  <c r="AJ1139" i="1" s="1"/>
  <c r="AI1134" i="1"/>
  <c r="AJ1134" i="1" s="1"/>
  <c r="AG1134" i="1"/>
  <c r="AI1060" i="1"/>
  <c r="AJ1060" i="1" s="1"/>
  <c r="AG1060" i="1"/>
  <c r="AG1109" i="1"/>
  <c r="AI1109" i="1"/>
  <c r="AJ1109" i="1" s="1"/>
  <c r="AI1253" i="1"/>
  <c r="AJ1253" i="1" s="1"/>
  <c r="AI1244" i="1"/>
  <c r="AJ1244" i="1" s="1"/>
  <c r="AI1102" i="1"/>
  <c r="AJ1102" i="1" s="1"/>
  <c r="AG1102" i="1"/>
  <c r="AI1095" i="1"/>
  <c r="AJ1095" i="1" s="1"/>
  <c r="AI1074" i="1"/>
  <c r="AJ1074" i="1" s="1"/>
  <c r="AG1074" i="1"/>
  <c r="AI1117" i="1"/>
  <c r="AJ1117" i="1" s="1"/>
  <c r="AG1117" i="1"/>
  <c r="AG1065" i="1"/>
  <c r="AI1065" i="1"/>
  <c r="AJ1065" i="1" s="1"/>
  <c r="AG1053" i="1"/>
  <c r="AI1053" i="1"/>
  <c r="AJ1053" i="1" s="1"/>
  <c r="AG1050" i="1"/>
  <c r="AI1050" i="1"/>
  <c r="AJ1050" i="1" s="1"/>
  <c r="AG1097" i="1"/>
  <c r="AI1097" i="1"/>
  <c r="AJ1097" i="1" s="1"/>
  <c r="AG869" i="1"/>
  <c r="AJ869" i="1"/>
  <c r="AG1131" i="1"/>
  <c r="AI1131" i="1"/>
  <c r="AJ1131" i="1" s="1"/>
  <c r="AG1128" i="1"/>
  <c r="AI1128" i="1"/>
  <c r="AJ1128" i="1" s="1"/>
  <c r="AI1076" i="1"/>
  <c r="AJ1076" i="1" s="1"/>
  <c r="AG1076" i="1"/>
  <c r="AI1042" i="1"/>
  <c r="AJ1042" i="1" s="1"/>
  <c r="AG969" i="1"/>
  <c r="AJ969" i="1"/>
  <c r="AG961" i="1"/>
  <c r="AJ961" i="1"/>
  <c r="AG887" i="1"/>
  <c r="AJ887" i="1"/>
  <c r="AI1250" i="1"/>
  <c r="AJ1250" i="1" s="1"/>
  <c r="AI1090" i="1"/>
  <c r="AJ1090" i="1" s="1"/>
  <c r="AG1090" i="1"/>
  <c r="AI1083" i="1"/>
  <c r="AJ1083" i="1" s="1"/>
  <c r="AG1070" i="1"/>
  <c r="AI1070" i="1"/>
  <c r="AJ1070" i="1" s="1"/>
  <c r="AG871" i="1"/>
  <c r="AJ871" i="1"/>
  <c r="AI1045" i="1"/>
  <c r="AJ1045" i="1" s="1"/>
  <c r="AG1045" i="1"/>
  <c r="AG889" i="1"/>
  <c r="AJ889" i="1"/>
  <c r="AI1145" i="1"/>
  <c r="AJ1145" i="1" s="1"/>
  <c r="AG1085" i="1"/>
  <c r="AI1085" i="1"/>
  <c r="AJ1085" i="1" s="1"/>
  <c r="AI1078" i="1"/>
  <c r="AJ1078" i="1" s="1"/>
  <c r="AG1078" i="1"/>
  <c r="AI1256" i="1"/>
  <c r="AJ1256" i="1" s="1"/>
  <c r="AG1142" i="1"/>
  <c r="AI1142" i="1"/>
  <c r="AJ1142" i="1" s="1"/>
  <c r="AI1048" i="1"/>
  <c r="AJ1048" i="1" s="1"/>
  <c r="AG1048" i="1"/>
  <c r="AI1247" i="1"/>
  <c r="AJ1247" i="1" s="1"/>
  <c r="AI1123" i="1"/>
  <c r="AJ1123" i="1" s="1"/>
  <c r="AI1107" i="1"/>
  <c r="AJ1107" i="1" s="1"/>
  <c r="AJ1030" i="1"/>
  <c r="AG923" i="1"/>
  <c r="AJ923" i="1"/>
  <c r="AG1067" i="1"/>
  <c r="AI1067" i="1"/>
  <c r="AJ1067" i="1" s="1"/>
  <c r="AG1062" i="1"/>
  <c r="AI1062" i="1"/>
  <c r="AJ1062" i="1" s="1"/>
  <c r="AG1047" i="1"/>
  <c r="AI1047" i="1"/>
  <c r="AJ1047" i="1" s="1"/>
  <c r="AG987" i="1"/>
  <c r="AJ987" i="1"/>
  <c r="AG956" i="1"/>
  <c r="AJ956" i="1"/>
  <c r="AG914" i="1"/>
  <c r="AJ914" i="1"/>
  <c r="AG676" i="1"/>
  <c r="AJ676" i="1"/>
  <c r="AG1146" i="1"/>
  <c r="AG1135" i="1"/>
  <c r="AI1130" i="1"/>
  <c r="AJ1130" i="1" s="1"/>
  <c r="AG1121" i="1"/>
  <c r="AI1119" i="1"/>
  <c r="AJ1119" i="1" s="1"/>
  <c r="AG1044" i="1"/>
  <c r="AI1044" i="1"/>
  <c r="AJ1044" i="1" s="1"/>
  <c r="AG765" i="1"/>
  <c r="AJ765" i="1"/>
  <c r="AG1041" i="1"/>
  <c r="AI1041" i="1"/>
  <c r="AJ1041" i="1" s="1"/>
  <c r="AI1039" i="1"/>
  <c r="AJ1039" i="1" s="1"/>
  <c r="AJ1027" i="1"/>
  <c r="AG979" i="1"/>
  <c r="AJ979" i="1"/>
  <c r="AG916" i="1"/>
  <c r="AJ916" i="1"/>
  <c r="AG788" i="1"/>
  <c r="AJ788" i="1"/>
  <c r="AG778" i="1"/>
  <c r="AJ778" i="1"/>
  <c r="AI1079" i="1"/>
  <c r="AJ1079" i="1" s="1"/>
  <c r="AG1071" i="1"/>
  <c r="AI1071" i="1"/>
  <c r="AJ1071" i="1" s="1"/>
  <c r="AG1064" i="1"/>
  <c r="AI1064" i="1"/>
  <c r="AJ1064" i="1" s="1"/>
  <c r="AG1059" i="1"/>
  <c r="AI1059" i="1"/>
  <c r="AJ1059" i="1" s="1"/>
  <c r="AG905" i="1"/>
  <c r="AJ905" i="1"/>
  <c r="AG878" i="1"/>
  <c r="AJ878" i="1"/>
  <c r="AG703" i="1"/>
  <c r="AJ703" i="1"/>
  <c r="AG1144" i="1"/>
  <c r="AG1130" i="1"/>
  <c r="AG1119" i="1"/>
  <c r="AG951" i="1"/>
  <c r="AJ951" i="1"/>
  <c r="AG941" i="1"/>
  <c r="AJ941" i="1"/>
  <c r="AI1073" i="1"/>
  <c r="AJ1073" i="1" s="1"/>
  <c r="AG1038" i="1"/>
  <c r="AJ1038" i="1"/>
  <c r="AJ1036" i="1"/>
  <c r="AG974" i="1"/>
  <c r="AJ974" i="1"/>
  <c r="AG943" i="1"/>
  <c r="AJ943" i="1"/>
  <c r="AG907" i="1"/>
  <c r="AJ907" i="1"/>
  <c r="AG880" i="1"/>
  <c r="AJ880" i="1"/>
  <c r="AG1068" i="1"/>
  <c r="AI1068" i="1"/>
  <c r="AJ1068" i="1" s="1"/>
  <c r="AG1061" i="1"/>
  <c r="AI1061" i="1"/>
  <c r="AJ1061" i="1" s="1"/>
  <c r="AG1056" i="1"/>
  <c r="AI1056" i="1"/>
  <c r="AJ1056" i="1" s="1"/>
  <c r="AG997" i="1"/>
  <c r="AJ997" i="1"/>
  <c r="AG932" i="1"/>
  <c r="AJ932" i="1"/>
  <c r="AG896" i="1"/>
  <c r="AJ896" i="1"/>
  <c r="AI1100" i="1"/>
  <c r="AJ1100" i="1" s="1"/>
  <c r="AI1088" i="1"/>
  <c r="AJ1088" i="1" s="1"/>
  <c r="AI1051" i="1"/>
  <c r="AJ1051" i="1" s="1"/>
  <c r="AG1035" i="1"/>
  <c r="AJ1035" i="1"/>
  <c r="AJ1033" i="1"/>
  <c r="AG992" i="1"/>
  <c r="AJ992" i="1"/>
  <c r="AG934" i="1"/>
  <c r="AJ934" i="1"/>
  <c r="AG898" i="1"/>
  <c r="AJ898" i="1"/>
  <c r="AI1058" i="1"/>
  <c r="AJ1058" i="1" s="1"/>
  <c r="AI1055" i="1"/>
  <c r="AJ1055" i="1" s="1"/>
  <c r="AI1052" i="1"/>
  <c r="AJ1052" i="1" s="1"/>
  <c r="AI1049" i="1"/>
  <c r="AJ1049" i="1" s="1"/>
  <c r="AI1046" i="1"/>
  <c r="AJ1046" i="1" s="1"/>
  <c r="AI1043" i="1"/>
  <c r="AJ1043" i="1" s="1"/>
  <c r="AI1040" i="1"/>
  <c r="AJ1040" i="1" s="1"/>
  <c r="AJ1037" i="1"/>
  <c r="AJ1034" i="1"/>
  <c r="AJ1031" i="1"/>
  <c r="AJ1028" i="1"/>
  <c r="AJ1025" i="1"/>
  <c r="AJ1022" i="1"/>
  <c r="AJ1019" i="1"/>
  <c r="AJ1016" i="1"/>
  <c r="AJ1013" i="1"/>
  <c r="AJ1010" i="1"/>
  <c r="AJ1007" i="1"/>
  <c r="AJ1004" i="1"/>
  <c r="AJ996" i="1"/>
  <c r="AG985" i="1"/>
  <c r="AG967" i="1"/>
  <c r="AG949" i="1"/>
  <c r="AJ935" i="1"/>
  <c r="AJ926" i="1"/>
  <c r="AJ917" i="1"/>
  <c r="AJ908" i="1"/>
  <c r="AJ899" i="1"/>
  <c r="AJ890" i="1"/>
  <c r="AJ881" i="1"/>
  <c r="AJ872" i="1"/>
  <c r="AG832" i="1"/>
  <c r="AJ832" i="1"/>
  <c r="AG658" i="1"/>
  <c r="AJ658" i="1"/>
  <c r="AG636" i="1"/>
  <c r="AJ636" i="1"/>
  <c r="AG520" i="1"/>
  <c r="AJ520" i="1"/>
  <c r="AG957" i="1"/>
  <c r="AG937" i="1"/>
  <c r="AJ827" i="1"/>
  <c r="AG810" i="1"/>
  <c r="AJ810" i="1"/>
  <c r="AG770" i="1"/>
  <c r="AJ770" i="1"/>
  <c r="AG760" i="1"/>
  <c r="AJ760" i="1"/>
  <c r="AG747" i="1"/>
  <c r="AJ747" i="1"/>
  <c r="AJ737" i="1"/>
  <c r="AG737" i="1"/>
  <c r="AG721" i="1"/>
  <c r="AJ721" i="1"/>
  <c r="AG620" i="1"/>
  <c r="AJ620" i="1"/>
  <c r="AG865" i="1"/>
  <c r="AG859" i="1"/>
  <c r="AG685" i="1"/>
  <c r="AJ685" i="1"/>
  <c r="AG555" i="1"/>
  <c r="AJ555" i="1"/>
  <c r="AG1058" i="1"/>
  <c r="AG1055" i="1"/>
  <c r="AG1052" i="1"/>
  <c r="AG1049" i="1"/>
  <c r="AG1046" i="1"/>
  <c r="AG1043" i="1"/>
  <c r="AG935" i="1"/>
  <c r="AJ822" i="1"/>
  <c r="AG815" i="1"/>
  <c r="AG792" i="1"/>
  <c r="AJ792" i="1"/>
  <c r="AG752" i="1"/>
  <c r="AJ752" i="1"/>
  <c r="AG742" i="1"/>
  <c r="AJ742" i="1"/>
  <c r="AJ1029" i="1"/>
  <c r="AJ1026" i="1"/>
  <c r="AJ1023" i="1"/>
  <c r="AJ1020" i="1"/>
  <c r="AJ1017" i="1"/>
  <c r="AJ1014" i="1"/>
  <c r="AJ1011" i="1"/>
  <c r="AJ1008" i="1"/>
  <c r="AJ1005" i="1"/>
  <c r="AJ1002" i="1"/>
  <c r="AJ984" i="1"/>
  <c r="AJ966" i="1"/>
  <c r="AJ948" i="1"/>
  <c r="AJ938" i="1"/>
  <c r="AJ936" i="1"/>
  <c r="AJ929" i="1"/>
  <c r="AJ927" i="1"/>
  <c r="AJ920" i="1"/>
  <c r="AJ918" i="1"/>
  <c r="AJ911" i="1"/>
  <c r="AJ909" i="1"/>
  <c r="AJ902" i="1"/>
  <c r="AJ900" i="1"/>
  <c r="AJ893" i="1"/>
  <c r="AJ891" i="1"/>
  <c r="AJ884" i="1"/>
  <c r="AJ875" i="1"/>
  <c r="AJ866" i="1"/>
  <c r="AJ860" i="1"/>
  <c r="AG819" i="1"/>
  <c r="AJ819" i="1"/>
  <c r="AG999" i="1"/>
  <c r="AG981" i="1"/>
  <c r="AG963" i="1"/>
  <c r="AG945" i="1"/>
  <c r="AG940" i="1"/>
  <c r="AG931" i="1"/>
  <c r="AG922" i="1"/>
  <c r="AG913" i="1"/>
  <c r="AG904" i="1"/>
  <c r="AG895" i="1"/>
  <c r="AG886" i="1"/>
  <c r="AG877" i="1"/>
  <c r="AG868" i="1"/>
  <c r="AJ833" i="1"/>
  <c r="AG824" i="1"/>
  <c r="AJ824" i="1"/>
  <c r="AG797" i="1"/>
  <c r="AG712" i="1"/>
  <c r="AJ712" i="1"/>
  <c r="AG667" i="1"/>
  <c r="AJ667" i="1"/>
  <c r="AG640" i="1"/>
  <c r="AJ640" i="1"/>
  <c r="AG627" i="1"/>
  <c r="AJ627" i="1"/>
  <c r="AG814" i="1"/>
  <c r="AJ814" i="1"/>
  <c r="AG801" i="1"/>
  <c r="AJ801" i="1"/>
  <c r="AG694" i="1"/>
  <c r="AJ694" i="1"/>
  <c r="AJ840" i="1"/>
  <c r="AG833" i="1"/>
  <c r="AJ995" i="1"/>
  <c r="AJ977" i="1"/>
  <c r="AJ959" i="1"/>
  <c r="AG862" i="1"/>
  <c r="AG856" i="1"/>
  <c r="AG796" i="1"/>
  <c r="AJ796" i="1"/>
  <c r="AG649" i="1"/>
  <c r="AJ649" i="1"/>
  <c r="AG837" i="1"/>
  <c r="AJ837" i="1"/>
  <c r="AG828" i="1"/>
  <c r="AG806" i="1"/>
  <c r="AJ806" i="1"/>
  <c r="AG783" i="1"/>
  <c r="AJ783" i="1"/>
  <c r="AG730" i="1"/>
  <c r="AJ730" i="1"/>
  <c r="AJ774" i="1"/>
  <c r="AJ756" i="1"/>
  <c r="AJ738" i="1"/>
  <c r="AJ728" i="1"/>
  <c r="AJ719" i="1"/>
  <c r="AJ710" i="1"/>
  <c r="AJ701" i="1"/>
  <c r="AJ692" i="1"/>
  <c r="AJ683" i="1"/>
  <c r="AJ674" i="1"/>
  <c r="AJ665" i="1"/>
  <c r="AJ626" i="1"/>
  <c r="AJ617" i="1"/>
  <c r="AG617" i="1"/>
  <c r="AG629" i="1"/>
  <c r="AG619" i="1"/>
  <c r="AJ613" i="1"/>
  <c r="AG604" i="1"/>
  <c r="AJ604" i="1"/>
  <c r="AJ585" i="1"/>
  <c r="AG585" i="1"/>
  <c r="AG779" i="1"/>
  <c r="AG774" i="1"/>
  <c r="AG761" i="1"/>
  <c r="AG756" i="1"/>
  <c r="AG743" i="1"/>
  <c r="AG738" i="1"/>
  <c r="AG626" i="1"/>
  <c r="AG532" i="1"/>
  <c r="AJ532" i="1"/>
  <c r="AG507" i="1"/>
  <c r="AJ507" i="1"/>
  <c r="AG853" i="1"/>
  <c r="AG850" i="1"/>
  <c r="AG847" i="1"/>
  <c r="AG844" i="1"/>
  <c r="AG805" i="1"/>
  <c r="AG535" i="1"/>
  <c r="AJ535" i="1"/>
  <c r="AG510" i="1"/>
  <c r="AJ510" i="1"/>
  <c r="AJ731" i="1"/>
  <c r="AJ722" i="1"/>
  <c r="AJ713" i="1"/>
  <c r="AJ704" i="1"/>
  <c r="AJ695" i="1"/>
  <c r="AJ686" i="1"/>
  <c r="AJ677" i="1"/>
  <c r="AJ668" i="1"/>
  <c r="AJ659" i="1"/>
  <c r="AG594" i="1"/>
  <c r="AG589" i="1"/>
  <c r="AJ589" i="1"/>
  <c r="AG606" i="1"/>
  <c r="AJ606" i="1"/>
  <c r="AG839" i="1"/>
  <c r="AG834" i="1"/>
  <c r="AG821" i="1"/>
  <c r="AG816" i="1"/>
  <c r="AG803" i="1"/>
  <c r="AG798" i="1"/>
  <c r="AG785" i="1"/>
  <c r="AG780" i="1"/>
  <c r="AG767" i="1"/>
  <c r="AG762" i="1"/>
  <c r="AG749" i="1"/>
  <c r="AG744" i="1"/>
  <c r="AJ809" i="1"/>
  <c r="AJ791" i="1"/>
  <c r="AJ773" i="1"/>
  <c r="AJ755" i="1"/>
  <c r="AG732" i="1"/>
  <c r="AG723" i="1"/>
  <c r="AG714" i="1"/>
  <c r="AG623" i="1"/>
  <c r="AJ623" i="1"/>
  <c r="AG598" i="1"/>
  <c r="AJ598" i="1"/>
  <c r="AG569" i="1"/>
  <c r="AJ734" i="1"/>
  <c r="AJ725" i="1"/>
  <c r="AJ716" i="1"/>
  <c r="AJ707" i="1"/>
  <c r="AJ698" i="1"/>
  <c r="AJ689" i="1"/>
  <c r="AJ680" i="1"/>
  <c r="AJ671" i="1"/>
  <c r="AJ662" i="1"/>
  <c r="AG615" i="1"/>
  <c r="AG540" i="1"/>
  <c r="AJ540" i="1"/>
  <c r="AG502" i="1"/>
  <c r="AJ502" i="1"/>
  <c r="AG446" i="1"/>
  <c r="AJ446" i="1"/>
  <c r="AJ830" i="1"/>
  <c r="AJ812" i="1"/>
  <c r="AJ794" i="1"/>
  <c r="AJ776" i="1"/>
  <c r="AJ758" i="1"/>
  <c r="AJ740" i="1"/>
  <c r="AG632" i="1"/>
  <c r="AJ632" i="1"/>
  <c r="AJ530" i="1"/>
  <c r="AG530" i="1"/>
  <c r="AJ656" i="1"/>
  <c r="AJ653" i="1"/>
  <c r="AJ650" i="1"/>
  <c r="AJ647" i="1"/>
  <c r="AJ644" i="1"/>
  <c r="AJ641" i="1"/>
  <c r="AJ638" i="1"/>
  <c r="AG552" i="1"/>
  <c r="AJ552" i="1"/>
  <c r="AJ542" i="1"/>
  <c r="AG517" i="1"/>
  <c r="AJ517" i="1"/>
  <c r="AG504" i="1"/>
  <c r="AG499" i="1"/>
  <c r="AJ499" i="1"/>
  <c r="AG583" i="1"/>
  <c r="AG547" i="1"/>
  <c r="AJ547" i="1"/>
  <c r="AG514" i="1"/>
  <c r="AJ514" i="1"/>
  <c r="AG474" i="1"/>
  <c r="AJ474" i="1"/>
  <c r="AG459" i="1"/>
  <c r="AJ459" i="1"/>
  <c r="AG559" i="1"/>
  <c r="AG534" i="1"/>
  <c r="AJ534" i="1"/>
  <c r="AJ524" i="1"/>
  <c r="AG571" i="1"/>
  <c r="AG544" i="1"/>
  <c r="AJ544" i="1"/>
  <c r="AG531" i="1"/>
  <c r="AG529" i="1"/>
  <c r="AJ529" i="1"/>
  <c r="AG521" i="1"/>
  <c r="AJ618" i="1"/>
  <c r="AJ616" i="1"/>
  <c r="AJ612" i="1"/>
  <c r="AG607" i="1"/>
  <c r="AJ595" i="1"/>
  <c r="AJ576" i="1"/>
  <c r="AJ572" i="1"/>
  <c r="AJ570" i="1"/>
  <c r="AJ558" i="1"/>
  <c r="AG541" i="1"/>
  <c r="AJ541" i="1"/>
  <c r="AJ528" i="1"/>
  <c r="AG516" i="1"/>
  <c r="AJ516" i="1"/>
  <c r="AJ506" i="1"/>
  <c r="AJ481" i="1"/>
  <c r="AG481" i="1"/>
  <c r="AJ468" i="1"/>
  <c r="AG468" i="1"/>
  <c r="AG442" i="1"/>
  <c r="AJ442" i="1"/>
  <c r="AG580" i="1"/>
  <c r="AJ580" i="1"/>
  <c r="AG565" i="1"/>
  <c r="AJ551" i="1"/>
  <c r="AG526" i="1"/>
  <c r="AJ526" i="1"/>
  <c r="AG511" i="1"/>
  <c r="AJ511" i="1"/>
  <c r="AJ463" i="1"/>
  <c r="AG463" i="1"/>
  <c r="AG618" i="1"/>
  <c r="AG614" i="1"/>
  <c r="AG612" i="1"/>
  <c r="AG576" i="1"/>
  <c r="AG572" i="1"/>
  <c r="AG558" i="1"/>
  <c r="AG556" i="1"/>
  <c r="AJ556" i="1"/>
  <c r="AG548" i="1"/>
  <c r="AG528" i="1"/>
  <c r="AG523" i="1"/>
  <c r="AJ523" i="1"/>
  <c r="AG503" i="1"/>
  <c r="AJ503" i="1"/>
  <c r="AJ388" i="1"/>
  <c r="AG388" i="1"/>
  <c r="AG601" i="1"/>
  <c r="AG543" i="1"/>
  <c r="AJ543" i="1"/>
  <c r="AJ533" i="1"/>
  <c r="AG508" i="1"/>
  <c r="AJ508" i="1"/>
  <c r="AG483" i="1"/>
  <c r="AJ483" i="1"/>
  <c r="AJ450" i="1"/>
  <c r="AG450" i="1"/>
  <c r="AG562" i="1"/>
  <c r="AJ562" i="1"/>
  <c r="AG553" i="1"/>
  <c r="AJ553" i="1"/>
  <c r="AG538" i="1"/>
  <c r="AJ538" i="1"/>
  <c r="AG457" i="1"/>
  <c r="AJ583" i="1"/>
  <c r="AG568" i="1"/>
  <c r="AG564" i="1"/>
  <c r="AJ564" i="1"/>
  <c r="AG550" i="1"/>
  <c r="AJ550" i="1"/>
  <c r="AJ537" i="1"/>
  <c r="AG525" i="1"/>
  <c r="AJ525" i="1"/>
  <c r="AJ515" i="1"/>
  <c r="AJ497" i="1"/>
  <c r="AJ492" i="1"/>
  <c r="AG492" i="1"/>
  <c r="AJ470" i="1"/>
  <c r="AJ429" i="1"/>
  <c r="AG413" i="1"/>
  <c r="AJ413" i="1"/>
  <c r="AJ398" i="1"/>
  <c r="AG398" i="1"/>
  <c r="AG448" i="1"/>
  <c r="AG419" i="1"/>
  <c r="AJ419" i="1"/>
  <c r="AG410" i="1"/>
  <c r="AG486" i="1"/>
  <c r="AG477" i="1"/>
  <c r="AJ447" i="1"/>
  <c r="AG439" i="1"/>
  <c r="AJ439" i="1"/>
  <c r="AG437" i="1"/>
  <c r="AJ437" i="1"/>
  <c r="AG423" i="1"/>
  <c r="AJ423" i="1"/>
  <c r="AG425" i="1"/>
  <c r="AG309" i="1"/>
  <c r="AJ309" i="1"/>
  <c r="AJ498" i="1"/>
  <c r="AJ469" i="1"/>
  <c r="AJ460" i="1"/>
  <c r="AJ458" i="1"/>
  <c r="AG455" i="1"/>
  <c r="AJ455" i="1"/>
  <c r="AG441" i="1"/>
  <c r="AJ441" i="1"/>
  <c r="AJ407" i="1"/>
  <c r="AG473" i="1"/>
  <c r="AJ473" i="1"/>
  <c r="AG443" i="1"/>
  <c r="AJ505" i="1"/>
  <c r="AJ496" i="1"/>
  <c r="AJ494" i="1"/>
  <c r="AG491" i="1"/>
  <c r="AJ491" i="1"/>
  <c r="AG489" i="1"/>
  <c r="AG460" i="1"/>
  <c r="AG414" i="1"/>
  <c r="AJ414" i="1"/>
  <c r="AG498" i="1"/>
  <c r="AJ465" i="1"/>
  <c r="AJ452" i="1"/>
  <c r="AG428" i="1"/>
  <c r="AJ428" i="1"/>
  <c r="AG399" i="1"/>
  <c r="AJ399" i="1"/>
  <c r="AG326" i="1"/>
  <c r="AJ326" i="1"/>
  <c r="AJ432" i="1"/>
  <c r="AJ461" i="1"/>
  <c r="AJ448" i="1"/>
  <c r="AJ410" i="1"/>
  <c r="AJ406" i="1"/>
  <c r="AG359" i="1"/>
  <c r="AJ359" i="1"/>
  <c r="AJ194" i="1"/>
  <c r="AG194" i="1"/>
  <c r="AG344" i="1"/>
  <c r="AJ344" i="1"/>
  <c r="AJ284" i="1"/>
  <c r="AG284" i="1"/>
  <c r="AJ401" i="1"/>
  <c r="AJ369" i="1"/>
  <c r="AJ328" i="1"/>
  <c r="AJ409" i="1"/>
  <c r="AG406" i="1"/>
  <c r="AG371" i="1"/>
  <c r="AG350" i="1"/>
  <c r="AJ350" i="1"/>
  <c r="AG332" i="1"/>
  <c r="AJ332" i="1"/>
  <c r="AJ387" i="1"/>
  <c r="AG356" i="1"/>
  <c r="AJ356" i="1"/>
  <c r="AJ391" i="1"/>
  <c r="AG341" i="1"/>
  <c r="AJ341" i="1"/>
  <c r="AJ272" i="1"/>
  <c r="AG272" i="1"/>
  <c r="AG402" i="1"/>
  <c r="AG389" i="1"/>
  <c r="AJ277" i="1"/>
  <c r="AG277" i="1"/>
  <c r="AJ392" i="1"/>
  <c r="AG360" i="1"/>
  <c r="AJ360" i="1"/>
  <c r="AG293" i="1"/>
  <c r="AJ293" i="1"/>
  <c r="AG384" i="1"/>
  <c r="AJ384" i="1"/>
  <c r="AG380" i="1"/>
  <c r="AJ380" i="1"/>
  <c r="AG366" i="1"/>
  <c r="AJ366" i="1"/>
  <c r="AJ286" i="1"/>
  <c r="AG286" i="1"/>
  <c r="AG279" i="1"/>
  <c r="AG386" i="1"/>
  <c r="AG336" i="1"/>
  <c r="AJ336" i="1"/>
  <c r="AG334" i="1"/>
  <c r="AJ334" i="1"/>
  <c r="AJ310" i="1"/>
  <c r="AJ295" i="1"/>
  <c r="AG196" i="1"/>
  <c r="AJ196" i="1"/>
  <c r="AG136" i="1"/>
  <c r="AJ136" i="1"/>
  <c r="AG321" i="1"/>
  <c r="AJ321" i="1"/>
  <c r="AG297" i="1"/>
  <c r="AG310" i="1"/>
  <c r="AG301" i="1"/>
  <c r="AJ265" i="1"/>
  <c r="AG265" i="1"/>
  <c r="AJ231" i="1"/>
  <c r="AG231" i="1"/>
  <c r="AG169" i="1"/>
  <c r="AJ169" i="1"/>
  <c r="AJ325" i="1"/>
  <c r="AG325" i="1"/>
  <c r="AG323" i="1"/>
  <c r="AJ323" i="1"/>
  <c r="AJ283" i="1"/>
  <c r="AG327" i="1"/>
  <c r="AG314" i="1"/>
  <c r="AJ314" i="1"/>
  <c r="AG294" i="1"/>
  <c r="AG285" i="1"/>
  <c r="AG278" i="1"/>
  <c r="AG318" i="1"/>
  <c r="AJ318" i="1"/>
  <c r="AG316" i="1"/>
  <c r="AJ316" i="1"/>
  <c r="AG303" i="1"/>
  <c r="AJ303" i="1"/>
  <c r="AG270" i="1"/>
  <c r="AJ270" i="1"/>
  <c r="AG353" i="1"/>
  <c r="AJ353" i="1"/>
  <c r="AJ204" i="1"/>
  <c r="AG204" i="1"/>
  <c r="AJ383" i="1"/>
  <c r="AJ365" i="1"/>
  <c r="AG282" i="1"/>
  <c r="AG189" i="1"/>
  <c r="AJ189" i="1"/>
  <c r="AG362" i="1"/>
  <c r="AG347" i="1"/>
  <c r="AJ347" i="1"/>
  <c r="AG339" i="1"/>
  <c r="AJ339" i="1"/>
  <c r="AJ307" i="1"/>
  <c r="AG307" i="1"/>
  <c r="AJ298" i="1"/>
  <c r="AG298" i="1"/>
  <c r="AG291" i="1"/>
  <c r="AJ281" i="1"/>
  <c r="AJ279" i="1"/>
  <c r="AJ305" i="1"/>
  <c r="AG244" i="1"/>
  <c r="AJ242" i="1"/>
  <c r="AG235" i="1"/>
  <c r="AJ228" i="1"/>
  <c r="AJ219" i="1"/>
  <c r="AG219" i="1"/>
  <c r="AJ300" i="1"/>
  <c r="AJ288" i="1"/>
  <c r="AJ276" i="1"/>
  <c r="AJ264" i="1"/>
  <c r="AG259" i="1"/>
  <c r="AJ200" i="1"/>
  <c r="AG200" i="1"/>
  <c r="AJ191" i="1"/>
  <c r="AG191" i="1"/>
  <c r="AG271" i="1"/>
  <c r="AJ269" i="1"/>
  <c r="AG266" i="1"/>
  <c r="AG261" i="1"/>
  <c r="AG257" i="1"/>
  <c r="AJ247" i="1"/>
  <c r="AG221" i="1"/>
  <c r="AJ221" i="1"/>
  <c r="AJ210" i="1"/>
  <c r="AG210" i="1"/>
  <c r="AG174" i="1"/>
  <c r="AG305" i="1"/>
  <c r="AJ251" i="1"/>
  <c r="AG228" i="1"/>
  <c r="AJ193" i="1"/>
  <c r="AG193" i="1"/>
  <c r="AJ155" i="1"/>
  <c r="AG155" i="1"/>
  <c r="AG124" i="1"/>
  <c r="AJ124" i="1"/>
  <c r="AJ267" i="1"/>
  <c r="AG255" i="1"/>
  <c r="AG212" i="1"/>
  <c r="AJ212" i="1"/>
  <c r="AG203" i="1"/>
  <c r="AJ203" i="1"/>
  <c r="AG274" i="1"/>
  <c r="AG262" i="1"/>
  <c r="AG247" i="1"/>
  <c r="AG234" i="1"/>
  <c r="AJ232" i="1"/>
  <c r="AG226" i="1"/>
  <c r="AJ241" i="1"/>
  <c r="AJ178" i="1"/>
  <c r="AJ173" i="1"/>
  <c r="AJ250" i="1"/>
  <c r="AG245" i="1"/>
  <c r="AG146" i="1"/>
  <c r="AJ146" i="1"/>
  <c r="AG170" i="1"/>
  <c r="AJ170" i="1"/>
  <c r="AG254" i="1"/>
  <c r="AJ252" i="1"/>
  <c r="AJ244" i="1"/>
  <c r="AJ235" i="1"/>
  <c r="AG224" i="1"/>
  <c r="AJ222" i="1"/>
  <c r="AG182" i="1"/>
  <c r="AG157" i="1"/>
  <c r="AJ157" i="1"/>
  <c r="AJ197" i="1"/>
  <c r="AG150" i="1"/>
  <c r="AJ150" i="1"/>
  <c r="AG143" i="1"/>
  <c r="AJ143" i="1"/>
  <c r="AG116" i="1"/>
  <c r="AJ99" i="1"/>
  <c r="AJ81" i="1"/>
  <c r="AJ218" i="1"/>
  <c r="AJ213" i="1"/>
  <c r="AG209" i="1"/>
  <c r="AG187" i="1"/>
  <c r="AJ187" i="1"/>
  <c r="AJ165" i="1"/>
  <c r="AJ156" i="1"/>
  <c r="AG123" i="1"/>
  <c r="AJ123" i="1"/>
  <c r="AG145" i="1"/>
  <c r="AG133" i="1"/>
  <c r="AJ133" i="1"/>
  <c r="AG128" i="1"/>
  <c r="AJ207" i="1"/>
  <c r="AG156" i="1"/>
  <c r="AG115" i="1"/>
  <c r="AG101" i="1"/>
  <c r="AG66" i="1"/>
  <c r="AJ66" i="1"/>
  <c r="AG142" i="1"/>
  <c r="AJ142" i="1"/>
  <c r="AG125" i="1"/>
  <c r="AJ125" i="1"/>
  <c r="AJ216" i="1"/>
  <c r="AG171" i="1"/>
  <c r="AG132" i="1"/>
  <c r="AJ132" i="1"/>
  <c r="AJ160" i="1"/>
  <c r="AG137" i="1"/>
  <c r="AG175" i="1"/>
  <c r="AG164" i="1"/>
  <c r="AJ164" i="1"/>
  <c r="AG151" i="1"/>
  <c r="AJ151" i="1"/>
  <c r="AG153" i="1"/>
  <c r="AG141" i="1"/>
  <c r="AJ141" i="1"/>
  <c r="AG134" i="1"/>
  <c r="AJ134" i="1"/>
  <c r="AG119" i="1"/>
  <c r="AJ116" i="1"/>
  <c r="AG114" i="1"/>
  <c r="AJ114" i="1"/>
  <c r="AG79" i="1"/>
  <c r="AJ79" i="1"/>
  <c r="AJ53" i="1"/>
  <c r="AG53" i="1"/>
  <c r="AJ108" i="1"/>
  <c r="AJ29" i="1"/>
  <c r="AJ89" i="1"/>
  <c r="AJ77" i="1"/>
  <c r="AJ72" i="1"/>
  <c r="AJ185" i="1"/>
  <c r="AJ180" i="1"/>
  <c r="AJ167" i="1"/>
  <c r="AJ162" i="1"/>
  <c r="AJ147" i="1"/>
  <c r="AJ138" i="1"/>
  <c r="AJ129" i="1"/>
  <c r="AJ120" i="1"/>
  <c r="AJ111" i="1"/>
  <c r="AG89" i="1"/>
  <c r="AJ78" i="1"/>
  <c r="AG72" i="1"/>
  <c r="AG31" i="1"/>
  <c r="AJ91" i="1"/>
  <c r="AG65" i="1"/>
  <c r="AG55" i="1"/>
  <c r="AJ55" i="1"/>
  <c r="AG118" i="1"/>
  <c r="AG105" i="1"/>
  <c r="AJ92" i="1"/>
  <c r="AG86" i="1"/>
  <c r="AG74" i="1"/>
  <c r="AJ26" i="1"/>
  <c r="AJ181" i="1"/>
  <c r="AJ163" i="1"/>
  <c r="AJ148" i="1"/>
  <c r="AJ139" i="1"/>
  <c r="AJ130" i="1"/>
  <c r="AJ121" i="1"/>
  <c r="AG109" i="1"/>
  <c r="AG94" i="1"/>
  <c r="AG92" i="1"/>
  <c r="AJ75" i="1"/>
  <c r="AJ57" i="1"/>
  <c r="AG107" i="1"/>
  <c r="AJ107" i="1"/>
  <c r="AG88" i="1"/>
  <c r="AJ88" i="1"/>
  <c r="AG64" i="1"/>
  <c r="AJ64" i="1"/>
  <c r="AG29" i="1"/>
  <c r="AG56" i="1"/>
  <c r="AG49" i="1"/>
  <c r="AG42" i="1"/>
  <c r="AG36" i="1"/>
  <c r="AJ85" i="1"/>
  <c r="AG67" i="1"/>
  <c r="AG28" i="1"/>
  <c r="AG70" i="1"/>
  <c r="AG61" i="1"/>
  <c r="AG52" i="1"/>
  <c r="AG46" i="1"/>
  <c r="AG39" i="1"/>
  <c r="AG25" i="1"/>
  <c r="AH18" i="1" l="1"/>
  <c r="AJ18" i="1" s="1"/>
  <c r="AH17" i="1"/>
  <c r="AJ17" i="1" s="1"/>
  <c r="AH19" i="1"/>
  <c r="AJ19" i="1" s="1"/>
  <c r="AH16" i="1"/>
  <c r="AJ16" i="1" s="1"/>
  <c r="AH13" i="1"/>
  <c r="AJ13" i="1" s="1"/>
  <c r="AH12" i="1"/>
  <c r="AJ12" i="1" s="1"/>
  <c r="AH14" i="1"/>
  <c r="AJ14" i="1" s="1"/>
  <c r="AH15" i="1"/>
  <c r="AJ15" i="1" s="1"/>
  <c r="AJ11" i="1"/>
  <c r="AG11" i="1"/>
  <c r="AG57" i="1"/>
  <c r="AJ58" i="1"/>
  <c r="AG13" i="1"/>
  <c r="AG59" i="1"/>
  <c r="AG12" i="1"/>
  <c r="AG24" i="1"/>
  <c r="AG10" i="1"/>
  <c r="AJ21" i="1"/>
  <c r="A17" i="1"/>
  <c r="H216" i="3"/>
  <c r="F215" i="3"/>
  <c r="I216" i="3"/>
  <c r="G213" i="3"/>
  <c r="A20" i="1" l="1"/>
  <c r="A19" i="1"/>
  <c r="G214" i="3"/>
  <c r="I217" i="3"/>
  <c r="F216" i="3"/>
  <c r="H217" i="3"/>
  <c r="A22" i="1" l="1"/>
  <c r="A21" i="1"/>
  <c r="H218" i="3"/>
  <c r="H219" i="3" s="1"/>
  <c r="F217" i="3"/>
  <c r="I218" i="3"/>
  <c r="G215" i="3"/>
  <c r="AH6" i="5"/>
  <c r="AH7" i="5" s="1"/>
  <c r="AG6" i="5"/>
  <c r="AG7" i="5" s="1"/>
  <c r="AF6" i="5"/>
  <c r="AF7" i="5" s="1"/>
  <c r="AE6" i="5"/>
  <c r="AE7" i="5" s="1"/>
  <c r="AD6" i="5"/>
  <c r="AD8" i="5" s="1"/>
  <c r="AC6" i="5"/>
  <c r="AC7" i="5" s="1"/>
  <c r="AB6" i="5"/>
  <c r="AB8" i="5" s="1"/>
  <c r="AA6" i="5"/>
  <c r="AA8" i="5" s="1"/>
  <c r="Z6" i="5"/>
  <c r="Z7" i="5" s="1"/>
  <c r="Y6" i="5"/>
  <c r="Y7" i="5" s="1"/>
  <c r="X6" i="5"/>
  <c r="X7" i="5" s="1"/>
  <c r="W6" i="5"/>
  <c r="W7" i="5" s="1"/>
  <c r="V6" i="5"/>
  <c r="V7" i="5" s="1"/>
  <c r="U6" i="5"/>
  <c r="U7" i="5" s="1"/>
  <c r="T6" i="5"/>
  <c r="T7" i="5" s="1"/>
  <c r="S6" i="5"/>
  <c r="S7" i="5" s="1"/>
  <c r="R6" i="5"/>
  <c r="R8" i="5" s="1"/>
  <c r="Q6" i="5"/>
  <c r="Q8" i="5" s="1"/>
  <c r="P6" i="5"/>
  <c r="P7" i="5" s="1"/>
  <c r="O6" i="5"/>
  <c r="O8" i="5" s="1"/>
  <c r="N6" i="5"/>
  <c r="N8" i="5" s="1"/>
  <c r="M6" i="5"/>
  <c r="M8" i="5" s="1"/>
  <c r="L6" i="5"/>
  <c r="L8" i="5" s="1"/>
  <c r="K6" i="5"/>
  <c r="K8" i="5" s="1"/>
  <c r="J6" i="5"/>
  <c r="J7" i="5" s="1"/>
  <c r="I6" i="5"/>
  <c r="I7" i="5" s="1"/>
  <c r="H6" i="5"/>
  <c r="H7" i="5" s="1"/>
  <c r="G6" i="5"/>
  <c r="F6" i="5"/>
  <c r="F8" i="5" s="1"/>
  <c r="E6" i="5"/>
  <c r="E8" i="5" s="1"/>
  <c r="C6" i="5"/>
  <c r="C8" i="5" s="1"/>
  <c r="D3" i="5"/>
  <c r="D6" i="5" s="1"/>
  <c r="AX126" i="1" l="1"/>
  <c r="AX118" i="1"/>
  <c r="AX110" i="1"/>
  <c r="AX117" i="1"/>
  <c r="AX124" i="1"/>
  <c r="AX116" i="1"/>
  <c r="AX108" i="1"/>
  <c r="AX123" i="1"/>
  <c r="AX115" i="1"/>
  <c r="AX107" i="1"/>
  <c r="AX128" i="1"/>
  <c r="AX120" i="1"/>
  <c r="AX122" i="1"/>
  <c r="AX114" i="1"/>
  <c r="AX106" i="1"/>
  <c r="AX121" i="1"/>
  <c r="AX113" i="1"/>
  <c r="AX105" i="1"/>
  <c r="AX127" i="1"/>
  <c r="AX119" i="1"/>
  <c r="AX111" i="1"/>
  <c r="AX125" i="1"/>
  <c r="AX109" i="1"/>
  <c r="AX46" i="1"/>
  <c r="AX45" i="1"/>
  <c r="A23" i="1"/>
  <c r="W8" i="5"/>
  <c r="W9" i="5" s="1"/>
  <c r="A24" i="1"/>
  <c r="D29" i="5"/>
  <c r="E29" i="5"/>
  <c r="H1258" i="1"/>
  <c r="AU1258" i="1" s="1"/>
  <c r="AV1258" i="1" s="1"/>
  <c r="G216" i="3"/>
  <c r="I219" i="3"/>
  <c r="F218" i="3"/>
  <c r="H220" i="3"/>
  <c r="G7" i="5"/>
  <c r="AG9" i="1"/>
  <c r="AJ9" i="1"/>
  <c r="AJ8" i="1"/>
  <c r="AG8" i="1"/>
  <c r="AG7" i="1"/>
  <c r="AJ7" i="1"/>
  <c r="AG6" i="1"/>
  <c r="AJ6" i="1"/>
  <c r="AG3" i="1"/>
  <c r="AJ3" i="1"/>
  <c r="AG5" i="1"/>
  <c r="AJ5" i="1"/>
  <c r="C7" i="5"/>
  <c r="AA7" i="5"/>
  <c r="F7" i="5"/>
  <c r="AB7" i="5"/>
  <c r="X8" i="5"/>
  <c r="X9" i="5" s="1"/>
  <c r="Y8" i="5"/>
  <c r="Y9" i="5" s="1"/>
  <c r="Z8" i="5"/>
  <c r="Z9" i="5" s="1"/>
  <c r="AD7" i="5"/>
  <c r="E7" i="5"/>
  <c r="G8" i="5"/>
  <c r="H8" i="5"/>
  <c r="AC8" i="5"/>
  <c r="AC9" i="5" s="1"/>
  <c r="E9" i="5"/>
  <c r="I8" i="5"/>
  <c r="I9" i="5" s="1"/>
  <c r="L9" i="5"/>
  <c r="J8" i="5"/>
  <c r="J9" i="5" s="1"/>
  <c r="M9" i="5"/>
  <c r="N9" i="5"/>
  <c r="O9" i="5"/>
  <c r="Q9" i="5"/>
  <c r="AA9" i="5"/>
  <c r="AD9" i="5"/>
  <c r="N7" i="5"/>
  <c r="AE8" i="5"/>
  <c r="AE9" i="5" s="1"/>
  <c r="L7" i="5"/>
  <c r="M7" i="5"/>
  <c r="AF8" i="5"/>
  <c r="AF9" i="5" s="1"/>
  <c r="AG8" i="5"/>
  <c r="AG9" i="5" s="1"/>
  <c r="AH8" i="5"/>
  <c r="AH9" i="5" s="1"/>
  <c r="K7" i="5"/>
  <c r="R9" i="5"/>
  <c r="K9" i="5"/>
  <c r="AB9" i="5"/>
  <c r="D8" i="5"/>
  <c r="D7" i="5"/>
  <c r="S8" i="5"/>
  <c r="S9" i="5" s="1"/>
  <c r="T8" i="5"/>
  <c r="T9" i="5" s="1"/>
  <c r="U8" i="5"/>
  <c r="U9" i="5" s="1"/>
  <c r="V8" i="5"/>
  <c r="V9" i="5" s="1"/>
  <c r="R7" i="5"/>
  <c r="P8" i="5"/>
  <c r="P9" i="5" s="1"/>
  <c r="Q7" i="5"/>
  <c r="F9" i="5"/>
  <c r="O7" i="5"/>
  <c r="AX232" i="1" l="1"/>
  <c r="AX223" i="1"/>
  <c r="AX231" i="1"/>
  <c r="AX230" i="1"/>
  <c r="AX229" i="1"/>
  <c r="AX228" i="1"/>
  <c r="AX235" i="1"/>
  <c r="AX227" i="1"/>
  <c r="AX234" i="1"/>
  <c r="AX226" i="1"/>
  <c r="AX233" i="1"/>
  <c r="AX224" i="1"/>
  <c r="AX215" i="1"/>
  <c r="AX198" i="1"/>
  <c r="AX190" i="1"/>
  <c r="AX182" i="1"/>
  <c r="AX181" i="1"/>
  <c r="AX214" i="1"/>
  <c r="AX213" i="1"/>
  <c r="AX196" i="1"/>
  <c r="AX188" i="1"/>
  <c r="AX180" i="1"/>
  <c r="AX212" i="1"/>
  <c r="AX195" i="1"/>
  <c r="AX187" i="1"/>
  <c r="AX179" i="1"/>
  <c r="AX176" i="1"/>
  <c r="AX194" i="1"/>
  <c r="AX186" i="1"/>
  <c r="AX178" i="1"/>
  <c r="AX184" i="1"/>
  <c r="AX218" i="1"/>
  <c r="AX193" i="1"/>
  <c r="AX185" i="1"/>
  <c r="AX177" i="1"/>
  <c r="AX192" i="1"/>
  <c r="AX217" i="1"/>
  <c r="AX216" i="1"/>
  <c r="AX199" i="1"/>
  <c r="AX191" i="1"/>
  <c r="AX183" i="1"/>
  <c r="AX197" i="1"/>
  <c r="AX189" i="1"/>
  <c r="AX200" i="1"/>
  <c r="AX101" i="1"/>
  <c r="AX93" i="1"/>
  <c r="AX85" i="1"/>
  <c r="AX100" i="1"/>
  <c r="AX84" i="1"/>
  <c r="AX87" i="1"/>
  <c r="AX99" i="1"/>
  <c r="AX91" i="1"/>
  <c r="AX83" i="1"/>
  <c r="AX103" i="1"/>
  <c r="AX98" i="1"/>
  <c r="AX90" i="1"/>
  <c r="AX82" i="1"/>
  <c r="AX97" i="1"/>
  <c r="AX89" i="1"/>
  <c r="AX81" i="1"/>
  <c r="AX96" i="1"/>
  <c r="AX88" i="1"/>
  <c r="AX80" i="1"/>
  <c r="AX79" i="1"/>
  <c r="AX102" i="1"/>
  <c r="AX94" i="1"/>
  <c r="AX86" i="1"/>
  <c r="AX92" i="1"/>
  <c r="AX95" i="1"/>
  <c r="G9" i="5"/>
  <c r="AX220" i="1"/>
  <c r="AX219" i="1"/>
  <c r="AX207" i="1"/>
  <c r="AX205" i="1"/>
  <c r="AX204" i="1"/>
  <c r="AX211" i="1"/>
  <c r="AX203" i="1"/>
  <c r="AX209" i="1"/>
  <c r="AX210" i="1"/>
  <c r="AX202" i="1"/>
  <c r="AX208" i="1"/>
  <c r="AX206" i="1"/>
  <c r="AF1258" i="1"/>
  <c r="AG1258" i="1" s="1"/>
  <c r="AL1258" i="1"/>
  <c r="AM1258" i="1" s="1"/>
  <c r="AO1258" i="1"/>
  <c r="AP1258" i="1" s="1"/>
  <c r="AX47" i="1"/>
  <c r="AX35" i="1"/>
  <c r="AX49" i="1"/>
  <c r="AX38" i="1"/>
  <c r="AX37" i="1"/>
  <c r="AX54" i="1"/>
  <c r="AX36" i="1"/>
  <c r="AX39" i="1"/>
  <c r="AX52" i="1"/>
  <c r="AX43" i="1"/>
  <c r="AX42" i="1"/>
  <c r="AX41" i="1"/>
  <c r="AX40" i="1"/>
  <c r="AX57" i="1"/>
  <c r="AX56" i="1"/>
  <c r="AX55" i="1"/>
  <c r="AX59" i="1"/>
  <c r="AX58" i="1"/>
  <c r="H9" i="5"/>
  <c r="A25" i="1"/>
  <c r="AX30" i="1"/>
  <c r="AX25" i="1"/>
  <c r="AX31" i="1"/>
  <c r="AX32" i="1"/>
  <c r="AX27" i="1"/>
  <c r="AX33" i="1"/>
  <c r="AX28" i="1"/>
  <c r="AX34" i="1"/>
  <c r="AX29" i="1"/>
  <c r="AX26" i="1"/>
  <c r="A26" i="1"/>
  <c r="AX9" i="1"/>
  <c r="AX11" i="1"/>
  <c r="AX12" i="1"/>
  <c r="AX13" i="1"/>
  <c r="AX5" i="1"/>
  <c r="AX14" i="1"/>
  <c r="AX6" i="1"/>
  <c r="AX7" i="1"/>
  <c r="AX15" i="1"/>
  <c r="AX4" i="1"/>
  <c r="AX8" i="1"/>
  <c r="AX16" i="1"/>
  <c r="AX10" i="1"/>
  <c r="AX17" i="1"/>
  <c r="AX19" i="1"/>
  <c r="AX20" i="1"/>
  <c r="AX21" i="1"/>
  <c r="AX22" i="1"/>
  <c r="AX23" i="1"/>
  <c r="AX24" i="1"/>
  <c r="AX18" i="1"/>
  <c r="AX3" i="1"/>
  <c r="H221" i="3"/>
  <c r="F219" i="3"/>
  <c r="I220" i="3"/>
  <c r="G217" i="3"/>
  <c r="D9" i="5"/>
  <c r="A28" i="1" l="1"/>
  <c r="A27" i="1"/>
  <c r="A36" i="1"/>
  <c r="AX1259" i="1"/>
  <c r="G218" i="3"/>
  <c r="I221" i="3"/>
  <c r="F220" i="3"/>
  <c r="H222" i="3"/>
  <c r="A29" i="1" l="1"/>
  <c r="A30" i="1"/>
  <c r="H223" i="3"/>
  <c r="F221" i="3"/>
  <c r="I222" i="3"/>
  <c r="G219" i="3"/>
  <c r="A31" i="1" l="1"/>
  <c r="A40" i="1"/>
  <c r="G220" i="3"/>
  <c r="I223" i="3"/>
  <c r="F222" i="3"/>
  <c r="H224" i="3"/>
  <c r="A33" i="1" l="1"/>
  <c r="A42" i="1"/>
  <c r="H225" i="3"/>
  <c r="F223" i="3"/>
  <c r="I224" i="3"/>
  <c r="G221" i="3"/>
  <c r="A35" i="1" l="1"/>
  <c r="A45" i="1"/>
  <c r="G222" i="3"/>
  <c r="I225" i="3"/>
  <c r="F224" i="3"/>
  <c r="H226" i="3"/>
  <c r="A47" i="1" l="1"/>
  <c r="A49" i="1" s="1"/>
  <c r="A51" i="1" s="1"/>
  <c r="A53" i="1" s="1"/>
  <c r="A37" i="1"/>
  <c r="H227" i="3"/>
  <c r="F225" i="3"/>
  <c r="I226" i="3"/>
  <c r="G223" i="3"/>
  <c r="A39" i="1" l="1"/>
  <c r="G224" i="3"/>
  <c r="I227" i="3"/>
  <c r="F226" i="3"/>
  <c r="H228" i="3"/>
  <c r="A41" i="1" l="1"/>
  <c r="H229" i="3"/>
  <c r="F227" i="3"/>
  <c r="I228" i="3"/>
  <c r="G225" i="3"/>
  <c r="A43" i="1" l="1"/>
  <c r="G226" i="3"/>
  <c r="I229" i="3"/>
  <c r="F228" i="3"/>
  <c r="H230" i="3"/>
  <c r="A46" i="1" l="1"/>
  <c r="A55" i="1"/>
  <c r="H231" i="3"/>
  <c r="F229" i="3"/>
  <c r="I230" i="3"/>
  <c r="G227" i="3"/>
  <c r="A48" i="1" l="1"/>
  <c r="A50" i="1" s="1"/>
  <c r="A52" i="1" s="1"/>
  <c r="A54" i="1" s="1"/>
  <c r="A57" i="1"/>
  <c r="G228" i="3"/>
  <c r="I231" i="3"/>
  <c r="F230" i="3"/>
  <c r="H232" i="3"/>
  <c r="A59" i="1" l="1"/>
  <c r="H233" i="3"/>
  <c r="F231" i="3"/>
  <c r="I232" i="3"/>
  <c r="G229" i="3"/>
  <c r="A61" i="1" l="1"/>
  <c r="G230" i="3"/>
  <c r="I233" i="3"/>
  <c r="F232" i="3"/>
  <c r="H234" i="3"/>
  <c r="A63" i="1" l="1"/>
  <c r="H235" i="3"/>
  <c r="F233" i="3"/>
  <c r="I234" i="3"/>
  <c r="G231" i="3"/>
  <c r="A56" i="1" l="1"/>
  <c r="A65" i="1"/>
  <c r="G232" i="3"/>
  <c r="I235" i="3"/>
  <c r="F234" i="3"/>
  <c r="H236" i="3"/>
  <c r="A58" i="1" l="1"/>
  <c r="A67" i="1"/>
  <c r="H237" i="3"/>
  <c r="F235" i="3"/>
  <c r="I236" i="3"/>
  <c r="G233" i="3"/>
  <c r="A60" i="1" l="1"/>
  <c r="A69" i="1"/>
  <c r="G234" i="3"/>
  <c r="I237" i="3"/>
  <c r="F236" i="3"/>
  <c r="H238" i="3"/>
  <c r="A62" i="1" l="1"/>
  <c r="A71" i="1"/>
  <c r="H239" i="3"/>
  <c r="F237" i="3"/>
  <c r="I238" i="3"/>
  <c r="G235" i="3"/>
  <c r="A64" i="1" l="1"/>
  <c r="A73" i="1"/>
  <c r="G236" i="3"/>
  <c r="I239" i="3"/>
  <c r="F238" i="3"/>
  <c r="H240" i="3"/>
  <c r="A66" i="1" l="1"/>
  <c r="A75" i="1"/>
  <c r="H241" i="3"/>
  <c r="F239" i="3"/>
  <c r="I240" i="3"/>
  <c r="G237" i="3"/>
  <c r="A68" i="1" l="1"/>
  <c r="A77" i="1"/>
  <c r="G238" i="3"/>
  <c r="I241" i="3"/>
  <c r="F240" i="3"/>
  <c r="H242" i="3"/>
  <c r="A70" i="1" l="1"/>
  <c r="A79" i="1"/>
  <c r="H243" i="3"/>
  <c r="F241" i="3"/>
  <c r="I242" i="3"/>
  <c r="G239" i="3"/>
  <c r="A72" i="1" l="1"/>
  <c r="A81" i="1"/>
  <c r="G240" i="3"/>
  <c r="I243" i="3"/>
  <c r="F242" i="3"/>
  <c r="H244" i="3"/>
  <c r="A74" i="1" l="1"/>
  <c r="A83" i="1"/>
  <c r="H245" i="3"/>
  <c r="F243" i="3"/>
  <c r="I244" i="3"/>
  <c r="G241" i="3"/>
  <c r="A76" i="1" l="1"/>
  <c r="A85" i="1"/>
  <c r="G242" i="3"/>
  <c r="I245" i="3"/>
  <c r="F244" i="3"/>
  <c r="H246" i="3"/>
  <c r="A78" i="1" l="1"/>
  <c r="A87" i="1"/>
  <c r="H247" i="3"/>
  <c r="F245" i="3"/>
  <c r="I246" i="3"/>
  <c r="G243" i="3"/>
  <c r="A80" i="1" l="1"/>
  <c r="A89" i="1"/>
  <c r="A91" i="1" s="1"/>
  <c r="G244" i="3"/>
  <c r="I247" i="3"/>
  <c r="F246" i="3"/>
  <c r="H248" i="3"/>
  <c r="A82" i="1" l="1"/>
  <c r="H249" i="3"/>
  <c r="F247" i="3"/>
  <c r="I248" i="3"/>
  <c r="G245" i="3"/>
  <c r="A84" i="1" l="1"/>
  <c r="A93" i="1"/>
  <c r="A95" i="1" s="1"/>
  <c r="A97" i="1" s="1"/>
  <c r="A99" i="1" s="1"/>
  <c r="A101" i="1" s="1"/>
  <c r="A103" i="1" s="1"/>
  <c r="A106" i="1" s="1"/>
  <c r="A108" i="1" s="1"/>
  <c r="A110" i="1" s="1"/>
  <c r="A112" i="1" s="1"/>
  <c r="A114" i="1" s="1"/>
  <c r="A116" i="1" s="1"/>
  <c r="A118" i="1" s="1"/>
  <c r="A120" i="1" s="1"/>
  <c r="A122" i="1" s="1"/>
  <c r="A124" i="1" s="1"/>
  <c r="A126" i="1" s="1"/>
  <c r="A128" i="1" s="1"/>
  <c r="A130" i="1" s="1"/>
  <c r="A132" i="1" s="1"/>
  <c r="A134" i="1" s="1"/>
  <c r="A136" i="1" s="1"/>
  <c r="A138" i="1" s="1"/>
  <c r="A140" i="1" s="1"/>
  <c r="A142" i="1" s="1"/>
  <c r="A144" i="1" s="1"/>
  <c r="A146" i="1" s="1"/>
  <c r="A148" i="1" s="1"/>
  <c r="A150" i="1" s="1"/>
  <c r="A152" i="1" s="1"/>
  <c r="A154" i="1" s="1"/>
  <c r="A156" i="1" s="1"/>
  <c r="A158" i="1" s="1"/>
  <c r="A160" i="1" s="1"/>
  <c r="A162" i="1" s="1"/>
  <c r="A164" i="1" s="1"/>
  <c r="A166" i="1" s="1"/>
  <c r="A168" i="1" s="1"/>
  <c r="A170" i="1" s="1"/>
  <c r="A172" i="1" s="1"/>
  <c r="A174" i="1" s="1"/>
  <c r="A176" i="1" s="1"/>
  <c r="G246" i="3"/>
  <c r="I249" i="3"/>
  <c r="F248" i="3"/>
  <c r="H250" i="3"/>
  <c r="A178" i="1" l="1"/>
  <c r="A180" i="1" s="1"/>
  <c r="A182" i="1" s="1"/>
  <c r="A184" i="1" s="1"/>
  <c r="A186" i="1" s="1"/>
  <c r="A188" i="1" s="1"/>
  <c r="A190" i="1" s="1"/>
  <c r="A192" i="1" s="1"/>
  <c r="A194" i="1" s="1"/>
  <c r="A196" i="1" s="1"/>
  <c r="A198" i="1" s="1"/>
  <c r="A200" i="1" s="1"/>
  <c r="A203" i="1" s="1"/>
  <c r="A205" i="1" s="1"/>
  <c r="A207" i="1" s="1"/>
  <c r="A209" i="1" s="1"/>
  <c r="A211" i="1" s="1"/>
  <c r="A215" i="1" s="1"/>
  <c r="A217" i="1" s="1"/>
  <c r="A223" i="1" s="1"/>
  <c r="A226" i="1" s="1"/>
  <c r="A228" i="1" s="1"/>
  <c r="A230" i="1" s="1"/>
  <c r="A232" i="1" s="1"/>
  <c r="A234" i="1" s="1"/>
  <c r="A236" i="1" s="1"/>
  <c r="A239" i="1" s="1"/>
  <c r="A241" i="1" s="1"/>
  <c r="A243" i="1" s="1"/>
  <c r="A245" i="1" s="1"/>
  <c r="A247" i="1" s="1"/>
  <c r="A250" i="1" s="1"/>
  <c r="A252" i="1" s="1"/>
  <c r="A254" i="1" s="1"/>
  <c r="A256" i="1" s="1"/>
  <c r="A258" i="1" s="1"/>
  <c r="A260" i="1" s="1"/>
  <c r="A262" i="1" s="1"/>
  <c r="A264" i="1" s="1"/>
  <c r="A266" i="1" s="1"/>
  <c r="A268" i="1" s="1"/>
  <c r="A270" i="1" s="1"/>
  <c r="A272" i="1" s="1"/>
  <c r="A274" i="1" s="1"/>
  <c r="A276" i="1" s="1"/>
  <c r="A278" i="1" s="1"/>
  <c r="A280" i="1" s="1"/>
  <c r="A282" i="1" s="1"/>
  <c r="A284" i="1" s="1"/>
  <c r="A286" i="1" s="1"/>
  <c r="A288" i="1" s="1"/>
  <c r="A290" i="1" s="1"/>
  <c r="A292" i="1" s="1"/>
  <c r="A294" i="1" s="1"/>
  <c r="A296" i="1" s="1"/>
  <c r="A298" i="1" s="1"/>
  <c r="A300" i="1" s="1"/>
  <c r="A302" i="1" s="1"/>
  <c r="A304" i="1" s="1"/>
  <c r="A306" i="1" s="1"/>
  <c r="A308" i="1" s="1"/>
  <c r="A310" i="1" s="1"/>
  <c r="A312" i="1" s="1"/>
  <c r="A314" i="1" s="1"/>
  <c r="A316" i="1" s="1"/>
  <c r="A318" i="1" s="1"/>
  <c r="A320" i="1" s="1"/>
  <c r="A322" i="1" s="1"/>
  <c r="A324" i="1" s="1"/>
  <c r="A326" i="1" s="1"/>
  <c r="A328" i="1" s="1"/>
  <c r="A330" i="1" s="1"/>
  <c r="A332" i="1" s="1"/>
  <c r="A334" i="1" s="1"/>
  <c r="A336" i="1" s="1"/>
  <c r="A338" i="1" s="1"/>
  <c r="A340" i="1" s="1"/>
  <c r="A342" i="1" s="1"/>
  <c r="A344" i="1" s="1"/>
  <c r="A346" i="1" s="1"/>
  <c r="A348" i="1" s="1"/>
  <c r="A350" i="1" s="1"/>
  <c r="A352" i="1" s="1"/>
  <c r="A354" i="1" s="1"/>
  <c r="A356" i="1" s="1"/>
  <c r="A358" i="1" s="1"/>
  <c r="A360" i="1" s="1"/>
  <c r="A362" i="1" s="1"/>
  <c r="A364" i="1" s="1"/>
  <c r="A366" i="1" s="1"/>
  <c r="A368" i="1" s="1"/>
  <c r="A370" i="1" s="1"/>
  <c r="A372" i="1" s="1"/>
  <c r="A374" i="1" s="1"/>
  <c r="A376" i="1" s="1"/>
  <c r="A378" i="1" s="1"/>
  <c r="A380" i="1" s="1"/>
  <c r="A382" i="1" s="1"/>
  <c r="A384" i="1" s="1"/>
  <c r="A386" i="1" s="1"/>
  <c r="A388" i="1" s="1"/>
  <c r="A390" i="1" s="1"/>
  <c r="A392" i="1" s="1"/>
  <c r="A394" i="1" s="1"/>
  <c r="A396" i="1" s="1"/>
  <c r="A398" i="1" s="1"/>
  <c r="A400" i="1" s="1"/>
  <c r="A402" i="1" s="1"/>
  <c r="A404" i="1" s="1"/>
  <c r="A406" i="1" s="1"/>
  <c r="A408" i="1" s="1"/>
  <c r="A410" i="1" s="1"/>
  <c r="A412" i="1" s="1"/>
  <c r="A414" i="1" s="1"/>
  <c r="A416" i="1" s="1"/>
  <c r="A418" i="1" s="1"/>
  <c r="A420" i="1" s="1"/>
  <c r="A422" i="1" s="1"/>
  <c r="A424" i="1" s="1"/>
  <c r="A426" i="1" s="1"/>
  <c r="A428" i="1" s="1"/>
  <c r="A430" i="1" s="1"/>
  <c r="A432" i="1" s="1"/>
  <c r="A434" i="1" s="1"/>
  <c r="A436" i="1" s="1"/>
  <c r="A438" i="1" s="1"/>
  <c r="A440" i="1" s="1"/>
  <c r="A442" i="1" s="1"/>
  <c r="A444" i="1" s="1"/>
  <c r="A446" i="1" s="1"/>
  <c r="A448" i="1" s="1"/>
  <c r="A450" i="1" s="1"/>
  <c r="A452" i="1" s="1"/>
  <c r="A454" i="1" s="1"/>
  <c r="A456" i="1" s="1"/>
  <c r="A458" i="1" s="1"/>
  <c r="A460" i="1" s="1"/>
  <c r="A462" i="1" s="1"/>
  <c r="A464" i="1" s="1"/>
  <c r="A466" i="1" s="1"/>
  <c r="A468" i="1" s="1"/>
  <c r="A470" i="1" s="1"/>
  <c r="A472" i="1" s="1"/>
  <c r="A474" i="1" s="1"/>
  <c r="A476" i="1" s="1"/>
  <c r="A478" i="1" s="1"/>
  <c r="A480" i="1" s="1"/>
  <c r="A482" i="1" s="1"/>
  <c r="A484" i="1" s="1"/>
  <c r="A486" i="1" s="1"/>
  <c r="A488" i="1" s="1"/>
  <c r="A490" i="1" s="1"/>
  <c r="A492" i="1" s="1"/>
  <c r="A494" i="1" s="1"/>
  <c r="A496" i="1" s="1"/>
  <c r="A498" i="1" s="1"/>
  <c r="A500" i="1" s="1"/>
  <c r="A502" i="1" s="1"/>
  <c r="A504" i="1" s="1"/>
  <c r="A506" i="1" s="1"/>
  <c r="A508" i="1" s="1"/>
  <c r="A510" i="1" s="1"/>
  <c r="A512" i="1" s="1"/>
  <c r="A514" i="1" s="1"/>
  <c r="A516" i="1" s="1"/>
  <c r="A518" i="1" s="1"/>
  <c r="A520" i="1" s="1"/>
  <c r="A522" i="1" s="1"/>
  <c r="A524" i="1" s="1"/>
  <c r="A526" i="1" s="1"/>
  <c r="A528" i="1" s="1"/>
  <c r="A530" i="1" s="1"/>
  <c r="A532" i="1" s="1"/>
  <c r="A534" i="1" s="1"/>
  <c r="A536" i="1" s="1"/>
  <c r="A538" i="1" s="1"/>
  <c r="A540" i="1" s="1"/>
  <c r="A542" i="1" s="1"/>
  <c r="A544" i="1" s="1"/>
  <c r="A546" i="1" s="1"/>
  <c r="A548" i="1" s="1"/>
  <c r="A550" i="1" s="1"/>
  <c r="A552" i="1" s="1"/>
  <c r="A554" i="1" s="1"/>
  <c r="A556" i="1" s="1"/>
  <c r="A558" i="1" s="1"/>
  <c r="A560" i="1" s="1"/>
  <c r="A562" i="1" s="1"/>
  <c r="A564" i="1" s="1"/>
  <c r="A566" i="1" s="1"/>
  <c r="A568" i="1" s="1"/>
  <c r="A570" i="1" s="1"/>
  <c r="A572" i="1" s="1"/>
  <c r="A574" i="1" s="1"/>
  <c r="A576" i="1" s="1"/>
  <c r="A578" i="1" s="1"/>
  <c r="A580" i="1" s="1"/>
  <c r="A582" i="1" s="1"/>
  <c r="A584" i="1" s="1"/>
  <c r="A586" i="1" s="1"/>
  <c r="A588" i="1" s="1"/>
  <c r="A590" i="1" s="1"/>
  <c r="A592" i="1" s="1"/>
  <c r="A594" i="1" s="1"/>
  <c r="A596" i="1" s="1"/>
  <c r="A598" i="1" s="1"/>
  <c r="A600" i="1" s="1"/>
  <c r="A602" i="1" s="1"/>
  <c r="A604" i="1" s="1"/>
  <c r="A606" i="1" s="1"/>
  <c r="A608" i="1" s="1"/>
  <c r="A610" i="1" s="1"/>
  <c r="A612" i="1" s="1"/>
  <c r="A614" i="1" s="1"/>
  <c r="A616" i="1" s="1"/>
  <c r="A618" i="1" s="1"/>
  <c r="A620" i="1" s="1"/>
  <c r="A622" i="1" s="1"/>
  <c r="A624" i="1" s="1"/>
  <c r="A626" i="1" s="1"/>
  <c r="A628" i="1" s="1"/>
  <c r="A630" i="1" s="1"/>
  <c r="A632" i="1" s="1"/>
  <c r="A634" i="1" s="1"/>
  <c r="A636" i="1" s="1"/>
  <c r="A638" i="1" s="1"/>
  <c r="A640" i="1" s="1"/>
  <c r="A642" i="1" s="1"/>
  <c r="A644" i="1" s="1"/>
  <c r="A646" i="1" s="1"/>
  <c r="A648" i="1" s="1"/>
  <c r="A650" i="1" s="1"/>
  <c r="A652" i="1" s="1"/>
  <c r="A654" i="1" s="1"/>
  <c r="A656" i="1" s="1"/>
  <c r="A658" i="1" s="1"/>
  <c r="A660" i="1" s="1"/>
  <c r="A662" i="1" s="1"/>
  <c r="A664" i="1" s="1"/>
  <c r="A666" i="1" s="1"/>
  <c r="A668" i="1" s="1"/>
  <c r="A670" i="1" s="1"/>
  <c r="A672" i="1" s="1"/>
  <c r="A674" i="1" s="1"/>
  <c r="A676" i="1" s="1"/>
  <c r="A678" i="1" s="1"/>
  <c r="A680" i="1" s="1"/>
  <c r="A682" i="1" s="1"/>
  <c r="A684" i="1" s="1"/>
  <c r="A686" i="1" s="1"/>
  <c r="A688" i="1" s="1"/>
  <c r="A690" i="1" s="1"/>
  <c r="A692" i="1" s="1"/>
  <c r="A694" i="1" s="1"/>
  <c r="A696" i="1" s="1"/>
  <c r="A698" i="1" s="1"/>
  <c r="A700" i="1" s="1"/>
  <c r="A702" i="1" s="1"/>
  <c r="A704" i="1" s="1"/>
  <c r="A706" i="1" s="1"/>
  <c r="A708" i="1" s="1"/>
  <c r="A710" i="1" s="1"/>
  <c r="A712" i="1" s="1"/>
  <c r="A714" i="1" s="1"/>
  <c r="A716" i="1" s="1"/>
  <c r="A718" i="1" s="1"/>
  <c r="A720" i="1" s="1"/>
  <c r="A722" i="1" s="1"/>
  <c r="A724" i="1" s="1"/>
  <c r="A726" i="1" s="1"/>
  <c r="A728" i="1" s="1"/>
  <c r="A730" i="1" s="1"/>
  <c r="A732" i="1" s="1"/>
  <c r="A734" i="1" s="1"/>
  <c r="A736" i="1" s="1"/>
  <c r="A738" i="1" s="1"/>
  <c r="A740" i="1" s="1"/>
  <c r="A742" i="1" s="1"/>
  <c r="A744" i="1" s="1"/>
  <c r="A746" i="1" s="1"/>
  <c r="A748" i="1" s="1"/>
  <c r="A750" i="1" s="1"/>
  <c r="A752" i="1" s="1"/>
  <c r="A754" i="1" s="1"/>
  <c r="A756" i="1" s="1"/>
  <c r="A758" i="1" s="1"/>
  <c r="A760" i="1" s="1"/>
  <c r="A762" i="1" s="1"/>
  <c r="A764" i="1" s="1"/>
  <c r="A766" i="1" s="1"/>
  <c r="A768" i="1" s="1"/>
  <c r="A770" i="1" s="1"/>
  <c r="A772" i="1" s="1"/>
  <c r="A774" i="1" s="1"/>
  <c r="A776" i="1" s="1"/>
  <c r="A778" i="1" s="1"/>
  <c r="A780" i="1" s="1"/>
  <c r="A782" i="1" s="1"/>
  <c r="A784" i="1" s="1"/>
  <c r="A786" i="1" s="1"/>
  <c r="A788" i="1" s="1"/>
  <c r="A790" i="1" s="1"/>
  <c r="A792" i="1" s="1"/>
  <c r="A794" i="1" s="1"/>
  <c r="A796" i="1" s="1"/>
  <c r="A798" i="1" s="1"/>
  <c r="A800" i="1" s="1"/>
  <c r="A802" i="1" s="1"/>
  <c r="A804" i="1" s="1"/>
  <c r="A806" i="1" s="1"/>
  <c r="A808" i="1" s="1"/>
  <c r="A810" i="1" s="1"/>
  <c r="A812" i="1" s="1"/>
  <c r="A814" i="1" s="1"/>
  <c r="A816" i="1" s="1"/>
  <c r="A818" i="1" s="1"/>
  <c r="A820" i="1" s="1"/>
  <c r="A822" i="1" s="1"/>
  <c r="A824" i="1" s="1"/>
  <c r="A826" i="1" s="1"/>
  <c r="A828" i="1" s="1"/>
  <c r="A830" i="1" s="1"/>
  <c r="A832" i="1" s="1"/>
  <c r="A834" i="1" s="1"/>
  <c r="A836" i="1" s="1"/>
  <c r="A838" i="1" s="1"/>
  <c r="A840" i="1" s="1"/>
  <c r="A842" i="1" s="1"/>
  <c r="A844" i="1" s="1"/>
  <c r="A846" i="1" s="1"/>
  <c r="A848" i="1" s="1"/>
  <c r="A850" i="1" s="1"/>
  <c r="A852" i="1" s="1"/>
  <c r="A854" i="1" s="1"/>
  <c r="A856" i="1" s="1"/>
  <c r="A858" i="1" s="1"/>
  <c r="A860" i="1" s="1"/>
  <c r="A862" i="1" s="1"/>
  <c r="A864" i="1" s="1"/>
  <c r="A866" i="1" s="1"/>
  <c r="A868" i="1" s="1"/>
  <c r="A870" i="1" s="1"/>
  <c r="A872" i="1" s="1"/>
  <c r="A874" i="1" s="1"/>
  <c r="A876" i="1" s="1"/>
  <c r="A878" i="1" s="1"/>
  <c r="A880" i="1" s="1"/>
  <c r="A882" i="1" s="1"/>
  <c r="A884" i="1" s="1"/>
  <c r="A886" i="1" s="1"/>
  <c r="A888" i="1" s="1"/>
  <c r="A890" i="1" s="1"/>
  <c r="A892" i="1" s="1"/>
  <c r="A894" i="1" s="1"/>
  <c r="A896" i="1" s="1"/>
  <c r="A898" i="1" s="1"/>
  <c r="A900" i="1" s="1"/>
  <c r="A902" i="1" s="1"/>
  <c r="A904" i="1" s="1"/>
  <c r="A906" i="1" s="1"/>
  <c r="A908" i="1" s="1"/>
  <c r="A910" i="1" s="1"/>
  <c r="A912" i="1" s="1"/>
  <c r="A914" i="1" s="1"/>
  <c r="A916" i="1" s="1"/>
  <c r="A918" i="1" s="1"/>
  <c r="A920" i="1" s="1"/>
  <c r="A922" i="1" s="1"/>
  <c r="A924" i="1" s="1"/>
  <c r="A926" i="1" s="1"/>
  <c r="A928" i="1" s="1"/>
  <c r="A930" i="1" s="1"/>
  <c r="A932" i="1" s="1"/>
  <c r="A934" i="1" s="1"/>
  <c r="A936" i="1" s="1"/>
  <c r="A938" i="1" s="1"/>
  <c r="A940" i="1" s="1"/>
  <c r="A942" i="1" s="1"/>
  <c r="A944" i="1" s="1"/>
  <c r="A946" i="1" s="1"/>
  <c r="A948" i="1" s="1"/>
  <c r="A950" i="1" s="1"/>
  <c r="A952" i="1" s="1"/>
  <c r="A954" i="1" s="1"/>
  <c r="A956" i="1" s="1"/>
  <c r="A958" i="1" s="1"/>
  <c r="A960" i="1" s="1"/>
  <c r="A962" i="1" s="1"/>
  <c r="A964" i="1" s="1"/>
  <c r="A966" i="1" s="1"/>
  <c r="A968" i="1" s="1"/>
  <c r="A970" i="1" s="1"/>
  <c r="A972" i="1" s="1"/>
  <c r="A974" i="1" s="1"/>
  <c r="A976" i="1" s="1"/>
  <c r="A978" i="1" s="1"/>
  <c r="A980" i="1" s="1"/>
  <c r="A982" i="1" s="1"/>
  <c r="A984" i="1" s="1"/>
  <c r="A986" i="1" s="1"/>
  <c r="A988" i="1" s="1"/>
  <c r="A990" i="1" s="1"/>
  <c r="A992" i="1" s="1"/>
  <c r="A994" i="1" s="1"/>
  <c r="A996" i="1" s="1"/>
  <c r="A998" i="1" s="1"/>
  <c r="A1000" i="1" s="1"/>
  <c r="A1002" i="1" s="1"/>
  <c r="A1004" i="1" s="1"/>
  <c r="A1006" i="1" s="1"/>
  <c r="A1008" i="1" s="1"/>
  <c r="A1010" i="1" s="1"/>
  <c r="A1012" i="1" s="1"/>
  <c r="A1014" i="1" s="1"/>
  <c r="A1016" i="1" s="1"/>
  <c r="A1018" i="1" s="1"/>
  <c r="A1020" i="1" s="1"/>
  <c r="A1022" i="1" s="1"/>
  <c r="A1024" i="1" s="1"/>
  <c r="A1026" i="1" s="1"/>
  <c r="A1028" i="1" s="1"/>
  <c r="A1030" i="1" s="1"/>
  <c r="A1032" i="1" s="1"/>
  <c r="A1034" i="1" s="1"/>
  <c r="A1036" i="1" s="1"/>
  <c r="A1038" i="1" s="1"/>
  <c r="A1040" i="1" s="1"/>
  <c r="A1042" i="1" s="1"/>
  <c r="A1044" i="1" s="1"/>
  <c r="A1046" i="1" s="1"/>
  <c r="A1048" i="1" s="1"/>
  <c r="A1050" i="1" s="1"/>
  <c r="A1052" i="1" s="1"/>
  <c r="A1054" i="1" s="1"/>
  <c r="A1056" i="1" s="1"/>
  <c r="A1058" i="1" s="1"/>
  <c r="A1060" i="1" s="1"/>
  <c r="A1062" i="1" s="1"/>
  <c r="A1064" i="1" s="1"/>
  <c r="A1066" i="1" s="1"/>
  <c r="A1068" i="1" s="1"/>
  <c r="A1070" i="1" s="1"/>
  <c r="A1072" i="1" s="1"/>
  <c r="A1074" i="1" s="1"/>
  <c r="A1076" i="1" s="1"/>
  <c r="A1078" i="1" s="1"/>
  <c r="A1080" i="1" s="1"/>
  <c r="A1082" i="1" s="1"/>
  <c r="A1084" i="1" s="1"/>
  <c r="A1086" i="1" s="1"/>
  <c r="A1088" i="1" s="1"/>
  <c r="A1090" i="1" s="1"/>
  <c r="A1092" i="1" s="1"/>
  <c r="A1094" i="1" s="1"/>
  <c r="A1096" i="1" s="1"/>
  <c r="A1098" i="1" s="1"/>
  <c r="A1100" i="1" s="1"/>
  <c r="A1102" i="1" s="1"/>
  <c r="A1104" i="1" s="1"/>
  <c r="A1106" i="1" s="1"/>
  <c r="A1108" i="1" s="1"/>
  <c r="A1110" i="1" s="1"/>
  <c r="A1112" i="1" s="1"/>
  <c r="A1114" i="1" s="1"/>
  <c r="A1116" i="1" s="1"/>
  <c r="A1118" i="1" s="1"/>
  <c r="A1120" i="1" s="1"/>
  <c r="A1122" i="1" s="1"/>
  <c r="A1124" i="1" s="1"/>
  <c r="A1126" i="1" s="1"/>
  <c r="A1128" i="1" s="1"/>
  <c r="A1130" i="1" s="1"/>
  <c r="A1132" i="1" s="1"/>
  <c r="A1134" i="1" s="1"/>
  <c r="A1136" i="1" s="1"/>
  <c r="A1138" i="1" s="1"/>
  <c r="A1140" i="1" s="1"/>
  <c r="A1142" i="1" s="1"/>
  <c r="A1144" i="1" s="1"/>
  <c r="A1146" i="1" s="1"/>
  <c r="A1148" i="1" s="1"/>
  <c r="A1150" i="1" s="1"/>
  <c r="A1152" i="1" s="1"/>
  <c r="A1154" i="1" s="1"/>
  <c r="A1156" i="1" s="1"/>
  <c r="A1158" i="1" s="1"/>
  <c r="A1160" i="1" s="1"/>
  <c r="A1162" i="1" s="1"/>
  <c r="A1164" i="1" s="1"/>
  <c r="A1166" i="1" s="1"/>
  <c r="A1168" i="1" s="1"/>
  <c r="A1170" i="1" s="1"/>
  <c r="A1172" i="1" s="1"/>
  <c r="A1174" i="1" s="1"/>
  <c r="A1176" i="1" s="1"/>
  <c r="A1178" i="1" s="1"/>
  <c r="A1180" i="1" s="1"/>
  <c r="A1182" i="1" s="1"/>
  <c r="A1184" i="1" s="1"/>
  <c r="A1186" i="1" s="1"/>
  <c r="A1188" i="1" s="1"/>
  <c r="A1190" i="1" s="1"/>
  <c r="A1192" i="1" s="1"/>
  <c r="A1194" i="1" s="1"/>
  <c r="A1196" i="1" s="1"/>
  <c r="A1198" i="1" s="1"/>
  <c r="A1200" i="1" s="1"/>
  <c r="A1202" i="1" s="1"/>
  <c r="A1204" i="1" s="1"/>
  <c r="A1206" i="1" s="1"/>
  <c r="A1208" i="1" s="1"/>
  <c r="A1210" i="1" s="1"/>
  <c r="A1212" i="1" s="1"/>
  <c r="A1214" i="1" s="1"/>
  <c r="A1216" i="1" s="1"/>
  <c r="A1218" i="1" s="1"/>
  <c r="A1220" i="1" s="1"/>
  <c r="A1222" i="1" s="1"/>
  <c r="A1224" i="1" s="1"/>
  <c r="A1226" i="1" s="1"/>
  <c r="A1228" i="1" s="1"/>
  <c r="A1230" i="1" s="1"/>
  <c r="A1232" i="1" s="1"/>
  <c r="A1234" i="1" s="1"/>
  <c r="A1236" i="1" s="1"/>
  <c r="A1238" i="1" s="1"/>
  <c r="A1240" i="1" s="1"/>
  <c r="A1242" i="1" s="1"/>
  <c r="A1244" i="1" s="1"/>
  <c r="A1246" i="1" s="1"/>
  <c r="A1248" i="1" s="1"/>
  <c r="A1250" i="1" s="1"/>
  <c r="A1252" i="1" s="1"/>
  <c r="A1254" i="1" s="1"/>
  <c r="A1256" i="1" s="1"/>
  <c r="A1258" i="1" s="1"/>
  <c r="A86" i="1"/>
  <c r="A88" i="1" s="1"/>
  <c r="H251" i="3"/>
  <c r="F249" i="3"/>
  <c r="I250" i="3"/>
  <c r="G247" i="3"/>
  <c r="G248" i="3" l="1"/>
  <c r="I251" i="3"/>
  <c r="F250" i="3"/>
  <c r="H252" i="3"/>
  <c r="A90" i="1" l="1"/>
  <c r="H253" i="3"/>
  <c r="F251" i="3"/>
  <c r="I252" i="3"/>
  <c r="G249" i="3"/>
  <c r="A92" i="1" l="1"/>
  <c r="A94" i="1" s="1"/>
  <c r="A96" i="1" s="1"/>
  <c r="A98" i="1" s="1"/>
  <c r="A100" i="1" s="1"/>
  <c r="A102" i="1" s="1"/>
  <c r="G250" i="3"/>
  <c r="I253" i="3"/>
  <c r="F252" i="3"/>
  <c r="H254" i="3"/>
  <c r="A105" i="1" l="1"/>
  <c r="A107" i="1" s="1"/>
  <c r="A109" i="1" s="1"/>
  <c r="A111" i="1" s="1"/>
  <c r="A113" i="1" s="1"/>
  <c r="A115" i="1" s="1"/>
  <c r="A117" i="1" s="1"/>
  <c r="A119" i="1" s="1"/>
  <c r="A121" i="1" s="1"/>
  <c r="A123" i="1" s="1"/>
  <c r="A125" i="1" s="1"/>
  <c r="A127" i="1" s="1"/>
  <c r="A129" i="1" s="1"/>
  <c r="A131" i="1" s="1"/>
  <c r="A133" i="1" s="1"/>
  <c r="A135" i="1" s="1"/>
  <c r="A137" i="1" s="1"/>
  <c r="A139" i="1" s="1"/>
  <c r="A141" i="1" s="1"/>
  <c r="A143" i="1" s="1"/>
  <c r="A145" i="1" s="1"/>
  <c r="A147" i="1" s="1"/>
  <c r="A149" i="1" s="1"/>
  <c r="A151" i="1" s="1"/>
  <c r="A153" i="1" s="1"/>
  <c r="A155" i="1" s="1"/>
  <c r="A157" i="1" s="1"/>
  <c r="A159" i="1" s="1"/>
  <c r="A161" i="1" s="1"/>
  <c r="A163" i="1" s="1"/>
  <c r="A165" i="1" s="1"/>
  <c r="A167" i="1" s="1"/>
  <c r="A169" i="1" s="1"/>
  <c r="A171" i="1" s="1"/>
  <c r="A173" i="1" s="1"/>
  <c r="A175" i="1" s="1"/>
  <c r="A104" i="1"/>
  <c r="H255" i="3"/>
  <c r="F253" i="3"/>
  <c r="I254" i="3"/>
  <c r="G251" i="3"/>
  <c r="A177" i="1" l="1"/>
  <c r="A179" i="1" s="1"/>
  <c r="A181" i="1" s="1"/>
  <c r="A183" i="1" s="1"/>
  <c r="A185" i="1" s="1"/>
  <c r="A187" i="1" s="1"/>
  <c r="A189" i="1" s="1"/>
  <c r="A191" i="1" s="1"/>
  <c r="A193" i="1" s="1"/>
  <c r="A195" i="1" s="1"/>
  <c r="A197" i="1" s="1"/>
  <c r="A199" i="1" s="1"/>
  <c r="G252" i="3"/>
  <c r="I255" i="3"/>
  <c r="F254" i="3"/>
  <c r="H256" i="3"/>
  <c r="A202" i="1" l="1"/>
  <c r="A204" i="1" s="1"/>
  <c r="A206" i="1" s="1"/>
  <c r="A208" i="1" s="1"/>
  <c r="A210" i="1" s="1"/>
  <c r="A212" i="1" s="1"/>
  <c r="A214" i="1" s="1"/>
  <c r="A216" i="1" s="1"/>
  <c r="A218" i="1" s="1"/>
  <c r="A222" i="1" s="1"/>
  <c r="A224" i="1" s="1"/>
  <c r="A227" i="1" s="1"/>
  <c r="A229" i="1" s="1"/>
  <c r="A231" i="1" s="1"/>
  <c r="A233" i="1" s="1"/>
  <c r="A235" i="1" s="1"/>
  <c r="A201" i="1"/>
  <c r="H257" i="3"/>
  <c r="F255" i="3"/>
  <c r="I256" i="3"/>
  <c r="G253" i="3"/>
  <c r="A238" i="1" l="1"/>
  <c r="A240" i="1" s="1"/>
  <c r="A242" i="1" s="1"/>
  <c r="A246" i="1" s="1"/>
  <c r="A248" i="1" s="1"/>
  <c r="A251" i="1" s="1"/>
  <c r="A253" i="1" s="1"/>
  <c r="A255" i="1" s="1"/>
  <c r="A257" i="1" s="1"/>
  <c r="A259" i="1" s="1"/>
  <c r="A261" i="1" s="1"/>
  <c r="A263" i="1" s="1"/>
  <c r="A265" i="1" s="1"/>
  <c r="A267" i="1" s="1"/>
  <c r="A269" i="1" s="1"/>
  <c r="A271" i="1" s="1"/>
  <c r="A273" i="1" s="1"/>
  <c r="A275" i="1" s="1"/>
  <c r="A277" i="1" s="1"/>
  <c r="A279" i="1" s="1"/>
  <c r="A281" i="1" s="1"/>
  <c r="A283" i="1" s="1"/>
  <c r="A285" i="1" s="1"/>
  <c r="A287" i="1" s="1"/>
  <c r="A289" i="1" s="1"/>
  <c r="A291" i="1" s="1"/>
  <c r="A293" i="1" s="1"/>
  <c r="A295" i="1" s="1"/>
  <c r="A297" i="1" s="1"/>
  <c r="A299" i="1" s="1"/>
  <c r="A301" i="1" s="1"/>
  <c r="A303" i="1" s="1"/>
  <c r="A305" i="1" s="1"/>
  <c r="A307" i="1" s="1"/>
  <c r="A309" i="1" s="1"/>
  <c r="A311" i="1" s="1"/>
  <c r="A313" i="1" s="1"/>
  <c r="A315" i="1" s="1"/>
  <c r="A317" i="1" s="1"/>
  <c r="A319" i="1" s="1"/>
  <c r="A321" i="1" s="1"/>
  <c r="A323" i="1" s="1"/>
  <c r="A325" i="1" s="1"/>
  <c r="A327" i="1" s="1"/>
  <c r="A329" i="1" s="1"/>
  <c r="A331" i="1" s="1"/>
  <c r="A333" i="1" s="1"/>
  <c r="A335" i="1" s="1"/>
  <c r="A337" i="1" s="1"/>
  <c r="A339" i="1" s="1"/>
  <c r="A341" i="1" s="1"/>
  <c r="A343" i="1" s="1"/>
  <c r="A345" i="1" s="1"/>
  <c r="A347" i="1" s="1"/>
  <c r="A349" i="1" s="1"/>
  <c r="A351" i="1" s="1"/>
  <c r="A353" i="1" s="1"/>
  <c r="A355" i="1" s="1"/>
  <c r="A357" i="1" s="1"/>
  <c r="A359" i="1" s="1"/>
  <c r="A361" i="1" s="1"/>
  <c r="A363" i="1" s="1"/>
  <c r="A365" i="1" s="1"/>
  <c r="A367" i="1" s="1"/>
  <c r="A369" i="1" s="1"/>
  <c r="A371" i="1" s="1"/>
  <c r="A373" i="1" s="1"/>
  <c r="A375" i="1" s="1"/>
  <c r="A377" i="1" s="1"/>
  <c r="A379" i="1" s="1"/>
  <c r="A381" i="1" s="1"/>
  <c r="A383" i="1" s="1"/>
  <c r="A385" i="1" s="1"/>
  <c r="A387" i="1" s="1"/>
  <c r="A389" i="1" s="1"/>
  <c r="A391" i="1" s="1"/>
  <c r="A393" i="1" s="1"/>
  <c r="A395" i="1" s="1"/>
  <c r="A397" i="1" s="1"/>
  <c r="A399" i="1" s="1"/>
  <c r="A401" i="1" s="1"/>
  <c r="A403" i="1" s="1"/>
  <c r="A405" i="1" s="1"/>
  <c r="A407" i="1" s="1"/>
  <c r="A409" i="1" s="1"/>
  <c r="A411" i="1" s="1"/>
  <c r="A413" i="1" s="1"/>
  <c r="A415" i="1" s="1"/>
  <c r="A417" i="1" s="1"/>
  <c r="A419" i="1" s="1"/>
  <c r="A421" i="1" s="1"/>
  <c r="A423" i="1" s="1"/>
  <c r="A425" i="1" s="1"/>
  <c r="A427" i="1" s="1"/>
  <c r="A429" i="1" s="1"/>
  <c r="A431" i="1" s="1"/>
  <c r="A433" i="1" s="1"/>
  <c r="A435" i="1" s="1"/>
  <c r="A437" i="1" s="1"/>
  <c r="A439" i="1" s="1"/>
  <c r="A441" i="1" s="1"/>
  <c r="A443" i="1" s="1"/>
  <c r="A445" i="1" s="1"/>
  <c r="A447" i="1" s="1"/>
  <c r="A449" i="1" s="1"/>
  <c r="A451" i="1" s="1"/>
  <c r="A453" i="1" s="1"/>
  <c r="A455" i="1" s="1"/>
  <c r="A457" i="1" s="1"/>
  <c r="A459" i="1" s="1"/>
  <c r="A461" i="1" s="1"/>
  <c r="A463" i="1" s="1"/>
  <c r="A465" i="1" s="1"/>
  <c r="A467" i="1" s="1"/>
  <c r="A469" i="1" s="1"/>
  <c r="A471" i="1" s="1"/>
  <c r="A473" i="1" s="1"/>
  <c r="A475" i="1" s="1"/>
  <c r="A477" i="1" s="1"/>
  <c r="A479" i="1" s="1"/>
  <c r="A481" i="1" s="1"/>
  <c r="A483" i="1" s="1"/>
  <c r="A485" i="1" s="1"/>
  <c r="A487" i="1" s="1"/>
  <c r="A489" i="1" s="1"/>
  <c r="A491" i="1" s="1"/>
  <c r="A493" i="1" s="1"/>
  <c r="A495" i="1" s="1"/>
  <c r="A497" i="1" s="1"/>
  <c r="A499" i="1" s="1"/>
  <c r="A501" i="1" s="1"/>
  <c r="A503" i="1" s="1"/>
  <c r="A505" i="1" s="1"/>
  <c r="A507" i="1" s="1"/>
  <c r="A509" i="1" s="1"/>
  <c r="A511" i="1" s="1"/>
  <c r="A513" i="1" s="1"/>
  <c r="A515" i="1" s="1"/>
  <c r="A517" i="1" s="1"/>
  <c r="A519" i="1" s="1"/>
  <c r="A521" i="1" s="1"/>
  <c r="A523" i="1" s="1"/>
  <c r="A525" i="1" s="1"/>
  <c r="A527" i="1" s="1"/>
  <c r="A529" i="1" s="1"/>
  <c r="A531" i="1" s="1"/>
  <c r="A533" i="1" s="1"/>
  <c r="A535" i="1" s="1"/>
  <c r="A537" i="1" s="1"/>
  <c r="A539" i="1" s="1"/>
  <c r="A541" i="1" s="1"/>
  <c r="A543" i="1" s="1"/>
  <c r="A545" i="1" s="1"/>
  <c r="A547" i="1" s="1"/>
  <c r="A549" i="1" s="1"/>
  <c r="A551" i="1" s="1"/>
  <c r="A553" i="1" s="1"/>
  <c r="A555" i="1" s="1"/>
  <c r="A557" i="1" s="1"/>
  <c r="A559" i="1" s="1"/>
  <c r="A561" i="1" s="1"/>
  <c r="A563" i="1" s="1"/>
  <c r="A565" i="1" s="1"/>
  <c r="A567" i="1" s="1"/>
  <c r="A569" i="1" s="1"/>
  <c r="A571" i="1" s="1"/>
  <c r="A573" i="1" s="1"/>
  <c r="A575" i="1" s="1"/>
  <c r="A577" i="1" s="1"/>
  <c r="A579" i="1" s="1"/>
  <c r="A581" i="1" s="1"/>
  <c r="A583" i="1" s="1"/>
  <c r="A585" i="1" s="1"/>
  <c r="A587" i="1" s="1"/>
  <c r="A589" i="1" s="1"/>
  <c r="A591" i="1" s="1"/>
  <c r="A593" i="1" s="1"/>
  <c r="A595" i="1" s="1"/>
  <c r="A597" i="1" s="1"/>
  <c r="A599" i="1" s="1"/>
  <c r="A601" i="1" s="1"/>
  <c r="A603" i="1" s="1"/>
  <c r="A605" i="1" s="1"/>
  <c r="A607" i="1" s="1"/>
  <c r="A609" i="1" s="1"/>
  <c r="A611" i="1" s="1"/>
  <c r="A613" i="1" s="1"/>
  <c r="A615" i="1" s="1"/>
  <c r="A617" i="1" s="1"/>
  <c r="A619" i="1" s="1"/>
  <c r="A621" i="1" s="1"/>
  <c r="A623" i="1" s="1"/>
  <c r="A625" i="1" s="1"/>
  <c r="A627" i="1" s="1"/>
  <c r="A629" i="1" s="1"/>
  <c r="A631" i="1" s="1"/>
  <c r="A633" i="1" s="1"/>
  <c r="A635" i="1" s="1"/>
  <c r="A637" i="1" s="1"/>
  <c r="A639" i="1" s="1"/>
  <c r="A641" i="1" s="1"/>
  <c r="A643" i="1" s="1"/>
  <c r="A645" i="1" s="1"/>
  <c r="A647" i="1" s="1"/>
  <c r="A649" i="1" s="1"/>
  <c r="A651" i="1" s="1"/>
  <c r="A653" i="1" s="1"/>
  <c r="A655" i="1" s="1"/>
  <c r="A657" i="1" s="1"/>
  <c r="A659" i="1" s="1"/>
  <c r="A661" i="1" s="1"/>
  <c r="A663" i="1" s="1"/>
  <c r="A665" i="1" s="1"/>
  <c r="A667" i="1" s="1"/>
  <c r="A669" i="1" s="1"/>
  <c r="A671" i="1" s="1"/>
  <c r="A673" i="1" s="1"/>
  <c r="A675" i="1" s="1"/>
  <c r="A677" i="1" s="1"/>
  <c r="A679" i="1" s="1"/>
  <c r="A681" i="1" s="1"/>
  <c r="A683" i="1" s="1"/>
  <c r="A685" i="1" s="1"/>
  <c r="A687" i="1" s="1"/>
  <c r="A689" i="1" s="1"/>
  <c r="A691" i="1" s="1"/>
  <c r="A693" i="1" s="1"/>
  <c r="A695" i="1" s="1"/>
  <c r="A697" i="1" s="1"/>
  <c r="A699" i="1" s="1"/>
  <c r="A701" i="1" s="1"/>
  <c r="A703" i="1" s="1"/>
  <c r="A705" i="1" s="1"/>
  <c r="A707" i="1" s="1"/>
  <c r="A709" i="1" s="1"/>
  <c r="A711" i="1" s="1"/>
  <c r="A713" i="1" s="1"/>
  <c r="A715" i="1" s="1"/>
  <c r="A717" i="1" s="1"/>
  <c r="A719" i="1" s="1"/>
  <c r="A721" i="1" s="1"/>
  <c r="A723" i="1" s="1"/>
  <c r="A725" i="1" s="1"/>
  <c r="A727" i="1" s="1"/>
  <c r="A729" i="1" s="1"/>
  <c r="A731" i="1" s="1"/>
  <c r="A733" i="1" s="1"/>
  <c r="A735" i="1" s="1"/>
  <c r="A737" i="1" s="1"/>
  <c r="A739" i="1" s="1"/>
  <c r="A741" i="1" s="1"/>
  <c r="A743" i="1" s="1"/>
  <c r="A745" i="1" s="1"/>
  <c r="A747" i="1" s="1"/>
  <c r="A749" i="1" s="1"/>
  <c r="A751" i="1" s="1"/>
  <c r="A753" i="1" s="1"/>
  <c r="A755" i="1" s="1"/>
  <c r="A757" i="1" s="1"/>
  <c r="A759" i="1" s="1"/>
  <c r="A761" i="1" s="1"/>
  <c r="A763" i="1" s="1"/>
  <c r="A765" i="1" s="1"/>
  <c r="A767" i="1" s="1"/>
  <c r="A769" i="1" s="1"/>
  <c r="A771" i="1" s="1"/>
  <c r="A773" i="1" s="1"/>
  <c r="A775" i="1" s="1"/>
  <c r="A777" i="1" s="1"/>
  <c r="A779" i="1" s="1"/>
  <c r="A781" i="1" s="1"/>
  <c r="A783" i="1" s="1"/>
  <c r="A785" i="1" s="1"/>
  <c r="A787" i="1" s="1"/>
  <c r="A789" i="1" s="1"/>
  <c r="A791" i="1" s="1"/>
  <c r="A793" i="1" s="1"/>
  <c r="A795" i="1" s="1"/>
  <c r="A797" i="1" s="1"/>
  <c r="A799" i="1" s="1"/>
  <c r="A801" i="1" s="1"/>
  <c r="A803" i="1" s="1"/>
  <c r="A805" i="1" s="1"/>
  <c r="A807" i="1" s="1"/>
  <c r="A809" i="1" s="1"/>
  <c r="A811" i="1" s="1"/>
  <c r="A813" i="1" s="1"/>
  <c r="A815" i="1" s="1"/>
  <c r="A817" i="1" s="1"/>
  <c r="A819" i="1" s="1"/>
  <c r="A821" i="1" s="1"/>
  <c r="A823" i="1" s="1"/>
  <c r="A825" i="1" s="1"/>
  <c r="A827" i="1" s="1"/>
  <c r="A829" i="1" s="1"/>
  <c r="A831" i="1" s="1"/>
  <c r="A833" i="1" s="1"/>
  <c r="A835" i="1" s="1"/>
  <c r="A837" i="1" s="1"/>
  <c r="A839" i="1" s="1"/>
  <c r="A841" i="1" s="1"/>
  <c r="A843" i="1" s="1"/>
  <c r="A845" i="1" s="1"/>
  <c r="A847" i="1" s="1"/>
  <c r="A849" i="1" s="1"/>
  <c r="A851" i="1" s="1"/>
  <c r="A853" i="1" s="1"/>
  <c r="A855" i="1" s="1"/>
  <c r="A857" i="1" s="1"/>
  <c r="A859" i="1" s="1"/>
  <c r="A861" i="1" s="1"/>
  <c r="A863" i="1" s="1"/>
  <c r="A865" i="1" s="1"/>
  <c r="A867" i="1" s="1"/>
  <c r="A869" i="1" s="1"/>
  <c r="A871" i="1" s="1"/>
  <c r="A873" i="1" s="1"/>
  <c r="A875" i="1" s="1"/>
  <c r="A877" i="1" s="1"/>
  <c r="A879" i="1" s="1"/>
  <c r="A881" i="1" s="1"/>
  <c r="A883" i="1" s="1"/>
  <c r="A885" i="1" s="1"/>
  <c r="A887" i="1" s="1"/>
  <c r="A889" i="1" s="1"/>
  <c r="A891" i="1" s="1"/>
  <c r="A893" i="1" s="1"/>
  <c r="A895" i="1" s="1"/>
  <c r="A897" i="1" s="1"/>
  <c r="A899" i="1" s="1"/>
  <c r="A901" i="1" s="1"/>
  <c r="A903" i="1" s="1"/>
  <c r="A905" i="1" s="1"/>
  <c r="A907" i="1" s="1"/>
  <c r="A909" i="1" s="1"/>
  <c r="A911" i="1" s="1"/>
  <c r="A913" i="1" s="1"/>
  <c r="A915" i="1" s="1"/>
  <c r="A917" i="1" s="1"/>
  <c r="A919" i="1" s="1"/>
  <c r="A921" i="1" s="1"/>
  <c r="A923" i="1" s="1"/>
  <c r="A925" i="1" s="1"/>
  <c r="A927" i="1" s="1"/>
  <c r="A929" i="1" s="1"/>
  <c r="A931" i="1" s="1"/>
  <c r="A933" i="1" s="1"/>
  <c r="A935" i="1" s="1"/>
  <c r="A937" i="1" s="1"/>
  <c r="A939" i="1" s="1"/>
  <c r="A941" i="1" s="1"/>
  <c r="A943" i="1" s="1"/>
  <c r="A945" i="1" s="1"/>
  <c r="A947" i="1" s="1"/>
  <c r="A949" i="1" s="1"/>
  <c r="A951" i="1" s="1"/>
  <c r="A953" i="1" s="1"/>
  <c r="A955" i="1" s="1"/>
  <c r="A957" i="1" s="1"/>
  <c r="A959" i="1" s="1"/>
  <c r="A961" i="1" s="1"/>
  <c r="A963" i="1" s="1"/>
  <c r="A965" i="1" s="1"/>
  <c r="A967" i="1" s="1"/>
  <c r="A969" i="1" s="1"/>
  <c r="A971" i="1" s="1"/>
  <c r="A973" i="1" s="1"/>
  <c r="A975" i="1" s="1"/>
  <c r="A977" i="1" s="1"/>
  <c r="A979" i="1" s="1"/>
  <c r="A981" i="1" s="1"/>
  <c r="A983" i="1" s="1"/>
  <c r="A985" i="1" s="1"/>
  <c r="A987" i="1" s="1"/>
  <c r="A989" i="1" s="1"/>
  <c r="A991" i="1" s="1"/>
  <c r="A993" i="1" s="1"/>
  <c r="A995" i="1" s="1"/>
  <c r="A997" i="1" s="1"/>
  <c r="A999" i="1" s="1"/>
  <c r="A1001" i="1" s="1"/>
  <c r="A1003" i="1" s="1"/>
  <c r="A1005" i="1" s="1"/>
  <c r="A1007" i="1" s="1"/>
  <c r="A1009" i="1" s="1"/>
  <c r="A1011" i="1" s="1"/>
  <c r="A1013" i="1" s="1"/>
  <c r="A1015" i="1" s="1"/>
  <c r="A1017" i="1" s="1"/>
  <c r="A1019" i="1" s="1"/>
  <c r="A1021" i="1" s="1"/>
  <c r="A1023" i="1" s="1"/>
  <c r="A1025" i="1" s="1"/>
  <c r="A1027" i="1" s="1"/>
  <c r="A1029" i="1" s="1"/>
  <c r="A1031" i="1" s="1"/>
  <c r="A1033" i="1" s="1"/>
  <c r="A1035" i="1" s="1"/>
  <c r="A1037" i="1" s="1"/>
  <c r="A1039" i="1" s="1"/>
  <c r="A1041" i="1" s="1"/>
  <c r="A1043" i="1" s="1"/>
  <c r="A1045" i="1" s="1"/>
  <c r="A1047" i="1" s="1"/>
  <c r="A1049" i="1" s="1"/>
  <c r="A1051" i="1" s="1"/>
  <c r="A1053" i="1" s="1"/>
  <c r="A1055" i="1" s="1"/>
  <c r="A1057" i="1" s="1"/>
  <c r="A1059" i="1" s="1"/>
  <c r="A1061" i="1" s="1"/>
  <c r="A1063" i="1" s="1"/>
  <c r="A1065" i="1" s="1"/>
  <c r="A1067" i="1" s="1"/>
  <c r="A1069" i="1" s="1"/>
  <c r="A1071" i="1" s="1"/>
  <c r="A1073" i="1" s="1"/>
  <c r="A1075" i="1" s="1"/>
  <c r="A1077" i="1" s="1"/>
  <c r="A1079" i="1" s="1"/>
  <c r="A1081" i="1" s="1"/>
  <c r="A1083" i="1" s="1"/>
  <c r="A1085" i="1" s="1"/>
  <c r="A1087" i="1" s="1"/>
  <c r="A1089" i="1" s="1"/>
  <c r="A1091" i="1" s="1"/>
  <c r="A1093" i="1" s="1"/>
  <c r="A1095" i="1" s="1"/>
  <c r="A1097" i="1" s="1"/>
  <c r="A1099" i="1" s="1"/>
  <c r="A1101" i="1" s="1"/>
  <c r="A1103" i="1" s="1"/>
  <c r="A1105" i="1" s="1"/>
  <c r="A1107" i="1" s="1"/>
  <c r="A1109" i="1" s="1"/>
  <c r="A1111" i="1" s="1"/>
  <c r="A1113" i="1" s="1"/>
  <c r="A1115" i="1" s="1"/>
  <c r="A1117" i="1" s="1"/>
  <c r="A1119" i="1" s="1"/>
  <c r="A1121" i="1" s="1"/>
  <c r="A1123" i="1" s="1"/>
  <c r="A1125" i="1" s="1"/>
  <c r="A1127" i="1" s="1"/>
  <c r="A1129" i="1" s="1"/>
  <c r="A1131" i="1" s="1"/>
  <c r="A1133" i="1" s="1"/>
  <c r="A1135" i="1" s="1"/>
  <c r="A1137" i="1" s="1"/>
  <c r="A1139" i="1" s="1"/>
  <c r="A1141" i="1" s="1"/>
  <c r="A1143" i="1" s="1"/>
  <c r="A1145" i="1" s="1"/>
  <c r="A1147" i="1" s="1"/>
  <c r="A1149" i="1" s="1"/>
  <c r="A1151" i="1" s="1"/>
  <c r="A1153" i="1" s="1"/>
  <c r="A1155" i="1" s="1"/>
  <c r="A1157" i="1" s="1"/>
  <c r="A1159" i="1" s="1"/>
  <c r="A1161" i="1" s="1"/>
  <c r="A1163" i="1" s="1"/>
  <c r="A1165" i="1" s="1"/>
  <c r="A1167" i="1" s="1"/>
  <c r="A1169" i="1" s="1"/>
  <c r="A1171" i="1" s="1"/>
  <c r="A1173" i="1" s="1"/>
  <c r="A1175" i="1" s="1"/>
  <c r="A1177" i="1" s="1"/>
  <c r="A1179" i="1" s="1"/>
  <c r="A1181" i="1" s="1"/>
  <c r="A1183" i="1" s="1"/>
  <c r="A1185" i="1" s="1"/>
  <c r="A1187" i="1" s="1"/>
  <c r="A1189" i="1" s="1"/>
  <c r="A1191" i="1" s="1"/>
  <c r="A1193" i="1" s="1"/>
  <c r="A1195" i="1" s="1"/>
  <c r="A1197" i="1" s="1"/>
  <c r="A1199" i="1" s="1"/>
  <c r="A1201" i="1" s="1"/>
  <c r="A1203" i="1" s="1"/>
  <c r="A1205" i="1" s="1"/>
  <c r="A1207" i="1" s="1"/>
  <c r="A1209" i="1" s="1"/>
  <c r="A1211" i="1" s="1"/>
  <c r="A1213" i="1" s="1"/>
  <c r="A1215" i="1" s="1"/>
  <c r="A1217" i="1" s="1"/>
  <c r="A1219" i="1" s="1"/>
  <c r="A1221" i="1" s="1"/>
  <c r="A1223" i="1" s="1"/>
  <c r="A1225" i="1" s="1"/>
  <c r="A1227" i="1" s="1"/>
  <c r="A1229" i="1" s="1"/>
  <c r="A1231" i="1" s="1"/>
  <c r="A1233" i="1" s="1"/>
  <c r="A1235" i="1" s="1"/>
  <c r="A1237" i="1" s="1"/>
  <c r="A1239" i="1" s="1"/>
  <c r="A1241" i="1" s="1"/>
  <c r="A1243" i="1" s="1"/>
  <c r="A1245" i="1" s="1"/>
  <c r="A1247" i="1" s="1"/>
  <c r="A1249" i="1" s="1"/>
  <c r="A1251" i="1" s="1"/>
  <c r="A1253" i="1" s="1"/>
  <c r="A1255" i="1" s="1"/>
  <c r="A1257" i="1" s="1"/>
  <c r="A237" i="1"/>
  <c r="G254" i="3"/>
  <c r="I257" i="3"/>
  <c r="F256" i="3"/>
  <c r="H258" i="3"/>
  <c r="H259" i="3" l="1"/>
  <c r="F257" i="3"/>
  <c r="I258" i="3"/>
  <c r="G255" i="3"/>
  <c r="G256" i="3" l="1"/>
  <c r="I259" i="3"/>
  <c r="F258" i="3"/>
  <c r="H260" i="3"/>
  <c r="H261" i="3" l="1"/>
  <c r="F259" i="3"/>
  <c r="I260" i="3"/>
  <c r="G257" i="3"/>
  <c r="G258" i="3" l="1"/>
  <c r="I261" i="3"/>
  <c r="F260" i="3"/>
  <c r="H262" i="3"/>
  <c r="H263" i="3" l="1"/>
  <c r="F261" i="3"/>
  <c r="I262" i="3"/>
  <c r="G259" i="3"/>
  <c r="G260" i="3" l="1"/>
  <c r="I263" i="3"/>
  <c r="F262" i="3"/>
  <c r="H264" i="3"/>
  <c r="H265" i="3" l="1"/>
  <c r="F263" i="3"/>
  <c r="I264" i="3"/>
  <c r="G261" i="3"/>
  <c r="G262" i="3" l="1"/>
  <c r="I265" i="3"/>
  <c r="F264" i="3"/>
  <c r="H266" i="3"/>
  <c r="H267" i="3" l="1"/>
  <c r="F265" i="3"/>
  <c r="I266" i="3"/>
  <c r="G263" i="3"/>
  <c r="G264" i="3" l="1"/>
  <c r="I267" i="3"/>
  <c r="F266" i="3"/>
  <c r="H268" i="3"/>
  <c r="H269" i="3" l="1"/>
  <c r="F267" i="3"/>
  <c r="I268" i="3"/>
  <c r="G265" i="3"/>
  <c r="G266" i="3" l="1"/>
  <c r="I269" i="3"/>
  <c r="F268" i="3"/>
  <c r="H270" i="3"/>
  <c r="H271" i="3" l="1"/>
  <c r="F269" i="3"/>
  <c r="I270" i="3"/>
  <c r="G267" i="3"/>
  <c r="G268" i="3" l="1"/>
  <c r="I271" i="3"/>
  <c r="F270" i="3"/>
  <c r="H272" i="3"/>
  <c r="H273" i="3" l="1"/>
  <c r="F271" i="3"/>
  <c r="I272" i="3"/>
  <c r="G269" i="3"/>
  <c r="G270" i="3" l="1"/>
  <c r="I273" i="3"/>
  <c r="F272" i="3"/>
  <c r="H274" i="3"/>
  <c r="H275" i="3" l="1"/>
  <c r="F273" i="3"/>
  <c r="I274" i="3"/>
  <c r="I275" i="3" s="1"/>
  <c r="G271" i="3"/>
  <c r="G272" i="3" l="1"/>
  <c r="I276" i="3"/>
  <c r="F274" i="3"/>
  <c r="H276" i="3"/>
  <c r="H277" i="3" l="1"/>
  <c r="F275" i="3"/>
  <c r="I277" i="3"/>
  <c r="G273" i="3"/>
  <c r="G274" i="3" l="1"/>
  <c r="I278" i="3"/>
  <c r="F276" i="3"/>
  <c r="H278" i="3"/>
  <c r="H279" i="3" l="1"/>
  <c r="F277" i="3"/>
  <c r="I279" i="3"/>
  <c r="G275" i="3"/>
  <c r="G276" i="3" l="1"/>
  <c r="I280" i="3"/>
  <c r="F278" i="3"/>
  <c r="H280" i="3"/>
  <c r="H281" i="3" l="1"/>
  <c r="H282" i="3" s="1"/>
  <c r="F279" i="3"/>
  <c r="I281" i="3"/>
  <c r="G277" i="3"/>
  <c r="G278" i="3" l="1"/>
  <c r="I282" i="3"/>
  <c r="F280" i="3"/>
  <c r="H283" i="3"/>
  <c r="H284" i="3" l="1"/>
  <c r="F281" i="3"/>
  <c r="I283" i="3"/>
  <c r="G279" i="3"/>
  <c r="G280" i="3" l="1"/>
  <c r="I284" i="3"/>
  <c r="F282" i="3"/>
  <c r="H285" i="3"/>
  <c r="H286" i="3" l="1"/>
  <c r="F283" i="3"/>
  <c r="I285" i="3"/>
  <c r="G281" i="3"/>
  <c r="G282" i="3" l="1"/>
  <c r="I286" i="3"/>
  <c r="F284" i="3"/>
  <c r="H287" i="3"/>
  <c r="H288" i="3" l="1"/>
  <c r="F285" i="3"/>
  <c r="I287" i="3"/>
  <c r="G283" i="3"/>
  <c r="G284" i="3" l="1"/>
  <c r="I288" i="3"/>
  <c r="F286" i="3"/>
  <c r="H289" i="3"/>
  <c r="H290" i="3" l="1"/>
  <c r="F287" i="3"/>
  <c r="I289" i="3"/>
  <c r="G285" i="3"/>
  <c r="G286" i="3" l="1"/>
  <c r="I290" i="3"/>
  <c r="F288" i="3"/>
  <c r="H291" i="3"/>
  <c r="H292" i="3" l="1"/>
  <c r="F289" i="3"/>
  <c r="I291" i="3"/>
  <c r="G287" i="3"/>
  <c r="G288" i="3" l="1"/>
  <c r="I292" i="3"/>
  <c r="F290" i="3"/>
  <c r="H293" i="3"/>
  <c r="H294" i="3" l="1"/>
  <c r="F291" i="3"/>
  <c r="I293" i="3"/>
  <c r="G289" i="3"/>
  <c r="G290" i="3" l="1"/>
  <c r="I294" i="3"/>
  <c r="F292" i="3"/>
  <c r="F293" i="3" s="1"/>
  <c r="H295" i="3"/>
  <c r="H296" i="3" l="1"/>
  <c r="F294" i="3"/>
  <c r="I295" i="3"/>
  <c r="G291" i="3"/>
  <c r="G292" i="3" l="1"/>
  <c r="I296" i="3"/>
  <c r="F295" i="3"/>
  <c r="H297" i="3"/>
  <c r="H298" i="3" l="1"/>
  <c r="F296" i="3"/>
  <c r="I297" i="3"/>
  <c r="G293" i="3"/>
  <c r="G294" i="3" l="1"/>
  <c r="I298" i="3"/>
  <c r="F297" i="3"/>
  <c r="H299" i="3"/>
  <c r="H300" i="3" l="1"/>
  <c r="F298" i="3"/>
  <c r="I299" i="3"/>
  <c r="G295" i="3"/>
  <c r="G296" i="3" l="1"/>
  <c r="I300" i="3"/>
  <c r="F299" i="3"/>
  <c r="H301" i="3"/>
  <c r="H302" i="3" l="1"/>
  <c r="H303" i="3" s="1"/>
  <c r="F300" i="3"/>
  <c r="I301" i="3"/>
  <c r="G297" i="3"/>
  <c r="G298" i="3" l="1"/>
  <c r="I302" i="3"/>
  <c r="F301" i="3"/>
  <c r="H304" i="3"/>
  <c r="H305" i="3" l="1"/>
  <c r="F302" i="3"/>
  <c r="I303" i="3"/>
  <c r="G299" i="3"/>
  <c r="G300" i="3" l="1"/>
  <c r="I304" i="3"/>
  <c r="F303" i="3"/>
  <c r="H306" i="3"/>
  <c r="H307" i="3" l="1"/>
  <c r="F304" i="3"/>
  <c r="I305" i="3"/>
  <c r="G301" i="3"/>
  <c r="G302" i="3" l="1"/>
  <c r="I306" i="3"/>
  <c r="F305" i="3"/>
  <c r="H308" i="3"/>
  <c r="H309" i="3" l="1"/>
  <c r="F306" i="3"/>
  <c r="I307" i="3"/>
  <c r="G303" i="3"/>
  <c r="G304" i="3" l="1"/>
  <c r="I308" i="3"/>
  <c r="F307" i="3"/>
  <c r="H310" i="3"/>
  <c r="H311" i="3" l="1"/>
  <c r="F308" i="3"/>
  <c r="I309" i="3"/>
  <c r="G305" i="3"/>
  <c r="G306" i="3" l="1"/>
  <c r="I310" i="3"/>
  <c r="F309" i="3"/>
  <c r="H312" i="3"/>
  <c r="H313" i="3" l="1"/>
  <c r="F310" i="3"/>
  <c r="I311" i="3"/>
  <c r="G307" i="3"/>
  <c r="G308" i="3" l="1"/>
  <c r="I312" i="3"/>
  <c r="F311" i="3"/>
  <c r="H314" i="3"/>
  <c r="H315" i="3" l="1"/>
  <c r="F312" i="3"/>
  <c r="I313" i="3"/>
  <c r="G309" i="3"/>
  <c r="G310" i="3" l="1"/>
  <c r="I314" i="3"/>
  <c r="F313" i="3"/>
  <c r="H316" i="3"/>
  <c r="H317" i="3" l="1"/>
  <c r="F314" i="3"/>
  <c r="I315" i="3"/>
  <c r="G311" i="3"/>
  <c r="G312" i="3" l="1"/>
  <c r="I316" i="3"/>
  <c r="F315" i="3"/>
  <c r="H318" i="3"/>
  <c r="H319" i="3" l="1"/>
  <c r="F316" i="3"/>
  <c r="I317" i="3"/>
  <c r="G313" i="3"/>
  <c r="G314" i="3" l="1"/>
  <c r="I318" i="3"/>
  <c r="F317" i="3"/>
  <c r="H320" i="3"/>
  <c r="H321" i="3" l="1"/>
  <c r="F318" i="3"/>
  <c r="I319" i="3"/>
  <c r="G315" i="3"/>
  <c r="G316" i="3" l="1"/>
  <c r="I320" i="3"/>
  <c r="F319" i="3"/>
  <c r="H322" i="3"/>
  <c r="H323" i="3" l="1"/>
  <c r="F320" i="3"/>
  <c r="I321" i="3"/>
  <c r="G317" i="3"/>
  <c r="G318" i="3" l="1"/>
  <c r="I322" i="3"/>
  <c r="F321" i="3"/>
  <c r="H324" i="3"/>
  <c r="H325" i="3" l="1"/>
  <c r="F322" i="3"/>
  <c r="I323" i="3"/>
  <c r="G319" i="3"/>
  <c r="G320" i="3" l="1"/>
  <c r="I324" i="3"/>
  <c r="F323" i="3"/>
  <c r="H326" i="3"/>
  <c r="H327" i="3" l="1"/>
  <c r="F324" i="3"/>
  <c r="I325" i="3"/>
  <c r="G321" i="3"/>
  <c r="G322" i="3" l="1"/>
  <c r="I326" i="3"/>
  <c r="F325" i="3"/>
  <c r="H328" i="3"/>
  <c r="H329" i="3" l="1"/>
  <c r="F326" i="3"/>
  <c r="I327" i="3"/>
  <c r="G323" i="3"/>
  <c r="G324" i="3" l="1"/>
  <c r="I328" i="3"/>
  <c r="F327" i="3"/>
  <c r="H330" i="3"/>
  <c r="H331" i="3" l="1"/>
  <c r="F328" i="3"/>
  <c r="I329" i="3"/>
  <c r="G325" i="3"/>
  <c r="G326" i="3" l="1"/>
  <c r="I330" i="3"/>
  <c r="F329" i="3"/>
  <c r="H332" i="3"/>
  <c r="H333" i="3" l="1"/>
  <c r="F330" i="3"/>
  <c r="I331" i="3"/>
  <c r="G327" i="3"/>
  <c r="G328" i="3" l="1"/>
  <c r="I332" i="3"/>
  <c r="F331" i="3"/>
  <c r="H334" i="3"/>
  <c r="H335" i="3" l="1"/>
  <c r="F332" i="3"/>
  <c r="I333" i="3"/>
  <c r="G329" i="3"/>
  <c r="G330" i="3" l="1"/>
  <c r="I334" i="3"/>
  <c r="F333" i="3"/>
  <c r="H336" i="3"/>
  <c r="H337" i="3" l="1"/>
  <c r="F334" i="3"/>
  <c r="I335" i="3"/>
  <c r="G331" i="3"/>
  <c r="G332" i="3" l="1"/>
  <c r="I336" i="3"/>
  <c r="F335" i="3"/>
  <c r="H338" i="3"/>
  <c r="H339" i="3" l="1"/>
  <c r="F336" i="3"/>
  <c r="I337" i="3"/>
  <c r="G333" i="3"/>
  <c r="G334" i="3" l="1"/>
  <c r="I338" i="3"/>
  <c r="F337" i="3"/>
  <c r="H340" i="3"/>
  <c r="H341" i="3" l="1"/>
  <c r="F338" i="3"/>
  <c r="I339" i="3"/>
  <c r="G335" i="3"/>
  <c r="G336" i="3" l="1"/>
  <c r="I340" i="3"/>
  <c r="F339" i="3"/>
  <c r="H342" i="3"/>
  <c r="H343" i="3" l="1"/>
  <c r="F340" i="3"/>
  <c r="I341" i="3"/>
  <c r="G337" i="3"/>
  <c r="G338" i="3" l="1"/>
  <c r="I342" i="3"/>
  <c r="F341" i="3"/>
  <c r="H344" i="3"/>
  <c r="H345" i="3" l="1"/>
  <c r="F342" i="3"/>
  <c r="I343" i="3"/>
  <c r="G339" i="3"/>
  <c r="G340" i="3" l="1"/>
  <c r="I344" i="3"/>
  <c r="F343" i="3"/>
  <c r="H346" i="3"/>
  <c r="H347" i="3" l="1"/>
  <c r="F344" i="3"/>
  <c r="I345" i="3"/>
  <c r="I346" i="3" s="1"/>
  <c r="G341" i="3"/>
  <c r="G342" i="3" l="1"/>
  <c r="I347" i="3"/>
  <c r="F345" i="3"/>
  <c r="H348" i="3"/>
  <c r="H349" i="3" l="1"/>
  <c r="F346" i="3"/>
  <c r="I348" i="3"/>
  <c r="G343" i="3"/>
  <c r="G344" i="3" l="1"/>
  <c r="I349" i="3"/>
  <c r="F347" i="3"/>
  <c r="H350" i="3"/>
  <c r="H351" i="3" l="1"/>
  <c r="F348" i="3"/>
  <c r="I350" i="3"/>
  <c r="G345" i="3"/>
  <c r="G346" i="3" l="1"/>
  <c r="I351" i="3"/>
  <c r="F349" i="3"/>
  <c r="H352" i="3"/>
  <c r="H353" i="3" l="1"/>
  <c r="F350" i="3"/>
  <c r="I352" i="3"/>
  <c r="G347" i="3"/>
  <c r="G348" i="3" l="1"/>
  <c r="I353" i="3"/>
  <c r="F351" i="3"/>
  <c r="H354" i="3"/>
  <c r="H355" i="3" l="1"/>
  <c r="F352" i="3"/>
  <c r="I354" i="3"/>
  <c r="G349" i="3"/>
  <c r="G350" i="3" l="1"/>
  <c r="I355" i="3"/>
  <c r="F353" i="3"/>
  <c r="H356" i="3"/>
  <c r="H357" i="3" l="1"/>
  <c r="F354" i="3"/>
  <c r="I356" i="3"/>
  <c r="G351" i="3"/>
  <c r="G352" i="3" l="1"/>
  <c r="I357" i="3"/>
  <c r="F355" i="3"/>
  <c r="H358" i="3"/>
  <c r="H359" i="3" l="1"/>
  <c r="F356" i="3"/>
  <c r="I358" i="3"/>
  <c r="G353" i="3"/>
  <c r="G354" i="3" l="1"/>
  <c r="I359" i="3"/>
  <c r="F357" i="3"/>
  <c r="H360" i="3"/>
  <c r="H361" i="3" l="1"/>
  <c r="F358" i="3"/>
  <c r="I360" i="3"/>
  <c r="G355" i="3"/>
  <c r="G356" i="3" l="1"/>
  <c r="I361" i="3"/>
  <c r="F359" i="3"/>
  <c r="H362" i="3"/>
  <c r="H363" i="3" l="1"/>
  <c r="F360" i="3"/>
  <c r="I362" i="3"/>
  <c r="G357" i="3"/>
  <c r="G358" i="3" l="1"/>
  <c r="I363" i="3"/>
  <c r="F361" i="3"/>
  <c r="H364" i="3"/>
  <c r="H365" i="3" l="1"/>
  <c r="F362" i="3"/>
  <c r="I364" i="3"/>
  <c r="G359" i="3"/>
  <c r="G360" i="3" l="1"/>
  <c r="I365" i="3"/>
  <c r="F363" i="3"/>
  <c r="H366" i="3"/>
  <c r="H367" i="3" l="1"/>
  <c r="F364" i="3"/>
  <c r="I366" i="3"/>
  <c r="G361" i="3"/>
  <c r="G362" i="3" l="1"/>
  <c r="I367" i="3"/>
  <c r="F365" i="3"/>
  <c r="H368" i="3"/>
  <c r="F366" i="3" l="1"/>
  <c r="I368" i="3"/>
  <c r="G363" i="3"/>
  <c r="G364" i="3" l="1"/>
  <c r="F367" i="3"/>
  <c r="F368" i="3" l="1"/>
  <c r="G365" i="3"/>
  <c r="G366" i="3" l="1"/>
  <c r="G367" i="3" l="1"/>
  <c r="G368" i="3" l="1"/>
  <c r="M4" i="3" l="1"/>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K4" i="3" l="1"/>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A821" i="9"/>
  <c r="A830" i="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423BC2-B496-4BB8-87DB-CD8649EFAF8D}" keepAlive="1" name="Запрос — Таблица1" description="Соединение с запросом &quot;Таблица1&quot; в книге." type="5" refreshedVersion="0" background="1">
    <dbPr connection="Provider=Microsoft.Mashup.OleDb.1;Data Source=$Workbook$;Location=Таблица1;Extended Properties=&quot;&quot;" command="SELECT * FROM [Таблица1]"/>
  </connection>
</connections>
</file>

<file path=xl/sharedStrings.xml><?xml version="1.0" encoding="utf-8"?>
<sst xmlns="http://schemas.openxmlformats.org/spreadsheetml/2006/main" count="1989" uniqueCount="773">
  <si>
    <t>дата</t>
  </si>
  <si>
    <t>линия</t>
  </si>
  <si>
    <t>смена</t>
  </si>
  <si>
    <t>мастер</t>
  </si>
  <si>
    <t>замес</t>
  </si>
  <si>
    <t>продукт</t>
  </si>
  <si>
    <t>всего</t>
  </si>
  <si>
    <t>брак</t>
  </si>
  <si>
    <t>цемент</t>
  </si>
  <si>
    <t>асбест</t>
  </si>
  <si>
    <t>асб-слив</t>
  </si>
  <si>
    <t>цем-слив</t>
  </si>
  <si>
    <t>Номенклатура</t>
  </si>
  <si>
    <t>ед. изм.</t>
  </si>
  <si>
    <t>8 волн</t>
  </si>
  <si>
    <t>7 волн</t>
  </si>
  <si>
    <t>РП</t>
  </si>
  <si>
    <t>плоский 6мм</t>
  </si>
  <si>
    <t>плоский 8мм</t>
  </si>
  <si>
    <t>плоский 10мм</t>
  </si>
  <si>
    <t>грядки</t>
  </si>
  <si>
    <t>Конек, тройник</t>
  </si>
  <si>
    <t>плита</t>
  </si>
  <si>
    <t>плоский 600*1200*8 мм</t>
  </si>
  <si>
    <t>плоский 10мм (1,2*1,2)</t>
  </si>
  <si>
    <t>плоский 12мм (1,2*1,2)</t>
  </si>
  <si>
    <t>плоский 8мм (1,8*1,5)</t>
  </si>
  <si>
    <t>Сайдинг (1,8*0,25)</t>
  </si>
  <si>
    <t>Сайдинг (1,8*0,235)</t>
  </si>
  <si>
    <t>Грядки</t>
  </si>
  <si>
    <t>Штакет заборный 700*100*8 мм</t>
  </si>
  <si>
    <t>Плитка 600*400</t>
  </si>
  <si>
    <t>Плоский 900*600</t>
  </si>
  <si>
    <t>Плита фасадная 2600*608</t>
  </si>
  <si>
    <t>Плита фасадная 2650*608</t>
  </si>
  <si>
    <t>Плита фасадная 2700*608</t>
  </si>
  <si>
    <t>Плита фасадная 2750*608</t>
  </si>
  <si>
    <t>Плита фасадная 2800*608</t>
  </si>
  <si>
    <t>Плита фасадная 2850*608</t>
  </si>
  <si>
    <t>Плита АЦЭИД</t>
  </si>
  <si>
    <t>Плита фасадная 3000</t>
  </si>
  <si>
    <t>ЛПН 3000*1500*8 мм</t>
  </si>
  <si>
    <t>ЛПН 3600*1500*8 мм</t>
  </si>
  <si>
    <t>ЛПН 3600*1500*10 мм</t>
  </si>
  <si>
    <t>АЦЭИД 1800*240*10 мм</t>
  </si>
  <si>
    <t>ЛПН 3000*1500*10 мм</t>
  </si>
  <si>
    <t>Длина листа</t>
  </si>
  <si>
    <t>мм</t>
  </si>
  <si>
    <t>Ширина листа</t>
  </si>
  <si>
    <t>Толщина листа</t>
  </si>
  <si>
    <t>Плотность листа</t>
  </si>
  <si>
    <t>кг/см3</t>
  </si>
  <si>
    <t>Площадь листа</t>
  </si>
  <si>
    <t>м2</t>
  </si>
  <si>
    <t>Масса шихты</t>
  </si>
  <si>
    <t>кг</t>
  </si>
  <si>
    <t>Масса листа</t>
  </si>
  <si>
    <t>В переводе на 8 волн</t>
  </si>
  <si>
    <t>плоский 6</t>
  </si>
  <si>
    <t>плоский 8</t>
  </si>
  <si>
    <t>плоский 10</t>
  </si>
  <si>
    <t>масса листа, тн</t>
  </si>
  <si>
    <t>хоргос</t>
  </si>
  <si>
    <t>норма А</t>
  </si>
  <si>
    <t>факт А</t>
  </si>
  <si>
    <t>норма Ц</t>
  </si>
  <si>
    <t>факт Ц</t>
  </si>
  <si>
    <t>откл</t>
  </si>
  <si>
    <t>номенклатура</t>
  </si>
  <si>
    <t>код</t>
  </si>
  <si>
    <t>8 волн гладкий</t>
  </si>
  <si>
    <t>8 волн рифленый</t>
  </si>
  <si>
    <t>РП половинка</t>
  </si>
  <si>
    <t>норма асбест</t>
  </si>
  <si>
    <t>норма цемент</t>
  </si>
  <si>
    <t>Дауылбай</t>
  </si>
  <si>
    <t>8 волн пигмент</t>
  </si>
  <si>
    <t>Монаев</t>
  </si>
  <si>
    <t>1 силос</t>
  </si>
  <si>
    <t>2 силос</t>
  </si>
  <si>
    <t>3 силос</t>
  </si>
  <si>
    <t>4 силос</t>
  </si>
  <si>
    <t>день</t>
  </si>
  <si>
    <t>ночь</t>
  </si>
  <si>
    <t>шанхай</t>
  </si>
  <si>
    <t>асбозурит</t>
  </si>
  <si>
    <t>силос 1</t>
  </si>
  <si>
    <t>силос 2</t>
  </si>
  <si>
    <t>силос 3</t>
  </si>
  <si>
    <t>силос 4</t>
  </si>
  <si>
    <t>простои</t>
  </si>
  <si>
    <t>ЦЕМЕНТ, приход</t>
  </si>
  <si>
    <t>АСБЕСТ, приход</t>
  </si>
  <si>
    <t>АСБЕСТ, факт остаток</t>
  </si>
  <si>
    <t>А5-65</t>
  </si>
  <si>
    <t>А4-20</t>
  </si>
  <si>
    <t>А6-45</t>
  </si>
  <si>
    <t>ОМ</t>
  </si>
  <si>
    <t>масса, тн</t>
  </si>
  <si>
    <t>Фамилии мастеров</t>
  </si>
  <si>
    <t>норма СВ</t>
  </si>
  <si>
    <t>факт СВ</t>
  </si>
  <si>
    <t>норма ФБ</t>
  </si>
  <si>
    <t>факт ФБ</t>
  </si>
  <si>
    <t>норма АСБ</t>
  </si>
  <si>
    <t>факт АСБ</t>
  </si>
  <si>
    <t>норма целлюлоза</t>
  </si>
  <si>
    <t>норма стекловолокно</t>
  </si>
  <si>
    <t>норма фибра базальтовая</t>
  </si>
  <si>
    <t>норма асбозурит</t>
  </si>
  <si>
    <t>ЦЕМЕНТ, учет остаток</t>
  </si>
  <si>
    <t>норма ЦЛ</t>
  </si>
  <si>
    <t>факт ЦЛ</t>
  </si>
  <si>
    <t>Султанулы</t>
  </si>
  <si>
    <t>Бекбосынов</t>
  </si>
  <si>
    <t>электрич</t>
  </si>
  <si>
    <t>Технологич</t>
  </si>
  <si>
    <t>Прочие</t>
  </si>
  <si>
    <t>Механич</t>
  </si>
  <si>
    <t>ППР</t>
  </si>
  <si>
    <t>ЦЕМЕНТ, факт остаток после замера</t>
  </si>
  <si>
    <t>№ партии</t>
  </si>
  <si>
    <t>количество сбросов наката</t>
  </si>
  <si>
    <t>0001</t>
  </si>
  <si>
    <t>0002</t>
  </si>
  <si>
    <t>0005</t>
  </si>
  <si>
    <t>0004</t>
  </si>
  <si>
    <t>0003</t>
  </si>
  <si>
    <t>0009</t>
  </si>
  <si>
    <t>0006</t>
  </si>
  <si>
    <t>0007</t>
  </si>
  <si>
    <t>0008</t>
  </si>
  <si>
    <t>0010</t>
  </si>
  <si>
    <t>0011</t>
  </si>
  <si>
    <t>0012</t>
  </si>
  <si>
    <t>0013</t>
  </si>
  <si>
    <t>0014</t>
  </si>
  <si>
    <t>0015</t>
  </si>
  <si>
    <t>0016</t>
  </si>
  <si>
    <t>0017</t>
  </si>
  <si>
    <t>0018</t>
  </si>
  <si>
    <t>0019</t>
  </si>
  <si>
    <t>0020</t>
  </si>
  <si>
    <t>0021</t>
  </si>
  <si>
    <t>Поменяли (сукно).Для инфармций:Поменяли форматный барабан,поменяли сукно валик рассыпался подшипник,поменяли нож,чистили желоб,чистили сплинкерную трубу,убрали вокруг машины</t>
  </si>
  <si>
    <t>0022</t>
  </si>
  <si>
    <t>0023</t>
  </si>
  <si>
    <t>0024</t>
  </si>
  <si>
    <t>0025</t>
  </si>
  <si>
    <t>0026</t>
  </si>
  <si>
    <t>0027</t>
  </si>
  <si>
    <t>0028</t>
  </si>
  <si>
    <t>0029</t>
  </si>
  <si>
    <t>0030</t>
  </si>
  <si>
    <t>0031</t>
  </si>
  <si>
    <t>0032</t>
  </si>
  <si>
    <t>0033</t>
  </si>
  <si>
    <t>0034</t>
  </si>
  <si>
    <t>0035</t>
  </si>
  <si>
    <t>0036</t>
  </si>
  <si>
    <t>0037</t>
  </si>
  <si>
    <t>0038</t>
  </si>
  <si>
    <t>0039</t>
  </si>
  <si>
    <t>0040</t>
  </si>
  <si>
    <t>0042</t>
  </si>
  <si>
    <t>0043</t>
  </si>
  <si>
    <t>0044</t>
  </si>
  <si>
    <t>0045</t>
  </si>
  <si>
    <t>0046</t>
  </si>
  <si>
    <t>0047</t>
  </si>
  <si>
    <t>0048</t>
  </si>
  <si>
    <t>0049</t>
  </si>
  <si>
    <t>0050</t>
  </si>
  <si>
    <t>Передвинулй спомагателный трубовалик возле барабана</t>
  </si>
  <si>
    <t>Санитарный день! Сняли все с/цилиндр и очистили все ванны.Очистили премный каропку.Почистили гомагинизатор и желоб.Сплинкерную трубу очистили кислатой.Заменили №2-3 с/цилиндр №1 с/цилиндр промыли и поставили обратно.Очистили верхний и нижний вакуум.Почистили ресивер.Подняли падемник на валнировке и очистили.Прочистили вокруг машины и вакуумный насос,трубы,двигатель,редуктор протрёли.Во всём цехе сделали уборку.</t>
  </si>
  <si>
    <t>Замена ф/барабан,варили редуктор натяжка т/сукно,замена подшипник поддерживающие т/валик</t>
  </si>
  <si>
    <t xml:space="preserve">2 лопастной мешалке срезло шпонка,заменили </t>
  </si>
  <si>
    <t>нет</t>
  </si>
  <si>
    <t xml:space="preserve">выробатали массу промылй  тех-сукно на холостом </t>
  </si>
  <si>
    <t>выроботалй массу останавилй машину на переделку вакумнгых труб</t>
  </si>
  <si>
    <t>Ершеня начил опят промылй кислотолй формовачный барабан поменялй</t>
  </si>
  <si>
    <t>останавилй сливалй один замес старую массу</t>
  </si>
  <si>
    <t>выролботалй массу останавилй машину промываем техсукно ерщеня не отходить.</t>
  </si>
  <si>
    <t>поменяли грязный 1 насос и 2 раза переделовали вакумный насос</t>
  </si>
  <si>
    <t>промывка т/сукно</t>
  </si>
  <si>
    <t>повторно промывка т/сукно из-за ершение</t>
  </si>
  <si>
    <t>из-за ершение останавили машину,промывали ф/барабан с кислотой</t>
  </si>
  <si>
    <t>Сукно мыли, поменяли трос формовочный барабана</t>
  </si>
  <si>
    <t>Поменяли №2-с/цилиндр,чистили сплинкерную трубу и желоб</t>
  </si>
  <si>
    <t>Дата</t>
  </si>
  <si>
    <t>Cмена</t>
  </si>
  <si>
    <t>Причина простоя</t>
  </si>
  <si>
    <t>Начало</t>
  </si>
  <si>
    <t>Конец</t>
  </si>
  <si>
    <t xml:space="preserve">Время </t>
  </si>
  <si>
    <t>Мастер</t>
  </si>
  <si>
    <t>Замена троса срезчика наката</t>
  </si>
  <si>
    <t>Останавилй регулировка ножа.№1: №2: №3: №4.</t>
  </si>
  <si>
    <t>На ходу менялй ремень на гомогонизаторе.</t>
  </si>
  <si>
    <t>В ходе работы был обнаружен износ подшипника натяжного вала. Подшипник был заменён. После замены проведён запуск оборудования, работа стабильная.</t>
  </si>
  <si>
    <t>Остановил машину из-за того, что не крутилась сукнобойка. Проверили оборудование, установили причину — сухой подшипник. Подшипник смазали, после чего проверили работу и установили обратно. Машина работает нормально.</t>
  </si>
  <si>
    <t>Не сработал датчик сукнопоправки. Причину нашли и устранили. После устранения неисправности машину включили.</t>
  </si>
  <si>
    <t>Сукнобойка в редукторе поставили шпонка находу</t>
  </si>
  <si>
    <t xml:space="preserve">шланг находу </t>
  </si>
  <si>
    <t>сукнобойка эл/двигатель невключился,машина работала</t>
  </si>
  <si>
    <t>без остановка деж/электрик сделал</t>
  </si>
  <si>
    <t>Ковшевая мешалка отключился стояли,сделали</t>
  </si>
  <si>
    <t>Пневмоцилиндр неработал сняли почистили паставили</t>
  </si>
  <si>
    <t>гидропушитель насос набили сальники</t>
  </si>
  <si>
    <t>Останавили машину в тунеле шифер не сохнит,собираем вручную</t>
  </si>
  <si>
    <t xml:space="preserve">Остановили машину из-за отсутствия тележек из пропарочной камеры. Шифер долго не высыхал, поэтому тележки вовремя не поступали на линию. </t>
  </si>
  <si>
    <t>нижный вакуум не было чистили насос,трубы и коробка</t>
  </si>
  <si>
    <t>Машина после обеда работала на 10-12оборотах,шифер в тунеле  не высыхает,запасной тележки нет,поэтаму работаем вручную</t>
  </si>
  <si>
    <t>Останавили машину поменяли 3-гауш вал также заменели 3-с/цилиндр</t>
  </si>
  <si>
    <t>Запуск 21:46 Поставили все новые с/цилиндр,желоб почистили,приемный каробку почистили,сплинкерную трубу почистили</t>
  </si>
  <si>
    <t>Останавили машину Сукно промыли,подняли фрез-раму,</t>
  </si>
  <si>
    <t>вытащали с/цилиндры и все ванны полностью промыли</t>
  </si>
  <si>
    <t>чистили желоб</t>
  </si>
  <si>
    <t>Замена подшибник 2-гауч-вал.Запуск 22:20</t>
  </si>
  <si>
    <t>Остановили машину из-за того, что не работал натяжной маторчик. В результате не втягиволось сукномойка, затинули в ручную и запустили машину.</t>
  </si>
  <si>
    <t>заклинила потчибник от скнобойкий, будем менять на новую и поменяли сальникий от насоса в бассен</t>
  </si>
  <si>
    <t>Волнировка каробка накат не брал устронилй</t>
  </si>
  <si>
    <t>Останавили машину талшиномер сломался</t>
  </si>
  <si>
    <t>Останавили машину проверяли нож</t>
  </si>
  <si>
    <t>Смен принял.линия стояла из за сукноправка</t>
  </si>
  <si>
    <t>Сукноправка крепление оторванный были заварили</t>
  </si>
  <si>
    <t>Сукноправка не включался по электро часть</t>
  </si>
  <si>
    <t>Замена вставка 5 ноже</t>
  </si>
  <si>
    <t>Останавилй из за прокладку набралй прокладку.Запустилй.</t>
  </si>
  <si>
    <t>Останавилй пролмылй техсукно вытащилй ванный почистелй.Промылй С/Ц керхером поставилй наменсто.Проомылй бракомешалку чистой воде.Промылй разжижение трубый.</t>
  </si>
  <si>
    <t>РП коричневый</t>
  </si>
  <si>
    <t>РП половинка коричневый</t>
  </si>
  <si>
    <t>РП красный</t>
  </si>
  <si>
    <t>РП половинка красный</t>
  </si>
  <si>
    <t>норма дроб шиф</t>
  </si>
  <si>
    <t>Очистка машины</t>
  </si>
  <si>
    <t>отключение электроэнергии</t>
  </si>
  <si>
    <t>Запуск  20:20.</t>
  </si>
  <si>
    <t>останавилй промылй техсукно.вытащилй С/Ц промылй керхером. Почистелй ванный поставилй С/Ц на место</t>
  </si>
  <si>
    <t>Запуск</t>
  </si>
  <si>
    <t>Остановили машину. Очистка машины</t>
  </si>
  <si>
    <t>Запустилй Шанхай</t>
  </si>
  <si>
    <t xml:space="preserve">Останавили машину на валнировке тележка не сотвествует укладочнуму валу </t>
  </si>
  <si>
    <t>Для инфармации:До 22:30 работали на 4линиях,распушка на 3линии постоянно рвалось мягкое соединение,дневной слесарь пришел и выставил центровку</t>
  </si>
  <si>
    <t>отсутствие цемента</t>
  </si>
  <si>
    <t>0051</t>
  </si>
  <si>
    <t>запустилй машину</t>
  </si>
  <si>
    <t>Из-за компресора останавилй воздух небыло.Запустилй</t>
  </si>
  <si>
    <t xml:space="preserve">По электро частй остановка вся волниролвка стало менялй </t>
  </si>
  <si>
    <t>дачик хода</t>
  </si>
  <si>
    <t>0052</t>
  </si>
  <si>
    <t>Останавили машину в тунеле шифер не высыхает,запас тележка нет</t>
  </si>
  <si>
    <t>с 3:30 до 5:00 ночи работали на одной линии,распушка не</t>
  </si>
  <si>
    <t>открывалась,мягкое соединение постоянно рвалось</t>
  </si>
  <si>
    <t xml:space="preserve">Для инфармации: </t>
  </si>
  <si>
    <t xml:space="preserve">Останавили машину заменили шланг ваздушного </t>
  </si>
  <si>
    <t>цилиндра</t>
  </si>
  <si>
    <t>0053</t>
  </si>
  <si>
    <t>Замена ножей № 1.2.3.4.5 регулировка коровка,замена</t>
  </si>
  <si>
    <t>сальник №3 грязный насос</t>
  </si>
  <si>
    <t>№2транспортер лента невключился,главный привод шланг</t>
  </si>
  <si>
    <t>порвался по электро часть</t>
  </si>
  <si>
    <t>останавили из-за валнировка коробка регулировал</t>
  </si>
  <si>
    <t>0054</t>
  </si>
  <si>
    <t>Останавилй менялй шланг от вакумных каробак</t>
  </si>
  <si>
    <t>затянулй трос от срещика</t>
  </si>
  <si>
    <t xml:space="preserve">Остонавилй менялй трос менялй переходник от воздуха </t>
  </si>
  <si>
    <t xml:space="preserve">на срещике воздух пропускал срещик плохо работа </t>
  </si>
  <si>
    <t>устронилй.</t>
  </si>
  <si>
    <t>Левая сторона часто цепляет накат</t>
  </si>
  <si>
    <t>0055</t>
  </si>
  <si>
    <t>Машина остановлена из-за того, что подшипник не вращается. Проводится проверка разгонного вала.После устранения неисправности машину включили. В процессе выявлено ослабление болтов — болты подтянуты.</t>
  </si>
  <si>
    <t>останавили машину чтобы закрутит кришку от разгонного вала</t>
  </si>
  <si>
    <t>0056</t>
  </si>
  <si>
    <t>начало смены прокладка не было</t>
  </si>
  <si>
    <t>останавили машину из-за волнировка прехлди бригада</t>
  </si>
  <si>
    <t>слесария устранили не поладка запустили машину</t>
  </si>
  <si>
    <t>бракомешалка не качал затвор накат застрял устранили</t>
  </si>
  <si>
    <t>0057</t>
  </si>
  <si>
    <t xml:space="preserve">Останавили машину 3-4лине нет распушка постоянно рветса </t>
  </si>
  <si>
    <t>миягкие соединение</t>
  </si>
  <si>
    <t>для ифармаци поменяли 4насос</t>
  </si>
  <si>
    <t>Останавили машину снова мягкие соединение порваллись</t>
  </si>
  <si>
    <t>0058</t>
  </si>
  <si>
    <t xml:space="preserve">Машина шол без остоновок особых причин небыло, поменяли шлангу от чистового рекупиратора, и часто меняли мяхкое соединение от № 4 насоса. </t>
  </si>
  <si>
    <t>0059</t>
  </si>
  <si>
    <t>Запустилй.</t>
  </si>
  <si>
    <t>менялй салникй на гидро пушителе.№-3. №-4.</t>
  </si>
  <si>
    <t>менялй ремен на дозаторе цемента. №-4 на ходу.</t>
  </si>
  <si>
    <t>0060</t>
  </si>
  <si>
    <t>Для инфармации:На пересменке поменяли 5-ом редуктор  мешалке заменили шпонку</t>
  </si>
  <si>
    <t xml:space="preserve"> Смен принял машина стояла санитарный день</t>
  </si>
  <si>
    <t>чистка ванны № 1,2,3и4, нижный и верхный вакуум коробка</t>
  </si>
  <si>
    <t>чистка бракомешалка,приемный коробка,жолоба.</t>
  </si>
  <si>
    <t>замена т/сукно,чистка вокрук машина,чистка приямок</t>
  </si>
  <si>
    <t>3амена с/ц № 1,2,3и 4 новый</t>
  </si>
  <si>
    <t>3амена ножей № 1,2,3,4и5</t>
  </si>
  <si>
    <t xml:space="preserve">запуск </t>
  </si>
  <si>
    <t>0061</t>
  </si>
  <si>
    <t>0062</t>
  </si>
  <si>
    <t xml:space="preserve">Запуск </t>
  </si>
  <si>
    <t xml:space="preserve">Останавилй прокладка небыло на переборке рукамй собралй одну телегу не брало укладчик на волнировке </t>
  </si>
  <si>
    <t>некоторых прокладок криво ложит фиксатор надо зделать</t>
  </si>
  <si>
    <t>по краям тележок</t>
  </si>
  <si>
    <t>Асбезурить не добовлялй двиготель не включалость</t>
  </si>
  <si>
    <t>электрик не смог устронить</t>
  </si>
  <si>
    <t>1-сорт</t>
  </si>
  <si>
    <t>0063</t>
  </si>
  <si>
    <t>На склад</t>
  </si>
  <si>
    <t>0064</t>
  </si>
  <si>
    <t>Наладка машина чистка прием коробка</t>
  </si>
  <si>
    <t xml:space="preserve"> </t>
  </si>
  <si>
    <t>0065</t>
  </si>
  <si>
    <t>0066</t>
  </si>
  <si>
    <t>поменяли № 5 редуктор от мешалкий находу</t>
  </si>
  <si>
    <t>Был перелив азбозурита на 3-ю линию. Электронные весы показывают некорректный (завышенный) вес. В настоящее время работа ведётся на 4-й линии.</t>
  </si>
  <si>
    <t xml:space="preserve">Закончился азбозурит, но машина работает </t>
  </si>
  <si>
    <t>8;50</t>
  </si>
  <si>
    <t>Массый не было пока приговилй миассу ушло время</t>
  </si>
  <si>
    <t>11;05</t>
  </si>
  <si>
    <t>11;20</t>
  </si>
  <si>
    <t>Останавилй забилость разжиженя труба почистилй</t>
  </si>
  <si>
    <t xml:space="preserve">Выроботалй массу останавилй машину.Вне плановые </t>
  </si>
  <si>
    <t>олстановка сливалй рекупиратор</t>
  </si>
  <si>
    <t>0067</t>
  </si>
  <si>
    <t>0068</t>
  </si>
  <si>
    <t>для ифармаци поменяли 2-редуктор мешалки на ходу</t>
  </si>
  <si>
    <t>Сукно направляющи подушка сломалась заваривали</t>
  </si>
  <si>
    <t>0069</t>
  </si>
  <si>
    <t>Наладка чистка приемный коробка</t>
  </si>
  <si>
    <t>0070</t>
  </si>
  <si>
    <t>На одной линий работалй дачик от весый цемента</t>
  </si>
  <si>
    <t>сгорел перелилось асбозурит.</t>
  </si>
  <si>
    <t>Азбузирит не работаеть</t>
  </si>
  <si>
    <t>0071</t>
  </si>
  <si>
    <t>остановили машину сломался угольник натежителя, включили машину убралий уголник от натежителья и от регулировали сукно</t>
  </si>
  <si>
    <t>0072</t>
  </si>
  <si>
    <t>наладка машина чистка приемный коробка.</t>
  </si>
  <si>
    <t>замена эл/двигатель №3 лопаст мешалка на ходу</t>
  </si>
  <si>
    <t>0073</t>
  </si>
  <si>
    <t>Цемент</t>
  </si>
  <si>
    <t>Приход</t>
  </si>
  <si>
    <t>Расход</t>
  </si>
  <si>
    <t>На пересменке вырабатовали массу и останавили машину запас тележка не было.Для инфармаций:Меняли насос 3-линии подшипник рассыпался,работали 4-линии.Трубу асбесзурита почистили и залили 2-ковша,На переборке датчик отключился по механически и электрически часть исправили</t>
  </si>
  <si>
    <t>0074</t>
  </si>
  <si>
    <t>Остановили машину, так как вышел из строя разгонный вал. Проводится проверка и устранение неисправности. Неисправность разгонного вала устранена, машину включили в работу.</t>
  </si>
  <si>
    <t>0075</t>
  </si>
  <si>
    <t>Выроботалй массу останавилй машину.Менялй формовачный барабан на глаткую. Замена разгоный трубовалик.Замена все ножей продольный и поперечный.Чистилй верхний вакум каробак. Запустилй</t>
  </si>
  <si>
    <t>Лапрорл</t>
  </si>
  <si>
    <t>Целлюлоза</t>
  </si>
  <si>
    <t>Стекловолокно</t>
  </si>
  <si>
    <t>Выроботалй массу остановилй на регулировку ВСА каробку.Запустилй</t>
  </si>
  <si>
    <t>0076</t>
  </si>
  <si>
    <t>Останавили машину датчик отсекателя влажным стал и перестал работать.Электрик просушил и восстанавил</t>
  </si>
  <si>
    <t>Для инфармации:Поменяли ремень дозатора асбеста.На</t>
  </si>
  <si>
    <t>переборке два кручок сломались заварили и востанавили</t>
  </si>
  <si>
    <t>0077</t>
  </si>
  <si>
    <t>Замена подшибник т/валике премный тр-р лента.</t>
  </si>
  <si>
    <t>заварили трешина трубе,регулировка нож № 1,2</t>
  </si>
  <si>
    <t>чистка приемный коробка</t>
  </si>
  <si>
    <t>№2 нож,2 тр-р лента невключался</t>
  </si>
  <si>
    <t>Замена №3 насосе мягкий соединение откачка масса</t>
  </si>
  <si>
    <t>Замена №4 насосе мягкий соединение перекачка масса</t>
  </si>
  <si>
    <t>без остановка машина заменили</t>
  </si>
  <si>
    <t>0078</t>
  </si>
  <si>
    <t>Наладка пуск</t>
  </si>
  <si>
    <t>Менялй трос от срещика</t>
  </si>
  <si>
    <t>Мяхкое соедения рвёт на асбезурит насос трижды менял</t>
  </si>
  <si>
    <t>0079</t>
  </si>
  <si>
    <t>Остановили машину для замены 4-го цилиндра. Выполняется замена продольных ножей, поперечные ножи протачиваются. Дополнительно выполняется замена частотного преобразователя, произведена смазка разгонного вала. Машина запущена в работу. Все ремонтные работы выполнены в полном объёме:</t>
  </si>
  <si>
    <t>0080</t>
  </si>
  <si>
    <t>Наладка,чистка приемная коробка</t>
  </si>
  <si>
    <t>переборка заварили крепления датчика не стояли</t>
  </si>
  <si>
    <t>перед конвейре раздачный телешке цепь порвался</t>
  </si>
  <si>
    <t>соединили,асбозурит насосе порвался миякки соединени</t>
  </si>
  <si>
    <t>е паставили не стояли</t>
  </si>
  <si>
    <t>0081</t>
  </si>
  <si>
    <t>На пересменке вырабатовали массу и останавили машину.Рекепуратор забился во время пересменки.Кательную отключили,слили воду из рекепуратора и очистили внутри.В 4-й ванне заменили подшипник,на катором держится вал редуктора мешалки.Сняли 3-й с/цилиндр промыли их и очистили 3- ванну.Чистили шплинкерную трубу заменили ножи вместе со вставками,чистили желоб,чистили разжирени трубу,очистили нижнюю и верхнюю вакуумный каробку и гаомагинизатор,чистили брака мешалку,чистили возле машины.Залили 2 ковша асбестзурит,включили вертикальный насос и слеваем на улицу.Заменили насос на 4-линии</t>
  </si>
  <si>
    <t>При приёме смены машина не работала. Продолжили выполнение ППР и провели очистку оборудования. Были выполнены следующие работы: очищен гармонизатор, произведена уборка вокруг машины и под машиной. Также очищена вакуумная коробка, сплинкерные трубы промыты кислотой, проведена очистка 4-й ванны. Дополнительно выполнена очистка чистого рекуператора.</t>
  </si>
  <si>
    <t>Чистилй роекупирато чистилй яму заготовителный</t>
  </si>
  <si>
    <t>Чистилй яму №3:№4 насос</t>
  </si>
  <si>
    <t>0082</t>
  </si>
  <si>
    <t>после простой запуска 11:50.</t>
  </si>
  <si>
    <t>пушитель вода нешла,читили колена,</t>
  </si>
  <si>
    <t>волнировка неработал наладка</t>
  </si>
  <si>
    <t>0083</t>
  </si>
  <si>
    <t>волнировка по электро части встало каробка не раскреваеться.Запустилй</t>
  </si>
  <si>
    <t>Опять по электро части останавилй волнировка не идёт</t>
  </si>
  <si>
    <t xml:space="preserve">Менялй подщипник от подерживающем трубо валике </t>
  </si>
  <si>
    <t>под формовачный барабана</t>
  </si>
  <si>
    <t>Менялй пневмо целиндор на валнируешем каробке</t>
  </si>
  <si>
    <t>0084</t>
  </si>
  <si>
    <t>Остановили машину для замены для замены подшипника натяжного вала. Машину включили, подшипник натяжного вала заменили</t>
  </si>
  <si>
    <t>0085</t>
  </si>
  <si>
    <t xml:space="preserve"> Ф/барабан меняли трос,раздаточный тележке цепь порвался сделали.</t>
  </si>
  <si>
    <t>Останавили машину:Меняли двигатель ножа</t>
  </si>
  <si>
    <t xml:space="preserve">Для инфармаций:Залили 2ковша асбестзурита,на переборке </t>
  </si>
  <si>
    <t>датчик не работает по элнктрически час</t>
  </si>
  <si>
    <t>0086</t>
  </si>
  <si>
    <t>Останавили машину:На переборке датчик поменяли</t>
  </si>
  <si>
    <t>0087</t>
  </si>
  <si>
    <t>Остановили машину на 10 минут для очистки сплинтерной трубы и обработки кислотой. После выполнения работ машина была запущена.</t>
  </si>
  <si>
    <t>0088</t>
  </si>
  <si>
    <t>Запустилй пересменке запасных прокладок не было.</t>
  </si>
  <si>
    <t>Машину останавилй из за подёмника прокладок не</t>
  </si>
  <si>
    <t>поднималось менялй катушку и реле</t>
  </si>
  <si>
    <t>Менялй ножей продольный. №1. №2.</t>
  </si>
  <si>
    <t>Останавили машину брака мешалка забилась,чистили</t>
  </si>
  <si>
    <t>Для инфармаций:В третьей ванне сгорел пятой двигател мешалка поменяли,на трубасмесителье третьей линии не отключается уровень исправили,на азбестзурите заменили мягкое соединение,в 7-утро подали последнюю массу</t>
  </si>
  <si>
    <t>0089</t>
  </si>
  <si>
    <t>0090</t>
  </si>
  <si>
    <t>машина стояла из-за замена т/сукно,чистка приемная короб</t>
  </si>
  <si>
    <t>ка,чистка нижный вакуум коробка,под машина,всас,ванны</t>
  </si>
  <si>
    <t>№1.2.3и4.замена с/цилиндр №1.2.3и 4. чистка вокруг маши</t>
  </si>
  <si>
    <t>на одевали т/сукно чистка приямок под рекуператором.</t>
  </si>
  <si>
    <t>Запустилй и останавилй на замену валнирующй капробку</t>
  </si>
  <si>
    <t>Гофра шланг на №3 ванне несколко раз выскочил общая</t>
  </si>
  <si>
    <t>время ушло на усронения сорак минут</t>
  </si>
  <si>
    <t>заменили 1 нож выполнена на ходу, без остоновки машин</t>
  </si>
  <si>
    <t>Останавили машину сломался толшинамер, устранили проблему и включили машину</t>
  </si>
  <si>
    <t>0091</t>
  </si>
  <si>
    <t>0092</t>
  </si>
  <si>
    <t>Ф/барабан заменили трос</t>
  </si>
  <si>
    <t>3 линия перекачка насоса набили сальник 4 линия г/пушитель насос три раза набили сальник недержит</t>
  </si>
  <si>
    <t>без остановка машина</t>
  </si>
  <si>
    <t>№ 3 транспортерный лента неостановливал по электро</t>
  </si>
  <si>
    <t>часть</t>
  </si>
  <si>
    <t>0093</t>
  </si>
  <si>
    <t>Останавили машину на валнировке укладка коробка не работает,заменили двигатель</t>
  </si>
  <si>
    <t>Останавили машину на 1-2мин слетел шланг барабанного цилиндра,исправили</t>
  </si>
  <si>
    <t>Для инфармаций:У асбестзурита порвалось мягкое соед-ие</t>
  </si>
  <si>
    <t>исправили,загружили асбестзурит в КамАЗ,залили 2-ковша</t>
  </si>
  <si>
    <t>асбестзурит,</t>
  </si>
  <si>
    <t xml:space="preserve">Работали с третьей линией на четвертой линии мягкое </t>
  </si>
  <si>
    <t>соединение разлетелась,исправили</t>
  </si>
  <si>
    <t>0094</t>
  </si>
  <si>
    <t>Машина работает медленно. Производство ведётся на одной 4-й линии. На 3-й линии не работает клапан, отсутствует подача воды на гидропушитель, в результате чего материал не распушивается. Ведутся работы по выявлению и устранению неисправности</t>
  </si>
  <si>
    <t>на 3 и 4 гидропушителью не идёт вода. по электрической части датчикий плоха работают.</t>
  </si>
  <si>
    <t>на бракомешалке вода плоха идет проверили, нашли причину клапан плоха работает заклинивает клапан</t>
  </si>
  <si>
    <t>останавили машину на 2 ванну масса не идёт, Очистили вторую ванну. Машину включили, работает в штатном режиме.</t>
  </si>
  <si>
    <t>0095</t>
  </si>
  <si>
    <t>Пересменке машина стояло.На бракомешалке менялй</t>
  </si>
  <si>
    <t>пневмо затвор от водый. Запустилй</t>
  </si>
  <si>
    <t xml:space="preserve">На одной линий работалй на №4 линий центровалй </t>
  </si>
  <si>
    <t>двиготель поставилй мяхкое соеденения турбосмесителе</t>
  </si>
  <si>
    <t>0096</t>
  </si>
  <si>
    <t xml:space="preserve">Для инфармаций:На пересменке на азбестзурита порвался ремень,с начала смены работали на 4-й линии, </t>
  </si>
  <si>
    <t>Останавили машину:Трос ф/барабана порвался</t>
  </si>
  <si>
    <t xml:space="preserve">Останавили машину :Брака мешалка насос не тянет </t>
  </si>
  <si>
    <t xml:space="preserve">чистили,в это время ремантировали 4-3 линии и </t>
  </si>
  <si>
    <t>устраняли</t>
  </si>
  <si>
    <t xml:space="preserve">на 3-й линии снята крышка когда включаешь идет сильная вибрация и появляются непонятные шумы </t>
  </si>
  <si>
    <t>На 3-й линии насос подшипник рассыпался поменяем</t>
  </si>
  <si>
    <t xml:space="preserve">Останавили машину масса не хватает заменяем миягкое </t>
  </si>
  <si>
    <t xml:space="preserve">соединение,в капшавой сразу сделаем два замеса </t>
  </si>
  <si>
    <t>потом запустили</t>
  </si>
  <si>
    <t>Останавили машину загрузили два замеса в капшавой</t>
  </si>
  <si>
    <t xml:space="preserve">Останавили машину с 4-й линией не смогли работать из-за </t>
  </si>
  <si>
    <t>валнировки шифер кривой и тонкий</t>
  </si>
  <si>
    <t>Запустилй и Останавилй из за ковшевую мешалку по электро</t>
  </si>
  <si>
    <t>частй остановилось менялй тепло обменик</t>
  </si>
  <si>
    <t>0097</t>
  </si>
  <si>
    <t>Устронилй не поладку, Запуск</t>
  </si>
  <si>
    <t>0098</t>
  </si>
  <si>
    <t>Останавили машину поперечный нож режет плохо</t>
  </si>
  <si>
    <t>Для инфармций:Пружину ф/барабана заменили два раза</t>
  </si>
  <si>
    <t>и батарейка пульта перестала работать,заменили</t>
  </si>
  <si>
    <t>батарейку со второго крана</t>
  </si>
  <si>
    <t>Во время пересменки 2- лента перестала работать,брака мешалка насос перестала качать,укладчик каропка перестала работать.Запуск 20:50</t>
  </si>
  <si>
    <t>0099</t>
  </si>
  <si>
    <t>Останавили меняет ремен на волнировка, гомогенизатор</t>
  </si>
  <si>
    <t>сняли вал ревизия сделали поставили,№ 3 гауч -вал сняли</t>
  </si>
  <si>
    <t>заварили щейку,поставили. Запустили</t>
  </si>
  <si>
    <t>№3 гауч-вал сломался заменили масса сливаем</t>
  </si>
  <si>
    <t>На пересменке машина стояло сливалй старую массу</t>
  </si>
  <si>
    <t xml:space="preserve">Останавилй из за волнировкй по электро части </t>
  </si>
  <si>
    <t>остановилос волнировкам аварино слив один замес</t>
  </si>
  <si>
    <t xml:space="preserve"> Устронилй Арман приехал. Запуск</t>
  </si>
  <si>
    <t>Шлангу менялй на №3- сплинкерном трубе</t>
  </si>
  <si>
    <t>0100</t>
  </si>
  <si>
    <t>0101</t>
  </si>
  <si>
    <t>Остановили машину для полной проверки. Дополнительную информацию сообщу позже.                                             Запустили машину и заменили подшипник натяжного вала, поменяли все 4 ножа, почистили все 3 ванны и промыли цилиндры. Также заменили 3-й гаушвал, переделали натяжной ремень от валнировки и перепрограммировали программу. Установили двигатель раздаточной тележки.</t>
  </si>
  <si>
    <t>0102</t>
  </si>
  <si>
    <t>смен принял машина стояла запустили</t>
  </si>
  <si>
    <t>Останавили из-за №3 гауч-вал подшипник рассыпался</t>
  </si>
  <si>
    <t>заменили запустили</t>
  </si>
  <si>
    <t>0103</t>
  </si>
  <si>
    <t>Для инфармаций:Во время пересменки вал насос сломался токорь и слесари сделали сваю работу</t>
  </si>
  <si>
    <t>Останавили машину на валнировке укладка коробка не работал по электрически части</t>
  </si>
  <si>
    <t>Останавили машину 3-гауш валл выскочил из подшипника</t>
  </si>
  <si>
    <t>Останавили машину натяжной болт выскочил</t>
  </si>
  <si>
    <t>0104</t>
  </si>
  <si>
    <t>поменяли двигатель вертикального</t>
  </si>
  <si>
    <t>0105</t>
  </si>
  <si>
    <t>Остановилй менялй пружину от срещика</t>
  </si>
  <si>
    <t>Волнировка стало ощибка вышло по электронике устронилй</t>
  </si>
  <si>
    <t>0106</t>
  </si>
  <si>
    <t>Останавили машину на валнировке укладка каробка не</t>
  </si>
  <si>
    <t>работал по электрически части</t>
  </si>
  <si>
    <t xml:space="preserve">Для инфармций:Нижний крайник спринклер трубы не </t>
  </si>
  <si>
    <t>работает, нужно заменит.На 3-ем вакуумном насосе два</t>
  </si>
  <si>
    <t>раза меняли миягкое соединение</t>
  </si>
  <si>
    <t>0107</t>
  </si>
  <si>
    <t>0108</t>
  </si>
  <si>
    <t>0109</t>
  </si>
  <si>
    <t>Остановилй машину чистилй окошки между ваннамй</t>
  </si>
  <si>
    <t>и жолуб</t>
  </si>
  <si>
    <t xml:space="preserve">Остановили машину для полной проверки и на санитарный день.        В санитарный день выполнили следующие работы: заменили все 3 цилиндра, очистили все ванны, поменяли 4 ножа. Также смазали подшипники натяжного вала, отремонтировали моторчик разгонного вала, гаушеч-вала и подшипник сукнобойки. Заменили сукно. После завершения работ включили машину на прогрев сукна.      Начили выробатовать массу    </t>
  </si>
  <si>
    <t>Вакуум славый начало смена работали 15-16 обороте</t>
  </si>
  <si>
    <t>ершение было еше оборот увабили 17-18 паставили</t>
  </si>
  <si>
    <t>занималис вакуум искали подсос небыло щас 12 обороте</t>
  </si>
  <si>
    <t>работаем</t>
  </si>
  <si>
    <t>Коретка встал,приемный транспортер лента невключался</t>
  </si>
  <si>
    <t>вакуум насос отключился по электро часть</t>
  </si>
  <si>
    <t>Останавили машину на пересменке:Два насоса перестали работать,и вода перелилась</t>
  </si>
  <si>
    <t xml:space="preserve">Для инфармаций:Заменили  редуктор первого насоса,заменили второй насос.Азбезурит  внутри насоса </t>
  </si>
  <si>
    <t xml:space="preserve">открутилась и вышла.Насос разабрали  и устанавили гайку </t>
  </si>
  <si>
    <t>на место.</t>
  </si>
  <si>
    <t>Останавили машину: Меняли 3-с/цилиндр и все ножи вместе</t>
  </si>
  <si>
    <t>со вставками</t>
  </si>
  <si>
    <t>0111</t>
  </si>
  <si>
    <t>0110</t>
  </si>
  <si>
    <t>0112</t>
  </si>
  <si>
    <t>от распушки трубы засорилась работали на одном линии работали 35-40 минут</t>
  </si>
  <si>
    <t>0113</t>
  </si>
  <si>
    <t>0114</t>
  </si>
  <si>
    <t>Останавили машину; У третьего гауш-вал подшипник</t>
  </si>
  <si>
    <t>расыпался</t>
  </si>
  <si>
    <t>0115</t>
  </si>
  <si>
    <t>0116</t>
  </si>
  <si>
    <t xml:space="preserve">Для инфармций:Поменяли 1-насос </t>
  </si>
  <si>
    <t>Останавили машину:Поменяли 3-с/цилиндр</t>
  </si>
  <si>
    <t>Для инфармаций:Третий вакуумный насос не качает</t>
  </si>
  <si>
    <t xml:space="preserve">воздух,внутри либо шпонка сломалась, либо вал </t>
  </si>
  <si>
    <t>рассыполась.Когда включаешь насос,появляется не</t>
  </si>
  <si>
    <t>понятный звук</t>
  </si>
  <si>
    <t>Останавили машину на ф/барабан трос обарвалось</t>
  </si>
  <si>
    <t>0117</t>
  </si>
  <si>
    <t>0118</t>
  </si>
  <si>
    <t>Останавили порвался трос срезчик наката заменили</t>
  </si>
  <si>
    <t>Меняли подшибник№2 гауч-вал</t>
  </si>
  <si>
    <t>№ 2вакуум насос не работает накат влажно залипа ф/ба</t>
  </si>
  <si>
    <t>рабан работали 16-17 обороте заменили №2 вакуум нас</t>
  </si>
  <si>
    <t>трос порвался срезчик наката меняли и болт меняли</t>
  </si>
  <si>
    <t>ос 22:15 включили машина на 10 обороте работаем</t>
  </si>
  <si>
    <t>0119</t>
  </si>
  <si>
    <t>Останавили машину меняли 3-с-цилиндр</t>
  </si>
  <si>
    <t>0120</t>
  </si>
  <si>
    <t>Будем останавливать машину. На бракомешалке не останавливается вода ни в автоматическом, ни в ручном режиме.  Останавили машину на 10 минут поменяли автоматическую клапан.</t>
  </si>
  <si>
    <t>Выроботалй массу останавилй на санитарный день.</t>
  </si>
  <si>
    <t>Чистька ванны,жолуб, нижний и верхний вакум каробапк.</t>
  </si>
  <si>
    <t>Замена С/Ц-№2: №3. Чистка сплинкерных труб кислотой.</t>
  </si>
  <si>
    <t>Замена все ножей.№1: №2: №3: №4:</t>
  </si>
  <si>
    <t>Чистка всас перед насосам грязный водый.</t>
  </si>
  <si>
    <t>Замена оцекатель</t>
  </si>
  <si>
    <t>0121</t>
  </si>
  <si>
    <t>Пневматический клапан не сработал, из-за этого произошёл перелив из трубасместителья.</t>
  </si>
  <si>
    <t>0122</t>
  </si>
  <si>
    <t>Поменяли мягкое соединение 4 раза на насосе откачки воды</t>
  </si>
  <si>
    <t>Остановим машину из-за отсутствия запаса тележек. Также в пропарочной камере плоский шифер долго сохнет</t>
  </si>
  <si>
    <t>поменяли 3 цклиндр</t>
  </si>
  <si>
    <t xml:space="preserve">на 2 насос от гидро пушитель поменяли мияхкое соединение </t>
  </si>
  <si>
    <t>На насосе откачки воды изношена резьба полумуфты.</t>
  </si>
  <si>
    <t>нету запас резиный на ставок</t>
  </si>
  <si>
    <t>0123</t>
  </si>
  <si>
    <t>Тр-р лента заклейли вкорентке ножи не опускался</t>
  </si>
  <si>
    <t>Останавили замена№1 насос грязный воды,чистили колена</t>
  </si>
  <si>
    <t>всас,поставили затвор</t>
  </si>
  <si>
    <t>Останавили замена№ 3 с/цилиндр порвался середина сетка</t>
  </si>
  <si>
    <t>0124</t>
  </si>
  <si>
    <t>На пересменке машина стояло.Запуск.</t>
  </si>
  <si>
    <t>Затянулй трос от срешика</t>
  </si>
  <si>
    <t>0125</t>
  </si>
  <si>
    <t>Заменили реле от сброс наката</t>
  </si>
  <si>
    <t>Остановили машину. Будем чистить все 3 ванны и при необходимости заменим цилиндр. Также будем настраивать 4 ножа.  Почистили и промыли все 3 ванны, заменили 3-й цилиндр, настроили 4 ножа. Также промыли сплинтерные трубы.</t>
  </si>
  <si>
    <t>Волнировка коретка  встал по электро часть</t>
  </si>
  <si>
    <t>Коретка меняли подшипник,ковшевая мешалка полу муфты отошло паставили изапустили, сливали 1,5 замес.</t>
  </si>
  <si>
    <t>0126</t>
  </si>
  <si>
    <t>0127</t>
  </si>
  <si>
    <t>Для инфармаций:С 12 часов работали на одной линией,заменили насос.Вертикальный насос заклинил вал.</t>
  </si>
  <si>
    <t xml:space="preserve">Два ковша асбозурита добавляли и пригатовили для начной </t>
  </si>
  <si>
    <t>смены.Меняли миягкое соединение</t>
  </si>
  <si>
    <t>0128</t>
  </si>
  <si>
    <t>0129</t>
  </si>
  <si>
    <t>0130</t>
  </si>
  <si>
    <t>Остановили машину на 14 минут для замены вставки на 4-м ноже.</t>
  </si>
  <si>
    <t>0131</t>
  </si>
  <si>
    <t>Останавилй на замену ножей и вставок.</t>
  </si>
  <si>
    <t>Занималис профилактической работый чистка голмогонизатор вокруг машину уборка поднялй раму от №3 ванны чистилй.</t>
  </si>
  <si>
    <t>запуск</t>
  </si>
  <si>
    <t>На асбозурите  по двигателем открутились болты и</t>
  </si>
  <si>
    <t>обарвало мягкое соединение</t>
  </si>
  <si>
    <t>Останавили № 3 гауч-вал рассыпался подшипннник,меняли</t>
  </si>
  <si>
    <t>подшипник</t>
  </si>
  <si>
    <t>0132</t>
  </si>
  <si>
    <t>На пенресменке менялй мяхкое соеденения насосе осбозурита</t>
  </si>
  <si>
    <t>0133</t>
  </si>
  <si>
    <t>остоновили на 6 минут настройли 3 нож и поменяли пружину</t>
  </si>
  <si>
    <t>работали на 2 й лини, поменяли проклаткий на 1 й лини насос от гидропушитель</t>
  </si>
  <si>
    <t>Остановили машину для замены вставки на 3-м ноже.</t>
  </si>
  <si>
    <t>Работаем на 1-й линии. На 2-м насосе слабая подача. Попробуем открыть трёхходовой клапан.</t>
  </si>
  <si>
    <t>0134</t>
  </si>
  <si>
    <t>Останавили меняли ф/барабан, заменили № 3 с/цилиндр</t>
  </si>
  <si>
    <t>Натяжной т/валик т/сукне болт срезло,половина внутри остался, вытищили паставили другой болт</t>
  </si>
  <si>
    <t>т/сукно перекос стоял, вровно паставил</t>
  </si>
  <si>
    <t>№3 лопастной мешалка кардан вал сломался,заменили</t>
  </si>
  <si>
    <t>на ходу машина не стояла</t>
  </si>
  <si>
    <t>0135</t>
  </si>
  <si>
    <t xml:space="preserve">Во времи пересменки выроботали массу  и останавили машину.Заменили пресс вал,заменили 1-c/цилиндр,заменили пневмоцилиндр, проклеили сукно,заменили все ножи,прочистили сплинкерную трубу и желоб.Убрали территорию вокруг машины очистили участок азбесзурита </t>
  </si>
  <si>
    <t>0136</t>
  </si>
  <si>
    <t>0137</t>
  </si>
  <si>
    <t>Подготолвка машину полставилй.С/Ц №1:№2: №3: №4. Начилй промывать тех-сукно . Запуск машины на холостом ходу</t>
  </si>
  <si>
    <t>Не работали мешалочки ванн. Не включались по эл части</t>
  </si>
  <si>
    <t>ВСА. Не поднимался подъемник</t>
  </si>
  <si>
    <t>Регулировка ножей во время настройки ВСА</t>
  </si>
  <si>
    <t>ВСА. Отсутствует вакуум, бросает накат. Вырабатываем старую массу</t>
  </si>
  <si>
    <t>День</t>
  </si>
  <si>
    <t>01.76.2026</t>
  </si>
  <si>
    <t>Останавилй открылй трубу питание массу на №4 ванну. Запустилй.</t>
  </si>
  <si>
    <t>Для инфармций: На 4-й линии насос пропускает через салник.После 5-6 накатов перестает брать накат и сразу сбрасывает.Но когда он подходит к прокладке,сверху укладывается прокладка,и ломается посередине,Из ванны выходит древесина и комок,не можем понят,откуда она поевлятся</t>
  </si>
  <si>
    <t>0138</t>
  </si>
  <si>
    <t>7 волн 3500*980</t>
  </si>
  <si>
    <t>0139</t>
  </si>
  <si>
    <t xml:space="preserve"> Останавили 4ванна питание трубы открыли ичистили</t>
  </si>
  <si>
    <t>4 линия меняет насос перекачке</t>
  </si>
  <si>
    <t>Останавили вакуум пропал устранили</t>
  </si>
  <si>
    <t>Отключился компресс два раза</t>
  </si>
  <si>
    <t>Сплинкерный трубе заменили винтель два штук</t>
  </si>
  <si>
    <t>4ванна заменили пневмоцилиндр на питания</t>
  </si>
  <si>
    <t>0140</t>
  </si>
  <si>
    <t>На пересменке сукно  начел убегать сукно правка по электро частй не работал устронилй реле плохо контакту довал</t>
  </si>
  <si>
    <t>Менялй толщиномер  был кривой толщина накато разный было устронилй.</t>
  </si>
  <si>
    <t>Целлюлозу не добовлялй овтомат сгорел от насоса поменялй.</t>
  </si>
  <si>
    <t>Прокладка не было не успевалй</t>
  </si>
  <si>
    <t>Замена троса от срещика</t>
  </si>
  <si>
    <t>0141</t>
  </si>
  <si>
    <t>остонавливаем машину переходим на 7 волновый стандарт</t>
  </si>
  <si>
    <t>остоновили машину настраеваем дачик</t>
  </si>
  <si>
    <t>остановили машину меняем втулку от борабана</t>
  </si>
  <si>
    <t>остановили машину.меняем барабан и сукно</t>
  </si>
  <si>
    <t>0142</t>
  </si>
  <si>
    <t>Запуск после замена т/сукно</t>
  </si>
  <si>
    <t>Ф/барабан цилиндр не работал правый сторона заменили шланг порванный был заменили</t>
  </si>
  <si>
    <t>Для инфармаций:С начало смены асбесзурит не работал,в астоящее время асбесзурит запустили</t>
  </si>
  <si>
    <t>Мягкое соединение насос трубасмесителя постоянно рвется, из-за этого сбилась центровка.Центровку выставили болты под двигателем затянули</t>
  </si>
  <si>
    <t>Мягкое соединение насос трубасмесителя снова порвалось, снимали двигатель и занова выставили</t>
  </si>
  <si>
    <t>Вертикальный насос сломался посередине,поменяли насос</t>
  </si>
  <si>
    <t>Раздаточная тележка со стороны валнировки не двигается</t>
  </si>
  <si>
    <t>0143</t>
  </si>
  <si>
    <t>В 4-й ванне заменили шпонку 7 - мешалка</t>
  </si>
  <si>
    <t>работаем на одном линий на 4 - включили 3 линию почистили 3 ходовуб и прогнали воздух от насоса</t>
  </si>
  <si>
    <t>0144</t>
  </si>
  <si>
    <t xml:space="preserve">На пересменке асбозурита небыло на ковшевом. Вертикалный насос не работал двиготель был сгоревшй поменялй двиготель оно поламал вес корпус вертикалного насоса. Пришлос на гноме работать набралй воду с босейна положилй трй ковуш асбозурита.Левая сторона сукно порвалось </t>
  </si>
  <si>
    <t>Останавили машину на пересменке на насосе трубасместителя порвалось мягкое соединение,не успевали подавать массу.</t>
  </si>
  <si>
    <t xml:space="preserve">На переборке раздаточная тележка не работал </t>
  </si>
  <si>
    <t xml:space="preserve">Пиятая мешалка не работал </t>
  </si>
  <si>
    <t>Останавили т/сукно край порванный был зашили</t>
  </si>
  <si>
    <t>0147</t>
  </si>
  <si>
    <t>0145</t>
  </si>
  <si>
    <t>0146</t>
  </si>
  <si>
    <t>Ч</t>
  </si>
  <si>
    <t xml:space="preserve">№2,4 ванна по два раза открыли пневмоцилиндр на питание  почистили стояли по дватцать минут,№1  ванна тоже чистили пневмоцилиндр стекловолокно завивается </t>
  </si>
  <si>
    <t>№7 лопастной мешалке меняли редуктор</t>
  </si>
  <si>
    <t>№3,4 заготов отделение откачка насосе меняли мягкие соединение по 15 минут</t>
  </si>
  <si>
    <t>раздаточный тележке рамо редуктора оторвался варили 30 минут</t>
  </si>
  <si>
    <t>0148</t>
  </si>
  <si>
    <t>остоновили машину и почистили гомонизатор забился 2 клапон и поменяли шлангу</t>
  </si>
  <si>
    <t>0149</t>
  </si>
  <si>
    <t>варилй крепления на сплинкерной трубке №4 ванне</t>
  </si>
  <si>
    <t>На ходу забилй шпоку на № 7 лопосной мешалке</t>
  </si>
  <si>
    <t>0150</t>
  </si>
  <si>
    <t>Останавили т/сукне обрезли кромка</t>
  </si>
  <si>
    <t>Д/ШИФЕР</t>
  </si>
  <si>
    <t>0151</t>
  </si>
  <si>
    <t>Останавили машину на пересменке:Меняли #-4с/цилиндр и чистили ванну,меняли оба продольный ножи,чистили под ванной и возле машины,чистили корман возле рекепуратора,в кавшавой залили два ковша асбесзурита</t>
  </si>
  <si>
    <t>0152</t>
  </si>
  <si>
    <t>поменяли 6 раз мяхкого соединитель от 3 насоса</t>
  </si>
  <si>
    <t>поменяли первый нож сломался, балты были ослабленный</t>
  </si>
  <si>
    <t>0153</t>
  </si>
  <si>
    <t>0154</t>
  </si>
  <si>
    <t>Ночь</t>
  </si>
  <si>
    <t>Останавилй на санитарный день чистка ванный. Замена С/Ц №2. №3. чистка верхний и нижний вакум каробак. Чистилй сплинкерных труб. Замена  све ножый. Запуск</t>
  </si>
  <si>
    <t>волнировка по электро части стало.</t>
  </si>
  <si>
    <t>Бракомешалку вода не поступало открылй трасу  было забито на половина</t>
  </si>
  <si>
    <t>Во время пересменки очистили трубу бракомешалки,затянули болты и устанавили на место.Очистили внутурнюю часть бракомешалки ,убрали территорию возле машины и прочистили сплинкерную трубу</t>
  </si>
  <si>
    <t>На четвертой линии у откачивающего насоса порвалось миягкое соединение,ходили на одном линии</t>
  </si>
  <si>
    <t>На переборке перестала работать цепь внутри туннеля</t>
  </si>
  <si>
    <t>Насос асбезурито перестал работать</t>
  </si>
  <si>
    <t>На переборке пневмоклапон постлоянно клинит,из за этого</t>
  </si>
  <si>
    <t>не успели вытащить запасную тележку из тунеля</t>
  </si>
  <si>
    <t>0155</t>
  </si>
  <si>
    <t>Останавили из-за переборка коробка не брал прокладка,слесария меняли шланг, замок ремонтировали</t>
  </si>
  <si>
    <t>№1,2и3 нож отрегулировали машина не стояли</t>
  </si>
  <si>
    <t>Останавили меняли №3 нож</t>
  </si>
  <si>
    <t>№2 транспортерный лента невключался по электро часть</t>
  </si>
  <si>
    <t>0156</t>
  </si>
  <si>
    <t>Насос от №4 турбо смеситель менялй мяхкое соеденения запасных соеденения нет в канце заварилй болтый место соеденгение</t>
  </si>
  <si>
    <t xml:space="preserve">Мяхкое соеденения менялй на обе откачке турбо смесителе раму от №3 турбо варилй </t>
  </si>
  <si>
    <t xml:space="preserve">Центровалй насос турбосмесителе №4 линий менялй соеденение </t>
  </si>
  <si>
    <t>0157</t>
  </si>
  <si>
    <t>Формовка, тонна</t>
  </si>
  <si>
    <t>Формовка, лист</t>
  </si>
  <si>
    <t>остоновили машину на полны осмотро и в том числе ножи, меняем задвишки и шлангу, потчибник от натяжителя  поменяли, поменяли 4 насос, выдвенули рельс на 13 мм</t>
  </si>
  <si>
    <t>работаем на обном 4 - й лини, на 3 - и меняем швейлера на маторе</t>
  </si>
  <si>
    <t>0158</t>
  </si>
  <si>
    <t>Волнировка тележка с рельса подает</t>
  </si>
  <si>
    <t>Останавили т/сукно заклейли</t>
  </si>
  <si>
    <t>волнировка тележка с рельса подает</t>
  </si>
  <si>
    <t>0159</t>
  </si>
  <si>
    <t>Останавили машину:Сукно поменяли</t>
  </si>
  <si>
    <t>Кран не работает по механический части</t>
  </si>
  <si>
    <t>У капшавой мешалке вал не вращается, по электрический части</t>
  </si>
  <si>
    <t>0160</t>
  </si>
  <si>
    <t>0161</t>
  </si>
  <si>
    <t>Остангавилй чистилй нож срещик. Менялй трос от срещика. Менялй толщиномер иполщипник на толщиномере нож на место не село.</t>
  </si>
  <si>
    <t>Сукно правка не работал менялй реле устронилй.</t>
  </si>
  <si>
    <t>Камок застрял на пневмо затвор питание ванны. №2: №3. почистилй</t>
  </si>
  <si>
    <t>0162</t>
  </si>
  <si>
    <t>Останавили машину:на ф/барабан выходит из посадочного места.Сломали толшинамер</t>
  </si>
  <si>
    <t>0163</t>
  </si>
  <si>
    <t>Останавили для замена ф/барабан,меняли ф/барабан рифленный поставили 8в</t>
  </si>
  <si>
    <t xml:space="preserve">№3 транспортерный лента не останавливался </t>
  </si>
  <si>
    <t xml:space="preserve">ф/барабан отключился не включался </t>
  </si>
  <si>
    <t>Останавили из-за волнировка сняли коробка слесаря ревизия делает</t>
  </si>
  <si>
    <t>Пересменке машина стояло из за волнировкй слесарй занималйсь ремонтам волнировка каробкай. Запуск.</t>
  </si>
  <si>
    <t>Часто левая сторона барабана цепляет накат затянулй трос</t>
  </si>
  <si>
    <t>0164</t>
  </si>
  <si>
    <t xml:space="preserve">На осбозурите прихватилй полумуфту сваркой </t>
  </si>
  <si>
    <t>0165</t>
  </si>
  <si>
    <t>останавили машину полный осмотр машиный,  трос срески наката и нажи все проверить. 4 насос гидропушителья, волнировка каробка, гоыра шланг 2.</t>
  </si>
  <si>
    <t>0166</t>
  </si>
  <si>
    <t>Волнировка тележка с рельса упала</t>
  </si>
  <si>
    <t>Коретка не включался по электро часть</t>
  </si>
  <si>
    <t>0167</t>
  </si>
  <si>
    <t>Останавили машину по электрической части: Выполняется чистка контактов толщиномера</t>
  </si>
  <si>
    <t>На целлюлозной откачке порвалось миягкое соединение насоса</t>
  </si>
  <si>
    <t>0168</t>
  </si>
  <si>
    <t>1 двигатель ножа згарел обрезки накат запесовался, поменяли</t>
  </si>
  <si>
    <t>Замена гаучвала №3, регулировка по осям всех гауч валов. Установка дополнительного трубовалика, очистка вокруг машины, между ваннами,нижней очищающейц вакуум коробки, спринклерные трубки кислотой. Замена 1,2 ножи.</t>
  </si>
  <si>
    <t>0169</t>
  </si>
  <si>
    <t>кол-во листов с замеса</t>
  </si>
  <si>
    <t>Выроботалй массу менялй насос от верхний каробак снялй все коленый проверялй и колектор от подерживающих каробак</t>
  </si>
  <si>
    <t>0170</t>
  </si>
  <si>
    <t>Останавили машину причина: Вода из переливо не переставала течь, из-за этого что не добавили пену, насос не работал некоректно и не смог откачать воду</t>
  </si>
  <si>
    <t>Останавили машину:на ф/барабан нож выходит из посадочного места.Сломали толшинамер вместо с подшипником</t>
  </si>
  <si>
    <t>Нв валнировки у раздаточной тележки порвалось цепь</t>
  </si>
  <si>
    <t>Третий гидропушителе насос постоянно протекает,сальник меняли два раза но не устранилось</t>
  </si>
  <si>
    <t>0171</t>
  </si>
  <si>
    <t>Останавили 3-линия замена перекачка насоса заменили</t>
  </si>
  <si>
    <t xml:space="preserve">замена релье срезчик наката на ходу </t>
  </si>
  <si>
    <t>0172</t>
  </si>
  <si>
    <t>При замене три четыре накат уходит на бракомешалку.</t>
  </si>
  <si>
    <t>0173</t>
  </si>
  <si>
    <t>0174</t>
  </si>
  <si>
    <t>№4 турбосмеситель нижный уровень меняли силиконовый прокладка</t>
  </si>
  <si>
    <t>№3 линия откачка насос набили сальник</t>
  </si>
  <si>
    <t>останавили из-за бракомешалка некачал затвор кусок накат попал,почистили</t>
  </si>
  <si>
    <t>№4 ванна уровень не работал шланг вылетел поставили</t>
  </si>
  <si>
    <t>0175</t>
  </si>
  <si>
    <t>Машину останавили: Компрессор перегрелся и перестал подавать воздух</t>
  </si>
  <si>
    <t>На пересменке было забита труба со стороны пневмаклапана подача асбесзурита</t>
  </si>
  <si>
    <t>На брака мешалке не перекрывалась,заменили пневмаклапан</t>
  </si>
  <si>
    <t>Останавливаем машину из-за недостаточного запаса</t>
  </si>
  <si>
    <t>0176</t>
  </si>
  <si>
    <t>0177</t>
  </si>
  <si>
    <t>Останавилй на санитарный день.Чистка все ванный.Замена С/Ц №2:№3:№4: Уборка вокруг машиный. Ремнот стола подёмника волнировкен.Варилй мостик под первай тентой.Чистка нижний и верхний вакум каробак. Замена все ножый продолный и поперечные.Заменилй все пояса на с/ц.Заменга насос на бракомешалке.</t>
  </si>
  <si>
    <t>Останавилй на замену тех-сукно.Чистилй трубо валикй. Проверялй вакумных каробак.Срещик не  село на место зацепил толщиномер поломал.</t>
  </si>
  <si>
    <t>Замена №2 гоучвал</t>
  </si>
  <si>
    <t>0178</t>
  </si>
  <si>
    <t>Запуск!Для инвармаций:2-й замес массы вырабатываем и остановим машину,очистка 2-3 ванны</t>
  </si>
  <si>
    <t>Останавили машину причина: Во второй и третьей ванне было сильное накопление массы,двигатель мешалки заклинило из-за затвердевшей массы</t>
  </si>
  <si>
    <t>линия 2</t>
  </si>
  <si>
    <t>Линия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</si>
</sst>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 #,##0.00_-;_-* &quot;-&quot;??_-;_-@_-"/>
    <numFmt numFmtId="164" formatCode="_-* #,##0.00_р_._-;\-* #,##0.00_р_._-;_-* &quot;-&quot;??_р_._-;_-@_-"/>
    <numFmt numFmtId="165" formatCode="_-* #,##0.0_р_._-;\-* #,##0.0_р_._-;_-* &quot;-&quot;??_р_._-;_-@_-"/>
    <numFmt numFmtId="166" formatCode="_-* #,##0.0_-;\-* #,##0.0_-;_-* &quot;-&quot;??_-;_-@_-"/>
    <numFmt numFmtId="167" formatCode="_-* #,##0_-;\-* #,##0_-;_-* &quot;-&quot;??_-;_-@_-"/>
    <numFmt numFmtId="168" formatCode="0.00000"/>
    <numFmt numFmtId="169" formatCode="h:mm;@"/>
    <numFmt numFmtId="170" formatCode="dd/mm/yy;@"/>
    <numFmt numFmtId="171" formatCode="0.000"/>
    <numFmt numFmtId="172" formatCode="_-* #,##0.000_-;\-* #,##0.000_-;_-* &quot;-&quot;??_-;_-@_-"/>
  </numFmts>
  <fonts count="11" x14ac:knownFonts="1">
    <font>
      <sz val="11"/>
      <color theme="1"/>
      <name val="Calibri"/>
      <family val="2"/>
      <scheme val="minor"/>
    </font>
    <font>
      <sz val="11"/>
      <color theme="1"/>
      <name val="Calibri"/>
      <family val="2"/>
      <scheme val="minor"/>
    </font>
    <font>
      <sz val="11"/>
      <color theme="0"/>
      <name val="Calibri"/>
      <family val="2"/>
      <charset val="204"/>
      <scheme val="minor"/>
    </font>
    <font>
      <sz val="8"/>
      <color theme="1"/>
      <name val="Calibri"/>
      <family val="2"/>
      <charset val="204"/>
      <scheme val="minor"/>
    </font>
    <font>
      <sz val="11"/>
      <color indexed="8"/>
      <name val="Calibri"/>
      <family val="2"/>
      <charset val="204"/>
    </font>
    <font>
      <sz val="8"/>
      <name val="Calibri"/>
      <family val="2"/>
      <charset val="204"/>
      <scheme val="minor"/>
    </font>
    <font>
      <sz val="11"/>
      <color indexed="8"/>
      <name val="Calibri"/>
      <family val="2"/>
    </font>
    <font>
      <sz val="8"/>
      <name val="Calibri"/>
      <family val="2"/>
      <scheme val="minor"/>
    </font>
    <font>
      <sz val="10"/>
      <color theme="0"/>
      <name val="Calibri"/>
      <family val="2"/>
      <scheme val="minor"/>
    </font>
    <font>
      <sz val="10"/>
      <color theme="1"/>
      <name val="Calibri"/>
      <family val="2"/>
      <scheme val="minor"/>
    </font>
    <font>
      <b/>
      <sz val="11"/>
      <color theme="1"/>
      <name val="Calibri"/>
      <family val="2"/>
      <charset val="204"/>
      <scheme val="minor"/>
    </font>
  </fonts>
  <fills count="10">
    <fill>
      <patternFill patternType="none"/>
    </fill>
    <fill>
      <patternFill patternType="gray125"/>
    </fill>
    <fill>
      <patternFill patternType="solid">
        <fgColor theme="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6"/>
      </patternFill>
    </fill>
    <fill>
      <patternFill patternType="solid">
        <fgColor theme="0"/>
        <bgColor indexed="64"/>
      </patternFill>
    </fill>
    <fill>
      <patternFill patternType="solid">
        <fgColor theme="9" tint="0.59999389629810485"/>
        <bgColor indexed="64"/>
      </patternFill>
    </fill>
    <fill>
      <patternFill patternType="solid">
        <fgColor rgb="FF00B0F0"/>
        <bgColor indexed="64"/>
      </patternFill>
    </fill>
    <fill>
      <patternFill patternType="solid">
        <fgColor rgb="FFFFFF00"/>
        <bgColor indexed="64"/>
      </patternFill>
    </fill>
  </fills>
  <borders count="2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style="thin">
        <color indexed="64"/>
      </left>
      <right style="thin">
        <color indexed="64"/>
      </right>
      <top style="medium">
        <color auto="1"/>
      </top>
      <bottom/>
      <diagonal/>
    </border>
  </borders>
  <cellStyleXfs count="7">
    <xf numFmtId="0" fontId="0" fillId="0" borderId="0"/>
    <xf numFmtId="0" fontId="2" fillId="2" borderId="0" applyNumberFormat="0" applyBorder="0" applyAlignment="0" applyProtection="0"/>
    <xf numFmtId="0" fontId="4" fillId="0" borderId="0"/>
    <xf numFmtId="0" fontId="1" fillId="0" borderId="0"/>
    <xf numFmtId="164" fontId="6" fillId="0" borderId="0" applyFont="0" applyFill="0" applyBorder="0" applyAlignment="0" applyProtection="0"/>
    <xf numFmtId="43" fontId="1" fillId="0" borderId="0" applyFont="0" applyFill="0" applyBorder="0" applyAlignment="0" applyProtection="0"/>
    <xf numFmtId="0" fontId="2" fillId="5" borderId="0" applyNumberFormat="0" applyBorder="0" applyAlignment="0" applyProtection="0"/>
  </cellStyleXfs>
  <cellXfs count="152">
    <xf numFmtId="0" fontId="0" fillId="0" borderId="0" xfId="0"/>
    <xf numFmtId="0" fontId="3" fillId="3" borderId="1" xfId="0" applyFont="1" applyFill="1" applyBorder="1" applyAlignment="1">
      <alignment horizontal="center" vertical="center" wrapText="1"/>
    </xf>
    <xf numFmtId="0" fontId="5" fillId="0" borderId="0" xfId="2" applyFont="1"/>
    <xf numFmtId="0" fontId="5" fillId="0" borderId="1" xfId="3" applyFont="1" applyBorder="1" applyAlignment="1">
      <alignment horizontal="left" vertical="center"/>
    </xf>
    <xf numFmtId="0" fontId="5" fillId="0" borderId="1" xfId="3" applyFont="1" applyBorder="1" applyAlignment="1">
      <alignment horizontal="center" vertical="center"/>
    </xf>
    <xf numFmtId="165" fontId="5" fillId="0" borderId="1" xfId="4" applyNumberFormat="1" applyFont="1" applyFill="1" applyBorder="1" applyAlignment="1">
      <alignment vertical="center"/>
    </xf>
    <xf numFmtId="164" fontId="5" fillId="0" borderId="1" xfId="4" applyFont="1" applyFill="1" applyBorder="1" applyAlignment="1">
      <alignment vertical="center"/>
    </xf>
    <xf numFmtId="0" fontId="5" fillId="3" borderId="1" xfId="3" applyFont="1" applyFill="1" applyBorder="1" applyAlignment="1">
      <alignment horizontal="left" vertical="center"/>
    </xf>
    <xf numFmtId="0" fontId="5" fillId="3" borderId="1" xfId="3" applyFont="1" applyFill="1" applyBorder="1" applyAlignment="1">
      <alignment horizontal="center" vertical="center"/>
    </xf>
    <xf numFmtId="165" fontId="5" fillId="3" borderId="1" xfId="4" applyNumberFormat="1" applyFont="1" applyFill="1" applyBorder="1" applyAlignment="1">
      <alignment vertical="center"/>
    </xf>
    <xf numFmtId="0" fontId="3" fillId="0" borderId="0" xfId="0" applyFont="1"/>
    <xf numFmtId="0" fontId="9" fillId="0" borderId="0" xfId="0" applyFont="1" applyAlignment="1">
      <alignment horizontal="center" vertical="center"/>
    </xf>
    <xf numFmtId="166" fontId="9" fillId="0" borderId="7" xfId="0" applyNumberFormat="1" applyFont="1" applyBorder="1" applyAlignment="1">
      <alignment vertical="center"/>
    </xf>
    <xf numFmtId="0" fontId="9" fillId="0" borderId="0" xfId="0" applyFont="1" applyAlignment="1">
      <alignment vertical="center"/>
    </xf>
    <xf numFmtId="166" fontId="9" fillId="0" borderId="10" xfId="0" applyNumberFormat="1" applyFont="1" applyBorder="1" applyAlignment="1">
      <alignment vertical="center"/>
    </xf>
    <xf numFmtId="167" fontId="9" fillId="0" borderId="6" xfId="0" applyNumberFormat="1" applyFont="1" applyBorder="1" applyAlignment="1">
      <alignment vertical="center"/>
    </xf>
    <xf numFmtId="167" fontId="9" fillId="0" borderId="7" xfId="0" applyNumberFormat="1" applyFont="1" applyBorder="1" applyAlignment="1">
      <alignment vertical="center"/>
    </xf>
    <xf numFmtId="167" fontId="9" fillId="0" borderId="8" xfId="0" applyNumberFormat="1" applyFont="1" applyBorder="1" applyAlignment="1">
      <alignment vertical="center"/>
    </xf>
    <xf numFmtId="167" fontId="9" fillId="0" borderId="10" xfId="0" applyNumberFormat="1" applyFont="1" applyBorder="1" applyAlignment="1">
      <alignment vertical="center"/>
    </xf>
    <xf numFmtId="167" fontId="9" fillId="0" borderId="9" xfId="0" applyNumberFormat="1" applyFont="1" applyBorder="1" applyAlignment="1">
      <alignment vertical="center"/>
    </xf>
    <xf numFmtId="167" fontId="9" fillId="0" borderId="12" xfId="0" applyNumberFormat="1" applyFont="1" applyBorder="1" applyAlignment="1">
      <alignment vertical="center"/>
    </xf>
    <xf numFmtId="14" fontId="9" fillId="0" borderId="9" xfId="0" applyNumberFormat="1" applyFont="1" applyBorder="1" applyAlignment="1">
      <alignment vertical="center"/>
    </xf>
    <xf numFmtId="0" fontId="9" fillId="0" borderId="9" xfId="0" applyFont="1" applyBorder="1" applyAlignment="1">
      <alignment horizontal="center" vertical="center"/>
    </xf>
    <xf numFmtId="167" fontId="9" fillId="0" borderId="13" xfId="0" applyNumberFormat="1" applyFont="1" applyBorder="1" applyAlignment="1">
      <alignment vertical="center"/>
    </xf>
    <xf numFmtId="166" fontId="9" fillId="4" borderId="6" xfId="0" applyNumberFormat="1" applyFont="1" applyFill="1" applyBorder="1" applyAlignment="1">
      <alignment vertical="center"/>
    </xf>
    <xf numFmtId="166" fontId="9" fillId="4" borderId="8" xfId="0" applyNumberFormat="1" applyFont="1" applyFill="1" applyBorder="1" applyAlignment="1">
      <alignment vertical="center"/>
    </xf>
    <xf numFmtId="166" fontId="9" fillId="4" borderId="9" xfId="0" applyNumberFormat="1" applyFont="1" applyFill="1" applyBorder="1" applyAlignment="1">
      <alignment vertical="center"/>
    </xf>
    <xf numFmtId="167" fontId="9" fillId="0" borderId="15" xfId="0" applyNumberFormat="1" applyFont="1" applyBorder="1" applyAlignment="1">
      <alignment vertical="center"/>
    </xf>
    <xf numFmtId="167" fontId="9" fillId="0" borderId="11" xfId="0" applyNumberFormat="1" applyFont="1" applyBorder="1" applyAlignment="1">
      <alignment vertical="center"/>
    </xf>
    <xf numFmtId="167" fontId="9" fillId="0" borderId="4" xfId="0" applyNumberFormat="1" applyFont="1" applyBorder="1" applyAlignment="1">
      <alignment vertical="center"/>
    </xf>
    <xf numFmtId="167" fontId="9" fillId="0" borderId="5" xfId="0" applyNumberFormat="1" applyFont="1" applyBorder="1" applyAlignment="1">
      <alignment vertical="center"/>
    </xf>
    <xf numFmtId="166" fontId="9" fillId="4" borderId="4" xfId="0" applyNumberFormat="1" applyFont="1" applyFill="1" applyBorder="1" applyAlignment="1">
      <alignment vertical="center"/>
    </xf>
    <xf numFmtId="166" fontId="9" fillId="4" borderId="15" xfId="0" applyNumberFormat="1" applyFont="1" applyFill="1" applyBorder="1" applyAlignment="1">
      <alignment vertical="center"/>
    </xf>
    <xf numFmtId="166" fontId="9" fillId="0" borderId="5" xfId="0" applyNumberFormat="1" applyFont="1" applyBorder="1" applyAlignment="1">
      <alignment vertical="center"/>
    </xf>
    <xf numFmtId="167" fontId="9" fillId="0" borderId="0" xfId="0" applyNumberFormat="1" applyFont="1" applyAlignment="1">
      <alignment vertical="center"/>
    </xf>
    <xf numFmtId="166" fontId="9" fillId="4" borderId="0" xfId="0" applyNumberFormat="1" applyFont="1" applyFill="1" applyAlignment="1">
      <alignment vertical="center"/>
    </xf>
    <xf numFmtId="0" fontId="8" fillId="2" borderId="2" xfId="1" applyFont="1" applyBorder="1" applyAlignment="1">
      <alignment horizontal="left" vertical="center"/>
    </xf>
    <xf numFmtId="0" fontId="9" fillId="0" borderId="0" xfId="0" applyFont="1" applyAlignment="1">
      <alignment horizontal="left" vertical="center"/>
    </xf>
    <xf numFmtId="169" fontId="9" fillId="0" borderId="0" xfId="0" applyNumberFormat="1" applyFont="1" applyAlignment="1">
      <alignment horizontal="center" vertical="center"/>
    </xf>
    <xf numFmtId="0" fontId="9" fillId="0" borderId="0" xfId="0" applyFont="1" applyAlignment="1">
      <alignment vertical="center" wrapText="1"/>
    </xf>
    <xf numFmtId="16" fontId="9" fillId="0" borderId="0" xfId="0" applyNumberFormat="1" applyFont="1" applyAlignment="1">
      <alignment horizontal="center"/>
    </xf>
    <xf numFmtId="167" fontId="8" fillId="2" borderId="4" xfId="1" applyNumberFormat="1" applyFont="1" applyBorder="1" applyAlignment="1">
      <alignment horizontal="centerContinuous" vertical="center"/>
    </xf>
    <xf numFmtId="167" fontId="8" fillId="2" borderId="15" xfId="1" applyNumberFormat="1" applyFont="1" applyBorder="1" applyAlignment="1">
      <alignment horizontal="centerContinuous" vertical="center"/>
    </xf>
    <xf numFmtId="167" fontId="8" fillId="2" borderId="5" xfId="1" applyNumberFormat="1" applyFont="1" applyBorder="1" applyAlignment="1">
      <alignment horizontal="centerContinuous" vertical="center"/>
    </xf>
    <xf numFmtId="0" fontId="9" fillId="0" borderId="0" xfId="0" applyFont="1"/>
    <xf numFmtId="167" fontId="9" fillId="3" borderId="8" xfId="5" applyNumberFormat="1" applyFont="1" applyFill="1" applyBorder="1" applyAlignment="1">
      <alignment vertical="center"/>
    </xf>
    <xf numFmtId="167" fontId="9" fillId="3" borderId="9" xfId="5" applyNumberFormat="1" applyFont="1" applyFill="1" applyBorder="1" applyAlignment="1">
      <alignment vertical="center"/>
    </xf>
    <xf numFmtId="167" fontId="9" fillId="3" borderId="10" xfId="5" applyNumberFormat="1" applyFont="1" applyFill="1" applyBorder="1" applyAlignment="1">
      <alignment vertical="center"/>
    </xf>
    <xf numFmtId="167" fontId="9" fillId="0" borderId="6" xfId="5" applyNumberFormat="1" applyFont="1" applyBorder="1" applyAlignment="1">
      <alignment horizontal="center" vertical="center"/>
    </xf>
    <xf numFmtId="167" fontId="9" fillId="0" borderId="0" xfId="5" applyNumberFormat="1" applyFont="1" applyBorder="1" applyAlignment="1">
      <alignment horizontal="center" vertical="center"/>
    </xf>
    <xf numFmtId="167" fontId="9" fillId="0" borderId="7" xfId="5" applyNumberFormat="1" applyFont="1" applyBorder="1" applyAlignment="1">
      <alignment horizontal="center" vertical="center"/>
    </xf>
    <xf numFmtId="167" fontId="9" fillId="0" borderId="8" xfId="5" applyNumberFormat="1" applyFont="1" applyBorder="1" applyAlignment="1">
      <alignment horizontal="center" vertical="center"/>
    </xf>
    <xf numFmtId="167" fontId="9" fillId="0" borderId="9" xfId="5" applyNumberFormat="1" applyFont="1" applyBorder="1" applyAlignment="1">
      <alignment horizontal="center" vertical="center"/>
    </xf>
    <xf numFmtId="167" fontId="9" fillId="0" borderId="10" xfId="5" applyNumberFormat="1" applyFont="1" applyBorder="1" applyAlignment="1">
      <alignment horizontal="center" vertical="center"/>
    </xf>
    <xf numFmtId="167" fontId="9" fillId="0" borderId="0" xfId="5" applyNumberFormat="1" applyFont="1" applyAlignment="1">
      <alignment horizontal="center" vertical="center"/>
    </xf>
    <xf numFmtId="16" fontId="9" fillId="4" borderId="7" xfId="0" applyNumberFormat="1" applyFont="1" applyFill="1" applyBorder="1" applyAlignment="1">
      <alignment horizontal="center"/>
    </xf>
    <xf numFmtId="16" fontId="9" fillId="4" borderId="10" xfId="0" applyNumberFormat="1" applyFont="1" applyFill="1" applyBorder="1" applyAlignment="1">
      <alignment horizontal="center"/>
    </xf>
    <xf numFmtId="167" fontId="8" fillId="5" borderId="6" xfId="6" applyNumberFormat="1" applyFont="1" applyBorder="1" applyAlignment="1">
      <alignment horizontal="center" vertical="center"/>
    </xf>
    <xf numFmtId="167" fontId="8" fillId="5" borderId="0" xfId="6" applyNumberFormat="1" applyFont="1" applyBorder="1" applyAlignment="1">
      <alignment horizontal="center" vertical="center"/>
    </xf>
    <xf numFmtId="167" fontId="8" fillId="5" borderId="7" xfId="6" applyNumberFormat="1" applyFont="1" applyBorder="1" applyAlignment="1">
      <alignment horizontal="center" vertical="center"/>
    </xf>
    <xf numFmtId="167" fontId="9" fillId="4" borderId="0" xfId="5" applyNumberFormat="1" applyFont="1" applyFill="1" applyBorder="1" applyAlignment="1">
      <alignment horizontal="center" vertical="center"/>
    </xf>
    <xf numFmtId="167" fontId="9" fillId="4" borderId="9" xfId="5" applyNumberFormat="1" applyFont="1" applyFill="1" applyBorder="1" applyAlignment="1">
      <alignment horizontal="center" vertical="center"/>
    </xf>
    <xf numFmtId="0" fontId="3" fillId="3" borderId="2" xfId="0" applyFont="1" applyFill="1" applyBorder="1" applyAlignment="1">
      <alignment horizontal="center" vertical="center" wrapText="1"/>
    </xf>
    <xf numFmtId="0" fontId="3" fillId="0" borderId="2" xfId="0" applyFont="1" applyBorder="1"/>
    <xf numFmtId="0" fontId="3" fillId="0" borderId="2" xfId="0" applyFont="1" applyBorder="1" applyAlignment="1">
      <alignment horizontal="center"/>
    </xf>
    <xf numFmtId="168" fontId="3" fillId="0" borderId="2" xfId="0" applyNumberFormat="1" applyFont="1" applyBorder="1"/>
    <xf numFmtId="2" fontId="3" fillId="0" borderId="2" xfId="0" applyNumberFormat="1" applyFont="1" applyBorder="1"/>
    <xf numFmtId="167" fontId="9" fillId="4" borderId="11" xfId="0" applyNumberFormat="1" applyFont="1" applyFill="1" applyBorder="1" applyAlignment="1">
      <alignment vertical="center"/>
    </xf>
    <xf numFmtId="167" fontId="9" fillId="4" borderId="12" xfId="0" applyNumberFormat="1" applyFont="1" applyFill="1" applyBorder="1" applyAlignment="1">
      <alignment vertical="center"/>
    </xf>
    <xf numFmtId="167" fontId="9" fillId="4" borderId="13" xfId="0" applyNumberFormat="1" applyFont="1" applyFill="1" applyBorder="1" applyAlignment="1">
      <alignment vertical="center"/>
    </xf>
    <xf numFmtId="14" fontId="9" fillId="6" borderId="5" xfId="0" applyNumberFormat="1" applyFont="1" applyFill="1" applyBorder="1" applyAlignment="1">
      <alignment vertical="center"/>
    </xf>
    <xf numFmtId="14" fontId="9" fillId="6" borderId="7" xfId="0" applyNumberFormat="1" applyFont="1" applyFill="1" applyBorder="1" applyAlignment="1">
      <alignment vertical="center"/>
    </xf>
    <xf numFmtId="14" fontId="9" fillId="0" borderId="10" xfId="0" applyNumberFormat="1" applyFont="1" applyBorder="1" applyAlignment="1">
      <alignment vertical="center"/>
    </xf>
    <xf numFmtId="167" fontId="9" fillId="4" borderId="7" xfId="5" applyNumberFormat="1" applyFont="1" applyFill="1" applyBorder="1" applyAlignment="1">
      <alignment horizontal="center" vertical="center"/>
    </xf>
    <xf numFmtId="167" fontId="9" fillId="4" borderId="10" xfId="5" applyNumberFormat="1" applyFont="1" applyFill="1" applyBorder="1" applyAlignment="1">
      <alignment horizontal="center" vertical="center"/>
    </xf>
    <xf numFmtId="14" fontId="9" fillId="6" borderId="15" xfId="0" applyNumberFormat="1" applyFont="1" applyFill="1" applyBorder="1" applyAlignment="1">
      <alignment vertical="center"/>
    </xf>
    <xf numFmtId="14" fontId="9" fillId="6" borderId="0" xfId="0" applyNumberFormat="1" applyFont="1" applyFill="1" applyAlignment="1">
      <alignment vertical="center"/>
    </xf>
    <xf numFmtId="14" fontId="9" fillId="6" borderId="9" xfId="0" applyNumberFormat="1" applyFont="1" applyFill="1" applyBorder="1" applyAlignment="1">
      <alignment vertical="center"/>
    </xf>
    <xf numFmtId="49" fontId="9" fillId="6" borderId="0" xfId="0" applyNumberFormat="1" applyFont="1" applyFill="1" applyAlignment="1">
      <alignment horizontal="right" vertical="center"/>
    </xf>
    <xf numFmtId="49" fontId="9" fillId="6" borderId="15" xfId="0" applyNumberFormat="1" applyFont="1" applyFill="1" applyBorder="1" applyAlignment="1">
      <alignment horizontal="right" vertical="center"/>
    </xf>
    <xf numFmtId="2" fontId="9" fillId="0" borderId="8" xfId="0" applyNumberFormat="1" applyFont="1" applyBorder="1" applyAlignment="1">
      <alignment vertical="center"/>
    </xf>
    <xf numFmtId="167" fontId="9" fillId="0" borderId="2" xfId="0" applyNumberFormat="1" applyFont="1" applyBorder="1" applyAlignment="1">
      <alignment vertical="center"/>
    </xf>
    <xf numFmtId="0" fontId="9" fillId="0" borderId="2" xfId="0" applyFont="1" applyBorder="1" applyAlignment="1">
      <alignment vertical="center"/>
    </xf>
    <xf numFmtId="0" fontId="9" fillId="0" borderId="2" xfId="0" applyFont="1" applyBorder="1" applyAlignment="1">
      <alignment horizontal="center" vertical="center"/>
    </xf>
    <xf numFmtId="49" fontId="9" fillId="0" borderId="2" xfId="0" applyNumberFormat="1" applyFont="1" applyBorder="1" applyAlignment="1">
      <alignment horizontal="center" vertical="center"/>
    </xf>
    <xf numFmtId="170" fontId="10" fillId="7" borderId="16" xfId="0" applyNumberFormat="1" applyFont="1" applyFill="1" applyBorder="1" applyAlignment="1">
      <alignment horizontal="center" vertical="center"/>
    </xf>
    <xf numFmtId="169" fontId="10" fillId="7" borderId="17" xfId="0" applyNumberFormat="1" applyFont="1" applyFill="1" applyBorder="1" applyAlignment="1">
      <alignment horizontal="center" vertical="center"/>
    </xf>
    <xf numFmtId="169" fontId="10" fillId="7" borderId="18" xfId="0" applyNumberFormat="1" applyFont="1" applyFill="1" applyBorder="1" applyAlignment="1">
      <alignment horizontal="center" vertical="center"/>
    </xf>
    <xf numFmtId="0" fontId="0" fillId="6" borderId="2" xfId="0" applyFill="1" applyBorder="1" applyAlignment="1">
      <alignment wrapText="1"/>
    </xf>
    <xf numFmtId="169" fontId="0" fillId="6" borderId="2" xfId="0" applyNumberFormat="1" applyFill="1" applyBorder="1" applyAlignment="1">
      <alignment horizontal="center" vertical="center"/>
    </xf>
    <xf numFmtId="0" fontId="0" fillId="0" borderId="2" xfId="0" applyBorder="1"/>
    <xf numFmtId="0" fontId="0" fillId="8" borderId="0" xfId="0" applyFill="1"/>
    <xf numFmtId="169" fontId="0" fillId="8" borderId="2" xfId="0" applyNumberFormat="1" applyFill="1" applyBorder="1"/>
    <xf numFmtId="0" fontId="0" fillId="0" borderId="2" xfId="0" applyBorder="1" applyAlignment="1">
      <alignment horizontal="left" vertical="center" wrapText="1"/>
    </xf>
    <xf numFmtId="0" fontId="10" fillId="7" borderId="17" xfId="0" applyFont="1" applyFill="1" applyBorder="1" applyAlignment="1">
      <alignment horizontal="center" vertical="top" wrapText="1"/>
    </xf>
    <xf numFmtId="0" fontId="0" fillId="6" borderId="2" xfId="0" applyFill="1" applyBorder="1" applyAlignment="1">
      <alignment vertical="top" wrapText="1"/>
    </xf>
    <xf numFmtId="0" fontId="0" fillId="0" borderId="2" xfId="0" applyBorder="1" applyAlignment="1">
      <alignment vertical="top"/>
    </xf>
    <xf numFmtId="0" fontId="0" fillId="8" borderId="0" xfId="0" applyFill="1" applyAlignment="1">
      <alignment vertical="top"/>
    </xf>
    <xf numFmtId="0" fontId="0" fillId="0" borderId="0" xfId="0" applyAlignment="1">
      <alignment vertical="top"/>
    </xf>
    <xf numFmtId="0" fontId="0" fillId="0" borderId="2" xfId="0" applyBorder="1" applyAlignment="1">
      <alignment horizontal="left" vertical="top"/>
    </xf>
    <xf numFmtId="0" fontId="0" fillId="0" borderId="2" xfId="0" applyBorder="1" applyAlignment="1">
      <alignment horizontal="left" vertical="top" wrapText="1"/>
    </xf>
    <xf numFmtId="0" fontId="3" fillId="0" borderId="0" xfId="0" applyFont="1" applyAlignment="1">
      <alignment horizontal="left"/>
    </xf>
    <xf numFmtId="169" fontId="9" fillId="0" borderId="2" xfId="0" applyNumberFormat="1" applyFont="1" applyBorder="1" applyAlignment="1">
      <alignment horizontal="center" vertical="center"/>
    </xf>
    <xf numFmtId="169" fontId="9" fillId="0" borderId="13" xfId="0" applyNumberFormat="1" applyFont="1" applyBorder="1" applyAlignment="1">
      <alignment horizontal="center" vertical="center"/>
    </xf>
    <xf numFmtId="0" fontId="9" fillId="0" borderId="2" xfId="0" applyFont="1" applyBorder="1" applyAlignment="1">
      <alignment vertical="center" wrapText="1"/>
    </xf>
    <xf numFmtId="0" fontId="10" fillId="7" borderId="18" xfId="0" applyFont="1" applyFill="1" applyBorder="1" applyAlignment="1">
      <alignment horizontal="center" vertical="center" wrapText="1"/>
    </xf>
    <xf numFmtId="0" fontId="0" fillId="0" borderId="2" xfId="0" applyBorder="1" applyAlignment="1">
      <alignment vertical="top" wrapText="1"/>
    </xf>
    <xf numFmtId="0" fontId="0" fillId="6" borderId="2" xfId="0" applyFill="1" applyBorder="1" applyAlignment="1">
      <alignment horizontal="left" vertical="center" wrapText="1"/>
    </xf>
    <xf numFmtId="0" fontId="8" fillId="2" borderId="2" xfId="1" applyFont="1" applyBorder="1" applyAlignment="1">
      <alignment horizontal="center" vertical="center"/>
    </xf>
    <xf numFmtId="0" fontId="9" fillId="0" borderId="13" xfId="0" applyFont="1" applyBorder="1" applyAlignment="1">
      <alignment horizontal="center" vertical="center"/>
    </xf>
    <xf numFmtId="0" fontId="9" fillId="0" borderId="2" xfId="0" applyFont="1" applyBorder="1" applyAlignment="1">
      <alignment horizontal="left" vertical="center"/>
    </xf>
    <xf numFmtId="49" fontId="9" fillId="6" borderId="2" xfId="0" applyNumberFormat="1" applyFont="1" applyFill="1" applyBorder="1" applyAlignment="1">
      <alignment horizontal="right" vertical="center"/>
    </xf>
    <xf numFmtId="171" fontId="9" fillId="0" borderId="2" xfId="0" applyNumberFormat="1" applyFont="1" applyBorder="1" applyAlignment="1">
      <alignment vertical="center"/>
    </xf>
    <xf numFmtId="0" fontId="0" fillId="6" borderId="2" xfId="0" applyFill="1" applyBorder="1" applyAlignment="1">
      <alignment horizontal="left" vertical="top" wrapText="1"/>
    </xf>
    <xf numFmtId="0" fontId="0" fillId="0" borderId="2" xfId="0" applyBorder="1" applyAlignment="1">
      <alignment wrapText="1"/>
    </xf>
    <xf numFmtId="20" fontId="0" fillId="0" borderId="0" xfId="0" applyNumberFormat="1"/>
    <xf numFmtId="167" fontId="9" fillId="9" borderId="0" xfId="0" applyNumberFormat="1" applyFont="1" applyFill="1" applyAlignment="1">
      <alignment vertical="center"/>
    </xf>
    <xf numFmtId="167" fontId="9" fillId="9" borderId="2" xfId="0" applyNumberFormat="1" applyFont="1" applyFill="1" applyBorder="1" applyAlignment="1">
      <alignment vertical="center"/>
    </xf>
    <xf numFmtId="172" fontId="9" fillId="0" borderId="13" xfId="0" applyNumberFormat="1" applyFont="1" applyBorder="1" applyAlignment="1">
      <alignment vertical="center"/>
    </xf>
    <xf numFmtId="0" fontId="0" fillId="6" borderId="2" xfId="0" applyFill="1" applyBorder="1" applyAlignment="1">
      <alignment horizontal="center" vertical="center" wrapText="1"/>
    </xf>
    <xf numFmtId="165" fontId="5" fillId="0" borderId="1" xfId="4" applyNumberFormat="1" applyFont="1" applyFill="1" applyBorder="1" applyAlignment="1">
      <alignment horizontal="center" vertical="center"/>
    </xf>
    <xf numFmtId="164" fontId="5" fillId="0" borderId="1" xfId="4" applyFont="1" applyFill="1" applyBorder="1" applyAlignment="1">
      <alignment horizontal="center" vertical="center"/>
    </xf>
    <xf numFmtId="165" fontId="5" fillId="3" borderId="1" xfId="4" applyNumberFormat="1" applyFont="1" applyFill="1" applyBorder="1" applyAlignment="1">
      <alignment horizontal="center" vertical="center"/>
    </xf>
    <xf numFmtId="0" fontId="3" fillId="0" borderId="0" xfId="0" applyFont="1" applyAlignment="1">
      <alignment horizontal="center" vertical="center"/>
    </xf>
    <xf numFmtId="0" fontId="3" fillId="0" borderId="2" xfId="0" applyFont="1" applyBorder="1" applyAlignment="1">
      <alignment horizontal="center" vertical="center"/>
    </xf>
    <xf numFmtId="0" fontId="8" fillId="2" borderId="2" xfId="1" applyFont="1" applyBorder="1" applyAlignment="1">
      <alignment horizontal="center" vertical="center"/>
    </xf>
    <xf numFmtId="0" fontId="8" fillId="2" borderId="2" xfId="1" applyFont="1" applyBorder="1" applyAlignment="1">
      <alignment horizontal="center" vertical="center" wrapText="1"/>
    </xf>
    <xf numFmtId="0" fontId="8" fillId="2" borderId="4" xfId="1" applyFont="1" applyBorder="1" applyAlignment="1">
      <alignment horizontal="center" vertical="center"/>
    </xf>
    <xf numFmtId="0" fontId="8" fillId="2" borderId="5" xfId="1" applyFont="1" applyBorder="1" applyAlignment="1">
      <alignment horizontal="center" vertical="center"/>
    </xf>
    <xf numFmtId="0" fontId="8" fillId="2" borderId="11" xfId="1" applyFont="1" applyBorder="1" applyAlignment="1">
      <alignment horizontal="center" vertical="center"/>
    </xf>
    <xf numFmtId="0" fontId="8" fillId="2" borderId="13" xfId="1" applyFont="1" applyBorder="1" applyAlignment="1">
      <alignment horizontal="center" vertical="center"/>
    </xf>
    <xf numFmtId="0" fontId="8" fillId="2" borderId="11" xfId="1" applyFont="1" applyBorder="1" applyAlignment="1">
      <alignment horizontal="center" vertical="center" wrapText="1"/>
    </xf>
    <xf numFmtId="0" fontId="8" fillId="2" borderId="13" xfId="1" applyFont="1" applyBorder="1" applyAlignment="1">
      <alignment horizontal="center" vertical="center" wrapText="1"/>
    </xf>
    <xf numFmtId="14" fontId="0" fillId="6" borderId="19" xfId="0" applyNumberFormat="1" applyFill="1" applyBorder="1" applyAlignment="1">
      <alignment horizontal="center" vertical="center"/>
    </xf>
    <xf numFmtId="14" fontId="0" fillId="6" borderId="12" xfId="0" applyNumberFormat="1" applyFill="1" applyBorder="1" applyAlignment="1">
      <alignment horizontal="center" vertical="center"/>
    </xf>
    <xf numFmtId="14" fontId="0" fillId="6" borderId="13" xfId="0" applyNumberFormat="1" applyFill="1" applyBorder="1" applyAlignment="1">
      <alignment horizontal="center" vertical="center"/>
    </xf>
    <xf numFmtId="14" fontId="9" fillId="0" borderId="12" xfId="0" applyNumberFormat="1" applyFont="1" applyBorder="1" applyAlignment="1">
      <alignment horizontal="center" vertical="center"/>
    </xf>
    <xf numFmtId="170" fontId="0" fillId="6" borderId="19" xfId="0" applyNumberFormat="1" applyFill="1" applyBorder="1" applyAlignment="1">
      <alignment horizontal="center" vertical="center"/>
    </xf>
    <xf numFmtId="170" fontId="0" fillId="6" borderId="12" xfId="0" applyNumberFormat="1" applyFill="1" applyBorder="1" applyAlignment="1">
      <alignment horizontal="center" vertical="center"/>
    </xf>
    <xf numFmtId="170" fontId="0" fillId="6" borderId="13" xfId="0" applyNumberFormat="1" applyFill="1" applyBorder="1" applyAlignment="1">
      <alignment horizontal="center" vertical="center"/>
    </xf>
    <xf numFmtId="0" fontId="0" fillId="8" borderId="0" xfId="0" applyFill="1" applyAlignment="1">
      <alignment horizontal="center"/>
    </xf>
    <xf numFmtId="0" fontId="0" fillId="8" borderId="7" xfId="0" applyFill="1" applyBorder="1" applyAlignment="1">
      <alignment horizontal="center"/>
    </xf>
    <xf numFmtId="170" fontId="0" fillId="6" borderId="11" xfId="0" applyNumberFormat="1" applyFill="1" applyBorder="1" applyAlignment="1">
      <alignment horizontal="center" vertical="center"/>
    </xf>
    <xf numFmtId="0" fontId="0" fillId="8" borderId="14" xfId="0" applyFill="1" applyBorder="1" applyAlignment="1">
      <alignment horizontal="center" vertical="top"/>
    </xf>
    <xf numFmtId="0" fontId="0" fillId="8" borderId="3" xfId="0" applyFill="1" applyBorder="1" applyAlignment="1">
      <alignment horizontal="center" vertical="top"/>
    </xf>
    <xf numFmtId="14" fontId="9" fillId="0" borderId="2" xfId="0" applyNumberFormat="1" applyFont="1" applyBorder="1" applyAlignment="1">
      <alignment horizontal="center" vertical="center"/>
    </xf>
    <xf numFmtId="16" fontId="8" fillId="2" borderId="5" xfId="1" applyNumberFormat="1" applyFont="1" applyBorder="1" applyAlignment="1">
      <alignment horizontal="center" vertical="center"/>
    </xf>
    <xf numFmtId="16" fontId="8" fillId="2" borderId="7" xfId="1" applyNumberFormat="1" applyFont="1" applyBorder="1" applyAlignment="1">
      <alignment horizontal="center" vertical="center"/>
    </xf>
    <xf numFmtId="16" fontId="8" fillId="2" borderId="10" xfId="1" applyNumberFormat="1" applyFont="1" applyBorder="1" applyAlignment="1">
      <alignment horizontal="center" vertical="center"/>
    </xf>
    <xf numFmtId="167" fontId="8" fillId="2" borderId="4" xfId="1" applyNumberFormat="1" applyFont="1" applyBorder="1" applyAlignment="1">
      <alignment horizontal="center" vertical="center"/>
    </xf>
    <xf numFmtId="167" fontId="8" fillId="2" borderId="15" xfId="1" applyNumberFormat="1" applyFont="1" applyBorder="1" applyAlignment="1">
      <alignment horizontal="center" vertical="center"/>
    </xf>
    <xf numFmtId="167" fontId="8" fillId="2" borderId="5" xfId="1" applyNumberFormat="1" applyFont="1" applyBorder="1" applyAlignment="1">
      <alignment horizontal="center" vertical="center"/>
    </xf>
  </cellXfs>
  <cellStyles count="7">
    <cellStyle name="Акцент1" xfId="1" builtinId="29"/>
    <cellStyle name="Акцент3" xfId="6" builtinId="37"/>
    <cellStyle name="Обычный" xfId="0" builtinId="0"/>
    <cellStyle name="Обычный 11 2" xfId="3" xr:uid="{BC789CDA-06BA-4F99-9FDE-09D7BC376F06}"/>
    <cellStyle name="Обычный 8 2 6" xfId="2" xr:uid="{E87C7CB4-6757-44B0-9F2B-DA800F7804C9}"/>
    <cellStyle name="Финансовый" xfId="5" builtinId="3"/>
    <cellStyle name="Финансовый 3 2 12" xfId="4" xr:uid="{322BEB22-09FB-4B25-8F1E-E3EB8BF6BB77}"/>
  </cellStyles>
  <dxfs count="11">
    <dxf>
      <fill>
        <patternFill>
          <bgColor theme="9" tint="0.79998168889431442"/>
        </patternFill>
      </fill>
    </dxf>
    <dxf>
      <fill>
        <patternFill>
          <bgColor theme="9" tint="0.79998168889431442"/>
        </patternFill>
      </fill>
    </dxf>
    <dxf>
      <fill>
        <patternFill>
          <bgColor theme="9" tint="0.79998168889431442"/>
        </patternFill>
      </fill>
    </dxf>
    <dxf>
      <fill>
        <patternFill>
          <bgColor rgb="FFFF0000"/>
        </patternFill>
      </fill>
    </dxf>
    <dxf>
      <fill>
        <patternFill>
          <bgColor theme="4" tint="0.59996337778862885"/>
        </patternFill>
      </fill>
    </dxf>
    <dxf>
      <fill>
        <patternFill>
          <bgColor rgb="FFFFFF00"/>
        </patternFill>
      </fill>
    </dxf>
    <dxf>
      <fill>
        <patternFill>
          <bgColor theme="9" tint="0.79998168889431442"/>
        </patternFill>
      </fill>
    </dxf>
    <dxf>
      <fill>
        <patternFill>
          <bgColor theme="4" tint="0.59996337778862885"/>
        </patternFill>
      </fill>
    </dxf>
    <dxf>
      <fill>
        <patternFill>
          <bgColor theme="9" tint="0.79998168889431442"/>
        </patternFill>
      </fill>
    </dxf>
    <dxf>
      <fill>
        <patternFill>
          <bgColor rgb="FFFF0000"/>
        </patternFill>
      </fill>
    </dxf>
    <dxf>
      <fill>
        <patternFill>
          <bgColor rgb="FFFFFF00"/>
        </patternFill>
      </fill>
    </dxf>
  </dxfs>
  <tableStyles count="1" defaultTableStyle="TableStyleMedium2" defaultPivotStyle="PivotStyleLight16">
    <tableStyle name="Invisible" pivot="0" table="0" count="0" xr9:uid="{02AD135B-6E17-4BB4-B48F-398FC7A5C41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AX1259"/>
  <sheetViews>
    <sheetView tabSelected="1" zoomScale="71" zoomScaleNormal="71" workbookViewId="0">
      <pane xSplit="4" ySplit="2" topLeftCell="E113" activePane="bottomRight" state="frozen"/>
      <selection activeCell="F8" sqref="F8"/>
      <selection pane="topRight" activeCell="F8" sqref="F8"/>
      <selection pane="bottomLeft" activeCell="F8" sqref="F8"/>
      <selection pane="bottomRight" activeCell="G134" sqref="G134"/>
    </sheetView>
  </sheetViews>
  <sheetFormatPr defaultColWidth="9.140625" defaultRowHeight="12.75" x14ac:dyDescent="0.25"/>
  <cols>
    <col min="1" max="1" width="10.5703125" style="13" customWidth="1"/>
    <col min="2" max="2" width="6.5703125" style="13" customWidth="1"/>
    <col min="3" max="3" width="8.5703125" style="13" customWidth="1"/>
    <col min="4" max="4" width="10.7109375" style="13" customWidth="1"/>
    <col min="5" max="5" width="16.28515625" style="13" customWidth="1"/>
    <col min="6" max="6" width="22.7109375" style="13" customWidth="1"/>
    <col min="7" max="7" width="5.42578125" style="13" customWidth="1"/>
    <col min="8" max="8" width="9.7109375" style="13" customWidth="1"/>
    <col min="9" max="9" width="11.7109375" style="13" customWidth="1"/>
    <col min="10" max="10" width="8.7109375" style="13" customWidth="1"/>
    <col min="11" max="11" width="7.85546875" style="13" customWidth="1"/>
    <col min="12" max="12" width="7" style="13" customWidth="1"/>
    <col min="13" max="13" width="11.28515625" style="13" customWidth="1"/>
    <col min="14" max="16" width="8.28515625" style="13" customWidth="1"/>
    <col min="17" max="17" width="7.5703125" style="13" customWidth="1"/>
    <col min="18" max="18" width="8" style="13" customWidth="1"/>
    <col min="19" max="19" width="7.7109375" style="13" customWidth="1"/>
    <col min="20" max="20" width="7.42578125" style="13" customWidth="1"/>
    <col min="21" max="21" width="7.85546875" style="13" customWidth="1"/>
    <col min="22" max="22" width="12.140625" style="13" customWidth="1"/>
    <col min="23" max="23" width="9.140625" style="13" customWidth="1"/>
    <col min="24" max="24" width="10.28515625" style="13" customWidth="1"/>
    <col min="25" max="25" width="7.5703125" style="13" customWidth="1"/>
    <col min="26" max="26" width="9.7109375" style="13" customWidth="1"/>
    <col min="27" max="28" width="9.85546875" style="13" customWidth="1"/>
    <col min="29" max="29" width="10.5703125" style="13" customWidth="1"/>
    <col min="30" max="30" width="8.28515625" style="13" customWidth="1"/>
    <col min="31" max="31" width="10" style="13" bestFit="1" customWidth="1"/>
    <col min="32" max="32" width="8.5703125" style="13" bestFit="1" customWidth="1"/>
    <col min="33" max="33" width="6.85546875" style="13" bestFit="1" customWidth="1"/>
    <col min="34" max="34" width="10.140625" style="13" bestFit="1" customWidth="1"/>
    <col min="35" max="35" width="8.7109375" style="13" bestFit="1" customWidth="1"/>
    <col min="36" max="36" width="6.85546875" style="13" bestFit="1" customWidth="1"/>
    <col min="37" max="37" width="11.28515625" style="13" bestFit="1" customWidth="1"/>
    <col min="38" max="38" width="9.7109375" style="13" bestFit="1" customWidth="1"/>
    <col min="39" max="39" width="6.85546875" style="13" bestFit="1" customWidth="1"/>
    <col min="40" max="40" width="10.85546875" style="13" bestFit="1" customWidth="1"/>
    <col min="41" max="41" width="9.42578125" style="13" bestFit="1" customWidth="1"/>
    <col min="42" max="42" width="6.85546875" style="13" bestFit="1" customWidth="1"/>
    <col min="43" max="43" width="11.28515625" style="13" bestFit="1" customWidth="1"/>
    <col min="44" max="44" width="9.7109375" style="13" bestFit="1" customWidth="1"/>
    <col min="45" max="45" width="6.85546875" style="13" bestFit="1" customWidth="1"/>
    <col min="46" max="46" width="12" style="13" bestFit="1" customWidth="1"/>
    <col min="47" max="47" width="10.5703125" style="13" bestFit="1" customWidth="1"/>
    <col min="48" max="48" width="6.85546875" style="13" bestFit="1" customWidth="1"/>
    <col min="49" max="16384" width="9.140625" style="13"/>
  </cols>
  <sheetData>
    <row r="1" spans="1:50" ht="23.45" customHeight="1" x14ac:dyDescent="0.25">
      <c r="A1" s="125" t="s">
        <v>0</v>
      </c>
      <c r="B1" s="126" t="s">
        <v>121</v>
      </c>
      <c r="C1" s="125" t="s">
        <v>1</v>
      </c>
      <c r="D1" s="125" t="s">
        <v>2</v>
      </c>
      <c r="E1" s="125" t="s">
        <v>3</v>
      </c>
      <c r="F1" s="125" t="s">
        <v>5</v>
      </c>
      <c r="G1" s="125" t="s">
        <v>4</v>
      </c>
      <c r="H1" s="126" t="s">
        <v>701</v>
      </c>
      <c r="I1" s="131" t="s">
        <v>700</v>
      </c>
      <c r="J1" s="126" t="s">
        <v>308</v>
      </c>
      <c r="K1" s="125" t="s">
        <v>306</v>
      </c>
      <c r="L1" s="125" t="s">
        <v>7</v>
      </c>
      <c r="M1" s="126" t="s">
        <v>122</v>
      </c>
      <c r="N1" s="125" t="s">
        <v>9</v>
      </c>
      <c r="O1" s="125" t="s">
        <v>340</v>
      </c>
      <c r="P1" s="125"/>
      <c r="Q1" s="125"/>
      <c r="R1" s="125"/>
      <c r="S1" s="129" t="s">
        <v>8</v>
      </c>
      <c r="T1" s="129" t="s">
        <v>10</v>
      </c>
      <c r="U1" s="129" t="s">
        <v>11</v>
      </c>
      <c r="V1" s="127" t="s">
        <v>348</v>
      </c>
      <c r="W1" s="128"/>
      <c r="X1" s="127" t="s">
        <v>349</v>
      </c>
      <c r="Y1" s="128"/>
      <c r="Z1" s="127" t="s">
        <v>350</v>
      </c>
      <c r="AA1" s="128"/>
      <c r="AB1" s="127" t="s">
        <v>672</v>
      </c>
      <c r="AC1" s="128"/>
      <c r="AD1" s="129" t="s">
        <v>85</v>
      </c>
      <c r="AE1" s="129" t="s">
        <v>63</v>
      </c>
      <c r="AF1" s="129" t="s">
        <v>64</v>
      </c>
      <c r="AG1" s="129" t="s">
        <v>67</v>
      </c>
      <c r="AH1" s="129" t="s">
        <v>65</v>
      </c>
      <c r="AI1" s="129" t="s">
        <v>66</v>
      </c>
      <c r="AJ1" s="129" t="s">
        <v>67</v>
      </c>
      <c r="AK1" s="129" t="s">
        <v>111</v>
      </c>
      <c r="AL1" s="129" t="s">
        <v>112</v>
      </c>
      <c r="AM1" s="129" t="s">
        <v>67</v>
      </c>
      <c r="AN1" s="129" t="s">
        <v>100</v>
      </c>
      <c r="AO1" s="129" t="s">
        <v>101</v>
      </c>
      <c r="AP1" s="129" t="s">
        <v>67</v>
      </c>
      <c r="AQ1" s="129" t="s">
        <v>102</v>
      </c>
      <c r="AR1" s="129" t="s">
        <v>103</v>
      </c>
      <c r="AS1" s="129" t="s">
        <v>67</v>
      </c>
      <c r="AT1" s="129" t="s">
        <v>104</v>
      </c>
      <c r="AU1" s="129" t="s">
        <v>105</v>
      </c>
      <c r="AV1" s="129" t="s">
        <v>67</v>
      </c>
      <c r="AW1" s="82"/>
      <c r="AX1" s="129" t="s">
        <v>98</v>
      </c>
    </row>
    <row r="2" spans="1:50" s="37" customFormat="1" ht="39" customHeight="1" x14ac:dyDescent="0.25">
      <c r="A2" s="125"/>
      <c r="B2" s="126"/>
      <c r="C2" s="125"/>
      <c r="D2" s="125"/>
      <c r="E2" s="125"/>
      <c r="F2" s="125"/>
      <c r="G2" s="125"/>
      <c r="H2" s="126"/>
      <c r="I2" s="132"/>
      <c r="J2" s="126"/>
      <c r="K2" s="125"/>
      <c r="L2" s="125"/>
      <c r="M2" s="126"/>
      <c r="N2" s="125"/>
      <c r="O2" s="36" t="s">
        <v>78</v>
      </c>
      <c r="P2" s="36" t="s">
        <v>79</v>
      </c>
      <c r="Q2" s="36" t="s">
        <v>80</v>
      </c>
      <c r="R2" s="36" t="s">
        <v>81</v>
      </c>
      <c r="S2" s="130"/>
      <c r="T2" s="130"/>
      <c r="U2" s="130"/>
      <c r="V2" s="108" t="s">
        <v>341</v>
      </c>
      <c r="W2" s="108" t="s">
        <v>342</v>
      </c>
      <c r="X2" s="108" t="s">
        <v>341</v>
      </c>
      <c r="Y2" s="108" t="s">
        <v>342</v>
      </c>
      <c r="Z2" s="36" t="s">
        <v>341</v>
      </c>
      <c r="AA2" s="36" t="s">
        <v>342</v>
      </c>
      <c r="AB2" s="36" t="s">
        <v>341</v>
      </c>
      <c r="AC2" s="36" t="s">
        <v>342</v>
      </c>
      <c r="AD2" s="130"/>
      <c r="AE2" s="130"/>
      <c r="AF2" s="130"/>
      <c r="AG2" s="130"/>
      <c r="AH2" s="130"/>
      <c r="AI2" s="130"/>
      <c r="AJ2" s="130"/>
      <c r="AK2" s="130"/>
      <c r="AL2" s="130"/>
      <c r="AM2" s="130"/>
      <c r="AN2" s="130"/>
      <c r="AO2" s="130"/>
      <c r="AP2" s="130"/>
      <c r="AQ2" s="130"/>
      <c r="AR2" s="130"/>
      <c r="AS2" s="130"/>
      <c r="AT2" s="130"/>
      <c r="AU2" s="130"/>
      <c r="AV2" s="130"/>
      <c r="AW2" s="110"/>
      <c r="AX2" s="130"/>
    </row>
    <row r="3" spans="1:50" x14ac:dyDescent="0.25">
      <c r="A3" s="71">
        <v>46069</v>
      </c>
      <c r="B3" s="78" t="s">
        <v>123</v>
      </c>
      <c r="C3" s="15" t="s">
        <v>772</v>
      </c>
      <c r="D3" s="16" t="s">
        <v>82</v>
      </c>
      <c r="E3" s="109" t="s">
        <v>77</v>
      </c>
      <c r="F3" s="20" t="s">
        <v>16</v>
      </c>
      <c r="G3" s="23">
        <v>9</v>
      </c>
      <c r="H3" s="23">
        <v>268</v>
      </c>
      <c r="I3" s="118">
        <f>IFERROR(H3*VLOOKUP(F3,инфо!$A$15:$C$28,3,FALSE)/1000,0)</f>
        <v>4.6712400000000001</v>
      </c>
      <c r="J3" s="23"/>
      <c r="K3" s="20"/>
      <c r="L3" s="20"/>
      <c r="M3" s="20"/>
      <c r="N3" s="20">
        <v>908</v>
      </c>
      <c r="O3" s="34">
        <v>5400</v>
      </c>
      <c r="P3" s="34">
        <v>0</v>
      </c>
      <c r="Q3" s="34">
        <v>0</v>
      </c>
      <c r="R3" s="34">
        <v>0</v>
      </c>
      <c r="S3" s="68">
        <f>SUM(O3:R3)</f>
        <v>5400</v>
      </c>
      <c r="T3" s="15">
        <v>0</v>
      </c>
      <c r="U3" s="16">
        <v>0</v>
      </c>
      <c r="V3" s="34"/>
      <c r="W3" s="34"/>
      <c r="X3" s="34"/>
      <c r="Y3" s="15">
        <v>90</v>
      </c>
      <c r="Z3" s="34"/>
      <c r="AA3" s="34">
        <v>0</v>
      </c>
      <c r="AB3" s="34"/>
      <c r="AC3" s="116">
        <v>90</v>
      </c>
      <c r="AD3" s="16">
        <v>0</v>
      </c>
      <c r="AE3" s="24">
        <f>SUMIFS(инфо!$D$15:$D$28,инфо!$A$15:$A$28,F3)</f>
        <v>2.06</v>
      </c>
      <c r="AF3" s="35">
        <f t="shared" ref="AF3:AF34" si="0">IF(H3=0,0,N3/H3)</f>
        <v>3.3880597014925371</v>
      </c>
      <c r="AG3" s="12">
        <f>AF3-AE3</f>
        <v>1.328059701492537</v>
      </c>
      <c r="AH3" s="24">
        <f>SUMIFS(инфо!$E$15:$E$28,инфо!$A$15:$A$28,F3)</f>
        <v>13.28</v>
      </c>
      <c r="AI3" s="35">
        <f t="shared" ref="AI3:AI34" si="1">IF(H3=0,0,S3/H3)</f>
        <v>20.149253731343283</v>
      </c>
      <c r="AJ3" s="12">
        <f>AI3-AH3</f>
        <v>6.8692537313432833</v>
      </c>
      <c r="AK3" s="24">
        <f>SUMIFS(инфо!$F$15:$F$28,инфо!$A$15:$A$28,F3)</f>
        <v>0.20499999999999999</v>
      </c>
      <c r="AL3" s="32">
        <f t="shared" ref="AL3:AL34" si="2">IF(H3=0,0,Y3/H3)</f>
        <v>0.33582089552238809</v>
      </c>
      <c r="AM3" s="12">
        <f t="shared" ref="AM3:AM40" si="3">AL3-AK3</f>
        <v>0.1308208955223881</v>
      </c>
      <c r="AN3" s="24">
        <f>SUMIFS(инфо!$G$15:$G$28,инфо!$A$15:$A$28,F3)</f>
        <v>4.1000000000000002E-2</v>
      </c>
      <c r="AO3" s="32">
        <f t="shared" ref="AO3:AO34" si="4">IF(H3=0,0,AA3/H3)</f>
        <v>0</v>
      </c>
      <c r="AP3" s="12">
        <f t="shared" ref="AP3:AP40" si="5">AO3-AN3</f>
        <v>-4.1000000000000002E-2</v>
      </c>
      <c r="AQ3" s="24">
        <f>SUMIFS(инфо!$H$15:$H$28,инфо!$A$15:$A$28,F3)</f>
        <v>0</v>
      </c>
      <c r="AR3" s="35">
        <f t="shared" ref="AR3:AR36" si="6">IF(H3=0,0,AC3/H3)</f>
        <v>0.33582089552238809</v>
      </c>
      <c r="AS3" s="12">
        <f t="shared" ref="AS3:AS40" si="7">AR3-AQ3</f>
        <v>0.33582089552238809</v>
      </c>
      <c r="AT3" s="24">
        <f>SUMIFS(инфо!$I$15:$I$28,инфо!$A$15:$A$28,F3)</f>
        <v>0.10299999999999999</v>
      </c>
      <c r="AU3" s="35">
        <f>IF(H3=0,0,AD3/H3)</f>
        <v>0</v>
      </c>
      <c r="AV3" s="12">
        <f t="shared" ref="AV3:AV40" si="8">AU3-AT3</f>
        <v>-0.10299999999999999</v>
      </c>
      <c r="AX3" s="68">
        <f>SUMIFS(инфо!$C$15:$C$28,инфо!$A$15:$A$28,F3)*H3</f>
        <v>4671.24</v>
      </c>
    </row>
    <row r="4" spans="1:50" x14ac:dyDescent="0.25">
      <c r="A4" s="71">
        <v>46069</v>
      </c>
      <c r="B4" s="79" t="s">
        <v>124</v>
      </c>
      <c r="C4" s="15" t="s">
        <v>772</v>
      </c>
      <c r="D4" s="16" t="s">
        <v>83</v>
      </c>
      <c r="E4" s="83" t="s">
        <v>75</v>
      </c>
      <c r="F4" s="28" t="s">
        <v>230</v>
      </c>
      <c r="G4" s="81">
        <v>27</v>
      </c>
      <c r="H4" s="81">
        <v>1265</v>
      </c>
      <c r="I4" s="118">
        <f>IFERROR(H4*VLOOKUP(F4,инфо!$A$15:$C$28,3,FALSE)/1000,0)</f>
        <v>22.048950000000001</v>
      </c>
      <c r="J4" s="81"/>
      <c r="K4" s="81">
        <v>13</v>
      </c>
      <c r="L4" s="81">
        <v>47</v>
      </c>
      <c r="M4" s="20"/>
      <c r="N4" s="20">
        <v>2706</v>
      </c>
      <c r="O4" s="34">
        <v>16186</v>
      </c>
      <c r="P4" s="34"/>
      <c r="Q4" s="34"/>
      <c r="R4" s="34"/>
      <c r="S4" s="68">
        <f t="shared" ref="S4:S41" si="9">SUM(O4:R4)</f>
        <v>16186</v>
      </c>
      <c r="T4" s="15"/>
      <c r="U4" s="16"/>
      <c r="V4" s="34"/>
      <c r="W4" s="34"/>
      <c r="X4" s="34"/>
      <c r="Y4" s="15">
        <v>270</v>
      </c>
      <c r="Z4" s="34"/>
      <c r="AA4" s="34"/>
      <c r="AB4" s="34"/>
      <c r="AC4" s="117">
        <v>270</v>
      </c>
      <c r="AD4" s="16"/>
      <c r="AE4" s="24">
        <f>SUMIFS(инфо!$D$15:$D$28,инфо!$A$15:$A$28,F4)</f>
        <v>2.06</v>
      </c>
      <c r="AF4" s="35">
        <f t="shared" si="0"/>
        <v>2.1391304347826088</v>
      </c>
      <c r="AG4" s="12">
        <f t="shared" ref="AG4:AG9" si="10">AF4-AE4</f>
        <v>7.9130434782608727E-2</v>
      </c>
      <c r="AH4" s="24">
        <f>SUMIFS(инфо!$E$15:$E$28,инфо!$A$15:$A$28,F4)</f>
        <v>13.28</v>
      </c>
      <c r="AI4" s="32">
        <f t="shared" si="1"/>
        <v>12.795256916996047</v>
      </c>
      <c r="AJ4" s="12">
        <f t="shared" ref="AJ4:AJ9" si="11">AI4-AH4</f>
        <v>-0.48474308300395208</v>
      </c>
      <c r="AK4" s="24">
        <f>SUMIFS(инфо!$F$15:$F$28,инфо!$A$15:$A$28,F4)</f>
        <v>0.20499999999999999</v>
      </c>
      <c r="AL4" s="32">
        <f t="shared" si="2"/>
        <v>0.2134387351778656</v>
      </c>
      <c r="AM4" s="12">
        <f t="shared" si="3"/>
        <v>8.4387351778656139E-3</v>
      </c>
      <c r="AN4" s="24">
        <f>SUMIFS(инфо!$G$15:$G$28,инфо!$A$15:$A$28,F4)</f>
        <v>4.1000000000000002E-2</v>
      </c>
      <c r="AO4" s="32">
        <f t="shared" si="4"/>
        <v>0</v>
      </c>
      <c r="AP4" s="12">
        <f t="shared" si="5"/>
        <v>-4.1000000000000002E-2</v>
      </c>
      <c r="AQ4" s="24">
        <f>SUMIFS(инфо!$H$15:$H$28,инфо!$A$15:$A$28,F4)</f>
        <v>0</v>
      </c>
      <c r="AR4" s="35">
        <f t="shared" si="6"/>
        <v>0.2134387351778656</v>
      </c>
      <c r="AS4" s="12">
        <f t="shared" si="7"/>
        <v>0.2134387351778656</v>
      </c>
      <c r="AT4" s="24">
        <f>SUMIFS(инфо!$I$15:$I$28,инфо!$A$15:$A$28,F4)</f>
        <v>0.10299999999999999</v>
      </c>
      <c r="AU4" s="35">
        <f>IF(H4=0,0,AD4/H4)</f>
        <v>0</v>
      </c>
      <c r="AV4" s="12">
        <f t="shared" si="8"/>
        <v>-0.10299999999999999</v>
      </c>
      <c r="AX4" s="67">
        <f>SUMIFS(инфо!$C$15:$C$28,инфо!$A$15:$A$28,F4)*H4</f>
        <v>22048.95</v>
      </c>
    </row>
    <row r="5" spans="1:50" x14ac:dyDescent="0.25">
      <c r="A5" s="70">
        <f>A3+1</f>
        <v>46070</v>
      </c>
      <c r="B5" s="79" t="s">
        <v>127</v>
      </c>
      <c r="C5" s="29" t="s">
        <v>772</v>
      </c>
      <c r="D5" s="30" t="s">
        <v>82</v>
      </c>
      <c r="E5" s="83" t="s">
        <v>113</v>
      </c>
      <c r="F5" s="28" t="s">
        <v>230</v>
      </c>
      <c r="G5" s="81">
        <v>20</v>
      </c>
      <c r="H5" s="81">
        <v>996</v>
      </c>
      <c r="I5" s="118">
        <f>IFERROR(H5*VLOOKUP(F5,инфо!$A$15:$C$28,3,FALSE)/1000,0)</f>
        <v>17.360279999999999</v>
      </c>
      <c r="J5" s="81"/>
      <c r="K5" s="81">
        <v>12</v>
      </c>
      <c r="L5" s="81"/>
      <c r="M5" s="28"/>
      <c r="N5" s="28">
        <v>2003</v>
      </c>
      <c r="O5" s="27">
        <v>12092</v>
      </c>
      <c r="P5" s="27"/>
      <c r="Q5" s="27"/>
      <c r="R5" s="27"/>
      <c r="S5" s="67">
        <f>SUM(O5:R5)</f>
        <v>12092</v>
      </c>
      <c r="T5" s="29"/>
      <c r="U5" s="30"/>
      <c r="V5" s="27"/>
      <c r="W5" s="27"/>
      <c r="X5" s="27"/>
      <c r="Y5" s="29">
        <v>200</v>
      </c>
      <c r="Z5" s="27"/>
      <c r="AA5" s="27"/>
      <c r="AB5" s="27"/>
      <c r="AC5" s="117">
        <v>190</v>
      </c>
      <c r="AD5" s="30"/>
      <c r="AE5" s="31">
        <f>SUMIFS(инфо!$D$15:$D$28,инфо!$A$15:$A$28,F5)</f>
        <v>2.06</v>
      </c>
      <c r="AF5" s="35">
        <f t="shared" si="0"/>
        <v>2.0110441767068274</v>
      </c>
      <c r="AG5" s="33">
        <f t="shared" si="10"/>
        <v>-4.8955823293172607E-2</v>
      </c>
      <c r="AH5" s="24">
        <f>SUMIFS(инфо!$E$15:$E$28,инфо!$A$15:$A$28,F5)</f>
        <v>13.28</v>
      </c>
      <c r="AI5" s="32">
        <f t="shared" si="1"/>
        <v>12.140562248995984</v>
      </c>
      <c r="AJ5" s="33">
        <f t="shared" si="11"/>
        <v>-1.1394377510040155</v>
      </c>
      <c r="AK5" s="31">
        <f>SUMIFS(инфо!$F$15:$F$28,инфо!$A$15:$A$28,F5)</f>
        <v>0.20499999999999999</v>
      </c>
      <c r="AL5" s="32">
        <f t="shared" si="2"/>
        <v>0.20080321285140562</v>
      </c>
      <c r="AM5" s="33">
        <f t="shared" si="3"/>
        <v>-4.1967871485943664E-3</v>
      </c>
      <c r="AN5" s="31">
        <f>SUMIFS(инфо!$G$15:$G$28,инфо!$A$15:$A$28,F5)</f>
        <v>4.1000000000000002E-2</v>
      </c>
      <c r="AO5" s="32">
        <f t="shared" si="4"/>
        <v>0</v>
      </c>
      <c r="AP5" s="33">
        <f t="shared" si="5"/>
        <v>-4.1000000000000002E-2</v>
      </c>
      <c r="AQ5" s="31">
        <f>SUMIFS(инфо!$H$15:$H$28,инфо!$A$15:$A$28,F5)</f>
        <v>0</v>
      </c>
      <c r="AR5" s="35">
        <f t="shared" si="6"/>
        <v>0.19076305220883535</v>
      </c>
      <c r="AS5" s="33">
        <f t="shared" si="7"/>
        <v>0.19076305220883535</v>
      </c>
      <c r="AT5" s="31">
        <f>SUMIFS(инфо!$I$15:$I$28,инфо!$A$15:$A$28,F5)</f>
        <v>0.10299999999999999</v>
      </c>
      <c r="AU5" s="35">
        <f t="shared" ref="AU5:AU68" si="12">IF(H5=0,0,AD5/H5)</f>
        <v>0</v>
      </c>
      <c r="AV5" s="33">
        <f t="shared" si="8"/>
        <v>-0.10299999999999999</v>
      </c>
      <c r="AX5" s="67">
        <f>SUMIFS(инфо!$C$15:$C$28,инфо!$A$15:$A$28,F5)*H5</f>
        <v>17360.28</v>
      </c>
    </row>
    <row r="6" spans="1:50" x14ac:dyDescent="0.25">
      <c r="A6" s="70">
        <v>46070</v>
      </c>
      <c r="B6" s="79" t="s">
        <v>126</v>
      </c>
      <c r="C6" s="29" t="s">
        <v>772</v>
      </c>
      <c r="D6" s="30" t="s">
        <v>83</v>
      </c>
      <c r="E6" s="83" t="s">
        <v>77</v>
      </c>
      <c r="F6" s="28" t="s">
        <v>230</v>
      </c>
      <c r="G6" s="81">
        <v>31</v>
      </c>
      <c r="H6" s="81">
        <v>1441</v>
      </c>
      <c r="I6" s="118">
        <f>IFERROR(H6*VLOOKUP(F6,инфо!$A$15:$C$28,3,FALSE)/1000,0)</f>
        <v>25.116630000000001</v>
      </c>
      <c r="J6" s="81"/>
      <c r="K6" s="81">
        <v>2</v>
      </c>
      <c r="L6" s="81">
        <v>4</v>
      </c>
      <c r="M6" s="28"/>
      <c r="N6" s="28">
        <v>3117</v>
      </c>
      <c r="O6" s="27">
        <v>18988</v>
      </c>
      <c r="P6" s="27"/>
      <c r="Q6" s="27"/>
      <c r="R6" s="27"/>
      <c r="S6" s="67">
        <f t="shared" si="9"/>
        <v>18988</v>
      </c>
      <c r="T6" s="29"/>
      <c r="U6" s="30"/>
      <c r="V6" s="27"/>
      <c r="W6" s="27"/>
      <c r="X6" s="27"/>
      <c r="Y6" s="29">
        <v>310</v>
      </c>
      <c r="Z6" s="27"/>
      <c r="AA6" s="27"/>
      <c r="AB6" s="27"/>
      <c r="AC6" s="117">
        <v>310</v>
      </c>
      <c r="AD6" s="30">
        <v>155</v>
      </c>
      <c r="AE6" s="31">
        <f>SUMIFS(инфо!$D$15:$D$28,инфо!$A$15:$A$28,F6)</f>
        <v>2.06</v>
      </c>
      <c r="AF6" s="35">
        <f t="shared" si="0"/>
        <v>2.163081193615545</v>
      </c>
      <c r="AG6" s="33">
        <f t="shared" si="10"/>
        <v>0.10308119361554491</v>
      </c>
      <c r="AH6" s="24">
        <f>SUMIFS(инфо!$E$15:$E$28,инфо!$A$15:$A$28,F6)</f>
        <v>13.28</v>
      </c>
      <c r="AI6" s="32">
        <f t="shared" si="1"/>
        <v>13.176960444136016</v>
      </c>
      <c r="AJ6" s="33">
        <f t="shared" si="11"/>
        <v>-0.10303955586398317</v>
      </c>
      <c r="AK6" s="31">
        <f>SUMIFS(инфо!$F$15:$F$28,инфо!$A$15:$A$28,F6)</f>
        <v>0.20499999999999999</v>
      </c>
      <c r="AL6" s="32">
        <f t="shared" si="2"/>
        <v>0.21512838306731435</v>
      </c>
      <c r="AM6" s="33">
        <f t="shared" si="3"/>
        <v>1.0128383067314367E-2</v>
      </c>
      <c r="AN6" s="31">
        <f>SUMIFS(инфо!$G$15:$G$28,инфо!$A$15:$A$28,F6)</f>
        <v>4.1000000000000002E-2</v>
      </c>
      <c r="AO6" s="32">
        <f t="shared" si="4"/>
        <v>0</v>
      </c>
      <c r="AP6" s="33">
        <f t="shared" si="5"/>
        <v>-4.1000000000000002E-2</v>
      </c>
      <c r="AQ6" s="31">
        <f>SUMIFS(инфо!$H$15:$H$28,инфо!$A$15:$A$28,F6)</f>
        <v>0</v>
      </c>
      <c r="AR6" s="35">
        <f t="shared" si="6"/>
        <v>0.21512838306731435</v>
      </c>
      <c r="AS6" s="33">
        <f t="shared" si="7"/>
        <v>0.21512838306731435</v>
      </c>
      <c r="AT6" s="31">
        <f>SUMIFS(инфо!$I$15:$I$28,инфо!$A$15:$A$28,F6)</f>
        <v>0.10299999999999999</v>
      </c>
      <c r="AU6" s="35">
        <f t="shared" si="12"/>
        <v>0.10756419153365718</v>
      </c>
      <c r="AV6" s="33">
        <f t="shared" si="8"/>
        <v>4.5641915336571831E-3</v>
      </c>
      <c r="AX6" s="67">
        <f>SUMIFS(инфо!$C$15:$C$28,инфо!$A$15:$A$28,F6)*H6</f>
        <v>25116.63</v>
      </c>
    </row>
    <row r="7" spans="1:50" x14ac:dyDescent="0.25">
      <c r="A7" s="71">
        <v>46071</v>
      </c>
      <c r="B7" s="79" t="s">
        <v>125</v>
      </c>
      <c r="C7" s="15" t="s">
        <v>772</v>
      </c>
      <c r="D7" s="16" t="s">
        <v>82</v>
      </c>
      <c r="E7" s="83" t="s">
        <v>113</v>
      </c>
      <c r="F7" s="28" t="s">
        <v>230</v>
      </c>
      <c r="G7" s="81">
        <v>13</v>
      </c>
      <c r="H7" s="81">
        <v>612</v>
      </c>
      <c r="I7" s="118">
        <f>IFERROR(H7*VLOOKUP(F7,инфо!$A$15:$C$28,3,FALSE)/1000,0)</f>
        <v>10.667159999999999</v>
      </c>
      <c r="J7" s="81"/>
      <c r="K7" s="81">
        <v>4</v>
      </c>
      <c r="L7" s="81">
        <v>6</v>
      </c>
      <c r="M7" s="20"/>
      <c r="N7" s="20">
        <v>1328</v>
      </c>
      <c r="O7" s="34">
        <v>1223</v>
      </c>
      <c r="P7" s="34">
        <v>6617</v>
      </c>
      <c r="Q7" s="34"/>
      <c r="R7" s="34"/>
      <c r="S7" s="68">
        <f t="shared" si="9"/>
        <v>7840</v>
      </c>
      <c r="T7" s="15"/>
      <c r="U7" s="16"/>
      <c r="V7" s="34"/>
      <c r="W7" s="34"/>
      <c r="X7" s="34"/>
      <c r="Y7" s="15">
        <v>130</v>
      </c>
      <c r="Z7" s="34"/>
      <c r="AA7" s="34"/>
      <c r="AB7" s="34"/>
      <c r="AC7" s="117">
        <v>110</v>
      </c>
      <c r="AD7" s="16"/>
      <c r="AE7" s="24">
        <f>SUMIFS(инфо!$D$15:$D$28,инфо!$A$15:$A$28,F7)</f>
        <v>2.06</v>
      </c>
      <c r="AF7" s="35">
        <f t="shared" si="0"/>
        <v>2.1699346405228757</v>
      </c>
      <c r="AG7" s="12">
        <f t="shared" si="10"/>
        <v>0.1099346405228756</v>
      </c>
      <c r="AH7" s="24">
        <f>SUMIFS(инфо!$E$15:$E$28,инфо!$A$15:$A$28,F7)</f>
        <v>13.28</v>
      </c>
      <c r="AI7" s="32">
        <f t="shared" si="1"/>
        <v>12.81045751633987</v>
      </c>
      <c r="AJ7" s="12">
        <f t="shared" si="11"/>
        <v>-0.46954248366012941</v>
      </c>
      <c r="AK7" s="24">
        <f>SUMIFS(инфо!$F$15:$F$28,инфо!$A$15:$A$28,F7)</f>
        <v>0.20499999999999999</v>
      </c>
      <c r="AL7" s="32">
        <f t="shared" si="2"/>
        <v>0.21241830065359477</v>
      </c>
      <c r="AM7" s="12">
        <f t="shared" si="3"/>
        <v>7.4183006535947782E-3</v>
      </c>
      <c r="AN7" s="24">
        <f>SUMIFS(инфо!$G$15:$G$28,инфо!$A$15:$A$28,F7)</f>
        <v>4.1000000000000002E-2</v>
      </c>
      <c r="AO7" s="32">
        <f t="shared" si="4"/>
        <v>0</v>
      </c>
      <c r="AP7" s="12">
        <f t="shared" si="5"/>
        <v>-4.1000000000000002E-2</v>
      </c>
      <c r="AQ7" s="24">
        <f>SUMIFS(инфо!$H$15:$H$28,инфо!$A$15:$A$28,F7)</f>
        <v>0</v>
      </c>
      <c r="AR7" s="35">
        <f t="shared" si="6"/>
        <v>0.17973856209150327</v>
      </c>
      <c r="AS7" s="12">
        <f t="shared" si="7"/>
        <v>0.17973856209150327</v>
      </c>
      <c r="AT7" s="24">
        <f>SUMIFS(инфо!$I$15:$I$28,инфо!$A$15:$A$28,F7)</f>
        <v>0.10299999999999999</v>
      </c>
      <c r="AU7" s="35">
        <f t="shared" si="12"/>
        <v>0</v>
      </c>
      <c r="AV7" s="12">
        <f t="shared" si="8"/>
        <v>-0.10299999999999999</v>
      </c>
      <c r="AX7" s="67">
        <f>SUMIFS(инфо!$C$15:$C$28,инфо!$A$15:$A$28,F7)*H7</f>
        <v>10667.16</v>
      </c>
    </row>
    <row r="8" spans="1:50" x14ac:dyDescent="0.25">
      <c r="A8" s="70">
        <f>A6+1</f>
        <v>46071</v>
      </c>
      <c r="B8" s="79" t="s">
        <v>129</v>
      </c>
      <c r="C8" s="29" t="s">
        <v>772</v>
      </c>
      <c r="D8" s="30" t="s">
        <v>83</v>
      </c>
      <c r="E8" s="83" t="s">
        <v>77</v>
      </c>
      <c r="F8" s="28" t="s">
        <v>230</v>
      </c>
      <c r="G8" s="81">
        <v>31</v>
      </c>
      <c r="H8" s="81">
        <v>1491</v>
      </c>
      <c r="I8" s="118">
        <f>IFERROR(H8*VLOOKUP(F8,инфо!$A$15:$C$28,3,FALSE)/1000,0)</f>
        <v>25.988130000000002</v>
      </c>
      <c r="J8" s="81"/>
      <c r="K8" s="81">
        <v>17</v>
      </c>
      <c r="L8" s="81">
        <v>8</v>
      </c>
      <c r="M8" s="28"/>
      <c r="N8" s="28">
        <v>3117</v>
      </c>
      <c r="O8" s="27">
        <v>12200</v>
      </c>
      <c r="P8" s="27">
        <v>6719</v>
      </c>
      <c r="Q8" s="27"/>
      <c r="R8" s="27"/>
      <c r="S8" s="67">
        <f t="shared" si="9"/>
        <v>18919</v>
      </c>
      <c r="T8" s="29"/>
      <c r="U8" s="30"/>
      <c r="V8" s="27"/>
      <c r="W8" s="27"/>
      <c r="X8" s="27"/>
      <c r="Y8" s="29">
        <v>310</v>
      </c>
      <c r="Z8" s="27"/>
      <c r="AA8" s="27"/>
      <c r="AB8" s="27"/>
      <c r="AC8" s="117">
        <v>310</v>
      </c>
      <c r="AD8" s="30"/>
      <c r="AE8" s="31">
        <f>SUMIFS(инфо!$D$15:$D$28,инфо!$A$15:$A$28,F8)</f>
        <v>2.06</v>
      </c>
      <c r="AF8" s="35">
        <f t="shared" si="0"/>
        <v>2.0905432595573439</v>
      </c>
      <c r="AG8" s="33">
        <f t="shared" si="10"/>
        <v>3.0543259557343827E-2</v>
      </c>
      <c r="AH8" s="24">
        <f>SUMIFS(инфо!$E$15:$E$28,инфо!$A$15:$A$28,F8)</f>
        <v>13.28</v>
      </c>
      <c r="AI8" s="32">
        <f t="shared" si="1"/>
        <v>12.688799463447351</v>
      </c>
      <c r="AJ8" s="33">
        <f t="shared" si="11"/>
        <v>-0.59120053655264826</v>
      </c>
      <c r="AK8" s="31">
        <f>SUMIFS(инфо!$F$15:$F$28,инфо!$A$15:$A$28,F8)</f>
        <v>0.20499999999999999</v>
      </c>
      <c r="AL8" s="32">
        <f t="shared" si="2"/>
        <v>0.20791415157612342</v>
      </c>
      <c r="AM8" s="33">
        <f t="shared" si="3"/>
        <v>2.9141515761234305E-3</v>
      </c>
      <c r="AN8" s="31">
        <f>SUMIFS(инфо!$G$15:$G$28,инфо!$A$15:$A$28,F8)</f>
        <v>4.1000000000000002E-2</v>
      </c>
      <c r="AO8" s="32">
        <f t="shared" si="4"/>
        <v>0</v>
      </c>
      <c r="AP8" s="33">
        <f t="shared" si="5"/>
        <v>-4.1000000000000002E-2</v>
      </c>
      <c r="AQ8" s="31">
        <f>SUMIFS(инфо!$H$15:$H$28,инфо!$A$15:$A$28,F8)</f>
        <v>0</v>
      </c>
      <c r="AR8" s="35">
        <f t="shared" si="6"/>
        <v>0.20791415157612342</v>
      </c>
      <c r="AS8" s="33">
        <f t="shared" si="7"/>
        <v>0.20791415157612342</v>
      </c>
      <c r="AT8" s="31">
        <f>SUMIFS(инфо!$I$15:$I$28,инфо!$A$15:$A$28,F8)</f>
        <v>0.10299999999999999</v>
      </c>
      <c r="AU8" s="35">
        <f t="shared" si="12"/>
        <v>0</v>
      </c>
      <c r="AV8" s="33">
        <f t="shared" si="8"/>
        <v>-0.10299999999999999</v>
      </c>
      <c r="AX8" s="67">
        <f>SUMIFS(инфо!$C$15:$C$28,инфо!$A$15:$A$28,F8)*H8</f>
        <v>25988.13</v>
      </c>
    </row>
    <row r="9" spans="1:50" x14ac:dyDescent="0.25">
      <c r="A9" s="71">
        <f>A7+1</f>
        <v>46072</v>
      </c>
      <c r="B9" s="79" t="s">
        <v>130</v>
      </c>
      <c r="C9" s="15" t="s">
        <v>772</v>
      </c>
      <c r="D9" s="16" t="s">
        <v>82</v>
      </c>
      <c r="E9" s="83" t="s">
        <v>75</v>
      </c>
      <c r="F9" s="28" t="s">
        <v>230</v>
      </c>
      <c r="G9" s="81">
        <v>32</v>
      </c>
      <c r="H9" s="81">
        <v>1575</v>
      </c>
      <c r="I9" s="118">
        <f>IFERROR(H9*VLOOKUP(F9,инфо!$A$15:$C$28,3,FALSE)/1000,0)</f>
        <v>27.452249999999999</v>
      </c>
      <c r="J9" s="81"/>
      <c r="K9" s="81">
        <v>9</v>
      </c>
      <c r="L9" s="81">
        <v>4</v>
      </c>
      <c r="M9" s="20"/>
      <c r="N9" s="20">
        <v>3210</v>
      </c>
      <c r="O9" s="34">
        <v>19586</v>
      </c>
      <c r="P9" s="34">
        <v>0</v>
      </c>
      <c r="Q9" s="34"/>
      <c r="R9" s="34"/>
      <c r="S9" s="68">
        <f t="shared" si="9"/>
        <v>19586</v>
      </c>
      <c r="T9" s="15"/>
      <c r="U9" s="16"/>
      <c r="V9" s="34"/>
      <c r="W9" s="34"/>
      <c r="X9" s="34"/>
      <c r="Y9" s="15">
        <v>320</v>
      </c>
      <c r="Z9" s="34"/>
      <c r="AA9" s="34"/>
      <c r="AB9" s="34"/>
      <c r="AC9" s="117">
        <v>320</v>
      </c>
      <c r="AD9" s="16">
        <v>160</v>
      </c>
      <c r="AE9" s="24">
        <f>SUMIFS(инфо!$D$15:$D$28,инфо!$A$15:$A$28,F9)</f>
        <v>2.06</v>
      </c>
      <c r="AF9" s="35">
        <f t="shared" si="0"/>
        <v>2.038095238095238</v>
      </c>
      <c r="AG9" s="12">
        <f t="shared" si="10"/>
        <v>-2.1904761904762093E-2</v>
      </c>
      <c r="AH9" s="24">
        <f>SUMIFS(инфо!$E$15:$E$28,инфо!$A$15:$A$28,F9)</f>
        <v>13.28</v>
      </c>
      <c r="AI9" s="32">
        <f t="shared" si="1"/>
        <v>12.435555555555556</v>
      </c>
      <c r="AJ9" s="12">
        <f t="shared" si="11"/>
        <v>-0.84444444444444322</v>
      </c>
      <c r="AK9" s="24">
        <f>SUMIFS(инфо!$F$15:$F$28,инфо!$A$15:$A$28,F9)</f>
        <v>0.20499999999999999</v>
      </c>
      <c r="AL9" s="32">
        <f t="shared" si="2"/>
        <v>0.20317460317460317</v>
      </c>
      <c r="AM9" s="12">
        <f t="shared" si="3"/>
        <v>-1.8253968253968134E-3</v>
      </c>
      <c r="AN9" s="24">
        <f>SUMIFS(инфо!$G$15:$G$28,инфо!$A$15:$A$28,F9)</f>
        <v>4.1000000000000002E-2</v>
      </c>
      <c r="AO9" s="32">
        <f t="shared" si="4"/>
        <v>0</v>
      </c>
      <c r="AP9" s="12">
        <f t="shared" si="5"/>
        <v>-4.1000000000000002E-2</v>
      </c>
      <c r="AQ9" s="24">
        <f>SUMIFS(инфо!$H$15:$H$28,инфо!$A$15:$A$28,F9)</f>
        <v>0</v>
      </c>
      <c r="AR9" s="35">
        <f t="shared" si="6"/>
        <v>0.20317460317460317</v>
      </c>
      <c r="AS9" s="12">
        <f t="shared" si="7"/>
        <v>0.20317460317460317</v>
      </c>
      <c r="AT9" s="24">
        <f>SUMIFS(инфо!$I$15:$I$28,инфо!$A$15:$A$28,F9)</f>
        <v>0.10299999999999999</v>
      </c>
      <c r="AU9" s="35">
        <f t="shared" si="12"/>
        <v>0.10158730158730159</v>
      </c>
      <c r="AV9" s="12">
        <f t="shared" si="8"/>
        <v>-1.4126984126984071E-3</v>
      </c>
      <c r="AX9" s="67">
        <f>SUMIFS(инфо!$C$15:$C$28,инфо!$A$15:$A$28,F9)*H9</f>
        <v>27452.25</v>
      </c>
    </row>
    <row r="10" spans="1:50" x14ac:dyDescent="0.25">
      <c r="A10" s="71">
        <v>46072</v>
      </c>
      <c r="B10" s="79" t="s">
        <v>131</v>
      </c>
      <c r="C10" s="17" t="s">
        <v>772</v>
      </c>
      <c r="D10" s="18" t="s">
        <v>83</v>
      </c>
      <c r="E10" s="83" t="s">
        <v>113</v>
      </c>
      <c r="F10" s="28" t="s">
        <v>230</v>
      </c>
      <c r="G10" s="81">
        <v>35</v>
      </c>
      <c r="H10" s="81">
        <v>1770</v>
      </c>
      <c r="I10" s="118">
        <f>IFERROR(H10*VLOOKUP(F10,инфо!$A$15:$C$28,3,FALSE)/1000,0)</f>
        <v>30.851099999999999</v>
      </c>
      <c r="J10" s="81"/>
      <c r="K10" s="81">
        <v>4</v>
      </c>
      <c r="L10" s="81">
        <v>1</v>
      </c>
      <c r="M10" s="23"/>
      <c r="N10" s="23">
        <v>3538</v>
      </c>
      <c r="O10" s="19">
        <v>12247</v>
      </c>
      <c r="P10" s="19">
        <v>9186</v>
      </c>
      <c r="Q10" s="19"/>
      <c r="R10" s="19"/>
      <c r="S10" s="69">
        <f t="shared" si="9"/>
        <v>21433</v>
      </c>
      <c r="T10" s="17"/>
      <c r="U10" s="18"/>
      <c r="V10" s="19"/>
      <c r="W10" s="19"/>
      <c r="X10" s="19"/>
      <c r="Y10" s="17">
        <v>350</v>
      </c>
      <c r="Z10" s="19"/>
      <c r="AA10" s="19"/>
      <c r="AB10" s="19"/>
      <c r="AC10" s="117">
        <v>350</v>
      </c>
      <c r="AD10" s="18"/>
      <c r="AE10" s="25">
        <f>SUMIFS(инфо!$D$15:$D$28,инфо!$A$15:$A$28,F10)</f>
        <v>2.06</v>
      </c>
      <c r="AF10" s="35">
        <f t="shared" si="0"/>
        <v>1.9988700564971751</v>
      </c>
      <c r="AG10" s="14">
        <f t="shared" ref="AG10:AG55" si="13">AF10-AE10</f>
        <v>-6.1129943502824968E-2</v>
      </c>
      <c r="AH10" s="24">
        <f>SUMIFS(инфо!$E$15:$E$28,инфо!$A$15:$A$28,F10)</f>
        <v>13.28</v>
      </c>
      <c r="AI10" s="32">
        <f t="shared" si="1"/>
        <v>12.109039548022599</v>
      </c>
      <c r="AJ10" s="14">
        <f t="shared" ref="AJ10:AJ55" si="14">AI10-AH10</f>
        <v>-1.1709604519774004</v>
      </c>
      <c r="AK10" s="25">
        <f>SUMIFS(инфо!$F$15:$F$28,инфо!$A$15:$A$28,F10)</f>
        <v>0.20499999999999999</v>
      </c>
      <c r="AL10" s="32">
        <f t="shared" si="2"/>
        <v>0.19774011299435029</v>
      </c>
      <c r="AM10" s="14">
        <f t="shared" si="3"/>
        <v>-7.2598870056496956E-3</v>
      </c>
      <c r="AN10" s="25">
        <f>SUMIFS(инфо!$G$15:$G$28,инфо!$A$15:$A$28,F10)</f>
        <v>4.1000000000000002E-2</v>
      </c>
      <c r="AO10" s="32">
        <f t="shared" si="4"/>
        <v>0</v>
      </c>
      <c r="AP10" s="14">
        <f t="shared" si="5"/>
        <v>-4.1000000000000002E-2</v>
      </c>
      <c r="AQ10" s="25">
        <f>SUMIFS(инфо!$H$15:$H$28,инфо!$A$15:$A$28,F10)</f>
        <v>0</v>
      </c>
      <c r="AR10" s="35">
        <f t="shared" si="6"/>
        <v>0.19774011299435029</v>
      </c>
      <c r="AS10" s="14">
        <f t="shared" si="7"/>
        <v>0.19774011299435029</v>
      </c>
      <c r="AT10" s="25">
        <f>SUMIFS(инфо!$I$15:$I$28,инфо!$A$15:$A$28,F10)</f>
        <v>0.10299999999999999</v>
      </c>
      <c r="AU10" s="35">
        <f t="shared" si="12"/>
        <v>0</v>
      </c>
      <c r="AV10" s="14">
        <f t="shared" si="8"/>
        <v>-0.10299999999999999</v>
      </c>
      <c r="AX10" s="67">
        <f>SUMIFS(инфо!$C$15:$C$28,инфо!$A$15:$A$28,F10)*H10</f>
        <v>30851.1</v>
      </c>
    </row>
    <row r="11" spans="1:50" x14ac:dyDescent="0.25">
      <c r="A11" s="70">
        <v>46073</v>
      </c>
      <c r="B11" s="79" t="s">
        <v>128</v>
      </c>
      <c r="C11" s="29" t="s">
        <v>772</v>
      </c>
      <c r="D11" s="30" t="s">
        <v>82</v>
      </c>
      <c r="E11" s="83" t="s">
        <v>75</v>
      </c>
      <c r="F11" s="28" t="s">
        <v>230</v>
      </c>
      <c r="G11" s="81">
        <v>28</v>
      </c>
      <c r="H11" s="81">
        <v>1365</v>
      </c>
      <c r="I11" s="118">
        <f>IFERROR(H11*VLOOKUP(F11,инфо!$A$15:$C$28,3,FALSE)/1000,0)</f>
        <v>23.79195</v>
      </c>
      <c r="J11" s="81"/>
      <c r="K11" s="81">
        <v>25</v>
      </c>
      <c r="L11" s="81">
        <v>4</v>
      </c>
      <c r="M11" s="28"/>
      <c r="N11" s="28">
        <v>2833</v>
      </c>
      <c r="O11" s="27">
        <v>8548</v>
      </c>
      <c r="P11" s="27">
        <v>8573</v>
      </c>
      <c r="Q11" s="27"/>
      <c r="R11" s="27"/>
      <c r="S11" s="67">
        <f t="shared" si="9"/>
        <v>17121</v>
      </c>
      <c r="T11" s="29"/>
      <c r="U11" s="30"/>
      <c r="V11" s="27"/>
      <c r="W11" s="27"/>
      <c r="X11" s="27"/>
      <c r="Y11" s="29">
        <v>280</v>
      </c>
      <c r="Z11" s="27"/>
      <c r="AA11" s="27"/>
      <c r="AB11" s="27"/>
      <c r="AC11" s="117">
        <v>280</v>
      </c>
      <c r="AD11" s="30">
        <v>140</v>
      </c>
      <c r="AE11" s="31">
        <f>SUMIFS(инфо!$D$15:$D$28,инфо!$A$15:$A$28,F11)</f>
        <v>2.06</v>
      </c>
      <c r="AF11" s="35">
        <f t="shared" si="0"/>
        <v>2.0754578754578756</v>
      </c>
      <c r="AG11" s="33">
        <f t="shared" si="13"/>
        <v>1.5457875457875581E-2</v>
      </c>
      <c r="AH11" s="24">
        <f>SUMIFS(инфо!$E$15:$E$28,инфо!$A$15:$A$28,F11)</f>
        <v>13.28</v>
      </c>
      <c r="AI11" s="32">
        <f t="shared" si="1"/>
        <v>12.542857142857143</v>
      </c>
      <c r="AJ11" s="33">
        <f t="shared" si="14"/>
        <v>-0.73714285714285666</v>
      </c>
      <c r="AK11" s="31">
        <f>SUMIFS(инфо!$F$15:$F$28,инфо!$A$15:$A$28,F11)</f>
        <v>0.20499999999999999</v>
      </c>
      <c r="AL11" s="32">
        <f t="shared" si="2"/>
        <v>0.20512820512820512</v>
      </c>
      <c r="AM11" s="33">
        <f t="shared" si="3"/>
        <v>1.282051282051333E-4</v>
      </c>
      <c r="AN11" s="31">
        <f>SUMIFS(инфо!$G$15:$G$28,инфо!$A$15:$A$28,F11)</f>
        <v>4.1000000000000002E-2</v>
      </c>
      <c r="AO11" s="32">
        <f t="shared" si="4"/>
        <v>0</v>
      </c>
      <c r="AP11" s="33">
        <f t="shared" si="5"/>
        <v>-4.1000000000000002E-2</v>
      </c>
      <c r="AQ11" s="31">
        <f>SUMIFS(инфо!$H$15:$H$28,инфо!$A$15:$A$28,F11)</f>
        <v>0</v>
      </c>
      <c r="AR11" s="35">
        <f t="shared" si="6"/>
        <v>0.20512820512820512</v>
      </c>
      <c r="AS11" s="33">
        <f t="shared" si="7"/>
        <v>0.20512820512820512</v>
      </c>
      <c r="AT11" s="31">
        <f>SUMIFS(инфо!$I$15:$I$28,инфо!$A$15:$A$28,F11)</f>
        <v>0.10299999999999999</v>
      </c>
      <c r="AU11" s="35">
        <f t="shared" si="12"/>
        <v>0.10256410256410256</v>
      </c>
      <c r="AV11" s="33">
        <f t="shared" si="8"/>
        <v>-4.3589743589743379E-4</v>
      </c>
      <c r="AX11" s="67">
        <f>SUMIFS(инфо!$C$15:$C$28,инфо!$A$15:$A$28,F11)*H11</f>
        <v>23791.95</v>
      </c>
    </row>
    <row r="12" spans="1:50" x14ac:dyDescent="0.25">
      <c r="A12" s="71">
        <v>46073</v>
      </c>
      <c r="B12" s="79" t="s">
        <v>132</v>
      </c>
      <c r="C12" s="15" t="s">
        <v>772</v>
      </c>
      <c r="D12" s="16" t="s">
        <v>83</v>
      </c>
      <c r="E12" s="83" t="s">
        <v>113</v>
      </c>
      <c r="F12" s="28" t="s">
        <v>232</v>
      </c>
      <c r="G12" s="81">
        <v>43</v>
      </c>
      <c r="H12" s="81">
        <v>2096</v>
      </c>
      <c r="I12" s="118">
        <f>IFERROR(H12*VLOOKUP(F12,инфо!$A$15:$C$28,3,FALSE)/1000,0)</f>
        <v>36.533279999999998</v>
      </c>
      <c r="J12" s="81"/>
      <c r="K12" s="81">
        <v>23</v>
      </c>
      <c r="L12" s="81">
        <v>1</v>
      </c>
      <c r="M12" s="20"/>
      <c r="N12" s="20">
        <v>4347</v>
      </c>
      <c r="O12" s="34">
        <v>13442</v>
      </c>
      <c r="P12" s="34">
        <v>12846</v>
      </c>
      <c r="Q12" s="34"/>
      <c r="R12" s="34"/>
      <c r="S12" s="68">
        <f t="shared" si="9"/>
        <v>26288</v>
      </c>
      <c r="T12" s="15"/>
      <c r="U12" s="16"/>
      <c r="V12" s="34"/>
      <c r="W12" s="34"/>
      <c r="X12" s="34"/>
      <c r="Y12" s="15">
        <v>430</v>
      </c>
      <c r="Z12" s="34"/>
      <c r="AA12" s="34"/>
      <c r="AB12" s="34"/>
      <c r="AC12" s="117">
        <v>430</v>
      </c>
      <c r="AD12" s="16">
        <v>215</v>
      </c>
      <c r="AE12" s="24">
        <f>SUMIFS(инфо!$D$15:$D$28,инфо!$A$15:$A$28,F12)</f>
        <v>2.06</v>
      </c>
      <c r="AF12" s="35">
        <f t="shared" si="0"/>
        <v>2.0739503816793894</v>
      </c>
      <c r="AG12" s="12">
        <f t="shared" si="13"/>
        <v>1.3950381679389334E-2</v>
      </c>
      <c r="AH12" s="24">
        <f>SUMIFS(инфо!$E$15:$E$28,инфо!$A$15:$A$28,F12)</f>
        <v>13.28</v>
      </c>
      <c r="AI12" s="32">
        <f t="shared" si="1"/>
        <v>12.541984732824428</v>
      </c>
      <c r="AJ12" s="12">
        <f t="shared" si="14"/>
        <v>-0.73801526717557131</v>
      </c>
      <c r="AK12" s="24">
        <f>SUMIFS(инфо!$F$15:$F$28,инфо!$A$15:$A$28,F12)</f>
        <v>0.20499999999999999</v>
      </c>
      <c r="AL12" s="32">
        <f t="shared" si="2"/>
        <v>0.20515267175572519</v>
      </c>
      <c r="AM12" s="12">
        <f t="shared" si="3"/>
        <v>1.5267175572519776E-4</v>
      </c>
      <c r="AN12" s="24">
        <f>SUMIFS(инфо!$G$15:$G$28,инфо!$A$15:$A$28,F12)</f>
        <v>4.1000000000000002E-2</v>
      </c>
      <c r="AO12" s="32">
        <f t="shared" si="4"/>
        <v>0</v>
      </c>
      <c r="AP12" s="12">
        <f t="shared" si="5"/>
        <v>-4.1000000000000002E-2</v>
      </c>
      <c r="AQ12" s="24">
        <f>SUMIFS(инфо!$H$15:$H$28,инфо!$A$15:$A$28,F12)</f>
        <v>0</v>
      </c>
      <c r="AR12" s="35">
        <f t="shared" si="6"/>
        <v>0.20515267175572519</v>
      </c>
      <c r="AS12" s="12">
        <f t="shared" si="7"/>
        <v>0.20515267175572519</v>
      </c>
      <c r="AT12" s="24">
        <f>SUMIFS(инфо!$I$15:$I$28,инфо!$A$15:$A$28,F12)</f>
        <v>0.10299999999999999</v>
      </c>
      <c r="AU12" s="35">
        <f t="shared" si="12"/>
        <v>0.10257633587786259</v>
      </c>
      <c r="AV12" s="12">
        <f t="shared" si="8"/>
        <v>-4.2366412213740157E-4</v>
      </c>
      <c r="AX12" s="67">
        <f>SUMIFS(инфо!$C$15:$C$28,инфо!$A$15:$A$28,F12)*H12</f>
        <v>36533.279999999999</v>
      </c>
    </row>
    <row r="13" spans="1:50" x14ac:dyDescent="0.25">
      <c r="A13" s="71">
        <f>A11+1</f>
        <v>46074</v>
      </c>
      <c r="B13" s="79" t="s">
        <v>133</v>
      </c>
      <c r="C13" s="29" t="s">
        <v>772</v>
      </c>
      <c r="D13" s="30" t="s">
        <v>82</v>
      </c>
      <c r="E13" s="83" t="s">
        <v>77</v>
      </c>
      <c r="F13" s="28" t="s">
        <v>232</v>
      </c>
      <c r="G13" s="81">
        <v>37</v>
      </c>
      <c r="H13" s="81">
        <v>1760</v>
      </c>
      <c r="I13" s="118">
        <f>IFERROR(H13*VLOOKUP(F13,инфо!$A$15:$C$28,3,FALSE)/1000,0)</f>
        <v>30.6768</v>
      </c>
      <c r="J13" s="81">
        <v>1700</v>
      </c>
      <c r="K13" s="81">
        <v>23</v>
      </c>
      <c r="L13" s="81">
        <v>2</v>
      </c>
      <c r="M13" s="28"/>
      <c r="N13" s="28">
        <v>3737</v>
      </c>
      <c r="O13" s="27">
        <v>11620</v>
      </c>
      <c r="P13" s="27">
        <v>11009</v>
      </c>
      <c r="Q13" s="27"/>
      <c r="R13" s="27"/>
      <c r="S13" s="67">
        <f t="shared" si="9"/>
        <v>22629</v>
      </c>
      <c r="T13" s="29"/>
      <c r="U13" s="30"/>
      <c r="V13" s="27"/>
      <c r="W13" s="27"/>
      <c r="X13" s="27"/>
      <c r="Y13" s="29">
        <v>370</v>
      </c>
      <c r="Z13" s="27"/>
      <c r="AA13" s="27"/>
      <c r="AB13" s="27"/>
      <c r="AC13" s="117">
        <v>370</v>
      </c>
      <c r="AD13" s="30">
        <v>185</v>
      </c>
      <c r="AE13" s="31">
        <f>SUMIFS(инфо!$D$15:$D$28,инфо!$A$15:$A$28,F13)</f>
        <v>2.06</v>
      </c>
      <c r="AF13" s="35">
        <f t="shared" si="0"/>
        <v>2.1232954545454548</v>
      </c>
      <c r="AG13" s="33">
        <f t="shared" si="13"/>
        <v>6.329545454545471E-2</v>
      </c>
      <c r="AH13" s="24">
        <f>SUMIFS(инфо!$E$15:$E$28,инфо!$A$15:$A$28,F13)</f>
        <v>13.28</v>
      </c>
      <c r="AI13" s="32">
        <f t="shared" si="1"/>
        <v>12.857386363636364</v>
      </c>
      <c r="AJ13" s="33">
        <f t="shared" si="14"/>
        <v>-0.42261363636363569</v>
      </c>
      <c r="AK13" s="31">
        <f>SUMIFS(инфо!$F$15:$F$28,инфо!$A$15:$A$28,F13)</f>
        <v>0.20499999999999999</v>
      </c>
      <c r="AL13" s="32">
        <f t="shared" si="2"/>
        <v>0.21022727272727273</v>
      </c>
      <c r="AM13" s="33">
        <f t="shared" si="3"/>
        <v>5.2272727272727471E-3</v>
      </c>
      <c r="AN13" s="31">
        <f>SUMIFS(инфо!$G$15:$G$28,инфо!$A$15:$A$28,F13)</f>
        <v>4.1000000000000002E-2</v>
      </c>
      <c r="AO13" s="32">
        <f t="shared" si="4"/>
        <v>0</v>
      </c>
      <c r="AP13" s="33">
        <f t="shared" si="5"/>
        <v>-4.1000000000000002E-2</v>
      </c>
      <c r="AQ13" s="31">
        <f>SUMIFS(инфо!$H$15:$H$28,инфо!$A$15:$A$28,F13)</f>
        <v>0</v>
      </c>
      <c r="AR13" s="35">
        <f t="shared" si="6"/>
        <v>0.21022727272727273</v>
      </c>
      <c r="AS13" s="33">
        <f t="shared" si="7"/>
        <v>0.21022727272727273</v>
      </c>
      <c r="AT13" s="31">
        <f>SUMIFS(инфо!$I$15:$I$28,инфо!$A$15:$A$28,F13)</f>
        <v>0.10299999999999999</v>
      </c>
      <c r="AU13" s="35">
        <f t="shared" si="12"/>
        <v>0.10511363636363637</v>
      </c>
      <c r="AV13" s="33">
        <f t="shared" si="8"/>
        <v>2.1136363636363731E-3</v>
      </c>
      <c r="AX13" s="67">
        <f>SUMIFS(инфо!$C$15:$C$28,инфо!$A$15:$A$28,F13)*H13</f>
        <v>30676.799999999999</v>
      </c>
    </row>
    <row r="14" spans="1:50" x14ac:dyDescent="0.25">
      <c r="A14" s="71">
        <f>A12+1</f>
        <v>46074</v>
      </c>
      <c r="B14" s="79" t="s">
        <v>134</v>
      </c>
      <c r="C14" s="15" t="s">
        <v>772</v>
      </c>
      <c r="D14" s="16" t="s">
        <v>83</v>
      </c>
      <c r="E14" s="83" t="s">
        <v>75</v>
      </c>
      <c r="F14" s="28" t="s">
        <v>232</v>
      </c>
      <c r="G14" s="81">
        <v>41</v>
      </c>
      <c r="H14" s="81">
        <v>1935</v>
      </c>
      <c r="I14" s="118">
        <f>IFERROR(H14*VLOOKUP(F14,инфо!$A$15:$C$28,3,FALSE)/1000,0)</f>
        <v>33.727050000000006</v>
      </c>
      <c r="J14" s="81">
        <v>1900</v>
      </c>
      <c r="K14" s="81">
        <v>10</v>
      </c>
      <c r="L14" s="81">
        <v>8</v>
      </c>
      <c r="M14" s="20"/>
      <c r="N14" s="20">
        <v>4142</v>
      </c>
      <c r="O14" s="34">
        <v>12831</v>
      </c>
      <c r="P14" s="34">
        <v>12243</v>
      </c>
      <c r="Q14" s="34"/>
      <c r="R14" s="34"/>
      <c r="S14" s="68">
        <f t="shared" si="9"/>
        <v>25074</v>
      </c>
      <c r="T14" s="15"/>
      <c r="U14" s="16"/>
      <c r="V14" s="34"/>
      <c r="W14" s="34"/>
      <c r="X14" s="34"/>
      <c r="Y14" s="15">
        <v>380</v>
      </c>
      <c r="Z14" s="34"/>
      <c r="AA14" s="34"/>
      <c r="AB14" s="34"/>
      <c r="AC14" s="117">
        <v>410</v>
      </c>
      <c r="AD14" s="16">
        <v>205</v>
      </c>
      <c r="AE14" s="24">
        <f>SUMIFS(инфо!$D$15:$D$28,инфо!$A$15:$A$28,F14)</f>
        <v>2.06</v>
      </c>
      <c r="AF14" s="35">
        <f t="shared" si="0"/>
        <v>2.1405684754521963</v>
      </c>
      <c r="AG14" s="12">
        <f t="shared" si="13"/>
        <v>8.0568475452196253E-2</v>
      </c>
      <c r="AH14" s="24">
        <f>SUMIFS(инфо!$E$15:$E$28,инфо!$A$15:$A$28,F14)</f>
        <v>13.28</v>
      </c>
      <c r="AI14" s="32">
        <f t="shared" si="1"/>
        <v>12.958139534883721</v>
      </c>
      <c r="AJ14" s="12">
        <f t="shared" si="14"/>
        <v>-0.32186046511627886</v>
      </c>
      <c r="AK14" s="24">
        <f>SUMIFS(инфо!$F$15:$F$28,инфо!$A$15:$A$28,F14)</f>
        <v>0.20499999999999999</v>
      </c>
      <c r="AL14" s="32">
        <f t="shared" si="2"/>
        <v>0.19638242894056848</v>
      </c>
      <c r="AM14" s="12">
        <f t="shared" si="3"/>
        <v>-8.6175710594315058E-3</v>
      </c>
      <c r="AN14" s="24">
        <f>SUMIFS(инфо!$G$15:$G$28,инфо!$A$15:$A$28,F14)</f>
        <v>4.1000000000000002E-2</v>
      </c>
      <c r="AO14" s="32">
        <f t="shared" si="4"/>
        <v>0</v>
      </c>
      <c r="AP14" s="12">
        <f t="shared" si="5"/>
        <v>-4.1000000000000002E-2</v>
      </c>
      <c r="AQ14" s="24">
        <f>SUMIFS(инфо!$H$15:$H$28,инфо!$A$15:$A$28,F14)</f>
        <v>0</v>
      </c>
      <c r="AR14" s="35">
        <f t="shared" si="6"/>
        <v>0.21188630490956073</v>
      </c>
      <c r="AS14" s="12">
        <f t="shared" si="7"/>
        <v>0.21188630490956073</v>
      </c>
      <c r="AT14" s="24">
        <f>SUMIFS(инфо!$I$15:$I$28,инфо!$A$15:$A$28,F14)</f>
        <v>0.10299999999999999</v>
      </c>
      <c r="AU14" s="35">
        <f t="shared" si="12"/>
        <v>0.10594315245478036</v>
      </c>
      <c r="AV14" s="12">
        <f t="shared" si="8"/>
        <v>2.9431524547803706E-3</v>
      </c>
      <c r="AX14" s="67">
        <f>SUMIFS(инфо!$C$15:$C$28,инфо!$A$15:$A$28,F14)*H14</f>
        <v>33727.050000000003</v>
      </c>
    </row>
    <row r="15" spans="1:50" x14ac:dyDescent="0.25">
      <c r="A15" s="70">
        <f>A13+1</f>
        <v>46075</v>
      </c>
      <c r="B15" s="79" t="s">
        <v>135</v>
      </c>
      <c r="C15" s="29" t="s">
        <v>772</v>
      </c>
      <c r="D15" s="30" t="s">
        <v>82</v>
      </c>
      <c r="E15" s="83" t="s">
        <v>77</v>
      </c>
      <c r="F15" s="28" t="s">
        <v>232</v>
      </c>
      <c r="G15" s="81">
        <v>31</v>
      </c>
      <c r="H15" s="81">
        <v>1520</v>
      </c>
      <c r="I15" s="118">
        <f>IFERROR(H15*VLOOKUP(F15,инфо!$A$15:$C$28,3,FALSE)/1000,0)</f>
        <v>26.493599999999997</v>
      </c>
      <c r="J15" s="81"/>
      <c r="K15" s="81">
        <v>7</v>
      </c>
      <c r="L15" s="81">
        <v>2</v>
      </c>
      <c r="M15" s="28"/>
      <c r="N15" s="28">
        <v>3127</v>
      </c>
      <c r="O15" s="27">
        <v>9169</v>
      </c>
      <c r="P15" s="27">
        <v>9798</v>
      </c>
      <c r="Q15" s="27"/>
      <c r="R15" s="27"/>
      <c r="S15" s="67">
        <f t="shared" si="9"/>
        <v>18967</v>
      </c>
      <c r="T15" s="29"/>
      <c r="U15" s="30"/>
      <c r="V15" s="27"/>
      <c r="W15" s="27"/>
      <c r="X15" s="27"/>
      <c r="Y15" s="29">
        <v>310</v>
      </c>
      <c r="Z15" s="27"/>
      <c r="AA15" s="27"/>
      <c r="AB15" s="27"/>
      <c r="AC15" s="117">
        <v>310</v>
      </c>
      <c r="AD15" s="30">
        <v>155</v>
      </c>
      <c r="AE15" s="31">
        <f>SUMIFS(инфо!$D$15:$D$28,инфо!$A$15:$A$28,F15)</f>
        <v>2.06</v>
      </c>
      <c r="AF15" s="35">
        <f t="shared" si="0"/>
        <v>2.0572368421052634</v>
      </c>
      <c r="AG15" s="33">
        <f t="shared" si="13"/>
        <v>-2.7631578947366897E-3</v>
      </c>
      <c r="AH15" s="24">
        <f>SUMIFS(инфо!$E$15:$E$28,инфо!$A$15:$A$28,F15)</f>
        <v>13.28</v>
      </c>
      <c r="AI15" s="32">
        <f t="shared" si="1"/>
        <v>12.47828947368421</v>
      </c>
      <c r="AJ15" s="33">
        <f t="shared" si="14"/>
        <v>-0.8017105263157891</v>
      </c>
      <c r="AK15" s="31">
        <f>SUMIFS(инфо!$F$15:$F$28,инфо!$A$15:$A$28,F15)</f>
        <v>0.20499999999999999</v>
      </c>
      <c r="AL15" s="32">
        <f t="shared" si="2"/>
        <v>0.20394736842105263</v>
      </c>
      <c r="AM15" s="33">
        <f t="shared" si="3"/>
        <v>-1.0526315789473606E-3</v>
      </c>
      <c r="AN15" s="31">
        <f>SUMIFS(инфо!$G$15:$G$28,инфо!$A$15:$A$28,F15)</f>
        <v>4.1000000000000002E-2</v>
      </c>
      <c r="AO15" s="32">
        <f t="shared" si="4"/>
        <v>0</v>
      </c>
      <c r="AP15" s="33">
        <f t="shared" si="5"/>
        <v>-4.1000000000000002E-2</v>
      </c>
      <c r="AQ15" s="31">
        <f>SUMIFS(инфо!$H$15:$H$28,инфо!$A$15:$A$28,F15)</f>
        <v>0</v>
      </c>
      <c r="AR15" s="35">
        <f t="shared" si="6"/>
        <v>0.20394736842105263</v>
      </c>
      <c r="AS15" s="33">
        <f t="shared" si="7"/>
        <v>0.20394736842105263</v>
      </c>
      <c r="AT15" s="31">
        <f>SUMIFS(инфо!$I$15:$I$28,инфо!$A$15:$A$28,F15)</f>
        <v>0.10299999999999999</v>
      </c>
      <c r="AU15" s="35">
        <f t="shared" si="12"/>
        <v>0.10197368421052631</v>
      </c>
      <c r="AV15" s="33">
        <f t="shared" si="8"/>
        <v>-1.0263157894736807E-3</v>
      </c>
      <c r="AX15" s="67">
        <f>SUMIFS(инфо!$C$15:$C$28,инфо!$A$15:$A$28,F15)*H15</f>
        <v>26493.599999999999</v>
      </c>
    </row>
    <row r="16" spans="1:50" x14ac:dyDescent="0.25">
      <c r="A16" s="71">
        <v>46075</v>
      </c>
      <c r="B16" s="79" t="s">
        <v>136</v>
      </c>
      <c r="C16" s="15" t="s">
        <v>772</v>
      </c>
      <c r="D16" s="16" t="s">
        <v>83</v>
      </c>
      <c r="E16" s="83" t="s">
        <v>75</v>
      </c>
      <c r="F16" s="28" t="s">
        <v>232</v>
      </c>
      <c r="G16" s="81">
        <v>42</v>
      </c>
      <c r="H16" s="81">
        <v>1985</v>
      </c>
      <c r="I16" s="118">
        <f>IFERROR(H16*VLOOKUP(F16,инфо!$A$15:$C$28,3,FALSE)/1000,0)</f>
        <v>34.598550000000003</v>
      </c>
      <c r="J16" s="81"/>
      <c r="K16" s="81">
        <v>11</v>
      </c>
      <c r="L16" s="81">
        <v>1</v>
      </c>
      <c r="M16" s="20"/>
      <c r="N16" s="20">
        <v>4243</v>
      </c>
      <c r="O16" s="34">
        <v>13418</v>
      </c>
      <c r="P16" s="34">
        <v>12245</v>
      </c>
      <c r="Q16" s="34"/>
      <c r="R16" s="34"/>
      <c r="S16" s="68">
        <f t="shared" si="9"/>
        <v>25663</v>
      </c>
      <c r="T16" s="15"/>
      <c r="U16" s="16"/>
      <c r="V16" s="34"/>
      <c r="W16" s="34"/>
      <c r="X16" s="34"/>
      <c r="Y16" s="15">
        <v>420</v>
      </c>
      <c r="Z16" s="34"/>
      <c r="AA16" s="34"/>
      <c r="AB16" s="34"/>
      <c r="AC16" s="117">
        <v>420</v>
      </c>
      <c r="AD16" s="16">
        <v>210</v>
      </c>
      <c r="AE16" s="24">
        <f>SUMIFS(инфо!$D$15:$D$28,инфо!$A$15:$A$28,F16)</f>
        <v>2.06</v>
      </c>
      <c r="AF16" s="35">
        <f t="shared" si="0"/>
        <v>2.1375314861460959</v>
      </c>
      <c r="AG16" s="33">
        <f t="shared" si="13"/>
        <v>7.753148614609584E-2</v>
      </c>
      <c r="AH16" s="24">
        <f>SUMIFS(инфо!$E$15:$E$28,инфо!$A$15:$A$28,F16)</f>
        <v>13.28</v>
      </c>
      <c r="AI16" s="32">
        <f t="shared" si="1"/>
        <v>12.928463476070529</v>
      </c>
      <c r="AJ16" s="12">
        <f t="shared" si="14"/>
        <v>-0.35153652392946988</v>
      </c>
      <c r="AK16" s="24">
        <f>SUMIFS(инфо!$F$15:$F$28,инфо!$A$15:$A$28,F16)</f>
        <v>0.20499999999999999</v>
      </c>
      <c r="AL16" s="32">
        <f t="shared" si="2"/>
        <v>0.21158690176322417</v>
      </c>
      <c r="AM16" s="12">
        <f t="shared" si="3"/>
        <v>6.5869017632241844E-3</v>
      </c>
      <c r="AN16" s="24">
        <f>SUMIFS(инфо!$G$15:$G$28,инфо!$A$15:$A$28,F16)</f>
        <v>4.1000000000000002E-2</v>
      </c>
      <c r="AO16" s="32">
        <f t="shared" si="4"/>
        <v>0</v>
      </c>
      <c r="AP16" s="12">
        <f t="shared" si="5"/>
        <v>-4.1000000000000002E-2</v>
      </c>
      <c r="AQ16" s="24">
        <f>SUMIFS(инфо!$H$15:$H$28,инфо!$A$15:$A$28,F16)</f>
        <v>0</v>
      </c>
      <c r="AR16" s="35">
        <f t="shared" si="6"/>
        <v>0.21158690176322417</v>
      </c>
      <c r="AS16" s="12">
        <f t="shared" si="7"/>
        <v>0.21158690176322417</v>
      </c>
      <c r="AT16" s="24">
        <f>SUMIFS(инфо!$I$15:$I$28,инфо!$A$15:$A$28,F16)</f>
        <v>0.10299999999999999</v>
      </c>
      <c r="AU16" s="35">
        <f t="shared" si="12"/>
        <v>0.10579345088161209</v>
      </c>
      <c r="AV16" s="12">
        <f t="shared" si="8"/>
        <v>2.7934508816120918E-3</v>
      </c>
      <c r="AX16" s="67">
        <f>SUMIFS(инфо!$C$15:$C$28,инфо!$A$15:$A$28,F16)*H16</f>
        <v>34598.550000000003</v>
      </c>
    </row>
    <row r="17" spans="1:50" x14ac:dyDescent="0.25">
      <c r="A17" s="70">
        <f>A15+1</f>
        <v>46076</v>
      </c>
      <c r="B17" s="79" t="s">
        <v>137</v>
      </c>
      <c r="C17" s="29" t="s">
        <v>772</v>
      </c>
      <c r="D17" s="30" t="s">
        <v>82</v>
      </c>
      <c r="E17" s="83" t="s">
        <v>113</v>
      </c>
      <c r="F17" s="28" t="s">
        <v>233</v>
      </c>
      <c r="G17" s="81">
        <v>19</v>
      </c>
      <c r="H17" s="81">
        <v>1175</v>
      </c>
      <c r="I17" s="118">
        <f>IFERROR(H17*VLOOKUP(F17,инфо!$A$15:$C$28,3,FALSE)/1000,0)</f>
        <v>10.234250000000001</v>
      </c>
      <c r="J17" s="81"/>
      <c r="K17" s="81">
        <v>8</v>
      </c>
      <c r="L17" s="81">
        <v>4</v>
      </c>
      <c r="M17" s="20"/>
      <c r="N17" s="28">
        <v>1916</v>
      </c>
      <c r="O17" s="27">
        <v>6715</v>
      </c>
      <c r="P17" s="27">
        <v>4877</v>
      </c>
      <c r="Q17" s="27"/>
      <c r="R17" s="27"/>
      <c r="S17" s="67">
        <f t="shared" si="9"/>
        <v>11592</v>
      </c>
      <c r="T17" s="29"/>
      <c r="U17" s="30"/>
      <c r="V17" s="27"/>
      <c r="W17" s="27"/>
      <c r="X17" s="27"/>
      <c r="Y17" s="29">
        <v>190</v>
      </c>
      <c r="Z17" s="27"/>
      <c r="AA17" s="27"/>
      <c r="AB17" s="27"/>
      <c r="AC17" s="117">
        <v>190</v>
      </c>
      <c r="AD17" s="30"/>
      <c r="AE17" s="31">
        <f>SUMIFS(инфо!$D$15:$D$28,инфо!$A$15:$A$28,F17)</f>
        <v>1.03</v>
      </c>
      <c r="AF17" s="35">
        <f t="shared" si="0"/>
        <v>1.6306382978723404</v>
      </c>
      <c r="AG17" s="33">
        <f t="shared" si="13"/>
        <v>0.60063829787234035</v>
      </c>
      <c r="AH17" s="24">
        <f>SUMIFS(инфо!$E$15:$E$28,инфо!$A$15:$A$28,F17)</f>
        <v>664</v>
      </c>
      <c r="AI17" s="32">
        <f t="shared" si="1"/>
        <v>9.8655319148936176</v>
      </c>
      <c r="AJ17" s="33">
        <f t="shared" si="14"/>
        <v>-654.13446808510639</v>
      </c>
      <c r="AK17" s="31">
        <f>SUMIFS(инфо!$F$15:$F$28,инфо!$A$15:$A$28,F17)</f>
        <v>103</v>
      </c>
      <c r="AL17" s="32">
        <f t="shared" si="2"/>
        <v>0.16170212765957448</v>
      </c>
      <c r="AM17" s="33">
        <f t="shared" si="3"/>
        <v>-102.83829787234042</v>
      </c>
      <c r="AN17" s="31">
        <f>SUMIFS(инфо!$G$15:$G$28,инфо!$A$15:$A$28,F17)</f>
        <v>2.1000000000000001E-2</v>
      </c>
      <c r="AO17" s="32">
        <f t="shared" si="4"/>
        <v>0</v>
      </c>
      <c r="AP17" s="33">
        <f t="shared" si="5"/>
        <v>-2.1000000000000001E-2</v>
      </c>
      <c r="AQ17" s="31">
        <f>SUMIFS(инфо!$H$15:$H$28,инфо!$A$15:$A$28,F17)</f>
        <v>0</v>
      </c>
      <c r="AR17" s="35">
        <f t="shared" si="6"/>
        <v>0.16170212765957448</v>
      </c>
      <c r="AS17" s="33">
        <f t="shared" si="7"/>
        <v>0.16170212765957448</v>
      </c>
      <c r="AT17" s="31">
        <f>SUMIFS(инфо!$I$15:$I$28,инфо!$A$15:$A$28,F17)</f>
        <v>5.0999999999999997E-2</v>
      </c>
      <c r="AU17" s="35">
        <f t="shared" si="12"/>
        <v>0</v>
      </c>
      <c r="AV17" s="33">
        <f t="shared" si="8"/>
        <v>-5.0999999999999997E-2</v>
      </c>
      <c r="AX17" s="67">
        <f>SUMIFS(инфо!$C$15:$C$28,инфо!$A$15:$A$28,F17)*H17</f>
        <v>10234.250000000002</v>
      </c>
    </row>
    <row r="18" spans="1:50" x14ac:dyDescent="0.25">
      <c r="A18" s="71">
        <v>46076</v>
      </c>
      <c r="B18" s="79" t="s">
        <v>138</v>
      </c>
      <c r="C18" s="15" t="s">
        <v>772</v>
      </c>
      <c r="D18" s="16" t="s">
        <v>83</v>
      </c>
      <c r="E18" s="83" t="s">
        <v>77</v>
      </c>
      <c r="F18" s="28" t="s">
        <v>233</v>
      </c>
      <c r="G18" s="81">
        <v>37</v>
      </c>
      <c r="H18" s="81">
        <v>3145</v>
      </c>
      <c r="I18" s="118">
        <f>IFERROR(H18*VLOOKUP(F18,инфо!$A$15:$C$28,3,FALSE)/1000,0)</f>
        <v>27.392950000000006</v>
      </c>
      <c r="J18" s="81"/>
      <c r="K18" s="81"/>
      <c r="L18" s="81"/>
      <c r="M18" s="20"/>
      <c r="N18" s="20">
        <v>3724</v>
      </c>
      <c r="O18" s="34">
        <v>11459</v>
      </c>
      <c r="P18" s="34">
        <v>12099</v>
      </c>
      <c r="Q18" s="34"/>
      <c r="R18" s="34"/>
      <c r="S18" s="68">
        <f t="shared" si="9"/>
        <v>23558</v>
      </c>
      <c r="T18" s="15"/>
      <c r="U18" s="16"/>
      <c r="V18" s="34"/>
      <c r="W18" s="34"/>
      <c r="X18" s="34"/>
      <c r="Y18" s="15">
        <v>370</v>
      </c>
      <c r="Z18" s="34"/>
      <c r="AA18" s="34"/>
      <c r="AB18" s="34"/>
      <c r="AC18" s="117">
        <v>370</v>
      </c>
      <c r="AD18" s="16"/>
      <c r="AE18" s="24">
        <f>SUMIFS(инфо!$D$15:$D$28,инфо!$A$15:$A$28,F18)</f>
        <v>1.03</v>
      </c>
      <c r="AF18" s="35">
        <f t="shared" si="0"/>
        <v>1.1841017488076311</v>
      </c>
      <c r="AG18" s="12">
        <f t="shared" si="13"/>
        <v>0.15410174880763106</v>
      </c>
      <c r="AH18" s="24">
        <f>SUMIFS(инфо!$E$15:$E$28,инфо!$A$15:$A$28,F18)</f>
        <v>664</v>
      </c>
      <c r="AI18" s="32">
        <f t="shared" si="1"/>
        <v>7.4906200317965022</v>
      </c>
      <c r="AJ18" s="12">
        <f t="shared" si="14"/>
        <v>-656.50937996820346</v>
      </c>
      <c r="AK18" s="24">
        <f>SUMIFS(инфо!$F$15:$F$28,инфо!$A$15:$A$28,F18)</f>
        <v>103</v>
      </c>
      <c r="AL18" s="32">
        <f t="shared" si="2"/>
        <v>0.11764705882352941</v>
      </c>
      <c r="AM18" s="12">
        <f t="shared" si="3"/>
        <v>-102.88235294117646</v>
      </c>
      <c r="AN18" s="24">
        <f>SUMIFS(инфо!$G$15:$G$28,инфо!$A$15:$A$28,F18)</f>
        <v>2.1000000000000001E-2</v>
      </c>
      <c r="AO18" s="32">
        <f t="shared" si="4"/>
        <v>0</v>
      </c>
      <c r="AP18" s="12">
        <f t="shared" si="5"/>
        <v>-2.1000000000000001E-2</v>
      </c>
      <c r="AQ18" s="24">
        <f>SUMIFS(инфо!$H$15:$H$28,инфо!$A$15:$A$28,F18)</f>
        <v>0</v>
      </c>
      <c r="AR18" s="35">
        <f t="shared" si="6"/>
        <v>0.11764705882352941</v>
      </c>
      <c r="AS18" s="12">
        <f t="shared" si="7"/>
        <v>0.11764705882352941</v>
      </c>
      <c r="AT18" s="24">
        <f>SUMIFS(инфо!$I$15:$I$28,инфо!$A$15:$A$28,F18)</f>
        <v>5.0999999999999997E-2</v>
      </c>
      <c r="AU18" s="35">
        <f t="shared" si="12"/>
        <v>0</v>
      </c>
      <c r="AV18" s="12">
        <f t="shared" si="8"/>
        <v>-5.0999999999999997E-2</v>
      </c>
      <c r="AX18" s="67">
        <f>SUMIFS(инфо!$C$15:$C$28,инфо!$A$15:$A$28,F18)*H18</f>
        <v>27392.950000000004</v>
      </c>
    </row>
    <row r="19" spans="1:50" x14ac:dyDescent="0.25">
      <c r="A19" s="70">
        <f>A17+1</f>
        <v>46077</v>
      </c>
      <c r="B19" s="79" t="s">
        <v>139</v>
      </c>
      <c r="C19" s="29" t="s">
        <v>772</v>
      </c>
      <c r="D19" s="30" t="s">
        <v>82</v>
      </c>
      <c r="E19" s="83" t="s">
        <v>113</v>
      </c>
      <c r="F19" s="28" t="s">
        <v>233</v>
      </c>
      <c r="G19" s="81">
        <v>27</v>
      </c>
      <c r="H19" s="81">
        <v>2210</v>
      </c>
      <c r="I19" s="118">
        <f>IFERROR(H19*VLOOKUP(F19,инфо!$A$15:$C$28,3,FALSE)/1000,0)</f>
        <v>19.249100000000002</v>
      </c>
      <c r="J19" s="81"/>
      <c r="K19" s="81">
        <v>5</v>
      </c>
      <c r="L19" s="81">
        <v>2</v>
      </c>
      <c r="M19" s="20"/>
      <c r="N19" s="28">
        <v>2727</v>
      </c>
      <c r="O19" s="27">
        <v>8349</v>
      </c>
      <c r="P19" s="27">
        <v>8971</v>
      </c>
      <c r="Q19" s="27"/>
      <c r="R19" s="27"/>
      <c r="S19" s="67">
        <f t="shared" si="9"/>
        <v>17320</v>
      </c>
      <c r="T19" s="29"/>
      <c r="U19" s="30"/>
      <c r="V19" s="27"/>
      <c r="W19" s="27"/>
      <c r="X19" s="27"/>
      <c r="Y19" s="29">
        <v>135</v>
      </c>
      <c r="Z19" s="27"/>
      <c r="AA19" s="27"/>
      <c r="AB19" s="27"/>
      <c r="AC19" s="117">
        <v>270</v>
      </c>
      <c r="AD19" s="30"/>
      <c r="AE19" s="31">
        <f>SUMIFS(инфо!$D$15:$D$28,инфо!$A$15:$A$28,F19)</f>
        <v>1.03</v>
      </c>
      <c r="AF19" s="35">
        <f t="shared" si="0"/>
        <v>1.2339366515837105</v>
      </c>
      <c r="AG19" s="33">
        <f t="shared" si="13"/>
        <v>0.20393665158371044</v>
      </c>
      <c r="AH19" s="24">
        <f>SUMIFS(инфо!$E$15:$E$28,инфо!$A$15:$A$28,F19)</f>
        <v>664</v>
      </c>
      <c r="AI19" s="32">
        <f t="shared" si="1"/>
        <v>7.8371040723981897</v>
      </c>
      <c r="AJ19" s="33">
        <f t="shared" si="14"/>
        <v>-656.16289592760177</v>
      </c>
      <c r="AK19" s="31">
        <f>SUMIFS(инфо!$F$15:$F$28,инфо!$A$15:$A$28,F19)</f>
        <v>103</v>
      </c>
      <c r="AL19" s="32">
        <f t="shared" si="2"/>
        <v>6.1085972850678731E-2</v>
      </c>
      <c r="AM19" s="33">
        <f t="shared" si="3"/>
        <v>-102.93891402714932</v>
      </c>
      <c r="AN19" s="31">
        <f>SUMIFS(инфо!$G$15:$G$28,инфо!$A$15:$A$28,F19)</f>
        <v>2.1000000000000001E-2</v>
      </c>
      <c r="AO19" s="32">
        <f t="shared" si="4"/>
        <v>0</v>
      </c>
      <c r="AP19" s="33">
        <f t="shared" si="5"/>
        <v>-2.1000000000000001E-2</v>
      </c>
      <c r="AQ19" s="31">
        <f>SUMIFS(инфо!$H$15:$H$28,инфо!$A$15:$A$28,F19)</f>
        <v>0</v>
      </c>
      <c r="AR19" s="35">
        <f t="shared" si="6"/>
        <v>0.12217194570135746</v>
      </c>
      <c r="AS19" s="33">
        <f t="shared" si="7"/>
        <v>0.12217194570135746</v>
      </c>
      <c r="AT19" s="31">
        <f>SUMIFS(инфо!$I$15:$I$28,инфо!$A$15:$A$28,F19)</f>
        <v>5.0999999999999997E-2</v>
      </c>
      <c r="AU19" s="35">
        <f t="shared" si="12"/>
        <v>0</v>
      </c>
      <c r="AV19" s="33">
        <f t="shared" si="8"/>
        <v>-5.0999999999999997E-2</v>
      </c>
      <c r="AX19" s="67">
        <f>SUMIFS(инфо!$C$15:$C$28,инфо!$A$15:$A$28,F19)*H19</f>
        <v>19249.100000000002</v>
      </c>
    </row>
    <row r="20" spans="1:50" x14ac:dyDescent="0.25">
      <c r="A20" s="71">
        <f>A18+1</f>
        <v>46077</v>
      </c>
      <c r="B20" s="79" t="s">
        <v>140</v>
      </c>
      <c r="C20" s="15" t="s">
        <v>772</v>
      </c>
      <c r="D20" s="16" t="s">
        <v>83</v>
      </c>
      <c r="E20" s="83" t="s">
        <v>77</v>
      </c>
      <c r="F20" s="28" t="s">
        <v>231</v>
      </c>
      <c r="G20" s="81">
        <v>32</v>
      </c>
      <c r="H20" s="81">
        <v>3403</v>
      </c>
      <c r="I20" s="118">
        <f>IFERROR(H20*VLOOKUP(F20,инфо!$A$15:$C$28,3,FALSE)/1000,0)</f>
        <v>29.640130000000006</v>
      </c>
      <c r="J20" s="81"/>
      <c r="K20" s="81">
        <v>21</v>
      </c>
      <c r="L20" s="81">
        <v>3</v>
      </c>
      <c r="M20" s="20"/>
      <c r="N20" s="20">
        <v>3243</v>
      </c>
      <c r="O20" s="34">
        <v>10902</v>
      </c>
      <c r="P20" s="34">
        <v>9629</v>
      </c>
      <c r="Q20" s="34"/>
      <c r="R20" s="34"/>
      <c r="S20" s="68">
        <f t="shared" si="9"/>
        <v>20531</v>
      </c>
      <c r="T20" s="15"/>
      <c r="U20" s="16"/>
      <c r="V20" s="34"/>
      <c r="W20" s="34"/>
      <c r="X20" s="34"/>
      <c r="Y20" s="15">
        <v>160</v>
      </c>
      <c r="Z20" s="34"/>
      <c r="AA20" s="34"/>
      <c r="AB20" s="34"/>
      <c r="AC20" s="117">
        <v>320</v>
      </c>
      <c r="AD20" s="16">
        <v>160</v>
      </c>
      <c r="AE20" s="24">
        <f>SUMIFS(инфо!$D$15:$D$28,инфо!$A$15:$A$28,F20)</f>
        <v>1.03</v>
      </c>
      <c r="AF20" s="35">
        <f t="shared" si="0"/>
        <v>0.952982662356744</v>
      </c>
      <c r="AG20" s="12">
        <f t="shared" si="13"/>
        <v>-7.7017337643256023E-2</v>
      </c>
      <c r="AH20" s="24">
        <f>SUMIFS(инфо!$E$15:$E$28,инфо!$A$15:$A$28,F20)</f>
        <v>664</v>
      </c>
      <c r="AI20" s="32">
        <f t="shared" si="1"/>
        <v>6.0332059947105492</v>
      </c>
      <c r="AJ20" s="12">
        <f t="shared" si="14"/>
        <v>-657.96679400528944</v>
      </c>
      <c r="AK20" s="24">
        <f>SUMIFS(инфо!$F$15:$F$28,инфо!$A$15:$A$28,F20)</f>
        <v>103</v>
      </c>
      <c r="AL20" s="32">
        <f t="shared" si="2"/>
        <v>4.7017337643255948E-2</v>
      </c>
      <c r="AM20" s="12">
        <f t="shared" si="3"/>
        <v>-102.95298266235675</v>
      </c>
      <c r="AN20" s="24">
        <f>SUMIFS(инфо!$G$15:$G$28,инфо!$A$15:$A$28,F20)</f>
        <v>2.1000000000000001E-2</v>
      </c>
      <c r="AO20" s="32">
        <f t="shared" si="4"/>
        <v>0</v>
      </c>
      <c r="AP20" s="12">
        <f t="shared" si="5"/>
        <v>-2.1000000000000001E-2</v>
      </c>
      <c r="AQ20" s="24">
        <f>SUMIFS(инфо!$H$15:$H$28,инфо!$A$15:$A$28,F20)</f>
        <v>0</v>
      </c>
      <c r="AR20" s="35">
        <f t="shared" si="6"/>
        <v>9.4034675286511896E-2</v>
      </c>
      <c r="AS20" s="12">
        <f t="shared" si="7"/>
        <v>9.4034675286511896E-2</v>
      </c>
      <c r="AT20" s="24">
        <f>SUMIFS(инфо!$I$15:$I$28,инфо!$A$15:$A$28,F20)</f>
        <v>5.0999999999999997E-2</v>
      </c>
      <c r="AU20" s="35">
        <f t="shared" si="12"/>
        <v>4.7017337643255948E-2</v>
      </c>
      <c r="AV20" s="12">
        <f t="shared" si="8"/>
        <v>-3.9826623567440489E-3</v>
      </c>
      <c r="AX20" s="67">
        <f>SUMIFS(инфо!$C$15:$C$28,инфо!$A$15:$A$28,F20)*H20</f>
        <v>29640.130000000005</v>
      </c>
    </row>
    <row r="21" spans="1:50" x14ac:dyDescent="0.25">
      <c r="A21" s="70">
        <f>A19+1</f>
        <v>46078</v>
      </c>
      <c r="B21" s="79" t="s">
        <v>141</v>
      </c>
      <c r="C21" s="29" t="s">
        <v>772</v>
      </c>
      <c r="D21" s="30" t="s">
        <v>82</v>
      </c>
      <c r="E21" s="83" t="s">
        <v>75</v>
      </c>
      <c r="F21" s="28" t="s">
        <v>72</v>
      </c>
      <c r="G21" s="81">
        <v>5</v>
      </c>
      <c r="H21" s="81">
        <v>426</v>
      </c>
      <c r="I21" s="118">
        <f>IFERROR(H21*VLOOKUP(F21,инфо!$A$15:$C$28,3,FALSE)/1000,0)</f>
        <v>3.7104600000000003</v>
      </c>
      <c r="J21" s="81">
        <v>1400</v>
      </c>
      <c r="K21" s="81">
        <v>5</v>
      </c>
      <c r="L21" s="81"/>
      <c r="M21" s="20">
        <v>893</v>
      </c>
      <c r="N21" s="28">
        <v>503</v>
      </c>
      <c r="O21" s="27">
        <v>3203</v>
      </c>
      <c r="P21" s="27">
        <v>0</v>
      </c>
      <c r="Q21" s="27"/>
      <c r="R21" s="27"/>
      <c r="S21" s="67">
        <f t="shared" si="9"/>
        <v>3203</v>
      </c>
      <c r="T21" s="29"/>
      <c r="U21" s="30"/>
      <c r="V21" s="27"/>
      <c r="W21" s="27"/>
      <c r="X21" s="27"/>
      <c r="Y21" s="29">
        <v>25</v>
      </c>
      <c r="Z21" s="27"/>
      <c r="AA21" s="27"/>
      <c r="AB21" s="27"/>
      <c r="AC21" s="117">
        <v>50</v>
      </c>
      <c r="AD21" s="30"/>
      <c r="AE21" s="31">
        <f>SUMIFS(инфо!$D$15:$D$28,инфо!$A$15:$A$28,F21)</f>
        <v>1.03</v>
      </c>
      <c r="AF21" s="35">
        <f t="shared" si="0"/>
        <v>1.1807511737089202</v>
      </c>
      <c r="AG21" s="33">
        <f t="shared" si="13"/>
        <v>0.15075117370892022</v>
      </c>
      <c r="AH21" s="24">
        <f>SUMIFS(инфо!$E$15:$E$28,инфо!$A$15:$A$28,F21)</f>
        <v>664</v>
      </c>
      <c r="AI21" s="32">
        <f t="shared" si="1"/>
        <v>7.518779342723005</v>
      </c>
      <c r="AJ21" s="33">
        <f t="shared" si="14"/>
        <v>-656.48122065727705</v>
      </c>
      <c r="AK21" s="31">
        <f>SUMIFS(инфо!$F$15:$F$28,инфо!$A$15:$A$28,F21)</f>
        <v>103</v>
      </c>
      <c r="AL21" s="32">
        <f t="shared" si="2"/>
        <v>5.8685446009389672E-2</v>
      </c>
      <c r="AM21" s="33">
        <f t="shared" si="3"/>
        <v>-102.94131455399061</v>
      </c>
      <c r="AN21" s="31">
        <f>SUMIFS(инфо!$G$15:$G$28,инфо!$A$15:$A$28,F21)</f>
        <v>2.1000000000000001E-2</v>
      </c>
      <c r="AO21" s="32">
        <f t="shared" si="4"/>
        <v>0</v>
      </c>
      <c r="AP21" s="33">
        <f t="shared" si="5"/>
        <v>-2.1000000000000001E-2</v>
      </c>
      <c r="AQ21" s="31">
        <f>SUMIFS(инфо!$H$15:$H$28,инфо!$A$15:$A$28,F21)</f>
        <v>0</v>
      </c>
      <c r="AR21" s="35">
        <f t="shared" si="6"/>
        <v>0.11737089201877934</v>
      </c>
      <c r="AS21" s="33">
        <f t="shared" si="7"/>
        <v>0.11737089201877934</v>
      </c>
      <c r="AT21" s="31">
        <f>SUMIFS(инфо!$I$15:$I$28,инфо!$A$15:$A$28,F21)</f>
        <v>5.0999999999999997E-2</v>
      </c>
      <c r="AU21" s="35">
        <f t="shared" si="12"/>
        <v>0</v>
      </c>
      <c r="AV21" s="33">
        <f t="shared" si="8"/>
        <v>-5.0999999999999997E-2</v>
      </c>
      <c r="AX21" s="67">
        <f>SUMIFS(инфо!$C$15:$C$28,инфо!$A$15:$A$28,F21)*H21</f>
        <v>3710.4600000000005</v>
      </c>
    </row>
    <row r="22" spans="1:50" x14ac:dyDescent="0.25">
      <c r="A22" s="70">
        <f t="shared" ref="A22:A86" si="15">A20+1</f>
        <v>46078</v>
      </c>
      <c r="B22" s="79" t="s">
        <v>142</v>
      </c>
      <c r="C22" s="15" t="s">
        <v>772</v>
      </c>
      <c r="D22" s="16" t="s">
        <v>83</v>
      </c>
      <c r="E22" s="83" t="s">
        <v>113</v>
      </c>
      <c r="F22" s="28" t="s">
        <v>231</v>
      </c>
      <c r="G22" s="81">
        <v>22</v>
      </c>
      <c r="H22" s="81">
        <v>3310</v>
      </c>
      <c r="I22" s="118">
        <f>IFERROR(H22*VLOOKUP(F22,инфо!$A$15:$C$28,3,FALSE)/1000,0)</f>
        <v>28.830100000000002</v>
      </c>
      <c r="J22" s="81">
        <v>1200</v>
      </c>
      <c r="K22" s="81">
        <v>3</v>
      </c>
      <c r="L22" s="81">
        <v>1</v>
      </c>
      <c r="M22" s="20">
        <v>171</v>
      </c>
      <c r="N22" s="20">
        <v>2224</v>
      </c>
      <c r="O22" s="34">
        <v>10264</v>
      </c>
      <c r="P22" s="34">
        <v>4457</v>
      </c>
      <c r="Q22" s="34"/>
      <c r="R22" s="34"/>
      <c r="S22" s="68">
        <f t="shared" si="9"/>
        <v>14721</v>
      </c>
      <c r="T22" s="15"/>
      <c r="U22" s="16"/>
      <c r="V22" s="34"/>
      <c r="W22" s="34"/>
      <c r="X22" s="34"/>
      <c r="Y22" s="15">
        <v>198</v>
      </c>
      <c r="Z22" s="34"/>
      <c r="AA22" s="34"/>
      <c r="AB22" s="34"/>
      <c r="AC22" s="117">
        <v>220</v>
      </c>
      <c r="AD22" s="16"/>
      <c r="AE22" s="24">
        <f>SUMIFS(инфо!$D$15:$D$28,инфо!$A$15:$A$28,F22)</f>
        <v>1.03</v>
      </c>
      <c r="AF22" s="35">
        <f t="shared" si="0"/>
        <v>0.67190332326283986</v>
      </c>
      <c r="AG22" s="12">
        <f t="shared" si="13"/>
        <v>-0.35809667673716017</v>
      </c>
      <c r="AH22" s="24">
        <f>SUMIFS(инфо!$E$15:$E$28,инфо!$A$15:$A$28,F22)</f>
        <v>664</v>
      </c>
      <c r="AI22" s="32">
        <f t="shared" si="1"/>
        <v>4.447432024169184</v>
      </c>
      <c r="AJ22" s="12">
        <f t="shared" si="14"/>
        <v>-659.55256797583081</v>
      </c>
      <c r="AK22" s="24">
        <f>SUMIFS(инфо!$F$15:$F$28,инфо!$A$15:$A$28,F22)</f>
        <v>103</v>
      </c>
      <c r="AL22" s="32">
        <f t="shared" si="2"/>
        <v>5.9818731117824771E-2</v>
      </c>
      <c r="AM22" s="12">
        <f t="shared" si="3"/>
        <v>-102.94018126888217</v>
      </c>
      <c r="AN22" s="24">
        <f>SUMIFS(инфо!$G$15:$G$28,инфо!$A$15:$A$28,F22)</f>
        <v>2.1000000000000001E-2</v>
      </c>
      <c r="AO22" s="32">
        <f t="shared" si="4"/>
        <v>0</v>
      </c>
      <c r="AP22" s="12">
        <f t="shared" si="5"/>
        <v>-2.1000000000000001E-2</v>
      </c>
      <c r="AQ22" s="24">
        <f>SUMIFS(инфо!$H$15:$H$28,инфо!$A$15:$A$28,F22)</f>
        <v>0</v>
      </c>
      <c r="AR22" s="35">
        <f t="shared" si="6"/>
        <v>6.6465256797583083E-2</v>
      </c>
      <c r="AS22" s="12">
        <f t="shared" si="7"/>
        <v>6.6465256797583083E-2</v>
      </c>
      <c r="AT22" s="24">
        <f>SUMIFS(инфо!$I$15:$I$28,инфо!$A$15:$A$28,F22)</f>
        <v>5.0999999999999997E-2</v>
      </c>
      <c r="AU22" s="35">
        <f t="shared" si="12"/>
        <v>0</v>
      </c>
      <c r="AV22" s="12">
        <f t="shared" si="8"/>
        <v>-5.0999999999999997E-2</v>
      </c>
      <c r="AX22" s="67">
        <f>SUMIFS(инфо!$C$15:$C$28,инфо!$A$15:$A$28,F22)*H22</f>
        <v>28830.100000000002</v>
      </c>
    </row>
    <row r="23" spans="1:50" x14ac:dyDescent="0.25">
      <c r="A23" s="70">
        <f t="shared" si="15"/>
        <v>46079</v>
      </c>
      <c r="B23" s="79" t="s">
        <v>143</v>
      </c>
      <c r="C23" s="15" t="s">
        <v>772</v>
      </c>
      <c r="D23" s="16" t="s">
        <v>82</v>
      </c>
      <c r="E23" s="83" t="s">
        <v>75</v>
      </c>
      <c r="F23" s="28" t="s">
        <v>231</v>
      </c>
      <c r="G23" s="81">
        <v>21</v>
      </c>
      <c r="H23" s="81">
        <v>2530</v>
      </c>
      <c r="I23" s="118">
        <f>IFERROR(H23*VLOOKUP(F23,инфо!$A$15:$C$28,3,FALSE)/1000,0)</f>
        <v>22.036300000000004</v>
      </c>
      <c r="J23" s="81">
        <v>2200</v>
      </c>
      <c r="K23" s="81">
        <v>14</v>
      </c>
      <c r="L23" s="81">
        <v>2</v>
      </c>
      <c r="M23" s="20">
        <v>159</v>
      </c>
      <c r="N23" s="20">
        <v>2125</v>
      </c>
      <c r="O23" s="34">
        <v>6586</v>
      </c>
      <c r="P23" s="34">
        <v>7227</v>
      </c>
      <c r="Q23" s="34"/>
      <c r="R23" s="34"/>
      <c r="S23" s="68">
        <f t="shared" si="9"/>
        <v>13813</v>
      </c>
      <c r="T23" s="15"/>
      <c r="U23" s="16"/>
      <c r="V23" s="34"/>
      <c r="W23" s="34"/>
      <c r="X23" s="34"/>
      <c r="Y23" s="15">
        <v>189</v>
      </c>
      <c r="Z23" s="34"/>
      <c r="AA23" s="34"/>
      <c r="AB23" s="34"/>
      <c r="AC23" s="117">
        <v>210</v>
      </c>
      <c r="AD23" s="16">
        <v>30</v>
      </c>
      <c r="AE23" s="24">
        <f>SUMIFS(инфо!$D$15:$D$28,инфо!$A$15:$A$28,F23)</f>
        <v>1.03</v>
      </c>
      <c r="AF23" s="35">
        <f t="shared" si="0"/>
        <v>0.83992094861660083</v>
      </c>
      <c r="AG23" s="12">
        <f t="shared" si="13"/>
        <v>-0.1900790513833992</v>
      </c>
      <c r="AH23" s="24">
        <f>SUMIFS(инфо!$E$15:$E$28,инфо!$A$15:$A$28,F23)</f>
        <v>664</v>
      </c>
      <c r="AI23" s="32">
        <f t="shared" si="1"/>
        <v>5.459683794466403</v>
      </c>
      <c r="AJ23" s="12">
        <f t="shared" si="14"/>
        <v>-658.5403162055336</v>
      </c>
      <c r="AK23" s="24">
        <f>SUMIFS(инфо!$F$15:$F$28,инфо!$A$15:$A$28,F23)</f>
        <v>103</v>
      </c>
      <c r="AL23" s="32">
        <f t="shared" si="2"/>
        <v>7.4703557312252963E-2</v>
      </c>
      <c r="AM23" s="12">
        <f t="shared" si="3"/>
        <v>-102.92529644268775</v>
      </c>
      <c r="AN23" s="24">
        <f>SUMIFS(инфо!$G$15:$G$28,инфо!$A$15:$A$28,F23)</f>
        <v>2.1000000000000001E-2</v>
      </c>
      <c r="AO23" s="32">
        <f t="shared" si="4"/>
        <v>0</v>
      </c>
      <c r="AP23" s="12">
        <f t="shared" si="5"/>
        <v>-2.1000000000000001E-2</v>
      </c>
      <c r="AQ23" s="24">
        <f>SUMIFS(инфо!$H$15:$H$28,инфо!$A$15:$A$28,F23)</f>
        <v>0</v>
      </c>
      <c r="AR23" s="35">
        <f t="shared" si="6"/>
        <v>8.3003952569169967E-2</v>
      </c>
      <c r="AS23" s="12">
        <f t="shared" si="7"/>
        <v>8.3003952569169967E-2</v>
      </c>
      <c r="AT23" s="24">
        <f>SUMIFS(инфо!$I$15:$I$28,инфо!$A$15:$A$28,F23)</f>
        <v>5.0999999999999997E-2</v>
      </c>
      <c r="AU23" s="35">
        <f t="shared" si="12"/>
        <v>1.1857707509881422E-2</v>
      </c>
      <c r="AV23" s="12">
        <f t="shared" si="8"/>
        <v>-3.9142292490118573E-2</v>
      </c>
      <c r="AX23" s="67">
        <f>SUMIFS(инфо!$C$15:$C$28,инфо!$A$15:$A$28,F23)*H23</f>
        <v>22036.300000000003</v>
      </c>
    </row>
    <row r="24" spans="1:50" x14ac:dyDescent="0.25">
      <c r="A24" s="70">
        <f t="shared" si="15"/>
        <v>46079</v>
      </c>
      <c r="B24" s="79" t="s">
        <v>145</v>
      </c>
      <c r="C24" s="80" t="s">
        <v>772</v>
      </c>
      <c r="D24" s="18" t="s">
        <v>83</v>
      </c>
      <c r="E24" s="83" t="s">
        <v>113</v>
      </c>
      <c r="F24" s="28" t="s">
        <v>231</v>
      </c>
      <c r="G24" s="81">
        <v>32</v>
      </c>
      <c r="H24" s="81">
        <v>3595</v>
      </c>
      <c r="I24" s="118">
        <f>IFERROR(H24*VLOOKUP(F24,инфо!$A$15:$C$28,3,FALSE)/1000,0)</f>
        <v>31.312450000000005</v>
      </c>
      <c r="J24" s="81">
        <v>3400</v>
      </c>
      <c r="K24" s="81">
        <v>11</v>
      </c>
      <c r="L24" s="81">
        <v>1</v>
      </c>
      <c r="M24" s="20">
        <v>257</v>
      </c>
      <c r="N24" s="23">
        <v>3227</v>
      </c>
      <c r="O24" s="19">
        <v>10905</v>
      </c>
      <c r="P24" s="19">
        <v>9610</v>
      </c>
      <c r="Q24" s="19"/>
      <c r="R24" s="19"/>
      <c r="S24" s="69">
        <f t="shared" si="9"/>
        <v>20515</v>
      </c>
      <c r="T24" s="17"/>
      <c r="U24" s="18"/>
      <c r="V24" s="19"/>
      <c r="W24" s="19"/>
      <c r="X24" s="19"/>
      <c r="Y24" s="17">
        <v>270</v>
      </c>
      <c r="Z24" s="19"/>
      <c r="AA24" s="19"/>
      <c r="AB24" s="19"/>
      <c r="AC24" s="117">
        <v>320</v>
      </c>
      <c r="AD24" s="18">
        <v>160</v>
      </c>
      <c r="AE24" s="25">
        <f>SUMIFS(инфо!$D$15:$D$28,инфо!$A$15:$A$28,F24)</f>
        <v>1.03</v>
      </c>
      <c r="AF24" s="35">
        <f t="shared" si="0"/>
        <v>0.89763560500695405</v>
      </c>
      <c r="AG24" s="14">
        <f t="shared" si="13"/>
        <v>-0.13236439499304598</v>
      </c>
      <c r="AH24" s="24">
        <f>SUMIFS(инфо!$E$15:$E$28,инфо!$A$15:$A$28,F24)</f>
        <v>664</v>
      </c>
      <c r="AI24" s="32">
        <f t="shared" si="1"/>
        <v>5.7065368567454797</v>
      </c>
      <c r="AJ24" s="14">
        <f t="shared" si="14"/>
        <v>-658.29346314325448</v>
      </c>
      <c r="AK24" s="25">
        <f>SUMIFS(инфо!$F$15:$F$28,инфо!$A$15:$A$28,F24)</f>
        <v>103</v>
      </c>
      <c r="AL24" s="32">
        <f t="shared" si="2"/>
        <v>7.5104311543810851E-2</v>
      </c>
      <c r="AM24" s="14">
        <f t="shared" si="3"/>
        <v>-102.92489568845619</v>
      </c>
      <c r="AN24" s="25">
        <f>SUMIFS(инфо!$G$15:$G$28,инфо!$A$15:$A$28,F24)</f>
        <v>2.1000000000000001E-2</v>
      </c>
      <c r="AO24" s="32">
        <f t="shared" si="4"/>
        <v>0</v>
      </c>
      <c r="AP24" s="14">
        <f t="shared" si="5"/>
        <v>-2.1000000000000001E-2</v>
      </c>
      <c r="AQ24" s="25">
        <f>SUMIFS(инфо!$H$15:$H$28,инфо!$A$15:$A$28,F24)</f>
        <v>0</v>
      </c>
      <c r="AR24" s="35">
        <f t="shared" si="6"/>
        <v>8.9012517385257298E-2</v>
      </c>
      <c r="AS24" s="14">
        <f t="shared" si="7"/>
        <v>8.9012517385257298E-2</v>
      </c>
      <c r="AT24" s="25">
        <f>SUMIFS(инфо!$I$15:$I$28,инфо!$A$15:$A$28,F24)</f>
        <v>5.0999999999999997E-2</v>
      </c>
      <c r="AU24" s="35">
        <f t="shared" si="12"/>
        <v>4.4506258692628649E-2</v>
      </c>
      <c r="AV24" s="14">
        <f t="shared" si="8"/>
        <v>-6.4937413073713479E-3</v>
      </c>
      <c r="AX24" s="67">
        <f>SUMIFS(инфо!$C$15:$C$28,инфо!$A$15:$A$28,F24)*H24</f>
        <v>31312.450000000004</v>
      </c>
    </row>
    <row r="25" spans="1:50" x14ac:dyDescent="0.25">
      <c r="A25" s="70">
        <f t="shared" si="15"/>
        <v>46080</v>
      </c>
      <c r="B25" s="79" t="s">
        <v>146</v>
      </c>
      <c r="C25" s="15" t="s">
        <v>772</v>
      </c>
      <c r="D25" s="16" t="s">
        <v>82</v>
      </c>
      <c r="E25" s="83" t="s">
        <v>77</v>
      </c>
      <c r="F25" s="28" t="s">
        <v>60</v>
      </c>
      <c r="G25" s="81">
        <v>8</v>
      </c>
      <c r="H25" s="81">
        <v>204</v>
      </c>
      <c r="I25" s="118">
        <f>IFERROR(H25*VLOOKUP(F25,инфо!$A$15:$C$28,3,FALSE)/1000,0)</f>
        <v>7.1379599999999996</v>
      </c>
      <c r="J25" s="82"/>
      <c r="K25" s="81">
        <v>7</v>
      </c>
      <c r="L25" s="81">
        <v>7</v>
      </c>
      <c r="M25" s="20">
        <v>180</v>
      </c>
      <c r="N25" s="20">
        <v>812</v>
      </c>
      <c r="O25" s="20">
        <v>637</v>
      </c>
      <c r="P25" s="34">
        <v>4366</v>
      </c>
      <c r="Q25" s="34"/>
      <c r="R25" s="34"/>
      <c r="S25" s="68">
        <v>5003</v>
      </c>
      <c r="T25" s="15"/>
      <c r="U25" s="16"/>
      <c r="V25" s="34"/>
      <c r="W25" s="34"/>
      <c r="X25" s="34"/>
      <c r="Y25" s="15"/>
      <c r="Z25" s="34"/>
      <c r="AA25" s="34"/>
      <c r="AB25" s="34"/>
      <c r="AC25" s="117">
        <v>80</v>
      </c>
      <c r="AD25" s="16">
        <v>7</v>
      </c>
      <c r="AE25" s="24">
        <f>SUMIFS(инфо!$D$15:$D$28,инфо!$A$15:$A$28,F25)</f>
        <v>414</v>
      </c>
      <c r="AF25" s="35">
        <f t="shared" si="0"/>
        <v>3.9803921568627452</v>
      </c>
      <c r="AG25" s="12">
        <f t="shared" si="13"/>
        <v>-410.01960784313724</v>
      </c>
      <c r="AH25" s="24">
        <f>SUMIFS(инфо!$E$15:$E$28,инфо!$A$15:$A$28,F25)</f>
        <v>26.73</v>
      </c>
      <c r="AI25" s="32">
        <f t="shared" si="1"/>
        <v>24.524509803921568</v>
      </c>
      <c r="AJ25" s="12">
        <f t="shared" si="14"/>
        <v>-2.2054901960784328</v>
      </c>
      <c r="AK25" s="24">
        <f>SUMIFS(инфо!$F$15:$F$28,инфо!$A$15:$A$28,F25)</f>
        <v>0.41299999999999998</v>
      </c>
      <c r="AL25" s="32">
        <f t="shared" si="2"/>
        <v>0</v>
      </c>
      <c r="AM25" s="12">
        <f t="shared" si="3"/>
        <v>-0.41299999999999998</v>
      </c>
      <c r="AN25" s="24">
        <f>SUMIFS(инфо!$G$15:$G$28,инфо!$A$15:$A$28,F25)</f>
        <v>0</v>
      </c>
      <c r="AO25" s="32">
        <f t="shared" si="4"/>
        <v>0</v>
      </c>
      <c r="AP25" s="12">
        <f t="shared" si="5"/>
        <v>0</v>
      </c>
      <c r="AQ25" s="24">
        <f>SUMIFS(инфо!$H$15:$H$28,инфо!$A$15:$A$28,F25)</f>
        <v>0</v>
      </c>
      <c r="AR25" s="35">
        <f t="shared" si="6"/>
        <v>0.39215686274509803</v>
      </c>
      <c r="AS25" s="12">
        <f t="shared" si="7"/>
        <v>0.39215686274509803</v>
      </c>
      <c r="AT25" s="24">
        <f>SUMIFS(инфо!$I$15:$I$28,инфо!$A$15:$A$28,F25)</f>
        <v>0.20699999999999999</v>
      </c>
      <c r="AU25" s="35">
        <f t="shared" si="12"/>
        <v>3.4313725490196081E-2</v>
      </c>
      <c r="AV25" s="12">
        <f t="shared" si="8"/>
        <v>-0.17268627450980389</v>
      </c>
      <c r="AX25" s="67">
        <f>SUMIFS(инфо!$C$15:$C$28,инфо!$A$15:$A$28,F25)*H25</f>
        <v>7137.96</v>
      </c>
    </row>
    <row r="26" spans="1:50" x14ac:dyDescent="0.25">
      <c r="A26" s="70">
        <f t="shared" si="15"/>
        <v>46080</v>
      </c>
      <c r="B26" s="79" t="s">
        <v>147</v>
      </c>
      <c r="C26" s="15" t="s">
        <v>772</v>
      </c>
      <c r="D26" s="16" t="s">
        <v>83</v>
      </c>
      <c r="E26" s="83" t="s">
        <v>75</v>
      </c>
      <c r="F26" s="28" t="s">
        <v>60</v>
      </c>
      <c r="G26" s="81">
        <v>42</v>
      </c>
      <c r="H26" s="81">
        <v>1041</v>
      </c>
      <c r="I26" s="118">
        <f>IFERROR(H26*VLOOKUP(F26,инфо!$A$15:$C$28,3,FALSE)/1000,0)</f>
        <v>36.424590000000002</v>
      </c>
      <c r="J26" s="81">
        <v>650</v>
      </c>
      <c r="K26" s="81">
        <v>8</v>
      </c>
      <c r="L26" s="81">
        <v>2</v>
      </c>
      <c r="M26" s="20">
        <v>91</v>
      </c>
      <c r="N26" s="20">
        <v>4254</v>
      </c>
      <c r="O26" s="34">
        <v>10247</v>
      </c>
      <c r="P26" s="34">
        <v>16661</v>
      </c>
      <c r="Q26" s="34"/>
      <c r="R26" s="34"/>
      <c r="S26" s="68">
        <f t="shared" si="9"/>
        <v>26908</v>
      </c>
      <c r="T26" s="15"/>
      <c r="U26" s="16"/>
      <c r="V26" s="34"/>
      <c r="W26" s="34"/>
      <c r="X26" s="34"/>
      <c r="Y26" s="15">
        <v>378</v>
      </c>
      <c r="Z26" s="34"/>
      <c r="AA26" s="34"/>
      <c r="AB26" s="34"/>
      <c r="AC26" s="117">
        <v>420</v>
      </c>
      <c r="AD26" s="16">
        <v>205</v>
      </c>
      <c r="AE26" s="24">
        <f>SUMIFS(инфо!$D$15:$D$28,инфо!$A$15:$A$28,F26)</f>
        <v>414</v>
      </c>
      <c r="AF26" s="35">
        <f t="shared" si="0"/>
        <v>4.0864553314121039</v>
      </c>
      <c r="AG26" s="12">
        <f t="shared" si="13"/>
        <v>-409.91354466858792</v>
      </c>
      <c r="AH26" s="24">
        <f>SUMIFS(инфо!$E$15:$E$28,инфо!$A$15:$A$28,F26)</f>
        <v>26.73</v>
      </c>
      <c r="AI26" s="32">
        <f t="shared" si="1"/>
        <v>25.848222862632085</v>
      </c>
      <c r="AJ26" s="12">
        <f t="shared" si="14"/>
        <v>-0.88177713736791574</v>
      </c>
      <c r="AK26" s="24">
        <f>SUMIFS(инфо!$F$15:$F$28,инфо!$A$15:$A$28,F26)</f>
        <v>0.41299999999999998</v>
      </c>
      <c r="AL26" s="32">
        <f t="shared" si="2"/>
        <v>0.36311239193083572</v>
      </c>
      <c r="AM26" s="12">
        <f t="shared" si="3"/>
        <v>-4.9887608069164258E-2</v>
      </c>
      <c r="AN26" s="24">
        <f>SUMIFS(инфо!$G$15:$G$28,инфо!$A$15:$A$28,F26)</f>
        <v>0</v>
      </c>
      <c r="AO26" s="32">
        <f t="shared" si="4"/>
        <v>0</v>
      </c>
      <c r="AP26" s="12">
        <f t="shared" si="5"/>
        <v>0</v>
      </c>
      <c r="AQ26" s="24">
        <f>SUMIFS(инфо!$H$15:$H$28,инфо!$A$15:$A$28,F26)</f>
        <v>0</v>
      </c>
      <c r="AR26" s="35">
        <f t="shared" si="6"/>
        <v>0.40345821325648418</v>
      </c>
      <c r="AS26" s="12">
        <f t="shared" si="7"/>
        <v>0.40345821325648418</v>
      </c>
      <c r="AT26" s="24">
        <f>SUMIFS(инфо!$I$15:$I$28,инфо!$A$15:$A$28,F26)</f>
        <v>0.20699999999999999</v>
      </c>
      <c r="AU26" s="35">
        <f t="shared" si="12"/>
        <v>0.19692603266090297</v>
      </c>
      <c r="AV26" s="12">
        <f t="shared" si="8"/>
        <v>-1.0073967339097017E-2</v>
      </c>
      <c r="AX26" s="67">
        <f>SUMIFS(инфо!$C$15:$C$28,инфо!$A$15:$A$28,F26)*H26</f>
        <v>36424.590000000004</v>
      </c>
    </row>
    <row r="27" spans="1:50" x14ac:dyDescent="0.25">
      <c r="A27" s="70">
        <f t="shared" si="15"/>
        <v>46081</v>
      </c>
      <c r="B27" s="79" t="s">
        <v>148</v>
      </c>
      <c r="C27" s="15" t="s">
        <v>772</v>
      </c>
      <c r="D27" s="16" t="s">
        <v>82</v>
      </c>
      <c r="E27" s="84" t="s">
        <v>114</v>
      </c>
      <c r="F27" s="28" t="s">
        <v>60</v>
      </c>
      <c r="G27" s="81">
        <v>18</v>
      </c>
      <c r="H27" s="81">
        <v>799</v>
      </c>
      <c r="I27" s="118">
        <f>IFERROR(H27*VLOOKUP(F27,инфо!$A$15:$C$28,3,FALSE)/1000,0)</f>
        <v>27.95701</v>
      </c>
      <c r="J27" s="81">
        <v>1000</v>
      </c>
      <c r="K27" s="81">
        <v>0</v>
      </c>
      <c r="L27" s="81">
        <v>2</v>
      </c>
      <c r="M27" s="20">
        <v>20</v>
      </c>
      <c r="N27" s="20">
        <v>3647</v>
      </c>
      <c r="O27" s="34">
        <v>11527</v>
      </c>
      <c r="P27" s="34">
        <v>11547</v>
      </c>
      <c r="Q27" s="34"/>
      <c r="R27" s="34"/>
      <c r="S27" s="68">
        <f t="shared" si="9"/>
        <v>23074</v>
      </c>
      <c r="T27" s="15"/>
      <c r="U27" s="16"/>
      <c r="V27" s="34"/>
      <c r="W27" s="34"/>
      <c r="X27" s="34"/>
      <c r="Y27" s="15"/>
      <c r="Z27" s="34"/>
      <c r="AA27" s="34"/>
      <c r="AB27" s="34"/>
      <c r="AC27" s="117">
        <v>360</v>
      </c>
      <c r="AD27" s="16">
        <v>180</v>
      </c>
      <c r="AE27" s="24">
        <f>SUMIFS(инфо!$D$15:$D$28,инфо!$A$15:$A$28,F27)</f>
        <v>414</v>
      </c>
      <c r="AF27" s="35">
        <f t="shared" si="0"/>
        <v>4.5644555694618276</v>
      </c>
      <c r="AG27" s="12">
        <f t="shared" si="13"/>
        <v>-409.43554443053819</v>
      </c>
      <c r="AH27" s="24">
        <f>SUMIFS(инфо!$E$15:$E$28,инфо!$A$15:$A$28,F27)</f>
        <v>26.73</v>
      </c>
      <c r="AI27" s="32">
        <f t="shared" si="1"/>
        <v>28.878598247809762</v>
      </c>
      <c r="AJ27" s="12">
        <f t="shared" si="14"/>
        <v>2.1485982478097618</v>
      </c>
      <c r="AK27" s="24">
        <f>SUMIFS(инфо!$F$15:$F$28,инфо!$A$15:$A$28,F27)</f>
        <v>0.41299999999999998</v>
      </c>
      <c r="AL27" s="32">
        <f t="shared" si="2"/>
        <v>0</v>
      </c>
      <c r="AM27" s="12">
        <f t="shared" si="3"/>
        <v>-0.41299999999999998</v>
      </c>
      <c r="AN27" s="24">
        <f>SUMIFS(инфо!$G$15:$G$28,инфо!$A$15:$A$28,F27)</f>
        <v>0</v>
      </c>
      <c r="AO27" s="32">
        <f t="shared" si="4"/>
        <v>0</v>
      </c>
      <c r="AP27" s="12">
        <f t="shared" si="5"/>
        <v>0</v>
      </c>
      <c r="AQ27" s="24">
        <f>SUMIFS(инфо!$H$15:$H$28,инфо!$A$15:$A$28,F27)</f>
        <v>0</v>
      </c>
      <c r="AR27" s="35">
        <f t="shared" si="6"/>
        <v>0.45056320400500627</v>
      </c>
      <c r="AS27" s="12">
        <f t="shared" si="7"/>
        <v>0.45056320400500627</v>
      </c>
      <c r="AT27" s="24">
        <f>SUMIFS(инфо!$I$15:$I$28,инфо!$A$15:$A$28,F27)</f>
        <v>0.20699999999999999</v>
      </c>
      <c r="AU27" s="35">
        <f t="shared" si="12"/>
        <v>0.22528160200250313</v>
      </c>
      <c r="AV27" s="12">
        <f t="shared" si="8"/>
        <v>1.8281602002503144E-2</v>
      </c>
      <c r="AX27" s="67">
        <f>SUMIFS(инфо!$C$15:$C$28,инфо!$A$15:$A$28,F27)*H27</f>
        <v>27957.010000000002</v>
      </c>
    </row>
    <row r="28" spans="1:50" x14ac:dyDescent="0.25">
      <c r="A28" s="70">
        <f t="shared" si="15"/>
        <v>46081</v>
      </c>
      <c r="B28" s="79" t="s">
        <v>149</v>
      </c>
      <c r="C28" s="15" t="s">
        <v>772</v>
      </c>
      <c r="D28" s="16" t="s">
        <v>83</v>
      </c>
      <c r="E28" s="83" t="s">
        <v>77</v>
      </c>
      <c r="F28" s="28" t="s">
        <v>60</v>
      </c>
      <c r="G28" s="81">
        <v>21</v>
      </c>
      <c r="H28" s="81">
        <v>500</v>
      </c>
      <c r="I28" s="118">
        <f>IFERROR(H28*VLOOKUP(F28,инфо!$A$15:$C$28,3,FALSE)/1000,0)</f>
        <v>17.495000000000001</v>
      </c>
      <c r="J28" s="81">
        <v>350</v>
      </c>
      <c r="K28" s="81">
        <v>1</v>
      </c>
      <c r="L28" s="81"/>
      <c r="M28" s="20">
        <v>41</v>
      </c>
      <c r="N28" s="20">
        <v>2127</v>
      </c>
      <c r="O28" s="34">
        <v>6415</v>
      </c>
      <c r="P28" s="34">
        <v>7060</v>
      </c>
      <c r="Q28" s="34"/>
      <c r="R28" s="34"/>
      <c r="S28" s="68">
        <f t="shared" si="9"/>
        <v>13475</v>
      </c>
      <c r="T28" s="15"/>
      <c r="U28" s="16"/>
      <c r="V28" s="34"/>
      <c r="W28" s="34"/>
      <c r="X28" s="34"/>
      <c r="Y28" s="15">
        <v>189</v>
      </c>
      <c r="Z28" s="34"/>
      <c r="AA28" s="34"/>
      <c r="AB28" s="34"/>
      <c r="AC28" s="117">
        <v>210</v>
      </c>
      <c r="AD28" s="16">
        <v>10</v>
      </c>
      <c r="AE28" s="24">
        <f>SUMIFS(инфо!$D$15:$D$28,инфо!$A$15:$A$28,F28)</f>
        <v>414</v>
      </c>
      <c r="AF28" s="35">
        <f t="shared" si="0"/>
        <v>4.2539999999999996</v>
      </c>
      <c r="AG28" s="12">
        <f t="shared" si="13"/>
        <v>-409.74599999999998</v>
      </c>
      <c r="AH28" s="24">
        <f>SUMIFS(инфо!$E$15:$E$28,инфо!$A$15:$A$28,F28)</f>
        <v>26.73</v>
      </c>
      <c r="AI28" s="32">
        <f t="shared" si="1"/>
        <v>26.95</v>
      </c>
      <c r="AJ28" s="12">
        <f t="shared" si="14"/>
        <v>0.21999999999999886</v>
      </c>
      <c r="AK28" s="24">
        <f>SUMIFS(инфо!$F$15:$F$28,инфо!$A$15:$A$28,F28)</f>
        <v>0.41299999999999998</v>
      </c>
      <c r="AL28" s="32">
        <f t="shared" si="2"/>
        <v>0.378</v>
      </c>
      <c r="AM28" s="12">
        <f t="shared" si="3"/>
        <v>-3.4999999999999976E-2</v>
      </c>
      <c r="AN28" s="24">
        <f>SUMIFS(инфо!$G$15:$G$28,инфо!$A$15:$A$28,F28)</f>
        <v>0</v>
      </c>
      <c r="AO28" s="32">
        <f t="shared" si="4"/>
        <v>0</v>
      </c>
      <c r="AP28" s="12">
        <f t="shared" si="5"/>
        <v>0</v>
      </c>
      <c r="AQ28" s="24">
        <f>SUMIFS(инфо!$H$15:$H$28,инфо!$A$15:$A$28,F28)</f>
        <v>0</v>
      </c>
      <c r="AR28" s="35">
        <f t="shared" si="6"/>
        <v>0.42</v>
      </c>
      <c r="AS28" s="12">
        <f t="shared" si="7"/>
        <v>0.42</v>
      </c>
      <c r="AT28" s="24">
        <f>SUMIFS(инфо!$I$15:$I$28,инфо!$A$15:$A$28,F28)</f>
        <v>0.20699999999999999</v>
      </c>
      <c r="AU28" s="35">
        <f t="shared" si="12"/>
        <v>0.02</v>
      </c>
      <c r="AV28" s="12">
        <f t="shared" si="8"/>
        <v>-0.187</v>
      </c>
      <c r="AX28" s="67">
        <f>SUMIFS(инфо!$C$15:$C$28,инфо!$A$15:$A$28,F28)*H28</f>
        <v>17495</v>
      </c>
    </row>
    <row r="29" spans="1:50" x14ac:dyDescent="0.25">
      <c r="A29" s="70">
        <f t="shared" si="15"/>
        <v>46082</v>
      </c>
      <c r="B29" s="79" t="s">
        <v>150</v>
      </c>
      <c r="C29" s="17" t="s">
        <v>772</v>
      </c>
      <c r="D29" s="18" t="s">
        <v>82</v>
      </c>
      <c r="E29" s="83" t="s">
        <v>113</v>
      </c>
      <c r="F29" s="28" t="s">
        <v>60</v>
      </c>
      <c r="G29" s="81">
        <v>24</v>
      </c>
      <c r="H29" s="81">
        <v>580</v>
      </c>
      <c r="I29" s="118">
        <f>IFERROR(H29*VLOOKUP(F29,инфо!$A$15:$C$28,3,FALSE)/1000,0)</f>
        <v>20.2942</v>
      </c>
      <c r="J29" s="81">
        <v>550</v>
      </c>
      <c r="K29" s="81">
        <v>15</v>
      </c>
      <c r="L29" s="81">
        <v>4</v>
      </c>
      <c r="M29" s="20">
        <v>128</v>
      </c>
      <c r="N29" s="23">
        <v>2412</v>
      </c>
      <c r="O29" s="19">
        <v>5770</v>
      </c>
      <c r="P29" s="19">
        <v>9619</v>
      </c>
      <c r="Q29" s="19"/>
      <c r="R29" s="19"/>
      <c r="S29" s="69">
        <f t="shared" si="9"/>
        <v>15389</v>
      </c>
      <c r="T29" s="17"/>
      <c r="U29" s="18"/>
      <c r="V29" s="19"/>
      <c r="W29" s="19"/>
      <c r="X29" s="19"/>
      <c r="Y29" s="17">
        <v>216</v>
      </c>
      <c r="Z29" s="19"/>
      <c r="AA29" s="19"/>
      <c r="AB29" s="19"/>
      <c r="AC29" s="117">
        <v>240</v>
      </c>
      <c r="AD29" s="18">
        <v>120</v>
      </c>
      <c r="AE29" s="25">
        <f>SUMIFS(инфо!$D$15:$D$28,инфо!$A$15:$A$28,F29)</f>
        <v>414</v>
      </c>
      <c r="AF29" s="35">
        <f t="shared" si="0"/>
        <v>4.1586206896551721</v>
      </c>
      <c r="AG29" s="14">
        <f t="shared" si="13"/>
        <v>-409.84137931034485</v>
      </c>
      <c r="AH29" s="25">
        <f>SUMIFS(инфо!$E$15:$E$28,инфо!$A$15:$A$28,F29)</f>
        <v>26.73</v>
      </c>
      <c r="AI29" s="32">
        <f t="shared" si="1"/>
        <v>26.532758620689656</v>
      </c>
      <c r="AJ29" s="14">
        <f t="shared" si="14"/>
        <v>-0.19724137931034491</v>
      </c>
      <c r="AK29" s="25">
        <f>SUMIFS(инфо!$F$15:$F$28,инфо!$A$15:$A$28,F29)</f>
        <v>0.41299999999999998</v>
      </c>
      <c r="AL29" s="32">
        <f t="shared" si="2"/>
        <v>0.3724137931034483</v>
      </c>
      <c r="AM29" s="14">
        <f t="shared" si="3"/>
        <v>-4.058620689655168E-2</v>
      </c>
      <c r="AN29" s="25">
        <f>SUMIFS(инфо!$G$15:$G$28,инфо!$A$15:$A$28,F29)</f>
        <v>0</v>
      </c>
      <c r="AO29" s="32">
        <f t="shared" si="4"/>
        <v>0</v>
      </c>
      <c r="AP29" s="14">
        <f t="shared" si="5"/>
        <v>0</v>
      </c>
      <c r="AQ29" s="25">
        <f>SUMIFS(инфо!$H$15:$H$28,инфо!$A$15:$A$28,F29)</f>
        <v>0</v>
      </c>
      <c r="AR29" s="35">
        <f t="shared" si="6"/>
        <v>0.41379310344827586</v>
      </c>
      <c r="AS29" s="14">
        <f t="shared" si="7"/>
        <v>0.41379310344827586</v>
      </c>
      <c r="AT29" s="25">
        <f>SUMIFS(инфо!$I$15:$I$28,инфо!$A$15:$A$28,F29)</f>
        <v>0.20699999999999999</v>
      </c>
      <c r="AU29" s="35">
        <f t="shared" si="12"/>
        <v>0.20689655172413793</v>
      </c>
      <c r="AV29" s="14">
        <f t="shared" si="8"/>
        <v>-1.034482758620614E-4</v>
      </c>
      <c r="AX29" s="67">
        <f>SUMIFS(инфо!$C$15:$C$28,инфо!$A$15:$A$28,F29)*H29</f>
        <v>20294.2</v>
      </c>
    </row>
    <row r="30" spans="1:50" x14ac:dyDescent="0.25">
      <c r="A30" s="70">
        <f t="shared" si="15"/>
        <v>46082</v>
      </c>
      <c r="B30" s="79" t="s">
        <v>151</v>
      </c>
      <c r="C30" s="29" t="s">
        <v>772</v>
      </c>
      <c r="D30" s="30" t="s">
        <v>83</v>
      </c>
      <c r="E30" s="83" t="s">
        <v>114</v>
      </c>
      <c r="F30" s="28" t="s">
        <v>60</v>
      </c>
      <c r="G30" s="81">
        <v>47</v>
      </c>
      <c r="H30" s="81">
        <v>1126</v>
      </c>
      <c r="I30" s="118">
        <f>IFERROR(H30*VLOOKUP(F30,инфо!$A$15:$C$28,3,FALSE)/1000,0)</f>
        <v>39.398740000000004</v>
      </c>
      <c r="J30" s="81">
        <v>1200</v>
      </c>
      <c r="K30" s="81">
        <v>6</v>
      </c>
      <c r="L30" s="81">
        <v>2</v>
      </c>
      <c r="M30" s="20">
        <v>86</v>
      </c>
      <c r="N30" s="28">
        <v>4737</v>
      </c>
      <c r="O30" s="27">
        <v>14773</v>
      </c>
      <c r="P30" s="27">
        <v>15399</v>
      </c>
      <c r="Q30" s="27"/>
      <c r="R30" s="27"/>
      <c r="S30" s="67">
        <f t="shared" si="9"/>
        <v>30172</v>
      </c>
      <c r="T30" s="29"/>
      <c r="U30" s="30"/>
      <c r="V30" s="27"/>
      <c r="W30" s="27"/>
      <c r="X30" s="27"/>
      <c r="Y30" s="29">
        <v>423</v>
      </c>
      <c r="Z30" s="27"/>
      <c r="AA30" s="27"/>
      <c r="AB30" s="27"/>
      <c r="AC30" s="117">
        <v>470</v>
      </c>
      <c r="AD30" s="30">
        <v>235</v>
      </c>
      <c r="AE30" s="31">
        <f>SUMIFS(инфо!$D$15:$D$28,инфо!$A$15:$A$28,F30)</f>
        <v>414</v>
      </c>
      <c r="AF30" s="35">
        <f t="shared" si="0"/>
        <v>4.2069271758436946</v>
      </c>
      <c r="AG30" s="33">
        <f t="shared" si="13"/>
        <v>-409.7930728241563</v>
      </c>
      <c r="AH30" s="31">
        <f>SUMIFS(инфо!$E$15:$E$28,инфо!$A$15:$A$28,F30)</f>
        <v>26.73</v>
      </c>
      <c r="AI30" s="32">
        <f t="shared" si="1"/>
        <v>26.795737122557725</v>
      </c>
      <c r="AJ30" s="33">
        <f t="shared" si="14"/>
        <v>6.5737122557724348E-2</v>
      </c>
      <c r="AK30" s="31">
        <f>SUMIFS(инфо!$F$15:$F$28,инфо!$A$15:$A$28,F30)</f>
        <v>0.41299999999999998</v>
      </c>
      <c r="AL30" s="32">
        <f t="shared" si="2"/>
        <v>0.37566607460035523</v>
      </c>
      <c r="AM30" s="33">
        <f t="shared" si="3"/>
        <v>-3.7333925399644752E-2</v>
      </c>
      <c r="AN30" s="31">
        <f>SUMIFS(инфо!$G$15:$G$28,инфо!$A$15:$A$28,F30)</f>
        <v>0</v>
      </c>
      <c r="AO30" s="32">
        <f t="shared" si="4"/>
        <v>0</v>
      </c>
      <c r="AP30" s="33">
        <f t="shared" si="5"/>
        <v>0</v>
      </c>
      <c r="AQ30" s="31">
        <f>SUMIFS(инфо!$H$15:$H$28,инфо!$A$15:$A$28,F30)</f>
        <v>0</v>
      </c>
      <c r="AR30" s="35">
        <f t="shared" si="6"/>
        <v>0.41740674955595025</v>
      </c>
      <c r="AS30" s="33">
        <f t="shared" si="7"/>
        <v>0.41740674955595025</v>
      </c>
      <c r="AT30" s="31">
        <f>SUMIFS(инфо!$I$15:$I$28,инфо!$A$15:$A$28,F30)</f>
        <v>0.20699999999999999</v>
      </c>
      <c r="AU30" s="35">
        <f t="shared" si="12"/>
        <v>0.20870337477797513</v>
      </c>
      <c r="AV30" s="33">
        <f t="shared" si="8"/>
        <v>1.7033747779751363E-3</v>
      </c>
      <c r="AX30" s="67">
        <f>SUMIFS(инфо!$C$15:$C$28,инфо!$A$15:$A$28,F30)*H30</f>
        <v>39398.740000000005</v>
      </c>
    </row>
    <row r="31" spans="1:50" x14ac:dyDescent="0.25">
      <c r="A31" s="70">
        <f t="shared" si="15"/>
        <v>46083</v>
      </c>
      <c r="B31" s="79" t="s">
        <v>152</v>
      </c>
      <c r="C31" s="15" t="s">
        <v>772</v>
      </c>
      <c r="D31" s="16" t="s">
        <v>82</v>
      </c>
      <c r="E31" s="83" t="s">
        <v>75</v>
      </c>
      <c r="F31" s="28" t="s">
        <v>60</v>
      </c>
      <c r="G31" s="81">
        <v>30</v>
      </c>
      <c r="H31" s="81">
        <v>810</v>
      </c>
      <c r="I31" s="118">
        <f>IFERROR(H31*VLOOKUP(F31,инфо!$A$15:$C$28,3,FALSE)/1000,0)</f>
        <v>28.341900000000003</v>
      </c>
      <c r="J31" s="81">
        <v>1000</v>
      </c>
      <c r="K31" s="81">
        <v>3</v>
      </c>
      <c r="L31" s="81"/>
      <c r="M31" s="20">
        <v>136</v>
      </c>
      <c r="N31" s="20">
        <v>3035</v>
      </c>
      <c r="O31" s="34">
        <v>8337</v>
      </c>
      <c r="P31" s="34">
        <v>10896</v>
      </c>
      <c r="Q31" s="34"/>
      <c r="R31" s="34"/>
      <c r="S31" s="68">
        <f t="shared" si="9"/>
        <v>19233</v>
      </c>
      <c r="T31" s="15"/>
      <c r="U31" s="16"/>
      <c r="V31" s="34"/>
      <c r="W31" s="34"/>
      <c r="X31" s="34"/>
      <c r="Y31" s="15">
        <v>54</v>
      </c>
      <c r="Z31" s="34"/>
      <c r="AA31" s="34"/>
      <c r="AB31" s="34"/>
      <c r="AC31" s="117">
        <v>290</v>
      </c>
      <c r="AD31" s="16">
        <v>140</v>
      </c>
      <c r="AE31" s="24">
        <f>SUMIFS(инфо!$D$15:$D$28,инфо!$A$15:$A$28,F31)</f>
        <v>414</v>
      </c>
      <c r="AF31" s="35">
        <f t="shared" si="0"/>
        <v>3.7469135802469138</v>
      </c>
      <c r="AG31" s="12">
        <f t="shared" si="13"/>
        <v>-410.25308641975306</v>
      </c>
      <c r="AH31" s="24">
        <f>SUMIFS(инфо!$E$15:$E$28,инфо!$A$15:$A$28,F31)</f>
        <v>26.73</v>
      </c>
      <c r="AI31" s="32">
        <f t="shared" si="1"/>
        <v>23.744444444444444</v>
      </c>
      <c r="AJ31" s="12">
        <f t="shared" si="14"/>
        <v>-2.9855555555555569</v>
      </c>
      <c r="AK31" s="24">
        <f>SUMIFS(инфо!$F$15:$F$28,инфо!$A$15:$A$28,F31)</f>
        <v>0.41299999999999998</v>
      </c>
      <c r="AL31" s="32">
        <f t="shared" si="2"/>
        <v>6.6666666666666666E-2</v>
      </c>
      <c r="AM31" s="12">
        <f t="shared" si="3"/>
        <v>-0.34633333333333333</v>
      </c>
      <c r="AN31" s="24">
        <f>SUMIFS(инфо!$G$15:$G$28,инфо!$A$15:$A$28,F31)</f>
        <v>0</v>
      </c>
      <c r="AO31" s="32">
        <f t="shared" si="4"/>
        <v>0</v>
      </c>
      <c r="AP31" s="12">
        <f t="shared" si="5"/>
        <v>0</v>
      </c>
      <c r="AQ31" s="24">
        <f>SUMIFS(инфо!$H$15:$H$28,инфо!$A$15:$A$28,F31)</f>
        <v>0</v>
      </c>
      <c r="AR31" s="35">
        <f t="shared" si="6"/>
        <v>0.35802469135802467</v>
      </c>
      <c r="AS31" s="12">
        <f t="shared" si="7"/>
        <v>0.35802469135802467</v>
      </c>
      <c r="AT31" s="24">
        <f>SUMIFS(инфо!$I$15:$I$28,инфо!$A$15:$A$28,F31)</f>
        <v>0.20699999999999999</v>
      </c>
      <c r="AU31" s="35">
        <f t="shared" si="12"/>
        <v>0.1728395061728395</v>
      </c>
      <c r="AV31" s="12">
        <f t="shared" si="8"/>
        <v>-3.4160493827160493E-2</v>
      </c>
      <c r="AX31" s="67">
        <f>SUMIFS(инфо!$C$15:$C$28,инфо!$A$15:$A$28,F31)*H31</f>
        <v>28341.9</v>
      </c>
    </row>
    <row r="32" spans="1:50" x14ac:dyDescent="0.25">
      <c r="A32" s="70">
        <v>46083</v>
      </c>
      <c r="B32" s="79" t="s">
        <v>177</v>
      </c>
      <c r="C32" s="15" t="s">
        <v>772</v>
      </c>
      <c r="D32" s="16" t="s">
        <v>83</v>
      </c>
      <c r="E32" s="83" t="s">
        <v>113</v>
      </c>
      <c r="F32" s="28" t="s">
        <v>60</v>
      </c>
      <c r="G32" s="81">
        <v>0</v>
      </c>
      <c r="H32" s="81">
        <v>0</v>
      </c>
      <c r="I32" s="118">
        <f>IFERROR(H32*VLOOKUP(F32,инфо!$A$15:$C$28,3,FALSE)/1000,0)</f>
        <v>0</v>
      </c>
      <c r="J32" s="81">
        <v>300</v>
      </c>
      <c r="K32" s="81">
        <v>7</v>
      </c>
      <c r="L32" s="81">
        <v>1</v>
      </c>
      <c r="M32" s="20"/>
      <c r="N32" s="20"/>
      <c r="O32" s="34"/>
      <c r="P32" s="34"/>
      <c r="Q32" s="34"/>
      <c r="R32" s="34"/>
      <c r="S32" s="68">
        <f t="shared" si="9"/>
        <v>0</v>
      </c>
      <c r="T32" s="15"/>
      <c r="U32" s="16"/>
      <c r="V32" s="34"/>
      <c r="W32" s="34"/>
      <c r="X32" s="34"/>
      <c r="Y32" s="15"/>
      <c r="Z32" s="34"/>
      <c r="AA32" s="34"/>
      <c r="AB32" s="34"/>
      <c r="AC32" s="34"/>
      <c r="AD32" s="16"/>
      <c r="AE32" s="24">
        <f>SUMIFS(инфо!$D$15:$D$28,инфо!$A$15:$A$28,F32)</f>
        <v>414</v>
      </c>
      <c r="AF32" s="35">
        <f t="shared" si="0"/>
        <v>0</v>
      </c>
      <c r="AG32" s="12">
        <f t="shared" si="13"/>
        <v>-414</v>
      </c>
      <c r="AH32" s="24">
        <f>SUMIFS(инфо!$E$15:$E$28,инфо!$A$15:$A$28,F32)</f>
        <v>26.73</v>
      </c>
      <c r="AI32" s="32">
        <f t="shared" si="1"/>
        <v>0</v>
      </c>
      <c r="AJ32" s="12">
        <f t="shared" si="14"/>
        <v>-26.73</v>
      </c>
      <c r="AK32" s="24">
        <f>SUMIFS(инфо!$F$15:$F$28,инфо!$A$15:$A$28,F32)</f>
        <v>0.41299999999999998</v>
      </c>
      <c r="AL32" s="32">
        <f t="shared" si="2"/>
        <v>0</v>
      </c>
      <c r="AM32" s="12">
        <f t="shared" si="3"/>
        <v>-0.41299999999999998</v>
      </c>
      <c r="AN32" s="24">
        <f>SUMIFS(инфо!$G$15:$G$28,инфо!$A$15:$A$28,F32)</f>
        <v>0</v>
      </c>
      <c r="AO32" s="32">
        <f t="shared" si="4"/>
        <v>0</v>
      </c>
      <c r="AP32" s="12">
        <f t="shared" si="5"/>
        <v>0</v>
      </c>
      <c r="AQ32" s="24">
        <f>SUMIFS(инфо!$H$15:$H$28,инфо!$A$15:$A$28,F32)</f>
        <v>0</v>
      </c>
      <c r="AR32" s="35">
        <f t="shared" si="6"/>
        <v>0</v>
      </c>
      <c r="AS32" s="12">
        <f t="shared" si="7"/>
        <v>0</v>
      </c>
      <c r="AT32" s="24">
        <f>SUMIFS(инфо!$I$15:$I$28,инфо!$A$15:$A$28,F32)</f>
        <v>0.20699999999999999</v>
      </c>
      <c r="AU32" s="35">
        <f t="shared" si="12"/>
        <v>0</v>
      </c>
      <c r="AV32" s="12">
        <f t="shared" si="8"/>
        <v>-0.20699999999999999</v>
      </c>
      <c r="AX32" s="67">
        <f>SUMIFS(инфо!$C$15:$C$28,инфо!$A$15:$A$28,F32)*H32</f>
        <v>0</v>
      </c>
    </row>
    <row r="33" spans="1:50" x14ac:dyDescent="0.25">
      <c r="A33" s="70">
        <f t="shared" si="15"/>
        <v>46084</v>
      </c>
      <c r="B33" s="79" t="s">
        <v>153</v>
      </c>
      <c r="C33" s="15" t="s">
        <v>772</v>
      </c>
      <c r="D33" s="18" t="s">
        <v>82</v>
      </c>
      <c r="E33" s="83" t="s">
        <v>77</v>
      </c>
      <c r="F33" s="28" t="s">
        <v>60</v>
      </c>
      <c r="G33" s="81">
        <v>16</v>
      </c>
      <c r="H33" s="81">
        <v>420</v>
      </c>
      <c r="I33" s="118">
        <f>IFERROR(H33*VLOOKUP(F33,инфо!$A$15:$C$28,3,FALSE)/1000,0)</f>
        <v>14.695800000000002</v>
      </c>
      <c r="J33" s="81"/>
      <c r="K33" s="81"/>
      <c r="L33" s="81"/>
      <c r="M33" s="20">
        <v>74</v>
      </c>
      <c r="N33" s="23">
        <v>1609</v>
      </c>
      <c r="O33" s="19">
        <v>3675</v>
      </c>
      <c r="P33" s="19">
        <v>6284</v>
      </c>
      <c r="Q33" s="19"/>
      <c r="R33" s="19"/>
      <c r="S33" s="69">
        <f t="shared" si="9"/>
        <v>9959</v>
      </c>
      <c r="T33" s="17"/>
      <c r="U33" s="18"/>
      <c r="V33" s="19"/>
      <c r="W33" s="19"/>
      <c r="X33" s="19"/>
      <c r="Y33" s="17">
        <v>135</v>
      </c>
      <c r="Z33" s="19"/>
      <c r="AA33" s="19"/>
      <c r="AB33" s="19"/>
      <c r="AC33" s="117">
        <v>30</v>
      </c>
      <c r="AD33" s="18">
        <v>80</v>
      </c>
      <c r="AE33" s="25">
        <f>SUMIFS(инфо!$D$15:$D$28,инфо!$A$15:$A$28,F33)</f>
        <v>414</v>
      </c>
      <c r="AF33" s="35">
        <f t="shared" si="0"/>
        <v>3.8309523809523811</v>
      </c>
      <c r="AG33" s="14">
        <f t="shared" si="13"/>
        <v>-410.1690476190476</v>
      </c>
      <c r="AH33" s="25">
        <f>SUMIFS(инфо!$E$15:$E$28,инфо!$A$15:$A$28,F33)</f>
        <v>26.73</v>
      </c>
      <c r="AI33" s="32">
        <f t="shared" si="1"/>
        <v>23.711904761904762</v>
      </c>
      <c r="AJ33" s="14">
        <f t="shared" si="14"/>
        <v>-3.0180952380952384</v>
      </c>
      <c r="AK33" s="25">
        <f>SUMIFS(инфо!$F$15:$F$28,инфо!$A$15:$A$28,F33)</f>
        <v>0.41299999999999998</v>
      </c>
      <c r="AL33" s="32">
        <f t="shared" si="2"/>
        <v>0.32142857142857145</v>
      </c>
      <c r="AM33" s="14">
        <f t="shared" si="3"/>
        <v>-9.1571428571428526E-2</v>
      </c>
      <c r="AN33" s="25">
        <f>SUMIFS(инфо!$G$15:$G$28,инфо!$A$15:$A$28,F33)</f>
        <v>0</v>
      </c>
      <c r="AO33" s="32">
        <f t="shared" si="4"/>
        <v>0</v>
      </c>
      <c r="AP33" s="14">
        <f t="shared" si="5"/>
        <v>0</v>
      </c>
      <c r="AQ33" s="25">
        <f>SUMIFS(инфо!$H$15:$H$28,инфо!$A$15:$A$28,F33)</f>
        <v>0</v>
      </c>
      <c r="AR33" s="35">
        <f t="shared" si="6"/>
        <v>7.1428571428571425E-2</v>
      </c>
      <c r="AS33" s="14">
        <f t="shared" si="7"/>
        <v>7.1428571428571425E-2</v>
      </c>
      <c r="AT33" s="25">
        <f>SUMIFS(инфо!$I$15:$I$28,инфо!$A$15:$A$28,F33)</f>
        <v>0.20699999999999999</v>
      </c>
      <c r="AU33" s="35">
        <f t="shared" si="12"/>
        <v>0.19047619047619047</v>
      </c>
      <c r="AV33" s="14">
        <f t="shared" si="8"/>
        <v>-1.6523809523809524E-2</v>
      </c>
      <c r="AX33" s="67">
        <f>SUMIFS(инфо!$C$15:$C$28,инфо!$A$15:$A$28,F33)*H33</f>
        <v>14695.800000000001</v>
      </c>
    </row>
    <row r="34" spans="1:50" x14ac:dyDescent="0.25">
      <c r="A34" s="70">
        <f>A32+1</f>
        <v>46084</v>
      </c>
      <c r="B34" s="79" t="s">
        <v>154</v>
      </c>
      <c r="C34" s="15" t="s">
        <v>772</v>
      </c>
      <c r="D34" s="16" t="s">
        <v>83</v>
      </c>
      <c r="E34" s="83" t="s">
        <v>75</v>
      </c>
      <c r="F34" s="28" t="s">
        <v>60</v>
      </c>
      <c r="G34" s="81">
        <v>14</v>
      </c>
      <c r="H34" s="81">
        <v>330</v>
      </c>
      <c r="I34" s="118">
        <f>IFERROR(H34*VLOOKUP(F34,инфо!$A$15:$C$28,3,FALSE)/1000,0)</f>
        <v>11.546700000000001</v>
      </c>
      <c r="J34" s="81">
        <v>300</v>
      </c>
      <c r="K34" s="81"/>
      <c r="L34" s="81"/>
      <c r="M34" s="20">
        <v>111</v>
      </c>
      <c r="N34" s="20">
        <v>1411</v>
      </c>
      <c r="O34" s="34">
        <v>4479</v>
      </c>
      <c r="P34" s="34">
        <v>4484</v>
      </c>
      <c r="Q34" s="34"/>
      <c r="R34" s="34"/>
      <c r="S34" s="68">
        <f t="shared" si="9"/>
        <v>8963</v>
      </c>
      <c r="T34" s="15">
        <v>100</v>
      </c>
      <c r="U34" s="16">
        <v>640</v>
      </c>
      <c r="V34" s="34"/>
      <c r="W34" s="34"/>
      <c r="X34" s="34"/>
      <c r="Y34" s="15">
        <v>126</v>
      </c>
      <c r="Z34" s="34"/>
      <c r="AA34" s="34"/>
      <c r="AB34" s="34"/>
      <c r="AC34" s="117">
        <v>140</v>
      </c>
      <c r="AD34" s="16">
        <v>70</v>
      </c>
      <c r="AE34" s="24">
        <f>SUMIFS(инфо!$D$15:$D$28,инфо!$A$15:$A$28,F34)</f>
        <v>414</v>
      </c>
      <c r="AF34" s="35">
        <f t="shared" si="0"/>
        <v>4.2757575757575754</v>
      </c>
      <c r="AG34" s="12">
        <f t="shared" si="13"/>
        <v>-409.72424242424245</v>
      </c>
      <c r="AH34" s="24">
        <f>SUMIFS(инфо!$E$15:$E$28,инфо!$A$15:$A$28,F34)</f>
        <v>26.73</v>
      </c>
      <c r="AI34" s="32">
        <f t="shared" si="1"/>
        <v>27.16060606060606</v>
      </c>
      <c r="AJ34" s="12">
        <f t="shared" si="14"/>
        <v>0.43060606060605977</v>
      </c>
      <c r="AK34" s="24">
        <f>SUMIFS(инфо!$F$15:$F$28,инфо!$A$15:$A$28,F34)</f>
        <v>0.41299999999999998</v>
      </c>
      <c r="AL34" s="32">
        <f t="shared" si="2"/>
        <v>0.38181818181818183</v>
      </c>
      <c r="AM34" s="12">
        <f t="shared" si="3"/>
        <v>-3.1181818181818144E-2</v>
      </c>
      <c r="AN34" s="24">
        <f>SUMIFS(инфо!$G$15:$G$28,инфо!$A$15:$A$28,F34)</f>
        <v>0</v>
      </c>
      <c r="AO34" s="32">
        <f t="shared" si="4"/>
        <v>0</v>
      </c>
      <c r="AP34" s="12">
        <f t="shared" si="5"/>
        <v>0</v>
      </c>
      <c r="AQ34" s="24">
        <f>SUMIFS(инфо!$H$15:$H$28,инфо!$A$15:$A$28,F34)</f>
        <v>0</v>
      </c>
      <c r="AR34" s="35">
        <f t="shared" si="6"/>
        <v>0.42424242424242425</v>
      </c>
      <c r="AS34" s="12">
        <f t="shared" si="7"/>
        <v>0.42424242424242425</v>
      </c>
      <c r="AT34" s="24">
        <f>SUMIFS(инфо!$I$15:$I$28,инфо!$A$15:$A$28,F34)</f>
        <v>0.20699999999999999</v>
      </c>
      <c r="AU34" s="35">
        <f t="shared" si="12"/>
        <v>0.21212121212121213</v>
      </c>
      <c r="AV34" s="12">
        <f t="shared" si="8"/>
        <v>5.1212121212121375E-3</v>
      </c>
      <c r="AX34" s="67">
        <f>SUMIFS(инфо!$C$15:$C$28,инфо!$A$15:$A$28,F34)*H34</f>
        <v>11546.7</v>
      </c>
    </row>
    <row r="35" spans="1:50" x14ac:dyDescent="0.25">
      <c r="A35" s="70">
        <f t="shared" si="15"/>
        <v>46085</v>
      </c>
      <c r="B35" s="79" t="s">
        <v>155</v>
      </c>
      <c r="C35" s="15" t="s">
        <v>772</v>
      </c>
      <c r="D35" s="16" t="s">
        <v>82</v>
      </c>
      <c r="E35" s="83" t="s">
        <v>114</v>
      </c>
      <c r="F35" s="28" t="s">
        <v>60</v>
      </c>
      <c r="G35" s="81">
        <v>9</v>
      </c>
      <c r="H35" s="81">
        <v>200</v>
      </c>
      <c r="I35" s="118">
        <f>IFERROR(H35*VLOOKUP(F35,инфо!$A$15:$C$28,3,FALSE)/1000,0)</f>
        <v>6.9980000000000002</v>
      </c>
      <c r="J35" s="81"/>
      <c r="K35" s="81">
        <v>4</v>
      </c>
      <c r="L35" s="81"/>
      <c r="M35" s="20">
        <v>13</v>
      </c>
      <c r="N35" s="20">
        <v>909</v>
      </c>
      <c r="O35" s="34">
        <v>5118</v>
      </c>
      <c r="P35" s="34">
        <v>639</v>
      </c>
      <c r="Q35" s="34"/>
      <c r="R35" s="34"/>
      <c r="S35" s="68">
        <f t="shared" si="9"/>
        <v>5757</v>
      </c>
      <c r="T35" s="15"/>
      <c r="U35" s="16"/>
      <c r="V35" s="34"/>
      <c r="W35" s="34"/>
      <c r="X35" s="34"/>
      <c r="Y35" s="15">
        <v>81</v>
      </c>
      <c r="Z35" s="34"/>
      <c r="AA35" s="34"/>
      <c r="AB35" s="34"/>
      <c r="AC35" s="117">
        <v>90</v>
      </c>
      <c r="AD35" s="16">
        <v>45</v>
      </c>
      <c r="AE35" s="24">
        <f>SUMIFS(инфо!$D$15:$D$28,инфо!$A$15:$A$28,F35)</f>
        <v>414</v>
      </c>
      <c r="AF35" s="35">
        <f t="shared" ref="AF35:AF66" si="16">IF(H35=0,0,N35/H35)</f>
        <v>4.5449999999999999</v>
      </c>
      <c r="AG35" s="12">
        <f t="shared" si="13"/>
        <v>-409.45499999999998</v>
      </c>
      <c r="AH35" s="24">
        <f>SUMIFS(инфо!$E$15:$E$28,инфо!$A$15:$A$28,F35)</f>
        <v>26.73</v>
      </c>
      <c r="AI35" s="32">
        <f t="shared" ref="AI35:AI66" si="17">IF(H35=0,0,S35/H35)</f>
        <v>28.785</v>
      </c>
      <c r="AJ35" s="12">
        <f t="shared" si="14"/>
        <v>2.0549999999999997</v>
      </c>
      <c r="AK35" s="24">
        <f>SUMIFS(инфо!$F$15:$F$28,инфо!$A$15:$A$28,F35)</f>
        <v>0.41299999999999998</v>
      </c>
      <c r="AL35" s="32">
        <f t="shared" ref="AL35:AL66" si="18">IF(H35=0,0,Y35/H35)</f>
        <v>0.40500000000000003</v>
      </c>
      <c r="AM35" s="12">
        <f t="shared" si="3"/>
        <v>-7.9999999999999516E-3</v>
      </c>
      <c r="AN35" s="24">
        <f>SUMIFS(инфо!$G$15:$G$28,инфо!$A$15:$A$28,F35)</f>
        <v>0</v>
      </c>
      <c r="AO35" s="32">
        <f t="shared" ref="AO35:AO66" si="19">IF(H35=0,0,AA35/H35)</f>
        <v>0</v>
      </c>
      <c r="AP35" s="12">
        <f t="shared" si="5"/>
        <v>0</v>
      </c>
      <c r="AQ35" s="24">
        <f>SUMIFS(инфо!$H$15:$H$28,инфо!$A$15:$A$28,F35)</f>
        <v>0</v>
      </c>
      <c r="AR35" s="35">
        <f t="shared" si="6"/>
        <v>0.45</v>
      </c>
      <c r="AS35" s="12">
        <f t="shared" si="7"/>
        <v>0.45</v>
      </c>
      <c r="AT35" s="24">
        <f>SUMIFS(инфо!$I$15:$I$28,инфо!$A$15:$A$28,F35)</f>
        <v>0.20699999999999999</v>
      </c>
      <c r="AU35" s="35">
        <f t="shared" si="12"/>
        <v>0.22500000000000001</v>
      </c>
      <c r="AV35" s="12">
        <f t="shared" si="8"/>
        <v>1.8000000000000016E-2</v>
      </c>
      <c r="AX35" s="67">
        <f>SUMIFS(инфо!$C$15:$C$28,инфо!$A$15:$A$28,F35)*H35</f>
        <v>6998</v>
      </c>
    </row>
    <row r="36" spans="1:50" x14ac:dyDescent="0.25">
      <c r="A36" s="70">
        <f t="shared" si="15"/>
        <v>46085</v>
      </c>
      <c r="B36" s="79" t="s">
        <v>156</v>
      </c>
      <c r="C36" s="17" t="s">
        <v>772</v>
      </c>
      <c r="D36" s="18" t="s">
        <v>83</v>
      </c>
      <c r="E36" s="83" t="s">
        <v>77</v>
      </c>
      <c r="F36" s="28" t="s">
        <v>60</v>
      </c>
      <c r="G36" s="81">
        <v>23</v>
      </c>
      <c r="H36" s="81">
        <v>600</v>
      </c>
      <c r="I36" s="118">
        <f>IFERROR(H36*VLOOKUP(F36,инфо!$A$15:$C$28,3,FALSE)/1000,0)</f>
        <v>20.994</v>
      </c>
      <c r="J36" s="81">
        <v>300</v>
      </c>
      <c r="K36" s="81"/>
      <c r="L36" s="81"/>
      <c r="M36" s="20">
        <v>72</v>
      </c>
      <c r="N36" s="23">
        <v>2321</v>
      </c>
      <c r="O36" s="19">
        <v>3834</v>
      </c>
      <c r="P36" s="19">
        <v>10887</v>
      </c>
      <c r="Q36" s="19"/>
      <c r="R36" s="19"/>
      <c r="S36" s="69">
        <f t="shared" si="9"/>
        <v>14721</v>
      </c>
      <c r="T36" s="17"/>
      <c r="U36" s="18"/>
      <c r="V36" s="19"/>
      <c r="W36" s="19"/>
      <c r="X36" s="19"/>
      <c r="Y36" s="17">
        <v>155</v>
      </c>
      <c r="Z36" s="19"/>
      <c r="AA36" s="19"/>
      <c r="AB36" s="19"/>
      <c r="AC36" s="117">
        <v>230</v>
      </c>
      <c r="AD36" s="18">
        <v>115</v>
      </c>
      <c r="AE36" s="25">
        <f>SUMIFS(инфо!$D$15:$D$28,инфо!$A$15:$A$28,F36)</f>
        <v>414</v>
      </c>
      <c r="AF36" s="35">
        <f t="shared" si="16"/>
        <v>3.8683333333333332</v>
      </c>
      <c r="AG36" s="14">
        <f t="shared" si="13"/>
        <v>-410.13166666666666</v>
      </c>
      <c r="AH36" s="25">
        <f>SUMIFS(инфо!$E$15:$E$28,инфо!$A$15:$A$28,F36)</f>
        <v>26.73</v>
      </c>
      <c r="AI36" s="32">
        <f t="shared" si="17"/>
        <v>24.535</v>
      </c>
      <c r="AJ36" s="14">
        <f t="shared" si="14"/>
        <v>-2.1950000000000003</v>
      </c>
      <c r="AK36" s="25">
        <f>SUMIFS(инфо!$F$15:$F$28,инфо!$A$15:$A$28,F36)</f>
        <v>0.41299999999999998</v>
      </c>
      <c r="AL36" s="32">
        <f t="shared" si="18"/>
        <v>0.25833333333333336</v>
      </c>
      <c r="AM36" s="14">
        <f t="shared" si="3"/>
        <v>-0.15466666666666662</v>
      </c>
      <c r="AN36" s="25">
        <f>SUMIFS(инфо!$G$15:$G$28,инфо!$A$15:$A$28,F36)</f>
        <v>0</v>
      </c>
      <c r="AO36" s="32">
        <f t="shared" si="19"/>
        <v>0</v>
      </c>
      <c r="AP36" s="14">
        <f t="shared" si="5"/>
        <v>0</v>
      </c>
      <c r="AQ36" s="25">
        <f>SUMIFS(инфо!$H$15:$H$28,инфо!$A$15:$A$28,F36)</f>
        <v>0</v>
      </c>
      <c r="AR36" s="35">
        <f t="shared" si="6"/>
        <v>0.38333333333333336</v>
      </c>
      <c r="AS36" s="14">
        <f t="shared" si="7"/>
        <v>0.38333333333333336</v>
      </c>
      <c r="AT36" s="25">
        <f>SUMIFS(инфо!$I$15:$I$28,инфо!$A$15:$A$28,F36)</f>
        <v>0.20699999999999999</v>
      </c>
      <c r="AU36" s="35">
        <f t="shared" si="12"/>
        <v>0.19166666666666668</v>
      </c>
      <c r="AV36" s="14">
        <f t="shared" si="8"/>
        <v>-1.533333333333331E-2</v>
      </c>
      <c r="AX36" s="69">
        <f>SUMIFS(инфо!$C$15:$C$28,инфо!$A$15:$A$28,F36)*H35</f>
        <v>6998</v>
      </c>
    </row>
    <row r="37" spans="1:50" x14ac:dyDescent="0.25">
      <c r="A37" s="70">
        <f t="shared" si="15"/>
        <v>46086</v>
      </c>
      <c r="B37" s="79" t="s">
        <v>157</v>
      </c>
      <c r="C37" s="13" t="s">
        <v>772</v>
      </c>
      <c r="D37" s="30" t="s">
        <v>82</v>
      </c>
      <c r="E37" s="83" t="s">
        <v>113</v>
      </c>
      <c r="F37" s="28" t="s">
        <v>60</v>
      </c>
      <c r="G37" s="81">
        <v>11</v>
      </c>
      <c r="H37" s="81">
        <v>214</v>
      </c>
      <c r="I37" s="118">
        <f>IFERROR(H37*VLOOKUP(F37,инфо!$A$15:$C$28,3,FALSE)/1000,0)</f>
        <v>7.4878600000000004</v>
      </c>
      <c r="J37" s="81">
        <v>400</v>
      </c>
      <c r="K37" s="81">
        <v>2</v>
      </c>
      <c r="L37" s="81">
        <v>1</v>
      </c>
      <c r="M37" s="20">
        <v>25</v>
      </c>
      <c r="N37" s="28">
        <v>1113</v>
      </c>
      <c r="O37" s="27">
        <v>1279</v>
      </c>
      <c r="P37" s="27">
        <v>5762</v>
      </c>
      <c r="Q37" s="27"/>
      <c r="R37" s="27"/>
      <c r="S37" s="67">
        <f t="shared" si="9"/>
        <v>7041</v>
      </c>
      <c r="T37" s="29">
        <v>55</v>
      </c>
      <c r="U37" s="30"/>
      <c r="V37" s="27"/>
      <c r="W37" s="27"/>
      <c r="X37" s="27"/>
      <c r="Y37" s="29">
        <v>110</v>
      </c>
      <c r="Z37" s="27"/>
      <c r="AA37" s="27"/>
      <c r="AB37" s="27"/>
      <c r="AC37" s="117">
        <v>110</v>
      </c>
      <c r="AD37" s="30"/>
      <c r="AE37" s="31">
        <f>SUMIFS(инфо!$D$15:$D$28,инфо!$A$15:$A$28,F37)</f>
        <v>414</v>
      </c>
      <c r="AF37" s="35">
        <f t="shared" si="16"/>
        <v>5.2009345794392523</v>
      </c>
      <c r="AG37" s="33">
        <f t="shared" si="13"/>
        <v>-408.79906542056074</v>
      </c>
      <c r="AH37" s="31">
        <f>SUMIFS(инфо!$E$15:$E$28,инфо!$A$15:$A$28,F37)</f>
        <v>26.73</v>
      </c>
      <c r="AI37" s="32">
        <f t="shared" si="17"/>
        <v>32.901869158878505</v>
      </c>
      <c r="AJ37" s="33">
        <f t="shared" si="14"/>
        <v>6.1718691588785042</v>
      </c>
      <c r="AK37" s="31">
        <f>SUMIFS(инфо!$F$15:$F$28,инфо!$A$15:$A$28,F37)</f>
        <v>0.41299999999999998</v>
      </c>
      <c r="AL37" s="32">
        <f t="shared" si="18"/>
        <v>0.51401869158878499</v>
      </c>
      <c r="AM37" s="33">
        <f t="shared" si="3"/>
        <v>0.10101869158878501</v>
      </c>
      <c r="AN37" s="31">
        <f>SUMIFS(инфо!$G$15:$G$28,инфо!$A$15:$A$28,F37)</f>
        <v>0</v>
      </c>
      <c r="AO37" s="32">
        <f t="shared" si="19"/>
        <v>0</v>
      </c>
      <c r="AP37" s="33">
        <f t="shared" si="5"/>
        <v>0</v>
      </c>
      <c r="AQ37" s="31">
        <f>SUMIFS(инфо!$H$15:$H$28,инфо!$A$15:$A$28,F37)</f>
        <v>0</v>
      </c>
      <c r="AR37" s="32">
        <f t="shared" ref="AR37:AR43" si="20">IF(H36=0,0,AC37/H36)</f>
        <v>0.18333333333333332</v>
      </c>
      <c r="AS37" s="33">
        <f t="shared" si="7"/>
        <v>0.18333333333333332</v>
      </c>
      <c r="AT37" s="31">
        <f>SUMIFS(инфо!$I$15:$I$28,инфо!$A$15:$A$28,F37)</f>
        <v>0.20699999999999999</v>
      </c>
      <c r="AU37" s="35">
        <f t="shared" si="12"/>
        <v>0</v>
      </c>
      <c r="AV37" s="33">
        <f t="shared" si="8"/>
        <v>-0.20699999999999999</v>
      </c>
      <c r="AX37" s="67">
        <f>SUMIFS(инфо!$C$15:$C$28,инфо!$A$15:$A$28,F37)*H36</f>
        <v>20994</v>
      </c>
    </row>
    <row r="38" spans="1:50" x14ac:dyDescent="0.25">
      <c r="A38" s="70">
        <v>46087</v>
      </c>
      <c r="B38" s="79" t="s">
        <v>158</v>
      </c>
      <c r="C38" s="29" t="s">
        <v>772</v>
      </c>
      <c r="D38" s="16" t="s">
        <v>82</v>
      </c>
      <c r="E38" s="83" t="s">
        <v>75</v>
      </c>
      <c r="F38" s="28" t="s">
        <v>60</v>
      </c>
      <c r="G38" s="81">
        <v>25</v>
      </c>
      <c r="H38" s="81">
        <v>590</v>
      </c>
      <c r="I38" s="118">
        <f>IFERROR(H38*VLOOKUP(F38,инфо!$A$15:$C$28,3,FALSE)/1000,0)</f>
        <v>20.644100000000002</v>
      </c>
      <c r="J38" s="81">
        <v>550</v>
      </c>
      <c r="K38" s="81"/>
      <c r="L38" s="81"/>
      <c r="M38" s="20">
        <v>170</v>
      </c>
      <c r="N38" s="20">
        <v>2644</v>
      </c>
      <c r="O38" s="34"/>
      <c r="P38" s="34">
        <v>15653</v>
      </c>
      <c r="Q38" s="34"/>
      <c r="R38" s="34"/>
      <c r="S38" s="68">
        <f t="shared" si="9"/>
        <v>15653</v>
      </c>
      <c r="T38" s="15"/>
      <c r="U38" s="16"/>
      <c r="V38" s="34"/>
      <c r="W38" s="34"/>
      <c r="X38" s="34"/>
      <c r="Y38" s="15">
        <v>250</v>
      </c>
      <c r="Z38" s="34"/>
      <c r="AA38" s="34"/>
      <c r="AB38" s="34"/>
      <c r="AC38" s="117">
        <v>250</v>
      </c>
      <c r="AD38" s="16">
        <v>125</v>
      </c>
      <c r="AE38" s="24">
        <f>SUMIFS(инфо!$D$15:$D$28,инфо!$A$15:$A$28,F38)</f>
        <v>414</v>
      </c>
      <c r="AF38" s="35">
        <f t="shared" si="16"/>
        <v>4.4813559322033898</v>
      </c>
      <c r="AG38" s="12">
        <f t="shared" si="13"/>
        <v>-409.51864406779663</v>
      </c>
      <c r="AH38" s="24">
        <f>SUMIFS(инфо!$E$15:$E$28,инфо!$A$15:$A$28,F38)</f>
        <v>26.73</v>
      </c>
      <c r="AI38" s="32">
        <f t="shared" si="17"/>
        <v>26.530508474576273</v>
      </c>
      <c r="AJ38" s="12">
        <f t="shared" si="14"/>
        <v>-0.19949152542372772</v>
      </c>
      <c r="AK38" s="24">
        <f>SUMIFS(инфо!$F$15:$F$28,инфо!$A$15:$A$28,F38)</f>
        <v>0.41299999999999998</v>
      </c>
      <c r="AL38" s="32">
        <f t="shared" si="18"/>
        <v>0.42372881355932202</v>
      </c>
      <c r="AM38" s="12">
        <f t="shared" si="3"/>
        <v>1.0728813559322037E-2</v>
      </c>
      <c r="AN38" s="24">
        <f>SUMIFS(инфо!$G$15:$G$28,инфо!$A$15:$A$28,F38)</f>
        <v>0</v>
      </c>
      <c r="AO38" s="32">
        <f t="shared" si="19"/>
        <v>0</v>
      </c>
      <c r="AP38" s="12">
        <f t="shared" si="5"/>
        <v>0</v>
      </c>
      <c r="AQ38" s="24">
        <f>SUMIFS(инфо!$H$15:$H$28,инфо!$A$15:$A$28,F38)</f>
        <v>0</v>
      </c>
      <c r="AR38" s="35">
        <f t="shared" si="20"/>
        <v>1.1682242990654206</v>
      </c>
      <c r="AS38" s="12">
        <f t="shared" si="7"/>
        <v>1.1682242990654206</v>
      </c>
      <c r="AT38" s="24">
        <f>SUMIFS(инфо!$I$15:$I$28,инфо!$A$15:$A$28,F38)</f>
        <v>0.20699999999999999</v>
      </c>
      <c r="AU38" s="35">
        <f t="shared" si="12"/>
        <v>0.21186440677966101</v>
      </c>
      <c r="AV38" s="12">
        <f t="shared" si="8"/>
        <v>4.864406779661018E-3</v>
      </c>
      <c r="AX38" s="68">
        <f>SUMIFS(инфо!$C$15:$C$28,инфо!$A$15:$A$28,F38)*H37</f>
        <v>7487.8600000000006</v>
      </c>
    </row>
    <row r="39" spans="1:50" x14ac:dyDescent="0.25">
      <c r="A39" s="70">
        <f t="shared" si="15"/>
        <v>46087</v>
      </c>
      <c r="B39" s="79" t="s">
        <v>159</v>
      </c>
      <c r="C39" s="15" t="s">
        <v>772</v>
      </c>
      <c r="D39" s="16" t="s">
        <v>83</v>
      </c>
      <c r="E39" s="83" t="s">
        <v>113</v>
      </c>
      <c r="F39" s="28" t="s">
        <v>60</v>
      </c>
      <c r="G39" s="81">
        <v>43</v>
      </c>
      <c r="H39" s="81">
        <v>1045</v>
      </c>
      <c r="I39" s="118">
        <f>IFERROR(H39*VLOOKUP(F39,инфо!$A$15:$C$28,3,FALSE)/1000,0)</f>
        <v>36.564550000000004</v>
      </c>
      <c r="J39" s="81">
        <v>950</v>
      </c>
      <c r="K39" s="81">
        <v>1</v>
      </c>
      <c r="L39" s="81"/>
      <c r="M39" s="20">
        <v>765</v>
      </c>
      <c r="N39" s="13">
        <v>4340</v>
      </c>
      <c r="O39" s="34">
        <v>27583</v>
      </c>
      <c r="P39" s="34"/>
      <c r="Q39" s="34"/>
      <c r="R39" s="34"/>
      <c r="S39" s="68">
        <f t="shared" si="9"/>
        <v>27583</v>
      </c>
      <c r="T39" s="15"/>
      <c r="U39" s="16"/>
      <c r="V39" s="34"/>
      <c r="W39" s="34"/>
      <c r="X39" s="34"/>
      <c r="Y39" s="15">
        <v>430</v>
      </c>
      <c r="Z39" s="34"/>
      <c r="AA39" s="34"/>
      <c r="AB39" s="34"/>
      <c r="AC39" s="117">
        <v>430</v>
      </c>
      <c r="AD39" s="16">
        <v>215</v>
      </c>
      <c r="AE39" s="24">
        <f>SUMIFS(инфо!$D$15:$D$28,инфо!$A$15:$A$28,F39)</f>
        <v>414</v>
      </c>
      <c r="AF39" s="35">
        <f t="shared" si="16"/>
        <v>4.1531100478468899</v>
      </c>
      <c r="AG39" s="12">
        <f t="shared" si="13"/>
        <v>-409.84688995215311</v>
      </c>
      <c r="AH39" s="24">
        <f>SUMIFS(инфо!$E$15:$E$28,инфо!$A$15:$A$28,F39)</f>
        <v>26.73</v>
      </c>
      <c r="AI39" s="32">
        <f t="shared" si="17"/>
        <v>26.395215311004783</v>
      </c>
      <c r="AJ39" s="12">
        <f t="shared" si="14"/>
        <v>-0.33478468899521729</v>
      </c>
      <c r="AK39" s="24">
        <f>SUMIFS(инфо!$F$15:$F$28,инфо!$A$15:$A$28,F39)</f>
        <v>0.41299999999999998</v>
      </c>
      <c r="AL39" s="32">
        <f t="shared" si="18"/>
        <v>0.41148325358851673</v>
      </c>
      <c r="AM39" s="12">
        <f t="shared" si="3"/>
        <v>-1.5167464114832496E-3</v>
      </c>
      <c r="AN39" s="24">
        <f>SUMIFS(инфо!$G$15:$G$28,инфо!$A$15:$A$28,F39)</f>
        <v>0</v>
      </c>
      <c r="AO39" s="32">
        <f t="shared" si="19"/>
        <v>0</v>
      </c>
      <c r="AP39" s="12">
        <f t="shared" si="5"/>
        <v>0</v>
      </c>
      <c r="AQ39" s="24">
        <f>SUMIFS(инфо!$H$15:$H$28,инфо!$A$15:$A$28,F39)</f>
        <v>0</v>
      </c>
      <c r="AR39" s="35">
        <f t="shared" si="20"/>
        <v>0.72881355932203384</v>
      </c>
      <c r="AS39" s="12">
        <f t="shared" si="7"/>
        <v>0.72881355932203384</v>
      </c>
      <c r="AT39" s="24">
        <f>SUMIFS(инфо!$I$15:$I$28,инфо!$A$15:$A$28,F39)</f>
        <v>0.20699999999999999</v>
      </c>
      <c r="AU39" s="35">
        <f t="shared" si="12"/>
        <v>0.20574162679425836</v>
      </c>
      <c r="AV39" s="12">
        <f t="shared" si="8"/>
        <v>-1.2583732057416253E-3</v>
      </c>
      <c r="AX39" s="68">
        <f>SUMIFS(инфо!$C$15:$C$28,инфо!$A$15:$A$28,F39)*H38</f>
        <v>20644.100000000002</v>
      </c>
    </row>
    <row r="40" spans="1:50" x14ac:dyDescent="0.25">
      <c r="A40" s="70">
        <f t="shared" si="15"/>
        <v>46088</v>
      </c>
      <c r="B40" s="79" t="s">
        <v>160</v>
      </c>
      <c r="C40" s="17" t="s">
        <v>772</v>
      </c>
      <c r="D40" s="18" t="s">
        <v>82</v>
      </c>
      <c r="E40" s="83" t="s">
        <v>77</v>
      </c>
      <c r="F40" s="28" t="s">
        <v>59</v>
      </c>
      <c r="G40" s="81">
        <v>34</v>
      </c>
      <c r="H40" s="81">
        <v>960</v>
      </c>
      <c r="I40" s="118">
        <f>IFERROR(H40*VLOOKUP(F40,инфо!$A$15:$C$28,3,FALSE)/1000,0)</f>
        <v>26.870399999999997</v>
      </c>
      <c r="J40" s="81">
        <v>900</v>
      </c>
      <c r="K40" s="81"/>
      <c r="L40" s="81">
        <v>4</v>
      </c>
      <c r="M40" s="20">
        <v>39</v>
      </c>
      <c r="N40" s="20">
        <v>3447</v>
      </c>
      <c r="O40" s="19"/>
      <c r="P40" s="19">
        <v>21822</v>
      </c>
      <c r="Q40" s="19"/>
      <c r="R40" s="19"/>
      <c r="S40" s="69">
        <f t="shared" si="9"/>
        <v>21822</v>
      </c>
      <c r="T40" s="17"/>
      <c r="U40" s="18"/>
      <c r="V40" s="19"/>
      <c r="W40" s="19"/>
      <c r="X40" s="19"/>
      <c r="Y40" s="17">
        <v>340</v>
      </c>
      <c r="Z40" s="19"/>
      <c r="AA40" s="19"/>
      <c r="AB40" s="19"/>
      <c r="AC40" s="117">
        <v>340</v>
      </c>
      <c r="AD40" s="18">
        <v>170</v>
      </c>
      <c r="AE40" s="25">
        <f>SUMIFS(инфо!$D$15:$D$28,инфо!$A$15:$A$28,F40)</f>
        <v>3.31</v>
      </c>
      <c r="AF40" s="35">
        <f t="shared" si="16"/>
        <v>3.5906250000000002</v>
      </c>
      <c r="AG40" s="14">
        <f t="shared" si="13"/>
        <v>0.28062500000000012</v>
      </c>
      <c r="AH40" s="25">
        <f>SUMIFS(инфо!$E$15:$E$28,инфо!$A$15:$A$28,F40)</f>
        <v>2138</v>
      </c>
      <c r="AI40" s="32">
        <f t="shared" si="17"/>
        <v>22.731249999999999</v>
      </c>
      <c r="AJ40" s="14">
        <f t="shared" si="14"/>
        <v>-2115.2687500000002</v>
      </c>
      <c r="AK40" s="25">
        <f>SUMIFS(инфо!$F$15:$F$28,инфо!$A$15:$A$28,F40)</f>
        <v>0.33100000000000002</v>
      </c>
      <c r="AL40" s="32">
        <f t="shared" si="18"/>
        <v>0.35416666666666669</v>
      </c>
      <c r="AM40" s="14">
        <f t="shared" si="3"/>
        <v>2.3166666666666669E-2</v>
      </c>
      <c r="AN40" s="25">
        <f>SUMIFS(инфо!$G$15:$G$28,инфо!$A$15:$A$28,F40)</f>
        <v>0</v>
      </c>
      <c r="AO40" s="32">
        <f t="shared" si="19"/>
        <v>0</v>
      </c>
      <c r="AP40" s="14">
        <f t="shared" si="5"/>
        <v>0</v>
      </c>
      <c r="AQ40" s="25">
        <f>SUMIFS(инфо!$H$15:$H$28,инфо!$A$15:$A$28,F40)</f>
        <v>0</v>
      </c>
      <c r="AR40" s="26">
        <f t="shared" si="20"/>
        <v>0.32535885167464113</v>
      </c>
      <c r="AS40" s="14">
        <f t="shared" si="7"/>
        <v>0.32535885167464113</v>
      </c>
      <c r="AT40" s="25">
        <f>SUMIFS(инфо!$I$15:$I$28,инфо!$A$15:$A$28,F40)</f>
        <v>0.16500000000000001</v>
      </c>
      <c r="AU40" s="35">
        <f t="shared" si="12"/>
        <v>0.17708333333333334</v>
      </c>
      <c r="AV40" s="14">
        <f t="shared" si="8"/>
        <v>1.2083333333333335E-2</v>
      </c>
      <c r="AX40" s="69">
        <f>SUMIFS(инфо!$C$15:$C$28,инфо!$A$15:$A$28,F40)*H39</f>
        <v>29249.55</v>
      </c>
    </row>
    <row r="41" spans="1:50" x14ac:dyDescent="0.25">
      <c r="A41" s="70">
        <f t="shared" si="15"/>
        <v>46088</v>
      </c>
      <c r="B41" s="79" t="s">
        <v>161</v>
      </c>
      <c r="C41" s="29" t="s">
        <v>772</v>
      </c>
      <c r="D41" s="30" t="s">
        <v>83</v>
      </c>
      <c r="E41" s="83" t="s">
        <v>75</v>
      </c>
      <c r="F41" s="28" t="s">
        <v>59</v>
      </c>
      <c r="G41" s="81">
        <v>35</v>
      </c>
      <c r="H41" s="81">
        <v>1065</v>
      </c>
      <c r="I41" s="118">
        <f>IFERROR(H41*VLOOKUP(F41,инфо!$A$15:$C$28,3,FALSE)/1000,0)</f>
        <v>29.809349999999998</v>
      </c>
      <c r="J41" s="81">
        <v>1100</v>
      </c>
      <c r="K41" s="81">
        <v>1</v>
      </c>
      <c r="L41" s="81"/>
      <c r="M41" s="20">
        <v>145</v>
      </c>
      <c r="N41" s="28">
        <v>3565</v>
      </c>
      <c r="O41" s="27"/>
      <c r="P41" s="27">
        <v>22456</v>
      </c>
      <c r="Q41" s="27"/>
      <c r="R41" s="27"/>
      <c r="S41" s="67">
        <f t="shared" si="9"/>
        <v>22456</v>
      </c>
      <c r="T41" s="29"/>
      <c r="U41" s="30"/>
      <c r="V41" s="27"/>
      <c r="W41" s="27"/>
      <c r="X41" s="27"/>
      <c r="Y41" s="29">
        <v>350</v>
      </c>
      <c r="Z41" s="27"/>
      <c r="AA41" s="27"/>
      <c r="AB41" s="27"/>
      <c r="AC41" s="117">
        <v>350</v>
      </c>
      <c r="AD41" s="30">
        <v>175</v>
      </c>
      <c r="AE41" s="31">
        <f>SUMIFS(инфо!$D$15:$D$28,инфо!$A$15:$A$28,F41)</f>
        <v>3.31</v>
      </c>
      <c r="AF41" s="35">
        <f t="shared" si="16"/>
        <v>3.347417840375587</v>
      </c>
      <c r="AG41" s="33">
        <f t="shared" si="13"/>
        <v>3.741784037558693E-2</v>
      </c>
      <c r="AH41" s="31">
        <f>SUMIFS(инфо!$E$15:$E$28,инфо!$A$15:$A$28,F41)</f>
        <v>2138</v>
      </c>
      <c r="AI41" s="32">
        <f t="shared" si="17"/>
        <v>21.085446009389671</v>
      </c>
      <c r="AJ41" s="33">
        <f t="shared" si="14"/>
        <v>-2116.9145539906103</v>
      </c>
      <c r="AK41" s="31">
        <f>SUMIFS(инфо!$F$15:$F$28,инфо!$A$15:$A$28,F41)</f>
        <v>0.33100000000000002</v>
      </c>
      <c r="AL41" s="32">
        <f t="shared" si="18"/>
        <v>0.32863849765258218</v>
      </c>
      <c r="AM41" s="33">
        <f t="shared" ref="AM41:AM106" si="21">AL41-AK41</f>
        <v>-2.361502347417832E-3</v>
      </c>
      <c r="AN41" s="31">
        <f>SUMIFS(инфо!$G$15:$G$28,инфо!$A$15:$A$28,F41)</f>
        <v>0</v>
      </c>
      <c r="AO41" s="32">
        <f t="shared" si="19"/>
        <v>0</v>
      </c>
      <c r="AP41" s="33">
        <f t="shared" ref="AP41:AP106" si="22">AO41-AN41</f>
        <v>0</v>
      </c>
      <c r="AQ41" s="31">
        <f>SUMIFS(инфо!$H$15:$H$28,инфо!$A$15:$A$28,F41)</f>
        <v>0</v>
      </c>
      <c r="AR41" s="32">
        <f t="shared" si="20"/>
        <v>0.36458333333333331</v>
      </c>
      <c r="AS41" s="33">
        <f t="shared" ref="AS41:AS106" si="23">AR41-AQ41</f>
        <v>0.36458333333333331</v>
      </c>
      <c r="AT41" s="31">
        <f>SUMIFS(инфо!$I$15:$I$28,инфо!$A$15:$A$28,F41)</f>
        <v>0.16500000000000001</v>
      </c>
      <c r="AU41" s="35">
        <f t="shared" si="12"/>
        <v>0.16431924882629109</v>
      </c>
      <c r="AV41" s="33">
        <f t="shared" ref="AV41:AV106" si="24">AU41-AT41</f>
        <v>-6.8075117370891558E-4</v>
      </c>
      <c r="AX41" s="67">
        <f>SUMIFS(инфо!$C$15:$C$28,инфо!$A$15:$A$28,F41)*H40</f>
        <v>26870.399999999998</v>
      </c>
    </row>
    <row r="42" spans="1:50" x14ac:dyDescent="0.25">
      <c r="A42" s="70">
        <f t="shared" si="15"/>
        <v>46089</v>
      </c>
      <c r="B42" s="79" t="s">
        <v>162</v>
      </c>
      <c r="C42" s="15" t="s">
        <v>772</v>
      </c>
      <c r="D42" s="16" t="s">
        <v>82</v>
      </c>
      <c r="E42" s="83" t="s">
        <v>114</v>
      </c>
      <c r="F42" s="28" t="s">
        <v>59</v>
      </c>
      <c r="G42" s="81">
        <v>20</v>
      </c>
      <c r="H42" s="81">
        <v>700</v>
      </c>
      <c r="I42" s="118">
        <f>IFERROR(H42*VLOOKUP(F42,инфо!$A$15:$C$28,3,FALSE)/1000,0)</f>
        <v>19.593</v>
      </c>
      <c r="J42" s="81">
        <v>1400</v>
      </c>
      <c r="K42" s="81">
        <v>3</v>
      </c>
      <c r="L42" s="81"/>
      <c r="M42" s="20">
        <v>26</v>
      </c>
      <c r="N42" s="20">
        <v>2018</v>
      </c>
      <c r="O42" s="34">
        <v>8968</v>
      </c>
      <c r="P42" s="34">
        <v>3850</v>
      </c>
      <c r="Q42" s="34"/>
      <c r="R42" s="34"/>
      <c r="S42" s="68">
        <f t="shared" ref="S42:S107" si="25">SUM(O42:R42)</f>
        <v>12818</v>
      </c>
      <c r="T42" s="15"/>
      <c r="U42" s="16"/>
      <c r="V42" s="34"/>
      <c r="W42" s="34"/>
      <c r="X42" s="34"/>
      <c r="Y42" s="15">
        <v>200</v>
      </c>
      <c r="Z42" s="34"/>
      <c r="AA42" s="34"/>
      <c r="AB42" s="34"/>
      <c r="AC42" s="117">
        <v>200</v>
      </c>
      <c r="AD42" s="16">
        <v>100</v>
      </c>
      <c r="AE42" s="24">
        <f>SUMIFS(инфо!$D$15:$D$28,инфо!$A$15:$A$28,F42)</f>
        <v>3.31</v>
      </c>
      <c r="AF42" s="35">
        <f t="shared" si="16"/>
        <v>2.882857142857143</v>
      </c>
      <c r="AG42" s="12">
        <f t="shared" si="13"/>
        <v>-0.42714285714285705</v>
      </c>
      <c r="AH42" s="24">
        <f>SUMIFS(инфо!$E$15:$E$28,инфо!$A$15:$A$28,F42)</f>
        <v>2138</v>
      </c>
      <c r="AI42" s="32">
        <f t="shared" si="17"/>
        <v>18.311428571428571</v>
      </c>
      <c r="AJ42" s="12">
        <f t="shared" si="14"/>
        <v>-2119.6885714285713</v>
      </c>
      <c r="AK42" s="24">
        <f>SUMIFS(инфо!$F$15:$F$28,инфо!$A$15:$A$28,F42)</f>
        <v>0.33100000000000002</v>
      </c>
      <c r="AL42" s="32">
        <f t="shared" si="18"/>
        <v>0.2857142857142857</v>
      </c>
      <c r="AM42" s="12">
        <f t="shared" si="21"/>
        <v>-4.5285714285714318E-2</v>
      </c>
      <c r="AN42" s="24">
        <f>SUMIFS(инфо!$G$15:$G$28,инфо!$A$15:$A$28,F42)</f>
        <v>0</v>
      </c>
      <c r="AO42" s="32">
        <f t="shared" si="19"/>
        <v>0</v>
      </c>
      <c r="AP42" s="12">
        <f t="shared" si="22"/>
        <v>0</v>
      </c>
      <c r="AQ42" s="24">
        <f>SUMIFS(инфо!$H$15:$H$28,инфо!$A$15:$A$28,F42)</f>
        <v>0</v>
      </c>
      <c r="AR42" s="35">
        <f t="shared" si="20"/>
        <v>0.18779342723004694</v>
      </c>
      <c r="AS42" s="12">
        <f t="shared" si="23"/>
        <v>0.18779342723004694</v>
      </c>
      <c r="AT42" s="24">
        <f>SUMIFS(инфо!$I$15:$I$28,инфо!$A$15:$A$28,F42)</f>
        <v>0.16500000000000001</v>
      </c>
      <c r="AU42" s="35">
        <f t="shared" si="12"/>
        <v>0.14285714285714285</v>
      </c>
      <c r="AV42" s="12">
        <f t="shared" si="24"/>
        <v>-2.2142857142857159E-2</v>
      </c>
      <c r="AX42" s="68">
        <f>SUMIFS(инфо!$C$15:$C$28,инфо!$A$15:$A$28,F42)*H41</f>
        <v>29809.35</v>
      </c>
    </row>
    <row r="43" spans="1:50" x14ac:dyDescent="0.25">
      <c r="A43" s="70">
        <f t="shared" si="15"/>
        <v>46089</v>
      </c>
      <c r="B43" s="79" t="s">
        <v>163</v>
      </c>
      <c r="C43" s="15" t="s">
        <v>772</v>
      </c>
      <c r="D43" s="16" t="s">
        <v>83</v>
      </c>
      <c r="E43" s="83" t="s">
        <v>77</v>
      </c>
      <c r="F43" s="28" t="s">
        <v>59</v>
      </c>
      <c r="G43" s="81">
        <v>23</v>
      </c>
      <c r="H43" s="81">
        <v>672</v>
      </c>
      <c r="I43" s="118">
        <f>IFERROR(H43*VLOOKUP(F43,инфо!$A$15:$C$28,3,FALSE)/1000,0)</f>
        <v>18.809279999999998</v>
      </c>
      <c r="J43" s="81">
        <v>900</v>
      </c>
      <c r="K43" s="81">
        <v>1</v>
      </c>
      <c r="L43" s="81"/>
      <c r="M43" s="20">
        <v>38</v>
      </c>
      <c r="N43" s="20">
        <v>3389</v>
      </c>
      <c r="O43" s="34">
        <v>21744</v>
      </c>
      <c r="P43" s="34"/>
      <c r="Q43" s="34"/>
      <c r="R43" s="34"/>
      <c r="S43" s="68">
        <f t="shared" si="25"/>
        <v>21744</v>
      </c>
      <c r="T43" s="15"/>
      <c r="U43" s="16"/>
      <c r="V43" s="34"/>
      <c r="W43" s="34"/>
      <c r="X43" s="34"/>
      <c r="Y43" s="15">
        <v>300</v>
      </c>
      <c r="Z43" s="34"/>
      <c r="AA43" s="34"/>
      <c r="AB43" s="34"/>
      <c r="AC43" s="117">
        <v>230</v>
      </c>
      <c r="AD43" s="16">
        <v>170</v>
      </c>
      <c r="AE43" s="24">
        <f>SUMIFS(инфо!$D$15:$D$28,инфо!$A$15:$A$28,F43)</f>
        <v>3.31</v>
      </c>
      <c r="AF43" s="35">
        <f t="shared" si="16"/>
        <v>5.0431547619047619</v>
      </c>
      <c r="AG43" s="12">
        <f t="shared" si="13"/>
        <v>1.7331547619047618</v>
      </c>
      <c r="AH43" s="24">
        <f>SUMIFS(инфо!$E$15:$E$28,инфо!$A$15:$A$28,F43)</f>
        <v>2138</v>
      </c>
      <c r="AI43" s="32">
        <f t="shared" si="17"/>
        <v>32.357142857142854</v>
      </c>
      <c r="AJ43" s="12">
        <f t="shared" si="14"/>
        <v>-2105.6428571428573</v>
      </c>
      <c r="AK43" s="24">
        <f>SUMIFS(инфо!$F$15:$F$28,инфо!$A$15:$A$28,F43)</f>
        <v>0.33100000000000002</v>
      </c>
      <c r="AL43" s="32">
        <f t="shared" si="18"/>
        <v>0.44642857142857145</v>
      </c>
      <c r="AM43" s="12">
        <f t="shared" si="21"/>
        <v>0.11542857142857144</v>
      </c>
      <c r="AN43" s="24">
        <f>SUMIFS(инфо!$G$15:$G$28,инфо!$A$15:$A$28,F43)</f>
        <v>0</v>
      </c>
      <c r="AO43" s="32">
        <f t="shared" si="19"/>
        <v>0</v>
      </c>
      <c r="AP43" s="12">
        <f t="shared" si="22"/>
        <v>0</v>
      </c>
      <c r="AQ43" s="24">
        <f>SUMIFS(инфо!$H$15:$H$28,инфо!$A$15:$A$28,F43)</f>
        <v>0</v>
      </c>
      <c r="AR43" s="35">
        <f t="shared" si="20"/>
        <v>0.32857142857142857</v>
      </c>
      <c r="AS43" s="12">
        <f t="shared" si="23"/>
        <v>0.32857142857142857</v>
      </c>
      <c r="AT43" s="24">
        <f>SUMIFS(инфо!$I$15:$I$28,инфо!$A$15:$A$28,F43)</f>
        <v>0.16500000000000001</v>
      </c>
      <c r="AU43" s="35">
        <f t="shared" si="12"/>
        <v>0.25297619047619047</v>
      </c>
      <c r="AV43" s="12">
        <f t="shared" si="24"/>
        <v>8.7976190476190458E-2</v>
      </c>
      <c r="AX43" s="68">
        <f>SUMIFS(инфо!$C$15:$C$28,инфо!$A$15:$A$28,F43)*H42</f>
        <v>19593</v>
      </c>
    </row>
    <row r="44" spans="1:50" x14ac:dyDescent="0.25">
      <c r="A44" s="70">
        <v>46089</v>
      </c>
      <c r="B44" s="79" t="s">
        <v>163</v>
      </c>
      <c r="C44" s="15" t="s">
        <v>772</v>
      </c>
      <c r="D44" s="16" t="s">
        <v>83</v>
      </c>
      <c r="E44" s="83" t="s">
        <v>77</v>
      </c>
      <c r="F44" s="28" t="s">
        <v>58</v>
      </c>
      <c r="G44" s="81">
        <v>11</v>
      </c>
      <c r="H44" s="81">
        <v>500</v>
      </c>
      <c r="I44" s="118">
        <f>IFERROR(H44*VLOOKUP(F44,инфо!$A$15:$C$28,3,FALSE)/1000,0)</f>
        <v>10.5</v>
      </c>
      <c r="J44" s="81"/>
      <c r="K44" s="81"/>
      <c r="L44" s="81"/>
      <c r="M44" s="20"/>
      <c r="N44" s="23"/>
      <c r="O44" s="34"/>
      <c r="P44" s="34"/>
      <c r="Q44" s="34"/>
      <c r="R44" s="34"/>
      <c r="S44" s="68"/>
      <c r="T44" s="15"/>
      <c r="U44" s="16"/>
      <c r="V44" s="34"/>
      <c r="W44" s="34"/>
      <c r="X44" s="34"/>
      <c r="Y44" s="15"/>
      <c r="Z44" s="34"/>
      <c r="AA44" s="34"/>
      <c r="AB44" s="34"/>
      <c r="AC44" s="117">
        <v>110</v>
      </c>
      <c r="AD44" s="16"/>
      <c r="AE44" s="24"/>
      <c r="AF44" s="35">
        <f t="shared" si="16"/>
        <v>0</v>
      </c>
      <c r="AG44" s="12"/>
      <c r="AH44" s="24"/>
      <c r="AI44" s="32">
        <f t="shared" si="17"/>
        <v>0</v>
      </c>
      <c r="AJ44" s="12"/>
      <c r="AK44" s="24"/>
      <c r="AL44" s="32">
        <f t="shared" si="18"/>
        <v>0</v>
      </c>
      <c r="AM44" s="12"/>
      <c r="AN44" s="24"/>
      <c r="AO44" s="32">
        <f t="shared" si="19"/>
        <v>0</v>
      </c>
      <c r="AP44" s="12"/>
      <c r="AQ44" s="24"/>
      <c r="AR44" s="35"/>
      <c r="AS44" s="12"/>
      <c r="AT44" s="24"/>
      <c r="AU44" s="35">
        <f t="shared" si="12"/>
        <v>0</v>
      </c>
      <c r="AV44" s="12"/>
      <c r="AX44" s="68"/>
    </row>
    <row r="45" spans="1:50" x14ac:dyDescent="0.25">
      <c r="A45" s="70">
        <f>A42+1</f>
        <v>46090</v>
      </c>
      <c r="B45" s="79" t="s">
        <v>164</v>
      </c>
      <c r="C45" s="17" t="s">
        <v>772</v>
      </c>
      <c r="D45" s="18" t="s">
        <v>82</v>
      </c>
      <c r="E45" s="83" t="s">
        <v>113</v>
      </c>
      <c r="F45" s="28" t="s">
        <v>58</v>
      </c>
      <c r="G45" s="81">
        <v>27</v>
      </c>
      <c r="H45" s="81">
        <v>890</v>
      </c>
      <c r="I45" s="118">
        <f>IFERROR(H45*VLOOKUP(F45,инфо!$A$15:$C$28,3,FALSE)/1000,0)</f>
        <v>18.690000000000001</v>
      </c>
      <c r="J45" s="81">
        <v>800</v>
      </c>
      <c r="K45" s="81">
        <v>1</v>
      </c>
      <c r="L45" s="81">
        <v>3</v>
      </c>
      <c r="M45" s="20">
        <v>137</v>
      </c>
      <c r="N45" s="23">
        <v>2701</v>
      </c>
      <c r="O45" s="19">
        <v>17282</v>
      </c>
      <c r="P45" s="19"/>
      <c r="Q45" s="19"/>
      <c r="R45" s="19"/>
      <c r="S45" s="69">
        <f t="shared" si="25"/>
        <v>17282</v>
      </c>
      <c r="T45" s="17">
        <v>135</v>
      </c>
      <c r="U45" s="18"/>
      <c r="V45" s="19"/>
      <c r="W45" s="19"/>
      <c r="X45" s="19"/>
      <c r="Y45" s="17">
        <v>220</v>
      </c>
      <c r="Z45" s="19"/>
      <c r="AA45" s="19"/>
      <c r="AB45" s="19"/>
      <c r="AC45" s="117">
        <v>270</v>
      </c>
      <c r="AD45" s="18"/>
      <c r="AE45" s="25">
        <f>SUMIFS(инфо!$D$15:$D$28,инфо!$A$15:$A$28,F45)</f>
        <v>2.48</v>
      </c>
      <c r="AF45" s="35">
        <f t="shared" si="16"/>
        <v>3.0348314606741571</v>
      </c>
      <c r="AG45" s="14">
        <f t="shared" si="13"/>
        <v>0.55483146067415712</v>
      </c>
      <c r="AH45" s="25">
        <f>SUMIFS(инфо!$E$15:$E$28,инфо!$A$15:$A$28,F45)</f>
        <v>16.04</v>
      </c>
      <c r="AI45" s="32">
        <f t="shared" si="17"/>
        <v>19.417977528089889</v>
      </c>
      <c r="AJ45" s="14">
        <f t="shared" si="14"/>
        <v>3.3779775280898896</v>
      </c>
      <c r="AK45" s="25">
        <f>SUMIFS(инфо!$F$15:$F$28,инфо!$A$15:$A$28,F45)</f>
        <v>0.248</v>
      </c>
      <c r="AL45" s="32">
        <f t="shared" si="18"/>
        <v>0.24719101123595505</v>
      </c>
      <c r="AM45" s="14">
        <f t="shared" si="21"/>
        <v>-8.089887640449489E-4</v>
      </c>
      <c r="AN45" s="25">
        <f>SUMIFS(инфо!$G$15:$G$28,инфо!$A$15:$A$28,F45)</f>
        <v>0</v>
      </c>
      <c r="AO45" s="32">
        <f t="shared" si="19"/>
        <v>0</v>
      </c>
      <c r="AP45" s="14">
        <f t="shared" si="22"/>
        <v>0</v>
      </c>
      <c r="AQ45" s="25">
        <f>SUMIFS(инфо!$H$15:$H$28,инфо!$A$15:$A$28,F45)</f>
        <v>0</v>
      </c>
      <c r="AR45" s="26">
        <f>IF(H43=0,0,AC45/H43)</f>
        <v>0.4017857142857143</v>
      </c>
      <c r="AS45" s="14">
        <f t="shared" si="23"/>
        <v>0.4017857142857143</v>
      </c>
      <c r="AT45" s="25">
        <f>SUMIFS(инфо!$I$15:$I$28,инфо!$A$15:$A$28,F45)</f>
        <v>0.124</v>
      </c>
      <c r="AU45" s="35">
        <f t="shared" si="12"/>
        <v>0</v>
      </c>
      <c r="AV45" s="14">
        <f t="shared" si="24"/>
        <v>-0.124</v>
      </c>
      <c r="AX45" s="69">
        <f>SUMIFS(инфо!$C$15:$C$28,инфо!$A$15:$A$28,F45)*H43</f>
        <v>14112</v>
      </c>
    </row>
    <row r="46" spans="1:50" x14ac:dyDescent="0.25">
      <c r="A46" s="70">
        <f>A43+1</f>
        <v>46090</v>
      </c>
      <c r="B46" s="79" t="s">
        <v>164</v>
      </c>
      <c r="C46" s="29" t="s">
        <v>772</v>
      </c>
      <c r="D46" s="30" t="s">
        <v>83</v>
      </c>
      <c r="E46" s="83" t="s">
        <v>114</v>
      </c>
      <c r="F46" s="28" t="s">
        <v>58</v>
      </c>
      <c r="G46" s="81">
        <v>20</v>
      </c>
      <c r="H46" s="81">
        <v>706</v>
      </c>
      <c r="I46" s="118">
        <f>IFERROR(H46*VLOOKUP(F46,инфо!$A$15:$C$28,3,FALSE)/1000,0)</f>
        <v>14.826000000000001</v>
      </c>
      <c r="J46" s="81">
        <v>800</v>
      </c>
      <c r="K46" s="81">
        <v>17</v>
      </c>
      <c r="L46" s="81">
        <v>12</v>
      </c>
      <c r="M46" s="20">
        <v>89</v>
      </c>
      <c r="N46" s="28">
        <v>2010</v>
      </c>
      <c r="O46" s="27">
        <v>12180</v>
      </c>
      <c r="P46" s="27">
        <v>639</v>
      </c>
      <c r="Q46" s="27"/>
      <c r="R46" s="27"/>
      <c r="S46" s="67">
        <f t="shared" si="25"/>
        <v>12819</v>
      </c>
      <c r="T46" s="29"/>
      <c r="U46" s="30"/>
      <c r="V46" s="27"/>
      <c r="W46" s="27"/>
      <c r="X46" s="27"/>
      <c r="Y46" s="29">
        <v>200</v>
      </c>
      <c r="Z46" s="27"/>
      <c r="AA46" s="27"/>
      <c r="AB46" s="27"/>
      <c r="AC46" s="117">
        <v>200</v>
      </c>
      <c r="AD46" s="30">
        <v>100</v>
      </c>
      <c r="AE46" s="31">
        <f>SUMIFS(инфо!$D$15:$D$28,инфо!$A$15:$A$28,F46)</f>
        <v>2.48</v>
      </c>
      <c r="AF46" s="35">
        <f t="shared" si="16"/>
        <v>2.8470254957507084</v>
      </c>
      <c r="AG46" s="33">
        <f t="shared" si="13"/>
        <v>0.36702549575070842</v>
      </c>
      <c r="AH46" s="31">
        <f>SUMIFS(инфо!$E$15:$E$28,инфо!$A$15:$A$28,F46)</f>
        <v>16.04</v>
      </c>
      <c r="AI46" s="32">
        <f t="shared" si="17"/>
        <v>18.157223796033993</v>
      </c>
      <c r="AJ46" s="33">
        <f t="shared" si="14"/>
        <v>2.1172237960339935</v>
      </c>
      <c r="AK46" s="31">
        <f>SUMIFS(инфо!$F$15:$F$28,инфо!$A$15:$A$28,F46)</f>
        <v>0.248</v>
      </c>
      <c r="AL46" s="32">
        <f t="shared" si="18"/>
        <v>0.28328611898016998</v>
      </c>
      <c r="AM46" s="33">
        <f t="shared" si="21"/>
        <v>3.5286118980169978E-2</v>
      </c>
      <c r="AN46" s="31">
        <f>SUMIFS(инфо!$G$15:$G$28,инфо!$A$15:$A$28,F46)</f>
        <v>0</v>
      </c>
      <c r="AO46" s="32">
        <f t="shared" si="19"/>
        <v>0</v>
      </c>
      <c r="AP46" s="33">
        <f t="shared" si="22"/>
        <v>0</v>
      </c>
      <c r="AQ46" s="31">
        <f>SUMIFS(инфо!$H$15:$H$28,инфо!$A$15:$A$28,F46)</f>
        <v>0</v>
      </c>
      <c r="AR46" s="32">
        <f t="shared" ref="AR46:AR77" si="26">IF(H45=0,0,AC46/H45)</f>
        <v>0.2247191011235955</v>
      </c>
      <c r="AS46" s="33">
        <f t="shared" si="23"/>
        <v>0.2247191011235955</v>
      </c>
      <c r="AT46" s="31">
        <f>SUMIFS(инфо!$I$15:$I$28,инфо!$A$15:$A$28,F46)</f>
        <v>0.124</v>
      </c>
      <c r="AU46" s="35">
        <f t="shared" si="12"/>
        <v>0.14164305949008499</v>
      </c>
      <c r="AV46" s="33">
        <f t="shared" si="24"/>
        <v>1.7643059490084989E-2</v>
      </c>
      <c r="AX46" s="67">
        <f>SUMIFS(инфо!$C$15:$C$28,инфо!$A$15:$A$28,F46)*H45</f>
        <v>18690</v>
      </c>
    </row>
    <row r="47" spans="1:50" x14ac:dyDescent="0.25">
      <c r="A47" s="70">
        <f t="shared" si="15"/>
        <v>46091</v>
      </c>
      <c r="B47" s="79" t="s">
        <v>165</v>
      </c>
      <c r="C47" s="15" t="s">
        <v>772</v>
      </c>
      <c r="D47" s="16" t="s">
        <v>83</v>
      </c>
      <c r="E47" s="83" t="s">
        <v>113</v>
      </c>
      <c r="F47" s="28" t="s">
        <v>60</v>
      </c>
      <c r="G47" s="81">
        <v>18</v>
      </c>
      <c r="H47" s="81">
        <v>370</v>
      </c>
      <c r="I47" s="118">
        <f>IFERROR(H47*VLOOKUP(F47,инфо!$A$15:$C$28,3,FALSE)/1000,0)</f>
        <v>12.946300000000001</v>
      </c>
      <c r="J47" s="81">
        <v>500</v>
      </c>
      <c r="K47" s="81">
        <v>2</v>
      </c>
      <c r="L47" s="81"/>
      <c r="M47" s="20">
        <v>26</v>
      </c>
      <c r="N47" s="20">
        <v>1807</v>
      </c>
      <c r="O47" s="34">
        <v>11530</v>
      </c>
      <c r="P47" s="34"/>
      <c r="Q47" s="34"/>
      <c r="R47" s="34"/>
      <c r="S47" s="68">
        <f t="shared" si="25"/>
        <v>11530</v>
      </c>
      <c r="T47" s="15"/>
      <c r="U47" s="16"/>
      <c r="V47" s="34"/>
      <c r="W47" s="34"/>
      <c r="X47" s="34"/>
      <c r="Y47" s="15">
        <v>180</v>
      </c>
      <c r="Z47" s="34"/>
      <c r="AA47" s="34"/>
      <c r="AB47" s="34"/>
      <c r="AC47" s="117">
        <v>180</v>
      </c>
      <c r="AD47" s="16"/>
      <c r="AE47" s="24">
        <f>SUMIFS(инфо!$D$15:$D$28,инфо!$A$15:$A$28,F47)</f>
        <v>414</v>
      </c>
      <c r="AF47" s="35">
        <f t="shared" si="16"/>
        <v>4.8837837837837839</v>
      </c>
      <c r="AG47" s="12">
        <f t="shared" si="13"/>
        <v>-409.11621621621623</v>
      </c>
      <c r="AH47" s="24">
        <f>SUMIFS(инфо!$E$15:$E$28,инфо!$A$15:$A$28,F47)</f>
        <v>26.73</v>
      </c>
      <c r="AI47" s="32">
        <f t="shared" si="17"/>
        <v>31.162162162162161</v>
      </c>
      <c r="AJ47" s="12">
        <f t="shared" si="14"/>
        <v>4.432162162162161</v>
      </c>
      <c r="AK47" s="24">
        <f>SUMIFS(инфо!$F$15:$F$28,инфо!$A$15:$A$28,F47)</f>
        <v>0.41299999999999998</v>
      </c>
      <c r="AL47" s="32">
        <f t="shared" si="18"/>
        <v>0.48648648648648651</v>
      </c>
      <c r="AM47" s="12">
        <f t="shared" si="21"/>
        <v>7.3486486486486535E-2</v>
      </c>
      <c r="AN47" s="24">
        <f>SUMIFS(инфо!$G$15:$G$28,инфо!$A$15:$A$28,F47)</f>
        <v>0</v>
      </c>
      <c r="AO47" s="32">
        <f t="shared" si="19"/>
        <v>0</v>
      </c>
      <c r="AP47" s="12">
        <f t="shared" si="22"/>
        <v>0</v>
      </c>
      <c r="AQ47" s="24">
        <f>SUMIFS(инфо!$H$15:$H$28,инфо!$A$15:$A$28,F47)</f>
        <v>0</v>
      </c>
      <c r="AR47" s="35">
        <f t="shared" si="26"/>
        <v>0.25495750708215298</v>
      </c>
      <c r="AS47" s="12">
        <f t="shared" si="23"/>
        <v>0.25495750708215298</v>
      </c>
      <c r="AT47" s="24">
        <f>SUMIFS(инфо!$I$15:$I$28,инфо!$A$15:$A$28,F47)</f>
        <v>0.20699999999999999</v>
      </c>
      <c r="AU47" s="35">
        <f t="shared" si="12"/>
        <v>0</v>
      </c>
      <c r="AV47" s="12">
        <f t="shared" si="24"/>
        <v>-0.20699999999999999</v>
      </c>
      <c r="AX47" s="68">
        <f>SUMIFS(инфо!$C$15:$C$28,инфо!$A$15:$A$28,F47)*H46</f>
        <v>24702.940000000002</v>
      </c>
    </row>
    <row r="48" spans="1:50" x14ac:dyDescent="0.25">
      <c r="A48" s="70">
        <f>A46+1</f>
        <v>46091</v>
      </c>
      <c r="B48" s="79"/>
      <c r="C48" s="15"/>
      <c r="D48" s="16"/>
      <c r="E48" s="83"/>
      <c r="F48" s="28"/>
      <c r="G48" s="81"/>
      <c r="H48" s="81"/>
      <c r="I48" s="118">
        <f>IFERROR(H48*VLOOKUP(F48,инфо!$A$15:$C$28,3,FALSE)/1000,0)</f>
        <v>0</v>
      </c>
      <c r="J48" s="81"/>
      <c r="K48" s="81"/>
      <c r="L48" s="81"/>
      <c r="M48" s="20"/>
      <c r="N48" s="20"/>
      <c r="O48" s="34"/>
      <c r="P48" s="34"/>
      <c r="Q48" s="34"/>
      <c r="R48" s="34"/>
      <c r="S48" s="68">
        <f t="shared" si="25"/>
        <v>0</v>
      </c>
      <c r="T48" s="15"/>
      <c r="U48" s="16"/>
      <c r="V48" s="34"/>
      <c r="W48" s="34"/>
      <c r="X48" s="34"/>
      <c r="Y48" s="15"/>
      <c r="Z48" s="34"/>
      <c r="AA48" s="34"/>
      <c r="AB48" s="34"/>
      <c r="AC48" s="117"/>
      <c r="AD48" s="16"/>
      <c r="AE48" s="24">
        <f>SUMIFS(инфо!$D$15:$D$28,инфо!$A$15:$A$28,F48)</f>
        <v>0</v>
      </c>
      <c r="AF48" s="35">
        <f t="shared" si="16"/>
        <v>0</v>
      </c>
      <c r="AG48" s="12">
        <f t="shared" si="13"/>
        <v>0</v>
      </c>
      <c r="AH48" s="24">
        <f>SUMIFS(инфо!$E$15:$E$28,инфо!$A$15:$A$28,F48)</f>
        <v>0</v>
      </c>
      <c r="AI48" s="32">
        <f t="shared" si="17"/>
        <v>0</v>
      </c>
      <c r="AJ48" s="12">
        <f t="shared" si="14"/>
        <v>0</v>
      </c>
      <c r="AK48" s="24">
        <f>SUMIFS(инфо!$F$15:$F$28,инфо!$A$15:$A$28,F48)</f>
        <v>0</v>
      </c>
      <c r="AL48" s="32">
        <f t="shared" si="18"/>
        <v>0</v>
      </c>
      <c r="AM48" s="12">
        <f t="shared" si="21"/>
        <v>0</v>
      </c>
      <c r="AN48" s="24">
        <f>SUMIFS(инфо!$G$15:$G$28,инфо!$A$15:$A$28,F48)</f>
        <v>0</v>
      </c>
      <c r="AO48" s="32">
        <f t="shared" si="19"/>
        <v>0</v>
      </c>
      <c r="AP48" s="12">
        <f t="shared" si="22"/>
        <v>0</v>
      </c>
      <c r="AQ48" s="24">
        <f>SUMIFS(инфо!$H$15:$H$28,инфо!$A$15:$A$28,F48)</f>
        <v>0</v>
      </c>
      <c r="AR48" s="35">
        <f t="shared" si="26"/>
        <v>0</v>
      </c>
      <c r="AS48" s="12">
        <f t="shared" si="23"/>
        <v>0</v>
      </c>
      <c r="AT48" s="24">
        <f>SUMIFS(инфо!$I$15:$I$28,инфо!$A$15:$A$28,F48)</f>
        <v>0</v>
      </c>
      <c r="AU48" s="35">
        <f t="shared" si="12"/>
        <v>0</v>
      </c>
      <c r="AV48" s="12">
        <f t="shared" si="24"/>
        <v>0</v>
      </c>
      <c r="AX48" s="68">
        <f>SUMIFS(инфо!$C$15:$C$28,инфо!$A$15:$A$28,F48)*H47</f>
        <v>0</v>
      </c>
    </row>
    <row r="49" spans="1:50" x14ac:dyDescent="0.25">
      <c r="A49" s="70">
        <f>A47+1</f>
        <v>46092</v>
      </c>
      <c r="B49" s="79" t="s">
        <v>166</v>
      </c>
      <c r="C49" s="17" t="s">
        <v>772</v>
      </c>
      <c r="D49" s="18" t="s">
        <v>83</v>
      </c>
      <c r="E49" s="83" t="s">
        <v>75</v>
      </c>
      <c r="F49" s="28" t="s">
        <v>60</v>
      </c>
      <c r="G49" s="81">
        <v>24</v>
      </c>
      <c r="H49" s="81">
        <v>560</v>
      </c>
      <c r="I49" s="118">
        <f>IFERROR(H49*VLOOKUP(F49,инфо!$A$15:$C$28,3,FALSE)/1000,0)</f>
        <v>19.5944</v>
      </c>
      <c r="J49" s="81">
        <v>400</v>
      </c>
      <c r="K49" s="81">
        <v>8</v>
      </c>
      <c r="L49" s="81"/>
      <c r="M49" s="20">
        <v>84</v>
      </c>
      <c r="N49" s="23">
        <v>2422</v>
      </c>
      <c r="O49" s="19">
        <v>2561</v>
      </c>
      <c r="P49" s="19">
        <v>12834</v>
      </c>
      <c r="Q49" s="19"/>
      <c r="R49" s="19"/>
      <c r="S49" s="69">
        <f t="shared" si="25"/>
        <v>15395</v>
      </c>
      <c r="T49" s="17"/>
      <c r="U49" s="18"/>
      <c r="V49" s="19"/>
      <c r="W49" s="19"/>
      <c r="X49" s="19"/>
      <c r="Y49" s="17">
        <v>220</v>
      </c>
      <c r="Z49" s="19"/>
      <c r="AA49" s="19"/>
      <c r="AB49" s="19"/>
      <c r="AC49" s="117">
        <v>240</v>
      </c>
      <c r="AD49" s="18"/>
      <c r="AE49" s="25">
        <f>SUMIFS(инфо!$D$15:$D$28,инфо!$A$15:$A$28,F49)</f>
        <v>414</v>
      </c>
      <c r="AF49" s="35">
        <f t="shared" si="16"/>
        <v>4.3250000000000002</v>
      </c>
      <c r="AG49" s="14">
        <f t="shared" si="13"/>
        <v>-409.67500000000001</v>
      </c>
      <c r="AH49" s="25">
        <f>SUMIFS(инфо!$E$15:$E$28,инфо!$A$15:$A$28,F49)</f>
        <v>26.73</v>
      </c>
      <c r="AI49" s="32">
        <f t="shared" si="17"/>
        <v>27.491071428571427</v>
      </c>
      <c r="AJ49" s="14">
        <f t="shared" si="14"/>
        <v>0.76107142857142662</v>
      </c>
      <c r="AK49" s="25">
        <f>SUMIFS(инфо!$F$15:$F$28,инфо!$A$15:$A$28,F49)</f>
        <v>0.41299999999999998</v>
      </c>
      <c r="AL49" s="32">
        <f t="shared" si="18"/>
        <v>0.39285714285714285</v>
      </c>
      <c r="AM49" s="14">
        <f t="shared" si="21"/>
        <v>-2.0142857142857129E-2</v>
      </c>
      <c r="AN49" s="25">
        <f>SUMIFS(инфо!$G$15:$G$28,инфо!$A$15:$A$28,F49)</f>
        <v>0</v>
      </c>
      <c r="AO49" s="32">
        <f t="shared" si="19"/>
        <v>0</v>
      </c>
      <c r="AP49" s="14">
        <f t="shared" si="22"/>
        <v>0</v>
      </c>
      <c r="AQ49" s="25">
        <f>SUMIFS(инфо!$H$15:$H$28,инфо!$A$15:$A$28,F49)</f>
        <v>0</v>
      </c>
      <c r="AR49" s="26">
        <f t="shared" si="26"/>
        <v>0</v>
      </c>
      <c r="AS49" s="14">
        <f t="shared" si="23"/>
        <v>0</v>
      </c>
      <c r="AT49" s="25">
        <f>SUMIFS(инфо!$I$15:$I$28,инфо!$A$15:$A$28,F49)</f>
        <v>0.20699999999999999</v>
      </c>
      <c r="AU49" s="35">
        <f t="shared" si="12"/>
        <v>0</v>
      </c>
      <c r="AV49" s="14">
        <f t="shared" si="24"/>
        <v>-0.20699999999999999</v>
      </c>
      <c r="AX49" s="69">
        <f>SUMIFS(инфо!$C$15:$C$28,инфо!$A$15:$A$28,F49)*H48</f>
        <v>0</v>
      </c>
    </row>
    <row r="50" spans="1:50" x14ac:dyDescent="0.25">
      <c r="A50" s="70">
        <f t="shared" si="15"/>
        <v>46092</v>
      </c>
      <c r="B50" s="79"/>
      <c r="C50" s="29"/>
      <c r="D50" s="30"/>
      <c r="E50" s="83"/>
      <c r="F50" s="28"/>
      <c r="G50" s="81"/>
      <c r="H50" s="81"/>
      <c r="I50" s="118">
        <f>IFERROR(H50*VLOOKUP(F50,инфо!$A$15:$C$28,3,FALSE)/1000,0)</f>
        <v>0</v>
      </c>
      <c r="J50" s="81"/>
      <c r="K50" s="81"/>
      <c r="L50" s="81"/>
      <c r="M50" s="20"/>
      <c r="N50" s="28"/>
      <c r="O50" s="27"/>
      <c r="P50" s="27"/>
      <c r="Q50" s="27"/>
      <c r="R50" s="27"/>
      <c r="S50" s="67">
        <f t="shared" si="25"/>
        <v>0</v>
      </c>
      <c r="T50" s="29"/>
      <c r="U50" s="30"/>
      <c r="V50" s="27"/>
      <c r="W50" s="27"/>
      <c r="X50" s="27"/>
      <c r="Y50" s="29"/>
      <c r="Z50" s="27"/>
      <c r="AA50" s="27"/>
      <c r="AB50" s="27"/>
      <c r="AC50" s="117"/>
      <c r="AD50" s="30"/>
      <c r="AE50" s="31">
        <f>SUMIFS(инфо!$D$15:$D$28,инфо!$A$15:$A$28,F50)</f>
        <v>0</v>
      </c>
      <c r="AF50" s="35">
        <f t="shared" si="16"/>
        <v>0</v>
      </c>
      <c r="AG50" s="33">
        <f t="shared" si="13"/>
        <v>0</v>
      </c>
      <c r="AH50" s="31">
        <f>SUMIFS(инфо!$E$15:$E$28,инфо!$A$15:$A$28,F50)</f>
        <v>0</v>
      </c>
      <c r="AI50" s="32">
        <f t="shared" si="17"/>
        <v>0</v>
      </c>
      <c r="AJ50" s="33">
        <f t="shared" si="14"/>
        <v>0</v>
      </c>
      <c r="AK50" s="31">
        <f>SUMIFS(инфо!$F$15:$F$28,инфо!$A$15:$A$28,F50)</f>
        <v>0</v>
      </c>
      <c r="AL50" s="32">
        <f t="shared" si="18"/>
        <v>0</v>
      </c>
      <c r="AM50" s="33">
        <f t="shared" si="21"/>
        <v>0</v>
      </c>
      <c r="AN50" s="31">
        <f>SUMIFS(инфо!$G$15:$G$28,инфо!$A$15:$A$28,F50)</f>
        <v>0</v>
      </c>
      <c r="AO50" s="32">
        <f t="shared" si="19"/>
        <v>0</v>
      </c>
      <c r="AP50" s="33">
        <f t="shared" si="22"/>
        <v>0</v>
      </c>
      <c r="AQ50" s="31">
        <f>SUMIFS(инфо!$H$15:$H$28,инфо!$A$15:$A$28,F50)</f>
        <v>0</v>
      </c>
      <c r="AR50" s="32">
        <f t="shared" si="26"/>
        <v>0</v>
      </c>
      <c r="AS50" s="33">
        <f t="shared" si="23"/>
        <v>0</v>
      </c>
      <c r="AT50" s="31">
        <f>SUMIFS(инфо!$I$15:$I$28,инфо!$A$15:$A$28,F50)</f>
        <v>0</v>
      </c>
      <c r="AU50" s="35">
        <f t="shared" si="12"/>
        <v>0</v>
      </c>
      <c r="AV50" s="33">
        <f t="shared" si="24"/>
        <v>0</v>
      </c>
      <c r="AX50" s="67">
        <f>SUMIFS(инфо!$C$15:$C$28,инфо!$A$15:$A$28,F50)*H49</f>
        <v>0</v>
      </c>
    </row>
    <row r="51" spans="1:50" x14ac:dyDescent="0.25">
      <c r="A51" s="70">
        <f t="shared" si="15"/>
        <v>46093</v>
      </c>
      <c r="B51" s="79"/>
      <c r="C51" s="15"/>
      <c r="D51" s="16"/>
      <c r="E51" s="83"/>
      <c r="F51" s="28"/>
      <c r="G51" s="81"/>
      <c r="H51" s="81"/>
      <c r="I51" s="118">
        <f>IFERROR(H51*VLOOKUP(F51,инфо!$A$15:$C$28,3,FALSE)/1000,0)</f>
        <v>0</v>
      </c>
      <c r="J51" s="81"/>
      <c r="K51" s="81"/>
      <c r="L51" s="81"/>
      <c r="M51" s="20"/>
      <c r="N51" s="20"/>
      <c r="O51" s="34"/>
      <c r="P51" s="34"/>
      <c r="Q51" s="34"/>
      <c r="R51" s="34"/>
      <c r="S51" s="68">
        <f t="shared" si="25"/>
        <v>0</v>
      </c>
      <c r="T51" s="15"/>
      <c r="U51" s="16"/>
      <c r="V51" s="34"/>
      <c r="W51" s="34"/>
      <c r="X51" s="34"/>
      <c r="Y51" s="15"/>
      <c r="Z51" s="34"/>
      <c r="AA51" s="34"/>
      <c r="AB51" s="34"/>
      <c r="AC51" s="117"/>
      <c r="AD51" s="16"/>
      <c r="AE51" s="24">
        <f>SUMIFS(инфо!$D$15:$D$28,инфо!$A$15:$A$28,F51)</f>
        <v>0</v>
      </c>
      <c r="AF51" s="35">
        <f t="shared" si="16"/>
        <v>0</v>
      </c>
      <c r="AG51" s="12">
        <f t="shared" si="13"/>
        <v>0</v>
      </c>
      <c r="AH51" s="24">
        <f>SUMIFS(инфо!$E$15:$E$28,инфо!$A$15:$A$28,F51)</f>
        <v>0</v>
      </c>
      <c r="AI51" s="32">
        <f t="shared" si="17"/>
        <v>0</v>
      </c>
      <c r="AJ51" s="12">
        <f t="shared" si="14"/>
        <v>0</v>
      </c>
      <c r="AK51" s="24">
        <f>SUMIFS(инфо!$F$15:$F$28,инфо!$A$15:$A$28,F51)</f>
        <v>0</v>
      </c>
      <c r="AL51" s="32">
        <f t="shared" si="18"/>
        <v>0</v>
      </c>
      <c r="AM51" s="12">
        <f t="shared" si="21"/>
        <v>0</v>
      </c>
      <c r="AN51" s="24">
        <f>SUMIFS(инфо!$G$15:$G$28,инфо!$A$15:$A$28,F51)</f>
        <v>0</v>
      </c>
      <c r="AO51" s="32">
        <f t="shared" si="19"/>
        <v>0</v>
      </c>
      <c r="AP51" s="12">
        <f t="shared" si="22"/>
        <v>0</v>
      </c>
      <c r="AQ51" s="24">
        <f>SUMIFS(инфо!$H$15:$H$28,инфо!$A$15:$A$28,F51)</f>
        <v>0</v>
      </c>
      <c r="AR51" s="35">
        <f t="shared" si="26"/>
        <v>0</v>
      </c>
      <c r="AS51" s="12">
        <f t="shared" si="23"/>
        <v>0</v>
      </c>
      <c r="AT51" s="24">
        <f>SUMIFS(инфо!$I$15:$I$28,инфо!$A$15:$A$28,F51)</f>
        <v>0</v>
      </c>
      <c r="AU51" s="35">
        <f t="shared" si="12"/>
        <v>0</v>
      </c>
      <c r="AV51" s="12">
        <f t="shared" si="24"/>
        <v>0</v>
      </c>
      <c r="AX51" s="68">
        <f>SUMIFS(инфо!$C$15:$C$28,инфо!$A$15:$A$28,F51)*H50</f>
        <v>0</v>
      </c>
    </row>
    <row r="52" spans="1:50" x14ac:dyDescent="0.25">
      <c r="A52" s="70">
        <f t="shared" si="15"/>
        <v>46093</v>
      </c>
      <c r="B52" s="79" t="s">
        <v>167</v>
      </c>
      <c r="C52" s="15" t="s">
        <v>772</v>
      </c>
      <c r="D52" s="16" t="s">
        <v>83</v>
      </c>
      <c r="E52" s="83" t="s">
        <v>77</v>
      </c>
      <c r="F52" s="28" t="s">
        <v>60</v>
      </c>
      <c r="G52" s="81">
        <v>24</v>
      </c>
      <c r="H52" s="81">
        <v>500</v>
      </c>
      <c r="I52" s="118">
        <f>IFERROR(H52*VLOOKUP(F52,инфо!$A$15:$C$28,3,FALSE)/1000,0)</f>
        <v>17.495000000000001</v>
      </c>
      <c r="J52" s="81">
        <v>600</v>
      </c>
      <c r="K52" s="81">
        <v>4</v>
      </c>
      <c r="L52" s="81"/>
      <c r="M52" s="20">
        <v>52</v>
      </c>
      <c r="N52" s="20">
        <v>2398</v>
      </c>
      <c r="O52" s="34">
        <v>15331</v>
      </c>
      <c r="P52" s="34"/>
      <c r="Q52" s="34"/>
      <c r="R52" s="34"/>
      <c r="S52" s="68">
        <f t="shared" si="25"/>
        <v>15331</v>
      </c>
      <c r="T52" s="15"/>
      <c r="U52" s="16"/>
      <c r="V52" s="34"/>
      <c r="W52" s="34"/>
      <c r="X52" s="34"/>
      <c r="Y52" s="15">
        <v>220</v>
      </c>
      <c r="Z52" s="34"/>
      <c r="AA52" s="34"/>
      <c r="AB52" s="34"/>
      <c r="AC52" s="117">
        <v>240</v>
      </c>
      <c r="AD52" s="16"/>
      <c r="AE52" s="24">
        <f>SUMIFS(инфо!$D$15:$D$28,инфо!$A$15:$A$28,F52)</f>
        <v>414</v>
      </c>
      <c r="AF52" s="35">
        <f t="shared" si="16"/>
        <v>4.7960000000000003</v>
      </c>
      <c r="AG52" s="12">
        <f t="shared" si="13"/>
        <v>-409.20400000000001</v>
      </c>
      <c r="AH52" s="24">
        <f>SUMIFS(инфо!$E$15:$E$28,инфо!$A$15:$A$28,F52)</f>
        <v>26.73</v>
      </c>
      <c r="AI52" s="32">
        <f t="shared" si="17"/>
        <v>30.661999999999999</v>
      </c>
      <c r="AJ52" s="12">
        <f t="shared" si="14"/>
        <v>3.9319999999999986</v>
      </c>
      <c r="AK52" s="24">
        <f>SUMIFS(инфо!$F$15:$F$28,инфо!$A$15:$A$28,F52)</f>
        <v>0.41299999999999998</v>
      </c>
      <c r="AL52" s="32">
        <f t="shared" si="18"/>
        <v>0.44</v>
      </c>
      <c r="AM52" s="12">
        <f t="shared" si="21"/>
        <v>2.7000000000000024E-2</v>
      </c>
      <c r="AN52" s="24">
        <f>SUMIFS(инфо!$G$15:$G$28,инфо!$A$15:$A$28,F52)</f>
        <v>0</v>
      </c>
      <c r="AO52" s="32">
        <f t="shared" si="19"/>
        <v>0</v>
      </c>
      <c r="AP52" s="12">
        <f t="shared" si="22"/>
        <v>0</v>
      </c>
      <c r="AQ52" s="24">
        <f>SUMIFS(инфо!$H$15:$H$28,инфо!$A$15:$A$28,F52)</f>
        <v>0</v>
      </c>
      <c r="AR52" s="35">
        <f t="shared" si="26"/>
        <v>0</v>
      </c>
      <c r="AS52" s="12">
        <f t="shared" si="23"/>
        <v>0</v>
      </c>
      <c r="AT52" s="24">
        <f>SUMIFS(инфо!$I$15:$I$28,инфо!$A$15:$A$28,F52)</f>
        <v>0.20699999999999999</v>
      </c>
      <c r="AU52" s="35">
        <f t="shared" si="12"/>
        <v>0</v>
      </c>
      <c r="AV52" s="12">
        <f t="shared" si="24"/>
        <v>-0.20699999999999999</v>
      </c>
      <c r="AX52" s="68">
        <f>SUMIFS(инфо!$C$15:$C$28,инфо!$A$15:$A$28,F52)*H51</f>
        <v>0</v>
      </c>
    </row>
    <row r="53" spans="1:50" x14ac:dyDescent="0.25">
      <c r="A53" s="70">
        <f t="shared" si="15"/>
        <v>46094</v>
      </c>
      <c r="B53" s="79"/>
      <c r="C53" s="17"/>
      <c r="D53" s="18"/>
      <c r="E53" s="83"/>
      <c r="F53" s="28"/>
      <c r="G53" s="81"/>
      <c r="H53" s="81"/>
      <c r="I53" s="118">
        <f>IFERROR(H53*VLOOKUP(F53,инфо!$A$15:$C$28,3,FALSE)/1000,0)</f>
        <v>0</v>
      </c>
      <c r="J53" s="81"/>
      <c r="K53" s="81"/>
      <c r="L53" s="81"/>
      <c r="M53" s="20"/>
      <c r="N53" s="23"/>
      <c r="O53" s="19"/>
      <c r="P53" s="19"/>
      <c r="Q53" s="19"/>
      <c r="R53" s="19"/>
      <c r="S53" s="69">
        <f t="shared" si="25"/>
        <v>0</v>
      </c>
      <c r="T53" s="17"/>
      <c r="U53" s="18"/>
      <c r="V53" s="19"/>
      <c r="W53" s="19"/>
      <c r="X53" s="19"/>
      <c r="Y53" s="17"/>
      <c r="Z53" s="19"/>
      <c r="AA53" s="19"/>
      <c r="AB53" s="19"/>
      <c r="AC53" s="117"/>
      <c r="AD53" s="18"/>
      <c r="AE53" s="25">
        <f>SUMIFS(инфо!$D$15:$D$28,инфо!$A$15:$A$28,F53)</f>
        <v>0</v>
      </c>
      <c r="AF53" s="35">
        <f t="shared" si="16"/>
        <v>0</v>
      </c>
      <c r="AG53" s="14">
        <f t="shared" si="13"/>
        <v>0</v>
      </c>
      <c r="AH53" s="25">
        <f>SUMIFS(инфо!$E$15:$E$28,инфо!$A$15:$A$28,F53)</f>
        <v>0</v>
      </c>
      <c r="AI53" s="32">
        <f t="shared" si="17"/>
        <v>0</v>
      </c>
      <c r="AJ53" s="14">
        <f t="shared" si="14"/>
        <v>0</v>
      </c>
      <c r="AK53" s="25">
        <f>SUMIFS(инфо!$F$15:$F$28,инфо!$A$15:$A$28,F53)</f>
        <v>0</v>
      </c>
      <c r="AL53" s="32">
        <f t="shared" si="18"/>
        <v>0</v>
      </c>
      <c r="AM53" s="14">
        <f t="shared" si="21"/>
        <v>0</v>
      </c>
      <c r="AN53" s="25">
        <f>SUMIFS(инфо!$G$15:$G$28,инфо!$A$15:$A$28,F53)</f>
        <v>0</v>
      </c>
      <c r="AO53" s="32">
        <f t="shared" si="19"/>
        <v>0</v>
      </c>
      <c r="AP53" s="14">
        <f t="shared" si="22"/>
        <v>0</v>
      </c>
      <c r="AQ53" s="25">
        <f>SUMIFS(инфо!$H$15:$H$28,инфо!$A$15:$A$28,F53)</f>
        <v>0</v>
      </c>
      <c r="AR53" s="26">
        <f t="shared" si="26"/>
        <v>0</v>
      </c>
      <c r="AS53" s="14">
        <f t="shared" si="23"/>
        <v>0</v>
      </c>
      <c r="AT53" s="25">
        <f>SUMIFS(инфо!$I$15:$I$28,инфо!$A$15:$A$28,F53)</f>
        <v>0</v>
      </c>
      <c r="AU53" s="35">
        <f t="shared" si="12"/>
        <v>0</v>
      </c>
      <c r="AV53" s="14">
        <f t="shared" si="24"/>
        <v>0</v>
      </c>
      <c r="AX53" s="69">
        <f>SUMIFS(инфо!$C$15:$C$28,инфо!$A$15:$A$28,F53)*H52</f>
        <v>0</v>
      </c>
    </row>
    <row r="54" spans="1:50" x14ac:dyDescent="0.25">
      <c r="A54" s="70">
        <f t="shared" si="15"/>
        <v>46094</v>
      </c>
      <c r="B54" s="79" t="s">
        <v>168</v>
      </c>
      <c r="C54" s="29" t="s">
        <v>772</v>
      </c>
      <c r="D54" s="30" t="s">
        <v>83</v>
      </c>
      <c r="E54" s="83" t="s">
        <v>114</v>
      </c>
      <c r="F54" s="28" t="s">
        <v>60</v>
      </c>
      <c r="G54" s="81">
        <v>12</v>
      </c>
      <c r="H54" s="81">
        <v>264</v>
      </c>
      <c r="I54" s="118">
        <f>IFERROR(H54*VLOOKUP(F54,инфо!$A$15:$C$28,3,FALSE)/1000,0)</f>
        <v>9.2373600000000007</v>
      </c>
      <c r="J54" s="81">
        <v>400</v>
      </c>
      <c r="K54" s="81"/>
      <c r="L54" s="81">
        <v>179</v>
      </c>
      <c r="M54" s="20">
        <v>50</v>
      </c>
      <c r="N54" s="28">
        <v>1210</v>
      </c>
      <c r="O54" s="27">
        <v>7700</v>
      </c>
      <c r="P54" s="27"/>
      <c r="Q54" s="27"/>
      <c r="R54" s="27"/>
      <c r="S54" s="67">
        <f t="shared" si="25"/>
        <v>7700</v>
      </c>
      <c r="T54" s="29"/>
      <c r="U54" s="30"/>
      <c r="V54" s="27"/>
      <c r="W54" s="27"/>
      <c r="X54" s="27"/>
      <c r="Y54" s="29">
        <v>120</v>
      </c>
      <c r="Z54" s="27"/>
      <c r="AA54" s="27"/>
      <c r="AB54" s="27"/>
      <c r="AC54" s="117">
        <v>120</v>
      </c>
      <c r="AD54" s="30"/>
      <c r="AE54" s="31">
        <f>SUMIFS(инфо!$D$15:$D$28,инфо!$A$15:$A$28,F54)</f>
        <v>414</v>
      </c>
      <c r="AF54" s="35">
        <f t="shared" si="16"/>
        <v>4.583333333333333</v>
      </c>
      <c r="AG54" s="33">
        <f t="shared" si="13"/>
        <v>-409.41666666666669</v>
      </c>
      <c r="AH54" s="31">
        <f>SUMIFS(инфо!$E$15:$E$28,инфо!$A$15:$A$28,F54)</f>
        <v>26.73</v>
      </c>
      <c r="AI54" s="32">
        <f t="shared" si="17"/>
        <v>29.166666666666668</v>
      </c>
      <c r="AJ54" s="33">
        <f t="shared" si="14"/>
        <v>2.4366666666666674</v>
      </c>
      <c r="AK54" s="31">
        <f>SUMIFS(инфо!$F$15:$F$28,инфо!$A$15:$A$28,F54)</f>
        <v>0.41299999999999998</v>
      </c>
      <c r="AL54" s="32">
        <f t="shared" si="18"/>
        <v>0.45454545454545453</v>
      </c>
      <c r="AM54" s="33">
        <f t="shared" si="21"/>
        <v>4.1545454545454552E-2</v>
      </c>
      <c r="AN54" s="31">
        <f>SUMIFS(инфо!$G$15:$G$28,инфо!$A$15:$A$28,F54)</f>
        <v>0</v>
      </c>
      <c r="AO54" s="32">
        <f t="shared" si="19"/>
        <v>0</v>
      </c>
      <c r="AP54" s="33">
        <f t="shared" si="22"/>
        <v>0</v>
      </c>
      <c r="AQ54" s="31">
        <f>SUMIFS(инфо!$H$15:$H$28,инфо!$A$15:$A$28,F54)</f>
        <v>0</v>
      </c>
      <c r="AR54" s="32">
        <f t="shared" si="26"/>
        <v>0</v>
      </c>
      <c r="AS54" s="33">
        <f t="shared" si="23"/>
        <v>0</v>
      </c>
      <c r="AT54" s="31">
        <f>SUMIFS(инфо!$I$15:$I$28,инфо!$A$15:$A$28,F54)</f>
        <v>0.20699999999999999</v>
      </c>
      <c r="AU54" s="35">
        <f t="shared" si="12"/>
        <v>0</v>
      </c>
      <c r="AV54" s="33">
        <f t="shared" si="24"/>
        <v>-0.20699999999999999</v>
      </c>
      <c r="AX54" s="67">
        <f>SUMIFS(инфо!$C$15:$C$28,инфо!$A$15:$A$28,F54)*H53</f>
        <v>0</v>
      </c>
    </row>
    <row r="55" spans="1:50" x14ac:dyDescent="0.25">
      <c r="A55" s="70">
        <f t="shared" si="15"/>
        <v>46095</v>
      </c>
      <c r="B55" s="79" t="s">
        <v>169</v>
      </c>
      <c r="C55" s="15" t="s">
        <v>771</v>
      </c>
      <c r="D55" s="16" t="s">
        <v>82</v>
      </c>
      <c r="E55" s="83" t="s">
        <v>75</v>
      </c>
      <c r="F55" s="28" t="s">
        <v>71</v>
      </c>
      <c r="G55" s="81">
        <v>18</v>
      </c>
      <c r="H55" s="81">
        <v>800</v>
      </c>
      <c r="I55" s="118">
        <f>IFERROR(H55*VLOOKUP(F55,инфо!$A$15:$C$28,3,FALSE)/1000,0)</f>
        <v>15.680000000000001</v>
      </c>
      <c r="J55" s="81"/>
      <c r="K55" s="81">
        <v>30</v>
      </c>
      <c r="L55" s="81">
        <v>8</v>
      </c>
      <c r="M55" s="20"/>
      <c r="N55" s="20">
        <v>1834</v>
      </c>
      <c r="O55" s="34"/>
      <c r="P55" s="34"/>
      <c r="Q55" s="34">
        <v>3916</v>
      </c>
      <c r="R55" s="34">
        <v>7756</v>
      </c>
      <c r="S55" s="68">
        <f t="shared" si="25"/>
        <v>11672</v>
      </c>
      <c r="T55" s="15"/>
      <c r="U55" s="16"/>
      <c r="V55" s="34"/>
      <c r="W55" s="34"/>
      <c r="X55" s="34"/>
      <c r="Y55" s="15">
        <v>140</v>
      </c>
      <c r="Z55" s="34"/>
      <c r="AA55" s="34"/>
      <c r="AB55" s="34"/>
      <c r="AC55" s="117"/>
      <c r="AD55" s="16"/>
      <c r="AE55" s="24">
        <f>SUMIFS(инфо!$D$15:$D$28,инфо!$A$15:$A$28,F55)</f>
        <v>2.31</v>
      </c>
      <c r="AF55" s="35">
        <f t="shared" si="16"/>
        <v>2.2925</v>
      </c>
      <c r="AG55" s="12">
        <f t="shared" si="13"/>
        <v>-1.7500000000000071E-2</v>
      </c>
      <c r="AH55" s="24">
        <f>SUMIFS(инфо!$E$15:$E$28,инфо!$A$15:$A$28,F55)</f>
        <v>14.93</v>
      </c>
      <c r="AI55" s="32">
        <f t="shared" si="17"/>
        <v>14.59</v>
      </c>
      <c r="AJ55" s="12">
        <f t="shared" si="14"/>
        <v>-0.33999999999999986</v>
      </c>
      <c r="AK55" s="24">
        <f>SUMIFS(инфо!$F$15:$F$28,инфо!$A$15:$A$28,F55)</f>
        <v>0.23100000000000001</v>
      </c>
      <c r="AL55" s="32">
        <f t="shared" si="18"/>
        <v>0.17499999999999999</v>
      </c>
      <c r="AM55" s="12">
        <f t="shared" si="21"/>
        <v>-5.6000000000000022E-2</v>
      </c>
      <c r="AN55" s="24">
        <f>SUMIFS(инфо!$G$15:$G$28,инфо!$A$15:$A$28,F55)</f>
        <v>4.5999999999999999E-2</v>
      </c>
      <c r="AO55" s="32">
        <f t="shared" si="19"/>
        <v>0</v>
      </c>
      <c r="AP55" s="12">
        <f t="shared" si="22"/>
        <v>-4.5999999999999999E-2</v>
      </c>
      <c r="AQ55" s="24">
        <f>SUMIFS(инфо!$H$15:$H$28,инфо!$A$15:$A$28,F55)</f>
        <v>0</v>
      </c>
      <c r="AR55" s="35">
        <f t="shared" si="26"/>
        <v>0</v>
      </c>
      <c r="AS55" s="12">
        <f t="shared" si="23"/>
        <v>0</v>
      </c>
      <c r="AT55" s="24">
        <f>SUMIFS(инфо!$I$15:$I$28,инфо!$A$15:$A$28,F55)</f>
        <v>0.15</v>
      </c>
      <c r="AU55" s="35">
        <f t="shared" si="12"/>
        <v>0</v>
      </c>
      <c r="AV55" s="12">
        <f t="shared" si="24"/>
        <v>-0.15</v>
      </c>
      <c r="AX55" s="68">
        <f>SUMIFS(инфо!$C$15:$C$28,инфо!$A$15:$A$28,F55)*H54</f>
        <v>5174.4000000000005</v>
      </c>
    </row>
    <row r="56" spans="1:50" x14ac:dyDescent="0.25">
      <c r="A56" s="70">
        <f t="shared" si="15"/>
        <v>46095</v>
      </c>
      <c r="B56" s="79" t="s">
        <v>170</v>
      </c>
      <c r="C56" s="15" t="s">
        <v>771</v>
      </c>
      <c r="D56" s="16" t="s">
        <v>83</v>
      </c>
      <c r="E56" s="83" t="s">
        <v>113</v>
      </c>
      <c r="F56" s="28" t="s">
        <v>71</v>
      </c>
      <c r="G56" s="81">
        <v>42</v>
      </c>
      <c r="H56" s="81">
        <v>1620</v>
      </c>
      <c r="I56" s="118">
        <f>IFERROR(H56*VLOOKUP(F56,инфо!$A$15:$C$28,3,FALSE)/1000,0)</f>
        <v>31.752000000000002</v>
      </c>
      <c r="J56" s="81">
        <v>1250</v>
      </c>
      <c r="K56" s="81">
        <v>17</v>
      </c>
      <c r="L56" s="81">
        <v>2</v>
      </c>
      <c r="M56" s="20"/>
      <c r="N56" s="20">
        <v>4119</v>
      </c>
      <c r="O56" s="34"/>
      <c r="P56" s="34"/>
      <c r="Q56" s="34">
        <v>12150</v>
      </c>
      <c r="R56" s="34">
        <v>14710</v>
      </c>
      <c r="S56" s="68">
        <f t="shared" si="25"/>
        <v>26860</v>
      </c>
      <c r="T56" s="15"/>
      <c r="U56" s="16"/>
      <c r="V56" s="34"/>
      <c r="W56" s="34"/>
      <c r="X56" s="34"/>
      <c r="Y56" s="15">
        <v>420</v>
      </c>
      <c r="Z56" s="34"/>
      <c r="AA56" s="34"/>
      <c r="AB56" s="34"/>
      <c r="AC56" s="117">
        <v>420</v>
      </c>
      <c r="AD56" s="16"/>
      <c r="AE56" s="24">
        <f>SUMIFS(инфо!$D$15:$D$28,инфо!$A$15:$A$28,F56)</f>
        <v>2.31</v>
      </c>
      <c r="AF56" s="35">
        <f t="shared" si="16"/>
        <v>2.5425925925925927</v>
      </c>
      <c r="AG56" s="12">
        <f t="shared" ref="AG56:AG120" si="27">AF56-AE56</f>
        <v>0.23259259259259268</v>
      </c>
      <c r="AH56" s="24">
        <f>SUMIFS(инфо!$E$15:$E$28,инфо!$A$15:$A$28,F56)</f>
        <v>14.93</v>
      </c>
      <c r="AI56" s="32">
        <f t="shared" si="17"/>
        <v>16.580246913580247</v>
      </c>
      <c r="AJ56" s="12">
        <f t="shared" ref="AJ56:AJ120" si="28">AI56-AH56</f>
        <v>1.6502469135802471</v>
      </c>
      <c r="AK56" s="24">
        <f>SUMIFS(инфо!$F$15:$F$28,инфо!$A$15:$A$28,F56)</f>
        <v>0.23100000000000001</v>
      </c>
      <c r="AL56" s="32">
        <f t="shared" si="18"/>
        <v>0.25925925925925924</v>
      </c>
      <c r="AM56" s="12">
        <f t="shared" si="21"/>
        <v>2.8259259259259234E-2</v>
      </c>
      <c r="AN56" s="24">
        <f>SUMIFS(инфо!$G$15:$G$28,инфо!$A$15:$A$28,F56)</f>
        <v>4.5999999999999999E-2</v>
      </c>
      <c r="AO56" s="32">
        <f t="shared" si="19"/>
        <v>0</v>
      </c>
      <c r="AP56" s="12">
        <f t="shared" si="22"/>
        <v>-4.5999999999999999E-2</v>
      </c>
      <c r="AQ56" s="24">
        <f>SUMIFS(инфо!$H$15:$H$28,инфо!$A$15:$A$28,F56)</f>
        <v>0</v>
      </c>
      <c r="AR56" s="35">
        <f t="shared" si="26"/>
        <v>0.52500000000000002</v>
      </c>
      <c r="AS56" s="12">
        <f t="shared" si="23"/>
        <v>0.52500000000000002</v>
      </c>
      <c r="AT56" s="24">
        <f>SUMIFS(инфо!$I$15:$I$28,инфо!$A$15:$A$28,F56)</f>
        <v>0.15</v>
      </c>
      <c r="AU56" s="35">
        <f t="shared" si="12"/>
        <v>0</v>
      </c>
      <c r="AV56" s="12">
        <f t="shared" si="24"/>
        <v>-0.15</v>
      </c>
      <c r="AX56" s="68">
        <f>SUMIFS(инфо!$C$15:$C$28,инфо!$A$15:$A$28,F56)*H55</f>
        <v>15680.000000000002</v>
      </c>
    </row>
    <row r="57" spans="1:50" x14ac:dyDescent="0.25">
      <c r="A57" s="70">
        <f t="shared" si="15"/>
        <v>46096</v>
      </c>
      <c r="B57" s="79" t="s">
        <v>171</v>
      </c>
      <c r="C57" s="17" t="s">
        <v>771</v>
      </c>
      <c r="D57" s="18" t="s">
        <v>82</v>
      </c>
      <c r="E57" s="83" t="s">
        <v>77</v>
      </c>
      <c r="F57" s="28" t="s">
        <v>71</v>
      </c>
      <c r="G57" s="81">
        <v>39</v>
      </c>
      <c r="H57" s="81">
        <v>1550</v>
      </c>
      <c r="I57" s="118">
        <f>IFERROR(H57*VLOOKUP(F57,инфо!$A$15:$C$28,3,FALSE)/1000,0)</f>
        <v>30.380000000000003</v>
      </c>
      <c r="J57" s="81">
        <v>1000</v>
      </c>
      <c r="K57" s="81">
        <v>13</v>
      </c>
      <c r="L57" s="81">
        <v>11</v>
      </c>
      <c r="M57" s="20"/>
      <c r="N57" s="23">
        <v>3833</v>
      </c>
      <c r="O57" s="19"/>
      <c r="P57" s="19"/>
      <c r="Q57" s="19">
        <v>13447</v>
      </c>
      <c r="R57" s="19">
        <v>11509</v>
      </c>
      <c r="S57" s="69">
        <f t="shared" si="25"/>
        <v>24956</v>
      </c>
      <c r="T57" s="17"/>
      <c r="U57" s="18"/>
      <c r="V57" s="19"/>
      <c r="W57" s="19"/>
      <c r="X57" s="19"/>
      <c r="Y57" s="17">
        <v>390</v>
      </c>
      <c r="Z57" s="19"/>
      <c r="AA57" s="19"/>
      <c r="AB57" s="19"/>
      <c r="AC57" s="117">
        <v>390</v>
      </c>
      <c r="AD57" s="18"/>
      <c r="AE57" s="25">
        <f>SUMIFS(инфо!$D$15:$D$28,инфо!$A$15:$A$28,F57)</f>
        <v>2.31</v>
      </c>
      <c r="AF57" s="35">
        <f t="shared" si="16"/>
        <v>2.4729032258064518</v>
      </c>
      <c r="AG57" s="14">
        <f t="shared" si="27"/>
        <v>0.16290322580645178</v>
      </c>
      <c r="AH57" s="25">
        <f>SUMIFS(инфо!$E$15:$E$28,инфо!$A$15:$A$28,F57)</f>
        <v>14.93</v>
      </c>
      <c r="AI57" s="32">
        <f t="shared" si="17"/>
        <v>16.100645161290323</v>
      </c>
      <c r="AJ57" s="14">
        <f t="shared" si="28"/>
        <v>1.1706451612903237</v>
      </c>
      <c r="AK57" s="25">
        <f>SUMIFS(инфо!$F$15:$F$28,инфо!$A$15:$A$28,F57)</f>
        <v>0.23100000000000001</v>
      </c>
      <c r="AL57" s="32">
        <f t="shared" si="18"/>
        <v>0.25161290322580643</v>
      </c>
      <c r="AM57" s="14">
        <f t="shared" si="21"/>
        <v>2.0612903225806417E-2</v>
      </c>
      <c r="AN57" s="25">
        <f>SUMIFS(инфо!$G$15:$G$28,инфо!$A$15:$A$28,F57)</f>
        <v>4.5999999999999999E-2</v>
      </c>
      <c r="AO57" s="32">
        <f t="shared" si="19"/>
        <v>0</v>
      </c>
      <c r="AP57" s="14">
        <f t="shared" si="22"/>
        <v>-4.5999999999999999E-2</v>
      </c>
      <c r="AQ57" s="25">
        <f>SUMIFS(инфо!$H$15:$H$28,инфо!$A$15:$A$28,F57)</f>
        <v>0</v>
      </c>
      <c r="AR57" s="26">
        <f t="shared" si="26"/>
        <v>0.24074074074074073</v>
      </c>
      <c r="AS57" s="14">
        <f t="shared" si="23"/>
        <v>0.24074074074074073</v>
      </c>
      <c r="AT57" s="25">
        <f>SUMIFS(инфо!$I$15:$I$28,инфо!$A$15:$A$28,F57)</f>
        <v>0.15</v>
      </c>
      <c r="AU57" s="35">
        <f t="shared" si="12"/>
        <v>0</v>
      </c>
      <c r="AV57" s="14">
        <f t="shared" si="24"/>
        <v>-0.15</v>
      </c>
      <c r="AX57" s="69">
        <f>SUMIFS(инфо!$C$15:$C$28,инфо!$A$15:$A$28,F57)*H56</f>
        <v>31752.000000000004</v>
      </c>
    </row>
    <row r="58" spans="1:50" x14ac:dyDescent="0.25">
      <c r="A58" s="70">
        <f t="shared" si="15"/>
        <v>46096</v>
      </c>
      <c r="B58" s="79" t="s">
        <v>172</v>
      </c>
      <c r="C58" s="29" t="s">
        <v>771</v>
      </c>
      <c r="D58" s="30" t="s">
        <v>83</v>
      </c>
      <c r="E58" s="83" t="s">
        <v>75</v>
      </c>
      <c r="F58" s="28" t="s">
        <v>71</v>
      </c>
      <c r="G58" s="81">
        <v>48</v>
      </c>
      <c r="H58" s="81">
        <v>2180</v>
      </c>
      <c r="I58" s="118">
        <f>IFERROR(H58*VLOOKUP(F58,инфо!$A$15:$C$28,3,FALSE)/1000,0)</f>
        <v>42.728000000000002</v>
      </c>
      <c r="J58" s="81">
        <v>2750</v>
      </c>
      <c r="K58" s="81"/>
      <c r="L58" s="81"/>
      <c r="M58" s="20"/>
      <c r="N58" s="28">
        <v>4702</v>
      </c>
      <c r="O58" s="27"/>
      <c r="P58" s="27"/>
      <c r="Q58" s="27">
        <v>16299</v>
      </c>
      <c r="R58" s="27">
        <v>14724</v>
      </c>
      <c r="S58" s="67">
        <f t="shared" si="25"/>
        <v>31023</v>
      </c>
      <c r="T58" s="29"/>
      <c r="U58" s="30"/>
      <c r="V58" s="27"/>
      <c r="W58" s="27"/>
      <c r="X58" s="27"/>
      <c r="Y58" s="29">
        <v>480</v>
      </c>
      <c r="Z58" s="27"/>
      <c r="AA58" s="27"/>
      <c r="AB58" s="27"/>
      <c r="AC58" s="117">
        <v>480</v>
      </c>
      <c r="AD58" s="30"/>
      <c r="AE58" s="31">
        <f>SUMIFS(инфо!$D$15:$D$28,инфо!$A$15:$A$28,F58)</f>
        <v>2.31</v>
      </c>
      <c r="AF58" s="35">
        <f t="shared" si="16"/>
        <v>2.1568807339449543</v>
      </c>
      <c r="AG58" s="33">
        <f t="shared" si="27"/>
        <v>-0.15311926605504578</v>
      </c>
      <c r="AH58" s="31">
        <f>SUMIFS(инфо!$E$15:$E$28,инфо!$A$15:$A$28,F58)</f>
        <v>14.93</v>
      </c>
      <c r="AI58" s="32">
        <f t="shared" si="17"/>
        <v>14.230733944954128</v>
      </c>
      <c r="AJ58" s="33">
        <f t="shared" si="28"/>
        <v>-0.69926605504587158</v>
      </c>
      <c r="AK58" s="31">
        <f>SUMIFS(инфо!$F$15:$F$28,инфо!$A$15:$A$28,F58)</f>
        <v>0.23100000000000001</v>
      </c>
      <c r="AL58" s="32">
        <f t="shared" si="18"/>
        <v>0.22018348623853212</v>
      </c>
      <c r="AM58" s="33">
        <f t="shared" si="21"/>
        <v>-1.0816513761467889E-2</v>
      </c>
      <c r="AN58" s="31">
        <f>SUMIFS(инфо!$G$15:$G$28,инфо!$A$15:$A$28,F58)</f>
        <v>4.5999999999999999E-2</v>
      </c>
      <c r="AO58" s="32">
        <f t="shared" si="19"/>
        <v>0</v>
      </c>
      <c r="AP58" s="33">
        <f t="shared" si="22"/>
        <v>-4.5999999999999999E-2</v>
      </c>
      <c r="AQ58" s="31">
        <f>SUMIFS(инфо!$H$15:$H$28,инфо!$A$15:$A$28,F58)</f>
        <v>0</v>
      </c>
      <c r="AR58" s="32">
        <f t="shared" si="26"/>
        <v>0.30967741935483872</v>
      </c>
      <c r="AS58" s="33">
        <f t="shared" si="23"/>
        <v>0.30967741935483872</v>
      </c>
      <c r="AT58" s="31">
        <f>SUMIFS(инфо!$I$15:$I$28,инфо!$A$15:$A$28,F58)</f>
        <v>0.15</v>
      </c>
      <c r="AU58" s="35">
        <f t="shared" si="12"/>
        <v>0</v>
      </c>
      <c r="AV58" s="33">
        <f t="shared" si="24"/>
        <v>-0.15</v>
      </c>
      <c r="AX58" s="67">
        <f>SUMIFS(инфо!$C$15:$C$28,инфо!$A$15:$A$28,F58)*H57</f>
        <v>30380.000000000004</v>
      </c>
    </row>
    <row r="59" spans="1:50" x14ac:dyDescent="0.25">
      <c r="A59" s="70">
        <f t="shared" si="15"/>
        <v>46097</v>
      </c>
      <c r="B59" s="79"/>
      <c r="C59" s="15"/>
      <c r="D59" s="16"/>
      <c r="E59" s="83"/>
      <c r="F59" s="28"/>
      <c r="G59" s="81"/>
      <c r="H59" s="81"/>
      <c r="I59" s="118">
        <f>IFERROR(H59*VLOOKUP(F59,инфо!$A$15:$C$28,3,FALSE)/1000,0)</f>
        <v>0</v>
      </c>
      <c r="J59" s="81"/>
      <c r="K59" s="81"/>
      <c r="L59" s="81"/>
      <c r="M59" s="20"/>
      <c r="N59" s="20"/>
      <c r="O59" s="34"/>
      <c r="P59" s="34"/>
      <c r="Q59" s="34"/>
      <c r="R59" s="34"/>
      <c r="S59" s="68">
        <f t="shared" si="25"/>
        <v>0</v>
      </c>
      <c r="T59" s="15"/>
      <c r="U59" s="16"/>
      <c r="V59" s="34"/>
      <c r="W59" s="34"/>
      <c r="X59" s="34"/>
      <c r="Y59" s="15"/>
      <c r="Z59" s="34"/>
      <c r="AA59" s="34"/>
      <c r="AB59" s="34"/>
      <c r="AC59" s="34"/>
      <c r="AD59" s="16"/>
      <c r="AE59" s="24">
        <f>SUMIFS(инфо!$D$15:$D$28,инфо!$A$15:$A$28,F59)</f>
        <v>0</v>
      </c>
      <c r="AF59" s="35">
        <f t="shared" si="16"/>
        <v>0</v>
      </c>
      <c r="AG59" s="12">
        <f t="shared" si="27"/>
        <v>0</v>
      </c>
      <c r="AH59" s="24">
        <f>SUMIFS(инфо!$E$15:$E$28,инфо!$A$15:$A$28,F59)</f>
        <v>0</v>
      </c>
      <c r="AI59" s="32">
        <f t="shared" si="17"/>
        <v>0</v>
      </c>
      <c r="AJ59" s="12">
        <f t="shared" si="28"/>
        <v>0</v>
      </c>
      <c r="AK59" s="24">
        <f>SUMIFS(инфо!$F$15:$F$28,инфо!$A$15:$A$28,F59)</f>
        <v>0</v>
      </c>
      <c r="AL59" s="32">
        <f t="shared" si="18"/>
        <v>0</v>
      </c>
      <c r="AM59" s="12">
        <f t="shared" si="21"/>
        <v>0</v>
      </c>
      <c r="AN59" s="24">
        <f>SUMIFS(инфо!$G$15:$G$28,инфо!$A$15:$A$28,F59)</f>
        <v>0</v>
      </c>
      <c r="AO59" s="32">
        <f t="shared" si="19"/>
        <v>0</v>
      </c>
      <c r="AP59" s="12">
        <f t="shared" si="22"/>
        <v>0</v>
      </c>
      <c r="AQ59" s="24">
        <f>SUMIFS(инфо!$H$15:$H$28,инфо!$A$15:$A$28,F59)</f>
        <v>0</v>
      </c>
      <c r="AR59" s="35">
        <f t="shared" si="26"/>
        <v>0</v>
      </c>
      <c r="AS59" s="12">
        <f t="shared" si="23"/>
        <v>0</v>
      </c>
      <c r="AT59" s="24">
        <f>SUMIFS(инфо!$I$15:$I$28,инфо!$A$15:$A$28,F59)</f>
        <v>0</v>
      </c>
      <c r="AU59" s="35">
        <f t="shared" si="12"/>
        <v>0</v>
      </c>
      <c r="AV59" s="12">
        <f t="shared" si="24"/>
        <v>0</v>
      </c>
      <c r="AX59" s="68">
        <f>SUMIFS(инфо!$C$15:$C$28,инфо!$A$15:$A$28,F59)*H58</f>
        <v>0</v>
      </c>
    </row>
    <row r="60" spans="1:50" x14ac:dyDescent="0.25">
      <c r="A60" s="70">
        <f t="shared" si="15"/>
        <v>46097</v>
      </c>
      <c r="B60" s="79"/>
      <c r="C60" s="15"/>
      <c r="D60" s="16"/>
      <c r="E60" s="83"/>
      <c r="F60" s="28"/>
      <c r="G60" s="81"/>
      <c r="H60" s="81"/>
      <c r="I60" s="118">
        <f>IFERROR(H60*VLOOKUP(F60,инфо!$A$15:$C$28,3,FALSE)/1000,0)</f>
        <v>0</v>
      </c>
      <c r="J60" s="81"/>
      <c r="K60" s="81"/>
      <c r="L60" s="81"/>
      <c r="M60" s="20"/>
      <c r="N60" s="20"/>
      <c r="O60" s="34"/>
      <c r="P60" s="34"/>
      <c r="Q60" s="34"/>
      <c r="R60" s="34"/>
      <c r="S60" s="68">
        <f t="shared" si="25"/>
        <v>0</v>
      </c>
      <c r="T60" s="15"/>
      <c r="U60" s="16"/>
      <c r="V60" s="34"/>
      <c r="W60" s="34"/>
      <c r="X60" s="34"/>
      <c r="Y60" s="15"/>
      <c r="Z60" s="34"/>
      <c r="AA60" s="34"/>
      <c r="AB60" s="34"/>
      <c r="AC60" s="34"/>
      <c r="AD60" s="16"/>
      <c r="AE60" s="24">
        <f>SUMIFS(инфо!$D$15:$D$28,инфо!$A$15:$A$28,F60)</f>
        <v>0</v>
      </c>
      <c r="AF60" s="35">
        <f t="shared" si="16"/>
        <v>0</v>
      </c>
      <c r="AG60" s="12">
        <f t="shared" si="27"/>
        <v>0</v>
      </c>
      <c r="AH60" s="24">
        <f>SUMIFS(инфо!$E$15:$E$28,инфо!$A$15:$A$28,F60)</f>
        <v>0</v>
      </c>
      <c r="AI60" s="32">
        <f t="shared" si="17"/>
        <v>0</v>
      </c>
      <c r="AJ60" s="12">
        <f t="shared" si="28"/>
        <v>0</v>
      </c>
      <c r="AK60" s="24">
        <f>SUMIFS(инфо!$F$15:$F$28,инфо!$A$15:$A$28,F60)</f>
        <v>0</v>
      </c>
      <c r="AL60" s="32">
        <f t="shared" si="18"/>
        <v>0</v>
      </c>
      <c r="AM60" s="12">
        <f t="shared" si="21"/>
        <v>0</v>
      </c>
      <c r="AN60" s="24">
        <f>SUMIFS(инфо!$G$15:$G$28,инфо!$A$15:$A$28,F60)</f>
        <v>0</v>
      </c>
      <c r="AO60" s="32">
        <f t="shared" si="19"/>
        <v>0</v>
      </c>
      <c r="AP60" s="12">
        <f t="shared" si="22"/>
        <v>0</v>
      </c>
      <c r="AQ60" s="24">
        <f>SUMIFS(инфо!$H$15:$H$28,инфо!$A$15:$A$28,F60)</f>
        <v>0</v>
      </c>
      <c r="AR60" s="35">
        <f t="shared" si="26"/>
        <v>0</v>
      </c>
      <c r="AS60" s="12">
        <f t="shared" si="23"/>
        <v>0</v>
      </c>
      <c r="AT60" s="24">
        <f>SUMIFS(инфо!$I$15:$I$28,инфо!$A$15:$A$28,F60)</f>
        <v>0</v>
      </c>
      <c r="AU60" s="35">
        <f t="shared" si="12"/>
        <v>0</v>
      </c>
      <c r="AV60" s="12">
        <f t="shared" si="24"/>
        <v>0</v>
      </c>
      <c r="AX60" s="68">
        <f>SUMIFS(инфо!$C$15:$C$28,инфо!$A$15:$A$28,F60)*H59</f>
        <v>0</v>
      </c>
    </row>
    <row r="61" spans="1:50" x14ac:dyDescent="0.25">
      <c r="A61" s="70">
        <f t="shared" si="15"/>
        <v>46098</v>
      </c>
      <c r="B61" s="79"/>
      <c r="C61" s="17"/>
      <c r="D61" s="18"/>
      <c r="E61" s="83"/>
      <c r="F61" s="28"/>
      <c r="G61" s="81"/>
      <c r="H61" s="81"/>
      <c r="I61" s="118">
        <f>IFERROR(H61*VLOOKUP(F61,инфо!$A$15:$C$28,3,FALSE)/1000,0)</f>
        <v>0</v>
      </c>
      <c r="J61" s="81"/>
      <c r="K61" s="81"/>
      <c r="L61" s="81"/>
      <c r="M61" s="20"/>
      <c r="N61" s="23"/>
      <c r="O61" s="19"/>
      <c r="P61" s="19"/>
      <c r="Q61" s="19"/>
      <c r="R61" s="19"/>
      <c r="S61" s="68">
        <f t="shared" si="25"/>
        <v>0</v>
      </c>
      <c r="T61" s="17"/>
      <c r="U61" s="18"/>
      <c r="V61" s="19"/>
      <c r="W61" s="19"/>
      <c r="X61" s="19"/>
      <c r="Y61" s="17"/>
      <c r="Z61" s="19"/>
      <c r="AA61" s="19"/>
      <c r="AB61" s="19"/>
      <c r="AC61" s="19"/>
      <c r="AD61" s="18"/>
      <c r="AE61" s="25">
        <f>SUMIFS(инфо!$D$15:$D$28,инфо!$A$15:$A$28,F61)</f>
        <v>0</v>
      </c>
      <c r="AF61" s="35">
        <f t="shared" si="16"/>
        <v>0</v>
      </c>
      <c r="AG61" s="14">
        <f t="shared" si="27"/>
        <v>0</v>
      </c>
      <c r="AH61" s="25">
        <f>SUMIFS(инфо!$E$15:$E$28,инфо!$A$15:$A$28,F61)</f>
        <v>0</v>
      </c>
      <c r="AI61" s="32">
        <f t="shared" si="17"/>
        <v>0</v>
      </c>
      <c r="AJ61" s="14">
        <f t="shared" si="28"/>
        <v>0</v>
      </c>
      <c r="AK61" s="25">
        <f>SUMIFS(инфо!$F$15:$F$28,инфо!$A$15:$A$28,F61)</f>
        <v>0</v>
      </c>
      <c r="AL61" s="32">
        <f t="shared" si="18"/>
        <v>0</v>
      </c>
      <c r="AM61" s="14">
        <f t="shared" si="21"/>
        <v>0</v>
      </c>
      <c r="AN61" s="25">
        <f>SUMIFS(инфо!$G$15:$G$28,инфо!$A$15:$A$28,F61)</f>
        <v>0</v>
      </c>
      <c r="AO61" s="32">
        <f t="shared" si="19"/>
        <v>0</v>
      </c>
      <c r="AP61" s="14">
        <f t="shared" si="22"/>
        <v>0</v>
      </c>
      <c r="AQ61" s="25">
        <f>SUMIFS(инфо!$H$15:$H$28,инфо!$A$15:$A$28,F61)</f>
        <v>0</v>
      </c>
      <c r="AR61" s="26">
        <f t="shared" si="26"/>
        <v>0</v>
      </c>
      <c r="AS61" s="14">
        <f t="shared" si="23"/>
        <v>0</v>
      </c>
      <c r="AT61" s="25">
        <f>SUMIFS(инфо!$I$15:$I$28,инфо!$A$15:$A$28,F61)</f>
        <v>0</v>
      </c>
      <c r="AU61" s="35">
        <f t="shared" si="12"/>
        <v>0</v>
      </c>
      <c r="AV61" s="14">
        <f t="shared" si="24"/>
        <v>0</v>
      </c>
      <c r="AX61" s="69">
        <f>SUMIFS(инфо!$C$15:$C$28,инфо!$A$15:$A$28,F61)*H60</f>
        <v>0</v>
      </c>
    </row>
    <row r="62" spans="1:50" x14ac:dyDescent="0.25">
      <c r="A62" s="70">
        <f t="shared" si="15"/>
        <v>46098</v>
      </c>
      <c r="B62" s="79"/>
      <c r="C62" s="29"/>
      <c r="D62" s="30"/>
      <c r="E62" s="83"/>
      <c r="F62" s="28"/>
      <c r="G62" s="81"/>
      <c r="H62" s="81"/>
      <c r="I62" s="118">
        <f>IFERROR(H62*VLOOKUP(F62,инфо!$A$15:$C$28,3,FALSE)/1000,0)</f>
        <v>0</v>
      </c>
      <c r="J62" s="81"/>
      <c r="K62" s="81"/>
      <c r="L62" s="81"/>
      <c r="M62" s="20"/>
      <c r="N62" s="28"/>
      <c r="O62" s="27"/>
      <c r="P62" s="27"/>
      <c r="Q62" s="27"/>
      <c r="R62" s="27"/>
      <c r="S62" s="68"/>
      <c r="T62" s="29"/>
      <c r="U62" s="30"/>
      <c r="V62" s="27"/>
      <c r="W62" s="27"/>
      <c r="X62" s="27"/>
      <c r="Y62" s="29"/>
      <c r="Z62" s="27"/>
      <c r="AA62" s="27"/>
      <c r="AB62" s="27"/>
      <c r="AC62" s="27"/>
      <c r="AD62" s="30"/>
      <c r="AE62" s="31">
        <f>SUMIFS(инфо!$D$15:$D$28,инфо!$A$15:$A$28,F62)</f>
        <v>0</v>
      </c>
      <c r="AF62" s="35">
        <f t="shared" si="16"/>
        <v>0</v>
      </c>
      <c r="AG62" s="33">
        <f t="shared" si="27"/>
        <v>0</v>
      </c>
      <c r="AH62" s="31">
        <f>SUMIFS(инфо!$E$15:$E$28,инфо!$A$15:$A$28,F62)</f>
        <v>0</v>
      </c>
      <c r="AI62" s="32">
        <f t="shared" si="17"/>
        <v>0</v>
      </c>
      <c r="AJ62" s="33">
        <f t="shared" si="28"/>
        <v>0</v>
      </c>
      <c r="AK62" s="31">
        <f>SUMIFS(инфо!$F$15:$F$28,инфо!$A$15:$A$28,F62)</f>
        <v>0</v>
      </c>
      <c r="AL62" s="32">
        <f t="shared" si="18"/>
        <v>0</v>
      </c>
      <c r="AM62" s="33">
        <f t="shared" si="21"/>
        <v>0</v>
      </c>
      <c r="AN62" s="31">
        <f>SUMIFS(инфо!$G$15:$G$28,инфо!$A$15:$A$28,F62)</f>
        <v>0</v>
      </c>
      <c r="AO62" s="32">
        <f t="shared" si="19"/>
        <v>0</v>
      </c>
      <c r="AP62" s="33">
        <f t="shared" si="22"/>
        <v>0</v>
      </c>
      <c r="AQ62" s="31">
        <f>SUMIFS(инфо!$H$15:$H$28,инфо!$A$15:$A$28,F62)</f>
        <v>0</v>
      </c>
      <c r="AR62" s="32">
        <f t="shared" si="26"/>
        <v>0</v>
      </c>
      <c r="AS62" s="33">
        <f t="shared" si="23"/>
        <v>0</v>
      </c>
      <c r="AT62" s="31">
        <f>SUMIFS(инфо!$I$15:$I$28,инфо!$A$15:$A$28,F62)</f>
        <v>0</v>
      </c>
      <c r="AU62" s="35">
        <f t="shared" si="12"/>
        <v>0</v>
      </c>
      <c r="AV62" s="33">
        <f t="shared" si="24"/>
        <v>0</v>
      </c>
      <c r="AX62" s="67">
        <f>SUMIFS(инфо!$C$15:$C$28,инфо!$A$15:$A$28,F62)*H61</f>
        <v>0</v>
      </c>
    </row>
    <row r="63" spans="1:50" x14ac:dyDescent="0.25">
      <c r="A63" s="70">
        <f t="shared" si="15"/>
        <v>46099</v>
      </c>
      <c r="B63" s="79"/>
      <c r="C63" s="15"/>
      <c r="D63" s="16"/>
      <c r="E63" s="83"/>
      <c r="F63" s="28"/>
      <c r="G63" s="81"/>
      <c r="H63" s="81"/>
      <c r="I63" s="118">
        <f>IFERROR(H63*VLOOKUP(F63,инфо!$A$15:$C$28,3,FALSE)/1000,0)</f>
        <v>0</v>
      </c>
      <c r="J63" s="81"/>
      <c r="K63" s="81"/>
      <c r="L63" s="81"/>
      <c r="M63" s="20"/>
      <c r="N63" s="28"/>
      <c r="O63" s="34"/>
      <c r="P63" s="34"/>
      <c r="Q63" s="34"/>
      <c r="R63" s="34"/>
      <c r="S63" s="68"/>
      <c r="T63" s="15"/>
      <c r="U63" s="16"/>
      <c r="V63" s="34"/>
      <c r="W63" s="34"/>
      <c r="X63" s="34"/>
      <c r="Y63" s="15"/>
      <c r="Z63" s="34"/>
      <c r="AA63" s="34"/>
      <c r="AB63" s="34"/>
      <c r="AC63" s="34"/>
      <c r="AD63" s="16"/>
      <c r="AE63" s="24">
        <f>SUMIFS(инфо!$D$15:$D$28,инфо!$A$15:$A$28,F63)</f>
        <v>0</v>
      </c>
      <c r="AF63" s="35">
        <f t="shared" si="16"/>
        <v>0</v>
      </c>
      <c r="AG63" s="12">
        <f t="shared" si="27"/>
        <v>0</v>
      </c>
      <c r="AH63" s="24">
        <f>SUMIFS(инфо!$E$15:$E$28,инфо!$A$15:$A$28,F63)</f>
        <v>0</v>
      </c>
      <c r="AI63" s="32">
        <f t="shared" si="17"/>
        <v>0</v>
      </c>
      <c r="AJ63" s="12">
        <f t="shared" si="28"/>
        <v>0</v>
      </c>
      <c r="AK63" s="24">
        <f>SUMIFS(инфо!$F$15:$F$28,инфо!$A$15:$A$28,F63)</f>
        <v>0</v>
      </c>
      <c r="AL63" s="32">
        <f t="shared" si="18"/>
        <v>0</v>
      </c>
      <c r="AM63" s="12">
        <f t="shared" si="21"/>
        <v>0</v>
      </c>
      <c r="AN63" s="24">
        <f>SUMIFS(инфо!$G$15:$G$28,инфо!$A$15:$A$28,F63)</f>
        <v>0</v>
      </c>
      <c r="AO63" s="32">
        <f t="shared" si="19"/>
        <v>0</v>
      </c>
      <c r="AP63" s="12">
        <f t="shared" si="22"/>
        <v>0</v>
      </c>
      <c r="AQ63" s="24">
        <f>SUMIFS(инфо!$H$15:$H$28,инфо!$A$15:$A$28,F63)</f>
        <v>0</v>
      </c>
      <c r="AR63" s="35">
        <f t="shared" si="26"/>
        <v>0</v>
      </c>
      <c r="AS63" s="12">
        <f t="shared" si="23"/>
        <v>0</v>
      </c>
      <c r="AT63" s="24">
        <f>SUMIFS(инфо!$I$15:$I$28,инфо!$A$15:$A$28,F63)</f>
        <v>0</v>
      </c>
      <c r="AU63" s="35">
        <f t="shared" si="12"/>
        <v>0</v>
      </c>
      <c r="AV63" s="12">
        <f t="shared" si="24"/>
        <v>0</v>
      </c>
      <c r="AX63" s="68">
        <f>SUMIFS(инфо!$C$15:$C$28,инфо!$A$15:$A$28,F63)*H62</f>
        <v>0</v>
      </c>
    </row>
    <row r="64" spans="1:50" x14ac:dyDescent="0.25">
      <c r="A64" s="70">
        <f t="shared" si="15"/>
        <v>46099</v>
      </c>
      <c r="B64" s="79"/>
      <c r="C64" s="15"/>
      <c r="D64" s="16"/>
      <c r="E64" s="83"/>
      <c r="F64" s="28"/>
      <c r="G64" s="81"/>
      <c r="H64" s="81"/>
      <c r="I64" s="118">
        <f>IFERROR(H64*VLOOKUP(F64,инфо!$A$15:$C$28,3,FALSE)/1000,0)</f>
        <v>0</v>
      </c>
      <c r="J64" s="81">
        <v>569</v>
      </c>
      <c r="K64" s="81"/>
      <c r="L64" s="81"/>
      <c r="M64" s="20"/>
      <c r="N64" s="28"/>
      <c r="O64" s="34"/>
      <c r="P64" s="34"/>
      <c r="Q64" s="34"/>
      <c r="R64" s="34"/>
      <c r="S64" s="68"/>
      <c r="T64" s="15"/>
      <c r="U64" s="16"/>
      <c r="V64" s="34"/>
      <c r="W64" s="34"/>
      <c r="X64" s="34"/>
      <c r="Y64" s="15"/>
      <c r="Z64" s="34"/>
      <c r="AA64" s="34"/>
      <c r="AB64" s="34"/>
      <c r="AC64" s="34"/>
      <c r="AD64" s="16"/>
      <c r="AE64" s="24">
        <f>SUMIFS(инфо!$D$15:$D$28,инфо!$A$15:$A$28,F64)</f>
        <v>0</v>
      </c>
      <c r="AF64" s="35">
        <f t="shared" si="16"/>
        <v>0</v>
      </c>
      <c r="AG64" s="12">
        <f t="shared" si="27"/>
        <v>0</v>
      </c>
      <c r="AH64" s="24">
        <f>SUMIFS(инфо!$E$15:$E$28,инфо!$A$15:$A$28,F64)</f>
        <v>0</v>
      </c>
      <c r="AI64" s="32">
        <f t="shared" si="17"/>
        <v>0</v>
      </c>
      <c r="AJ64" s="12">
        <f t="shared" si="28"/>
        <v>0</v>
      </c>
      <c r="AK64" s="24">
        <f>SUMIFS(инфо!$F$15:$F$28,инфо!$A$15:$A$28,F64)</f>
        <v>0</v>
      </c>
      <c r="AL64" s="32">
        <f t="shared" si="18"/>
        <v>0</v>
      </c>
      <c r="AM64" s="12">
        <f t="shared" si="21"/>
        <v>0</v>
      </c>
      <c r="AN64" s="24">
        <f>SUMIFS(инфо!$G$15:$G$28,инфо!$A$15:$A$28,F64)</f>
        <v>0</v>
      </c>
      <c r="AO64" s="32">
        <f t="shared" si="19"/>
        <v>0</v>
      </c>
      <c r="AP64" s="12">
        <f t="shared" si="22"/>
        <v>0</v>
      </c>
      <c r="AQ64" s="24">
        <f>SUMIFS(инфо!$H$15:$H$28,инфо!$A$15:$A$28,F64)</f>
        <v>0</v>
      </c>
      <c r="AR64" s="35">
        <f t="shared" si="26"/>
        <v>0</v>
      </c>
      <c r="AS64" s="12">
        <f t="shared" si="23"/>
        <v>0</v>
      </c>
      <c r="AT64" s="24">
        <f>SUMIFS(инфо!$I$15:$I$28,инфо!$A$15:$A$28,F64)</f>
        <v>0</v>
      </c>
      <c r="AU64" s="35">
        <f t="shared" si="12"/>
        <v>0</v>
      </c>
      <c r="AV64" s="12">
        <f t="shared" si="24"/>
        <v>0</v>
      </c>
      <c r="AX64" s="68">
        <f>SUMIFS(инфо!$C$15:$C$28,инфо!$A$15:$A$28,F64)*H63</f>
        <v>0</v>
      </c>
    </row>
    <row r="65" spans="1:50" x14ac:dyDescent="0.25">
      <c r="A65" s="70">
        <f t="shared" si="15"/>
        <v>46100</v>
      </c>
      <c r="B65" s="79"/>
      <c r="C65" s="17"/>
      <c r="D65" s="18"/>
      <c r="E65" s="83"/>
      <c r="F65" s="28"/>
      <c r="G65" s="81"/>
      <c r="H65" s="81"/>
      <c r="I65" s="118">
        <f>IFERROR(H65*VLOOKUP(F65,инфо!$A$15:$C$28,3,FALSE)/1000,0)</f>
        <v>0</v>
      </c>
      <c r="J65" s="81"/>
      <c r="K65" s="81"/>
      <c r="L65" s="81"/>
      <c r="M65" s="20"/>
      <c r="N65" s="28"/>
      <c r="O65" s="19"/>
      <c r="P65" s="19"/>
      <c r="Q65" s="19"/>
      <c r="R65" s="19"/>
      <c r="S65" s="68"/>
      <c r="T65" s="17"/>
      <c r="U65" s="18"/>
      <c r="V65" s="19"/>
      <c r="W65" s="19"/>
      <c r="X65" s="19"/>
      <c r="Y65" s="17"/>
      <c r="Z65" s="19"/>
      <c r="AA65" s="19"/>
      <c r="AB65" s="19"/>
      <c r="AC65" s="19"/>
      <c r="AD65" s="18"/>
      <c r="AE65" s="25">
        <f>SUMIFS(инфо!$D$15:$D$28,инфо!$A$15:$A$28,F65)</f>
        <v>0</v>
      </c>
      <c r="AF65" s="35">
        <f t="shared" si="16"/>
        <v>0</v>
      </c>
      <c r="AG65" s="14">
        <f t="shared" si="27"/>
        <v>0</v>
      </c>
      <c r="AH65" s="25">
        <f>SUMIFS(инфо!$E$15:$E$28,инфо!$A$15:$A$28,F65)</f>
        <v>0</v>
      </c>
      <c r="AI65" s="32">
        <f t="shared" si="17"/>
        <v>0</v>
      </c>
      <c r="AJ65" s="14">
        <f t="shared" si="28"/>
        <v>0</v>
      </c>
      <c r="AK65" s="25">
        <f>SUMIFS(инфо!$F$15:$F$28,инфо!$A$15:$A$28,F65)</f>
        <v>0</v>
      </c>
      <c r="AL65" s="32">
        <f t="shared" si="18"/>
        <v>0</v>
      </c>
      <c r="AM65" s="14">
        <f t="shared" si="21"/>
        <v>0</v>
      </c>
      <c r="AN65" s="25">
        <f>SUMIFS(инфо!$G$15:$G$28,инфо!$A$15:$A$28,F65)</f>
        <v>0</v>
      </c>
      <c r="AO65" s="32">
        <f t="shared" si="19"/>
        <v>0</v>
      </c>
      <c r="AP65" s="14">
        <f t="shared" si="22"/>
        <v>0</v>
      </c>
      <c r="AQ65" s="25">
        <f>SUMIFS(инфо!$H$15:$H$28,инфо!$A$15:$A$28,F65)</f>
        <v>0</v>
      </c>
      <c r="AR65" s="26">
        <f t="shared" si="26"/>
        <v>0</v>
      </c>
      <c r="AS65" s="14">
        <f t="shared" si="23"/>
        <v>0</v>
      </c>
      <c r="AT65" s="25">
        <f>SUMIFS(инфо!$I$15:$I$28,инфо!$A$15:$A$28,F65)</f>
        <v>0</v>
      </c>
      <c r="AU65" s="35">
        <f t="shared" si="12"/>
        <v>0</v>
      </c>
      <c r="AV65" s="14">
        <f t="shared" si="24"/>
        <v>0</v>
      </c>
      <c r="AX65" s="69">
        <f>SUMIFS(инфо!$C$15:$C$28,инфо!$A$15:$A$28,F65)*H64</f>
        <v>0</v>
      </c>
    </row>
    <row r="66" spans="1:50" x14ac:dyDescent="0.25">
      <c r="A66" s="70">
        <f t="shared" si="15"/>
        <v>46100</v>
      </c>
      <c r="B66" s="79"/>
      <c r="C66" s="29"/>
      <c r="D66" s="30"/>
      <c r="E66" s="83"/>
      <c r="F66" s="28"/>
      <c r="G66" s="81"/>
      <c r="H66" s="81"/>
      <c r="I66" s="118">
        <f>IFERROR(H66*VLOOKUP(F66,инфо!$A$15:$C$28,3,FALSE)/1000,0)</f>
        <v>0</v>
      </c>
      <c r="J66" s="81"/>
      <c r="K66" s="81"/>
      <c r="L66" s="81"/>
      <c r="M66" s="20"/>
      <c r="N66" s="28"/>
      <c r="O66" s="27"/>
      <c r="P66" s="27"/>
      <c r="Q66" s="27"/>
      <c r="R66" s="27"/>
      <c r="S66" s="67">
        <f t="shared" si="25"/>
        <v>0</v>
      </c>
      <c r="T66" s="29"/>
      <c r="U66" s="30"/>
      <c r="V66" s="27"/>
      <c r="W66" s="27"/>
      <c r="X66" s="27"/>
      <c r="Y66" s="29"/>
      <c r="Z66" s="27"/>
      <c r="AA66" s="27"/>
      <c r="AB66" s="27"/>
      <c r="AC66" s="27"/>
      <c r="AD66" s="30"/>
      <c r="AE66" s="31">
        <f>SUMIFS(инфо!$D$15:$D$28,инфо!$A$15:$A$28,F66)</f>
        <v>0</v>
      </c>
      <c r="AF66" s="35">
        <f t="shared" si="16"/>
        <v>0</v>
      </c>
      <c r="AG66" s="33">
        <f t="shared" si="27"/>
        <v>0</v>
      </c>
      <c r="AH66" s="31">
        <f>SUMIFS(инфо!$E$15:$E$28,инфо!$A$15:$A$28,F66)</f>
        <v>0</v>
      </c>
      <c r="AI66" s="32">
        <f t="shared" si="17"/>
        <v>0</v>
      </c>
      <c r="AJ66" s="33">
        <f t="shared" si="28"/>
        <v>0</v>
      </c>
      <c r="AK66" s="31">
        <f>SUMIFS(инфо!$F$15:$F$28,инфо!$A$15:$A$28,F66)</f>
        <v>0</v>
      </c>
      <c r="AL66" s="32">
        <f t="shared" si="18"/>
        <v>0</v>
      </c>
      <c r="AM66" s="33">
        <f t="shared" si="21"/>
        <v>0</v>
      </c>
      <c r="AN66" s="31">
        <f>SUMIFS(инфо!$G$15:$G$28,инфо!$A$15:$A$28,F66)</f>
        <v>0</v>
      </c>
      <c r="AO66" s="32">
        <f t="shared" si="19"/>
        <v>0</v>
      </c>
      <c r="AP66" s="33">
        <f t="shared" si="22"/>
        <v>0</v>
      </c>
      <c r="AQ66" s="31">
        <f>SUMIFS(инфо!$H$15:$H$28,инфо!$A$15:$A$28,F66)</f>
        <v>0</v>
      </c>
      <c r="AR66" s="32">
        <f t="shared" si="26"/>
        <v>0</v>
      </c>
      <c r="AS66" s="33">
        <f t="shared" si="23"/>
        <v>0</v>
      </c>
      <c r="AT66" s="31">
        <f>SUMIFS(инфо!$I$15:$I$28,инфо!$A$15:$A$28,F66)</f>
        <v>0</v>
      </c>
      <c r="AU66" s="35">
        <f t="shared" si="12"/>
        <v>0</v>
      </c>
      <c r="AV66" s="33">
        <f t="shared" si="24"/>
        <v>0</v>
      </c>
      <c r="AX66" s="67">
        <f>SUMIFS(инфо!$C$15:$C$28,инфо!$A$15:$A$28,F66)*H65</f>
        <v>0</v>
      </c>
    </row>
    <row r="67" spans="1:50" x14ac:dyDescent="0.25">
      <c r="A67" s="70">
        <f t="shared" si="15"/>
        <v>46101</v>
      </c>
      <c r="B67" s="79"/>
      <c r="C67" s="15"/>
      <c r="D67" s="16"/>
      <c r="E67" s="83"/>
      <c r="F67" s="28"/>
      <c r="G67" s="81"/>
      <c r="H67" s="81"/>
      <c r="I67" s="118">
        <f>IFERROR(H67*VLOOKUP(F67,инфо!$A$15:$C$28,3,FALSE)/1000,0)</f>
        <v>0</v>
      </c>
      <c r="J67" s="81"/>
      <c r="K67" s="81"/>
      <c r="L67" s="81"/>
      <c r="M67" s="20"/>
      <c r="N67" s="20"/>
      <c r="O67" s="34"/>
      <c r="P67" s="34"/>
      <c r="Q67" s="34"/>
      <c r="R67" s="34"/>
      <c r="S67" s="68">
        <f t="shared" si="25"/>
        <v>0</v>
      </c>
      <c r="T67" s="15"/>
      <c r="U67" s="16"/>
      <c r="V67" s="34"/>
      <c r="W67" s="34"/>
      <c r="X67" s="34"/>
      <c r="Y67" s="15"/>
      <c r="Z67" s="34"/>
      <c r="AA67" s="34"/>
      <c r="AB67" s="34"/>
      <c r="AC67" s="34"/>
      <c r="AD67" s="16"/>
      <c r="AE67" s="24">
        <f>SUMIFS(инфо!$D$15:$D$28,инфо!$A$15:$A$28,F67)</f>
        <v>0</v>
      </c>
      <c r="AF67" s="35">
        <f t="shared" ref="AF67:AF103" si="29">IF(H67=0,0,N67/H67)</f>
        <v>0</v>
      </c>
      <c r="AG67" s="12">
        <f t="shared" si="27"/>
        <v>0</v>
      </c>
      <c r="AH67" s="24">
        <f>SUMIFS(инфо!$E$15:$E$28,инфо!$A$15:$A$28,F67)</f>
        <v>0</v>
      </c>
      <c r="AI67" s="32">
        <f t="shared" ref="AI67:AI103" si="30">IF(H67=0,0,S67/H67)</f>
        <v>0</v>
      </c>
      <c r="AJ67" s="12">
        <f t="shared" si="28"/>
        <v>0</v>
      </c>
      <c r="AK67" s="24">
        <f>SUMIFS(инфо!$F$15:$F$28,инфо!$A$15:$A$28,F67)</f>
        <v>0</v>
      </c>
      <c r="AL67" s="32">
        <f t="shared" ref="AL67:AL103" si="31">IF(H67=0,0,Y67/H67)</f>
        <v>0</v>
      </c>
      <c r="AM67" s="12">
        <f t="shared" si="21"/>
        <v>0</v>
      </c>
      <c r="AN67" s="24">
        <f>SUMIFS(инфо!$G$15:$G$28,инфо!$A$15:$A$28,F67)</f>
        <v>0</v>
      </c>
      <c r="AO67" s="32">
        <f t="shared" ref="AO67:AO103" si="32">IF(H67=0,0,AA67/H67)</f>
        <v>0</v>
      </c>
      <c r="AP67" s="12">
        <f t="shared" si="22"/>
        <v>0</v>
      </c>
      <c r="AQ67" s="24">
        <f>SUMIFS(инфо!$H$15:$H$28,инфо!$A$15:$A$28,F67)</f>
        <v>0</v>
      </c>
      <c r="AR67" s="35">
        <f t="shared" si="26"/>
        <v>0</v>
      </c>
      <c r="AS67" s="12">
        <f t="shared" si="23"/>
        <v>0</v>
      </c>
      <c r="AT67" s="24">
        <f>SUMIFS(инфо!$I$15:$I$28,инфо!$A$15:$A$28,F67)</f>
        <v>0</v>
      </c>
      <c r="AU67" s="35">
        <f t="shared" si="12"/>
        <v>0</v>
      </c>
      <c r="AV67" s="12">
        <f t="shared" si="24"/>
        <v>0</v>
      </c>
      <c r="AX67" s="68">
        <f>SUMIFS(инфо!$C$15:$C$28,инфо!$A$15:$A$28,F67)*H66</f>
        <v>0</v>
      </c>
    </row>
    <row r="68" spans="1:50" x14ac:dyDescent="0.25">
      <c r="A68" s="70">
        <f t="shared" si="15"/>
        <v>46101</v>
      </c>
      <c r="B68" s="79"/>
      <c r="C68" s="15"/>
      <c r="D68" s="16"/>
      <c r="E68" s="83"/>
      <c r="F68" s="28"/>
      <c r="G68" s="81"/>
      <c r="H68" s="81"/>
      <c r="I68" s="118">
        <f>IFERROR(H68*VLOOKUP(F68,инфо!$A$15:$C$28,3,FALSE)/1000,0)</f>
        <v>0</v>
      </c>
      <c r="J68" s="81"/>
      <c r="K68" s="81"/>
      <c r="L68" s="81"/>
      <c r="M68" s="20"/>
      <c r="N68" s="20"/>
      <c r="O68" s="34"/>
      <c r="P68" s="34"/>
      <c r="Q68" s="34"/>
      <c r="R68" s="34"/>
      <c r="S68" s="68">
        <f t="shared" si="25"/>
        <v>0</v>
      </c>
      <c r="T68" s="15"/>
      <c r="U68" s="16"/>
      <c r="V68" s="34"/>
      <c r="W68" s="34"/>
      <c r="X68" s="34"/>
      <c r="Y68" s="15"/>
      <c r="Z68" s="34"/>
      <c r="AA68" s="34"/>
      <c r="AB68" s="34"/>
      <c r="AC68" s="34"/>
      <c r="AD68" s="16"/>
      <c r="AE68" s="24">
        <f>SUMIFS(инфо!$D$15:$D$28,инфо!$A$15:$A$28,F68)</f>
        <v>0</v>
      </c>
      <c r="AF68" s="35">
        <f t="shared" si="29"/>
        <v>0</v>
      </c>
      <c r="AG68" s="12">
        <f t="shared" si="27"/>
        <v>0</v>
      </c>
      <c r="AH68" s="24">
        <f>SUMIFS(инфо!$E$15:$E$28,инфо!$A$15:$A$28,F68)</f>
        <v>0</v>
      </c>
      <c r="AI68" s="32">
        <f t="shared" si="30"/>
        <v>0</v>
      </c>
      <c r="AJ68" s="12">
        <f t="shared" si="28"/>
        <v>0</v>
      </c>
      <c r="AK68" s="24">
        <f>SUMIFS(инфо!$F$15:$F$28,инфо!$A$15:$A$28,F68)</f>
        <v>0</v>
      </c>
      <c r="AL68" s="32">
        <f t="shared" si="31"/>
        <v>0</v>
      </c>
      <c r="AM68" s="12">
        <f t="shared" si="21"/>
        <v>0</v>
      </c>
      <c r="AN68" s="24">
        <f>SUMIFS(инфо!$G$15:$G$28,инфо!$A$15:$A$28,F68)</f>
        <v>0</v>
      </c>
      <c r="AO68" s="32">
        <f t="shared" si="32"/>
        <v>0</v>
      </c>
      <c r="AP68" s="12">
        <f t="shared" si="22"/>
        <v>0</v>
      </c>
      <c r="AQ68" s="24">
        <f>SUMIFS(инфо!$H$15:$H$28,инфо!$A$15:$A$28,F68)</f>
        <v>0</v>
      </c>
      <c r="AR68" s="35">
        <f t="shared" si="26"/>
        <v>0</v>
      </c>
      <c r="AS68" s="12">
        <f t="shared" si="23"/>
        <v>0</v>
      </c>
      <c r="AT68" s="24">
        <f>SUMIFS(инфо!$I$15:$I$28,инфо!$A$15:$A$28,F68)</f>
        <v>0</v>
      </c>
      <c r="AU68" s="35">
        <f t="shared" si="12"/>
        <v>0</v>
      </c>
      <c r="AV68" s="12">
        <f t="shared" si="24"/>
        <v>0</v>
      </c>
      <c r="AX68" s="68">
        <f>SUMIFS(инфо!$C$15:$C$28,инфо!$A$15:$A$28,F68)*H67</f>
        <v>0</v>
      </c>
    </row>
    <row r="69" spans="1:50" x14ac:dyDescent="0.25">
      <c r="A69" s="70">
        <f t="shared" si="15"/>
        <v>46102</v>
      </c>
      <c r="B69" s="79"/>
      <c r="C69" s="17"/>
      <c r="D69" s="18"/>
      <c r="E69" s="83"/>
      <c r="F69" s="28"/>
      <c r="G69" s="81"/>
      <c r="H69" s="81"/>
      <c r="I69" s="118">
        <f>IFERROR(H69*VLOOKUP(F69,инфо!$A$15:$C$28,3,FALSE)/1000,0)</f>
        <v>0</v>
      </c>
      <c r="J69" s="81"/>
      <c r="K69" s="81"/>
      <c r="L69" s="81"/>
      <c r="M69" s="20"/>
      <c r="N69" s="23"/>
      <c r="O69" s="19"/>
      <c r="P69" s="19"/>
      <c r="Q69" s="19"/>
      <c r="R69" s="19"/>
      <c r="S69" s="69">
        <f t="shared" si="25"/>
        <v>0</v>
      </c>
      <c r="T69" s="17"/>
      <c r="U69" s="18"/>
      <c r="V69" s="19"/>
      <c r="W69" s="19"/>
      <c r="X69" s="19"/>
      <c r="Y69" s="17"/>
      <c r="Z69" s="19"/>
      <c r="AA69" s="19"/>
      <c r="AB69" s="19"/>
      <c r="AC69" s="19"/>
      <c r="AD69" s="18"/>
      <c r="AE69" s="25">
        <f>SUMIFS(инфо!$D$15:$D$28,инфо!$A$15:$A$28,F69)</f>
        <v>0</v>
      </c>
      <c r="AF69" s="35">
        <f t="shared" si="29"/>
        <v>0</v>
      </c>
      <c r="AG69" s="14">
        <f t="shared" si="27"/>
        <v>0</v>
      </c>
      <c r="AH69" s="25">
        <f>SUMIFS(инфо!$E$15:$E$28,инфо!$A$15:$A$28,F69)</f>
        <v>0</v>
      </c>
      <c r="AI69" s="32">
        <f t="shared" si="30"/>
        <v>0</v>
      </c>
      <c r="AJ69" s="14">
        <f t="shared" si="28"/>
        <v>0</v>
      </c>
      <c r="AK69" s="25">
        <f>SUMIFS(инфо!$F$15:$F$28,инфо!$A$15:$A$28,F69)</f>
        <v>0</v>
      </c>
      <c r="AL69" s="32">
        <f t="shared" si="31"/>
        <v>0</v>
      </c>
      <c r="AM69" s="14">
        <f t="shared" si="21"/>
        <v>0</v>
      </c>
      <c r="AN69" s="25">
        <f>SUMIFS(инфо!$G$15:$G$28,инфо!$A$15:$A$28,F69)</f>
        <v>0</v>
      </c>
      <c r="AO69" s="32">
        <f t="shared" si="32"/>
        <v>0</v>
      </c>
      <c r="AP69" s="14">
        <f t="shared" si="22"/>
        <v>0</v>
      </c>
      <c r="AQ69" s="25">
        <f>SUMIFS(инфо!$H$15:$H$28,инфо!$A$15:$A$28,F69)</f>
        <v>0</v>
      </c>
      <c r="AR69" s="26">
        <f t="shared" si="26"/>
        <v>0</v>
      </c>
      <c r="AS69" s="14">
        <f t="shared" si="23"/>
        <v>0</v>
      </c>
      <c r="AT69" s="25">
        <f>SUMIFS(инфо!$I$15:$I$28,инфо!$A$15:$A$28,F69)</f>
        <v>0</v>
      </c>
      <c r="AU69" s="35">
        <f t="shared" ref="AU69:AU132" si="33">IF(H69=0,0,AD69/H69)</f>
        <v>0</v>
      </c>
      <c r="AV69" s="14">
        <f t="shared" si="24"/>
        <v>0</v>
      </c>
      <c r="AX69" s="69">
        <f>SUMIFS(инфо!$C$15:$C$28,инфо!$A$15:$A$28,F69)*H68</f>
        <v>0</v>
      </c>
    </row>
    <row r="70" spans="1:50" x14ac:dyDescent="0.25">
      <c r="A70" s="70">
        <f t="shared" si="15"/>
        <v>46102</v>
      </c>
      <c r="B70" s="79"/>
      <c r="C70" s="29"/>
      <c r="D70" s="30"/>
      <c r="E70" s="83"/>
      <c r="F70" s="28"/>
      <c r="G70" s="81"/>
      <c r="H70" s="81"/>
      <c r="I70" s="118">
        <f>IFERROR(H70*VLOOKUP(F70,инфо!$A$15:$C$28,3,FALSE)/1000,0)</f>
        <v>0</v>
      </c>
      <c r="J70" s="81"/>
      <c r="K70" s="81"/>
      <c r="L70" s="81"/>
      <c r="M70" s="20"/>
      <c r="N70" s="28"/>
      <c r="O70" s="27"/>
      <c r="P70" s="27"/>
      <c r="Q70" s="27"/>
      <c r="R70" s="27"/>
      <c r="S70" s="67">
        <f t="shared" si="25"/>
        <v>0</v>
      </c>
      <c r="T70" s="29"/>
      <c r="U70" s="30"/>
      <c r="V70" s="27"/>
      <c r="W70" s="27"/>
      <c r="X70" s="27"/>
      <c r="Y70" s="29"/>
      <c r="Z70" s="27"/>
      <c r="AA70" s="27"/>
      <c r="AB70" s="27"/>
      <c r="AC70" s="27"/>
      <c r="AD70" s="30"/>
      <c r="AE70" s="31">
        <f>SUMIFS(инфо!$D$15:$D$28,инфо!$A$15:$A$28,F70)</f>
        <v>0</v>
      </c>
      <c r="AF70" s="35">
        <f t="shared" si="29"/>
        <v>0</v>
      </c>
      <c r="AG70" s="33">
        <f t="shared" si="27"/>
        <v>0</v>
      </c>
      <c r="AH70" s="31">
        <f>SUMIFS(инфо!$E$15:$E$28,инфо!$A$15:$A$28,F70)</f>
        <v>0</v>
      </c>
      <c r="AI70" s="32">
        <f t="shared" si="30"/>
        <v>0</v>
      </c>
      <c r="AJ70" s="33">
        <f t="shared" si="28"/>
        <v>0</v>
      </c>
      <c r="AK70" s="31">
        <f>SUMIFS(инфо!$F$15:$F$28,инфо!$A$15:$A$28,F70)</f>
        <v>0</v>
      </c>
      <c r="AL70" s="32">
        <f t="shared" si="31"/>
        <v>0</v>
      </c>
      <c r="AM70" s="33">
        <f t="shared" si="21"/>
        <v>0</v>
      </c>
      <c r="AN70" s="31">
        <f>SUMIFS(инфо!$G$15:$G$28,инфо!$A$15:$A$28,F70)</f>
        <v>0</v>
      </c>
      <c r="AO70" s="32">
        <f t="shared" si="32"/>
        <v>0</v>
      </c>
      <c r="AP70" s="33">
        <f t="shared" si="22"/>
        <v>0</v>
      </c>
      <c r="AQ70" s="31">
        <f>SUMIFS(инфо!$H$15:$H$28,инфо!$A$15:$A$28,F70)</f>
        <v>0</v>
      </c>
      <c r="AR70" s="32">
        <f t="shared" si="26"/>
        <v>0</v>
      </c>
      <c r="AS70" s="33">
        <f t="shared" si="23"/>
        <v>0</v>
      </c>
      <c r="AT70" s="31">
        <f>SUMIFS(инфо!$I$15:$I$28,инфо!$A$15:$A$28,F70)</f>
        <v>0</v>
      </c>
      <c r="AU70" s="35">
        <f t="shared" si="33"/>
        <v>0</v>
      </c>
      <c r="AV70" s="33">
        <f t="shared" si="24"/>
        <v>0</v>
      </c>
      <c r="AX70" s="67">
        <f>SUMIFS(инфо!$C$15:$C$28,инфо!$A$15:$A$28,F70)*H69</f>
        <v>0</v>
      </c>
    </row>
    <row r="71" spans="1:50" x14ac:dyDescent="0.25">
      <c r="A71" s="70">
        <f t="shared" si="15"/>
        <v>46103</v>
      </c>
      <c r="B71" s="79"/>
      <c r="C71" s="15"/>
      <c r="D71" s="16"/>
      <c r="E71" s="83"/>
      <c r="F71" s="28"/>
      <c r="G71" s="81"/>
      <c r="H71" s="81"/>
      <c r="I71" s="118">
        <f>IFERROR(H71*VLOOKUP(F71,инфо!$A$15:$C$28,3,FALSE)/1000,0)</f>
        <v>0</v>
      </c>
      <c r="J71" s="81"/>
      <c r="K71" s="81"/>
      <c r="L71" s="81"/>
      <c r="M71" s="20"/>
      <c r="N71" s="20"/>
      <c r="O71" s="34"/>
      <c r="P71" s="34"/>
      <c r="Q71" s="34"/>
      <c r="R71" s="34"/>
      <c r="S71" s="68">
        <f t="shared" si="25"/>
        <v>0</v>
      </c>
      <c r="T71" s="15"/>
      <c r="U71" s="16"/>
      <c r="V71" s="34"/>
      <c r="W71" s="34"/>
      <c r="X71" s="34"/>
      <c r="Y71" s="15"/>
      <c r="Z71" s="34"/>
      <c r="AA71" s="34"/>
      <c r="AB71" s="34"/>
      <c r="AC71" s="34"/>
      <c r="AD71" s="16"/>
      <c r="AE71" s="24">
        <f>SUMIFS(инфо!$D$15:$D$28,инфо!$A$15:$A$28,F71)</f>
        <v>0</v>
      </c>
      <c r="AF71" s="35">
        <f t="shared" si="29"/>
        <v>0</v>
      </c>
      <c r="AG71" s="12">
        <f t="shared" si="27"/>
        <v>0</v>
      </c>
      <c r="AH71" s="24">
        <f>SUMIFS(инфо!$E$15:$E$28,инфо!$A$15:$A$28,F71)</f>
        <v>0</v>
      </c>
      <c r="AI71" s="32">
        <f t="shared" si="30"/>
        <v>0</v>
      </c>
      <c r="AJ71" s="12">
        <f t="shared" si="28"/>
        <v>0</v>
      </c>
      <c r="AK71" s="24">
        <f>SUMIFS(инфо!$F$15:$F$28,инфо!$A$15:$A$28,F71)</f>
        <v>0</v>
      </c>
      <c r="AL71" s="32">
        <f t="shared" si="31"/>
        <v>0</v>
      </c>
      <c r="AM71" s="12">
        <f t="shared" si="21"/>
        <v>0</v>
      </c>
      <c r="AN71" s="24">
        <f>SUMIFS(инфо!$G$15:$G$28,инфо!$A$15:$A$28,F71)</f>
        <v>0</v>
      </c>
      <c r="AO71" s="32">
        <f t="shared" si="32"/>
        <v>0</v>
      </c>
      <c r="AP71" s="12">
        <f t="shared" si="22"/>
        <v>0</v>
      </c>
      <c r="AQ71" s="24">
        <f>SUMIFS(инфо!$H$15:$H$28,инфо!$A$15:$A$28,F71)</f>
        <v>0</v>
      </c>
      <c r="AR71" s="35">
        <f t="shared" si="26"/>
        <v>0</v>
      </c>
      <c r="AS71" s="12">
        <f t="shared" si="23"/>
        <v>0</v>
      </c>
      <c r="AT71" s="24">
        <f>SUMIFS(инфо!$I$15:$I$28,инфо!$A$15:$A$28,F71)</f>
        <v>0</v>
      </c>
      <c r="AU71" s="35">
        <f t="shared" si="33"/>
        <v>0</v>
      </c>
      <c r="AV71" s="12">
        <f t="shared" si="24"/>
        <v>0</v>
      </c>
      <c r="AX71" s="68">
        <f>SUMIFS(инфо!$C$15:$C$28,инфо!$A$15:$A$28,F71)*H70</f>
        <v>0</v>
      </c>
    </row>
    <row r="72" spans="1:50" x14ac:dyDescent="0.25">
      <c r="A72" s="70">
        <f t="shared" si="15"/>
        <v>46103</v>
      </c>
      <c r="B72" s="79"/>
      <c r="C72" s="15"/>
      <c r="D72" s="16"/>
      <c r="E72" s="83"/>
      <c r="F72" s="28"/>
      <c r="G72" s="81"/>
      <c r="H72" s="81"/>
      <c r="I72" s="118">
        <f>IFERROR(H72*VLOOKUP(F72,инфо!$A$15:$C$28,3,FALSE)/1000,0)</f>
        <v>0</v>
      </c>
      <c r="J72" s="81"/>
      <c r="K72" s="81"/>
      <c r="L72" s="81"/>
      <c r="M72" s="20"/>
      <c r="N72" s="20"/>
      <c r="O72" s="34"/>
      <c r="P72" s="34"/>
      <c r="Q72" s="34"/>
      <c r="R72" s="34"/>
      <c r="S72" s="68">
        <f t="shared" si="25"/>
        <v>0</v>
      </c>
      <c r="T72" s="15"/>
      <c r="U72" s="16"/>
      <c r="V72" s="34"/>
      <c r="W72" s="34"/>
      <c r="X72" s="34"/>
      <c r="Y72" s="15"/>
      <c r="Z72" s="34"/>
      <c r="AA72" s="34"/>
      <c r="AB72" s="34"/>
      <c r="AC72" s="34"/>
      <c r="AD72" s="16"/>
      <c r="AE72" s="24">
        <f>SUMIFS(инфо!$D$15:$D$28,инфо!$A$15:$A$28,F72)</f>
        <v>0</v>
      </c>
      <c r="AF72" s="35">
        <f t="shared" si="29"/>
        <v>0</v>
      </c>
      <c r="AG72" s="12">
        <f t="shared" si="27"/>
        <v>0</v>
      </c>
      <c r="AH72" s="24">
        <f>SUMIFS(инфо!$E$15:$E$28,инфо!$A$15:$A$28,F72)</f>
        <v>0</v>
      </c>
      <c r="AI72" s="32">
        <f t="shared" si="30"/>
        <v>0</v>
      </c>
      <c r="AJ72" s="12">
        <f t="shared" si="28"/>
        <v>0</v>
      </c>
      <c r="AK72" s="24">
        <f>SUMIFS(инфо!$F$15:$F$28,инфо!$A$15:$A$28,F72)</f>
        <v>0</v>
      </c>
      <c r="AL72" s="32">
        <f t="shared" si="31"/>
        <v>0</v>
      </c>
      <c r="AM72" s="12">
        <f t="shared" si="21"/>
        <v>0</v>
      </c>
      <c r="AN72" s="24">
        <f>SUMIFS(инфо!$G$15:$G$28,инфо!$A$15:$A$28,F72)</f>
        <v>0</v>
      </c>
      <c r="AO72" s="32">
        <f t="shared" si="32"/>
        <v>0</v>
      </c>
      <c r="AP72" s="12">
        <f t="shared" si="22"/>
        <v>0</v>
      </c>
      <c r="AQ72" s="24">
        <f>SUMIFS(инфо!$H$15:$H$28,инфо!$A$15:$A$28,F72)</f>
        <v>0</v>
      </c>
      <c r="AR72" s="35">
        <f t="shared" si="26"/>
        <v>0</v>
      </c>
      <c r="AS72" s="12">
        <f t="shared" si="23"/>
        <v>0</v>
      </c>
      <c r="AT72" s="24">
        <f>SUMIFS(инфо!$I$15:$I$28,инфо!$A$15:$A$28,F72)</f>
        <v>0</v>
      </c>
      <c r="AU72" s="35">
        <f t="shared" si="33"/>
        <v>0</v>
      </c>
      <c r="AV72" s="12">
        <f t="shared" si="24"/>
        <v>0</v>
      </c>
      <c r="AX72" s="68">
        <f>SUMIFS(инфо!$C$15:$C$28,инфо!$A$15:$A$28,F72)*H71</f>
        <v>0</v>
      </c>
    </row>
    <row r="73" spans="1:50" x14ac:dyDescent="0.25">
      <c r="A73" s="70">
        <f t="shared" si="15"/>
        <v>46104</v>
      </c>
      <c r="B73" s="79"/>
      <c r="C73" s="17"/>
      <c r="D73" s="18"/>
      <c r="E73" s="83"/>
      <c r="F73" s="28"/>
      <c r="G73" s="81"/>
      <c r="H73" s="81"/>
      <c r="I73" s="118">
        <f>IFERROR(H73*VLOOKUP(F73,инфо!$A$15:$C$28,3,FALSE)/1000,0)</f>
        <v>0</v>
      </c>
      <c r="J73" s="81"/>
      <c r="K73" s="81"/>
      <c r="L73" s="81"/>
      <c r="M73" s="20"/>
      <c r="N73" s="23"/>
      <c r="O73" s="19"/>
      <c r="P73" s="19"/>
      <c r="Q73" s="19"/>
      <c r="R73" s="19"/>
      <c r="S73" s="69">
        <f t="shared" si="25"/>
        <v>0</v>
      </c>
      <c r="T73" s="17"/>
      <c r="U73" s="18"/>
      <c r="V73" s="19"/>
      <c r="W73" s="19"/>
      <c r="X73" s="19"/>
      <c r="Y73" s="17"/>
      <c r="Z73" s="19"/>
      <c r="AA73" s="19"/>
      <c r="AB73" s="19"/>
      <c r="AC73" s="19"/>
      <c r="AD73" s="18"/>
      <c r="AE73" s="25">
        <f>SUMIFS(инфо!$D$15:$D$28,инфо!$A$15:$A$28,F73)</f>
        <v>0</v>
      </c>
      <c r="AF73" s="35">
        <f t="shared" si="29"/>
        <v>0</v>
      </c>
      <c r="AG73" s="14">
        <f t="shared" si="27"/>
        <v>0</v>
      </c>
      <c r="AH73" s="25">
        <f>SUMIFS(инфо!$E$15:$E$28,инфо!$A$15:$A$28,F73)</f>
        <v>0</v>
      </c>
      <c r="AI73" s="32">
        <f t="shared" si="30"/>
        <v>0</v>
      </c>
      <c r="AJ73" s="14">
        <f t="shared" si="28"/>
        <v>0</v>
      </c>
      <c r="AK73" s="25">
        <f>SUMIFS(инфо!$F$15:$F$28,инфо!$A$15:$A$28,F73)</f>
        <v>0</v>
      </c>
      <c r="AL73" s="32">
        <f t="shared" si="31"/>
        <v>0</v>
      </c>
      <c r="AM73" s="14">
        <f t="shared" si="21"/>
        <v>0</v>
      </c>
      <c r="AN73" s="25">
        <f>SUMIFS(инфо!$G$15:$G$28,инфо!$A$15:$A$28,F73)</f>
        <v>0</v>
      </c>
      <c r="AO73" s="32">
        <f t="shared" si="32"/>
        <v>0</v>
      </c>
      <c r="AP73" s="14">
        <f t="shared" si="22"/>
        <v>0</v>
      </c>
      <c r="AQ73" s="25">
        <f>SUMIFS(инфо!$H$15:$H$28,инфо!$A$15:$A$28,F73)</f>
        <v>0</v>
      </c>
      <c r="AR73" s="26">
        <f t="shared" si="26"/>
        <v>0</v>
      </c>
      <c r="AS73" s="14">
        <f t="shared" si="23"/>
        <v>0</v>
      </c>
      <c r="AT73" s="25">
        <f>SUMIFS(инфо!$I$15:$I$28,инфо!$A$15:$A$28,F73)</f>
        <v>0</v>
      </c>
      <c r="AU73" s="35">
        <f t="shared" si="33"/>
        <v>0</v>
      </c>
      <c r="AV73" s="14">
        <f t="shared" si="24"/>
        <v>0</v>
      </c>
      <c r="AX73" s="69">
        <f>SUMIFS(инфо!$C$15:$C$28,инфо!$A$15:$A$28,F73)*H72</f>
        <v>0</v>
      </c>
    </row>
    <row r="74" spans="1:50" x14ac:dyDescent="0.25">
      <c r="A74" s="70">
        <f t="shared" si="15"/>
        <v>46104</v>
      </c>
      <c r="B74" s="79"/>
      <c r="C74" s="29"/>
      <c r="D74" s="30"/>
      <c r="E74" s="83"/>
      <c r="F74" s="28"/>
      <c r="G74" s="81"/>
      <c r="H74" s="81"/>
      <c r="I74" s="118">
        <f>IFERROR(H74*VLOOKUP(F74,инфо!$A$15:$C$28,3,FALSE)/1000,0)</f>
        <v>0</v>
      </c>
      <c r="J74" s="81"/>
      <c r="K74" s="81"/>
      <c r="L74" s="81"/>
      <c r="M74" s="20"/>
      <c r="N74" s="28"/>
      <c r="O74" s="27"/>
      <c r="P74" s="27"/>
      <c r="Q74" s="27"/>
      <c r="R74" s="27"/>
      <c r="S74" s="67">
        <f t="shared" si="25"/>
        <v>0</v>
      </c>
      <c r="T74" s="29"/>
      <c r="U74" s="30"/>
      <c r="V74" s="27"/>
      <c r="W74" s="27"/>
      <c r="X74" s="27"/>
      <c r="Y74" s="29"/>
      <c r="Z74" s="27"/>
      <c r="AA74" s="27"/>
      <c r="AB74" s="27"/>
      <c r="AC74" s="27"/>
      <c r="AD74" s="30"/>
      <c r="AE74" s="31">
        <f>SUMIFS(инфо!$D$15:$D$28,инфо!$A$15:$A$28,F74)</f>
        <v>0</v>
      </c>
      <c r="AF74" s="35">
        <f t="shared" si="29"/>
        <v>0</v>
      </c>
      <c r="AG74" s="33">
        <f t="shared" si="27"/>
        <v>0</v>
      </c>
      <c r="AH74" s="31">
        <f>SUMIFS(инфо!$E$15:$E$28,инфо!$A$15:$A$28,F74)</f>
        <v>0</v>
      </c>
      <c r="AI74" s="32">
        <f t="shared" si="30"/>
        <v>0</v>
      </c>
      <c r="AJ74" s="33">
        <f t="shared" si="28"/>
        <v>0</v>
      </c>
      <c r="AK74" s="31">
        <f>SUMIFS(инфо!$F$15:$F$28,инфо!$A$15:$A$28,F74)</f>
        <v>0</v>
      </c>
      <c r="AL74" s="32">
        <f t="shared" si="31"/>
        <v>0</v>
      </c>
      <c r="AM74" s="33">
        <f t="shared" si="21"/>
        <v>0</v>
      </c>
      <c r="AN74" s="31">
        <f>SUMIFS(инфо!$G$15:$G$28,инфо!$A$15:$A$28,F74)</f>
        <v>0</v>
      </c>
      <c r="AO74" s="32">
        <f t="shared" si="32"/>
        <v>0</v>
      </c>
      <c r="AP74" s="33">
        <f t="shared" si="22"/>
        <v>0</v>
      </c>
      <c r="AQ74" s="31">
        <f>SUMIFS(инфо!$H$15:$H$28,инфо!$A$15:$A$28,F74)</f>
        <v>0</v>
      </c>
      <c r="AR74" s="32">
        <f t="shared" si="26"/>
        <v>0</v>
      </c>
      <c r="AS74" s="33">
        <f t="shared" si="23"/>
        <v>0</v>
      </c>
      <c r="AT74" s="31">
        <f>SUMIFS(инфо!$I$15:$I$28,инфо!$A$15:$A$28,F74)</f>
        <v>0</v>
      </c>
      <c r="AU74" s="35">
        <f t="shared" si="33"/>
        <v>0</v>
      </c>
      <c r="AV74" s="33">
        <f t="shared" si="24"/>
        <v>0</v>
      </c>
      <c r="AX74" s="67">
        <f>SUMIFS(инфо!$C$15:$C$28,инфо!$A$15:$A$28,F74)*H73</f>
        <v>0</v>
      </c>
    </row>
    <row r="75" spans="1:50" x14ac:dyDescent="0.25">
      <c r="A75" s="70">
        <f t="shared" si="15"/>
        <v>46105</v>
      </c>
      <c r="B75" s="79"/>
      <c r="C75" s="15"/>
      <c r="D75" s="16"/>
      <c r="E75" s="83"/>
      <c r="F75" s="28"/>
      <c r="G75" s="81"/>
      <c r="H75" s="81"/>
      <c r="I75" s="118">
        <f>IFERROR(H75*VLOOKUP(F75,инфо!$A$15:$C$28,3,FALSE)/1000,0)</f>
        <v>0</v>
      </c>
      <c r="J75" s="81"/>
      <c r="K75" s="81"/>
      <c r="L75" s="81"/>
      <c r="M75" s="20"/>
      <c r="N75" s="20"/>
      <c r="O75" s="34"/>
      <c r="P75" s="34"/>
      <c r="Q75" s="34"/>
      <c r="R75" s="34"/>
      <c r="S75" s="68">
        <f t="shared" si="25"/>
        <v>0</v>
      </c>
      <c r="T75" s="15"/>
      <c r="U75" s="16"/>
      <c r="V75" s="34"/>
      <c r="W75" s="34"/>
      <c r="X75" s="34"/>
      <c r="Y75" s="15"/>
      <c r="Z75" s="34"/>
      <c r="AA75" s="34"/>
      <c r="AB75" s="34"/>
      <c r="AC75" s="34"/>
      <c r="AD75" s="16"/>
      <c r="AE75" s="24">
        <f>SUMIFS(инфо!$D$15:$D$28,инфо!$A$15:$A$28,F75)</f>
        <v>0</v>
      </c>
      <c r="AF75" s="35">
        <f t="shared" si="29"/>
        <v>0</v>
      </c>
      <c r="AG75" s="12">
        <f t="shared" si="27"/>
        <v>0</v>
      </c>
      <c r="AH75" s="24">
        <f>SUMIFS(инфо!$E$15:$E$28,инфо!$A$15:$A$28,F75)</f>
        <v>0</v>
      </c>
      <c r="AI75" s="32">
        <f t="shared" si="30"/>
        <v>0</v>
      </c>
      <c r="AJ75" s="12">
        <f t="shared" si="28"/>
        <v>0</v>
      </c>
      <c r="AK75" s="24">
        <f>SUMIFS(инфо!$F$15:$F$28,инфо!$A$15:$A$28,F75)</f>
        <v>0</v>
      </c>
      <c r="AL75" s="32">
        <f t="shared" si="31"/>
        <v>0</v>
      </c>
      <c r="AM75" s="12">
        <f t="shared" si="21"/>
        <v>0</v>
      </c>
      <c r="AN75" s="24">
        <f>SUMIFS(инфо!$G$15:$G$28,инфо!$A$15:$A$28,F75)</f>
        <v>0</v>
      </c>
      <c r="AO75" s="32">
        <f t="shared" si="32"/>
        <v>0</v>
      </c>
      <c r="AP75" s="12">
        <f t="shared" si="22"/>
        <v>0</v>
      </c>
      <c r="AQ75" s="24">
        <f>SUMIFS(инфо!$H$15:$H$28,инфо!$A$15:$A$28,F75)</f>
        <v>0</v>
      </c>
      <c r="AR75" s="35">
        <f t="shared" si="26"/>
        <v>0</v>
      </c>
      <c r="AS75" s="12">
        <f t="shared" si="23"/>
        <v>0</v>
      </c>
      <c r="AT75" s="24">
        <f>SUMIFS(инфо!$I$15:$I$28,инфо!$A$15:$A$28,F75)</f>
        <v>0</v>
      </c>
      <c r="AU75" s="35">
        <f t="shared" si="33"/>
        <v>0</v>
      </c>
      <c r="AV75" s="12">
        <f t="shared" si="24"/>
        <v>0</v>
      </c>
      <c r="AX75" s="68">
        <f>SUMIFS(инфо!$C$15:$C$28,инфо!$A$15:$A$28,F75)*H74</f>
        <v>0</v>
      </c>
    </row>
    <row r="76" spans="1:50" x14ac:dyDescent="0.25">
      <c r="A76" s="70">
        <f t="shared" si="15"/>
        <v>46105</v>
      </c>
      <c r="B76" s="79"/>
      <c r="C76" s="15"/>
      <c r="D76" s="16"/>
      <c r="E76" s="83"/>
      <c r="F76" s="28"/>
      <c r="G76" s="81"/>
      <c r="H76" s="81"/>
      <c r="I76" s="118">
        <f>IFERROR(H76*VLOOKUP(F76,инфо!$A$15:$C$28,3,FALSE)/1000,0)</f>
        <v>0</v>
      </c>
      <c r="J76" s="81"/>
      <c r="K76" s="81"/>
      <c r="L76" s="81"/>
      <c r="M76" s="20"/>
      <c r="N76" s="20"/>
      <c r="O76" s="34"/>
      <c r="P76" s="34"/>
      <c r="Q76" s="34"/>
      <c r="R76" s="34"/>
      <c r="S76" s="68">
        <f t="shared" si="25"/>
        <v>0</v>
      </c>
      <c r="T76" s="15"/>
      <c r="U76" s="16"/>
      <c r="V76" s="34"/>
      <c r="W76" s="34"/>
      <c r="X76" s="34"/>
      <c r="Y76" s="15"/>
      <c r="Z76" s="34"/>
      <c r="AA76" s="34"/>
      <c r="AB76" s="34"/>
      <c r="AC76" s="34"/>
      <c r="AD76" s="16"/>
      <c r="AE76" s="24">
        <f>SUMIFS(инфо!$D$15:$D$28,инфо!$A$15:$A$28,F76)</f>
        <v>0</v>
      </c>
      <c r="AF76" s="35">
        <f t="shared" si="29"/>
        <v>0</v>
      </c>
      <c r="AG76" s="12">
        <f t="shared" si="27"/>
        <v>0</v>
      </c>
      <c r="AH76" s="24">
        <f>SUMIFS(инфо!$E$15:$E$28,инфо!$A$15:$A$28,F76)</f>
        <v>0</v>
      </c>
      <c r="AI76" s="32">
        <f t="shared" si="30"/>
        <v>0</v>
      </c>
      <c r="AJ76" s="12">
        <f t="shared" si="28"/>
        <v>0</v>
      </c>
      <c r="AK76" s="24">
        <f>SUMIFS(инфо!$F$15:$F$28,инфо!$A$15:$A$28,F76)</f>
        <v>0</v>
      </c>
      <c r="AL76" s="32">
        <f t="shared" si="31"/>
        <v>0</v>
      </c>
      <c r="AM76" s="12">
        <f t="shared" si="21"/>
        <v>0</v>
      </c>
      <c r="AN76" s="24">
        <f>SUMIFS(инфо!$G$15:$G$28,инфо!$A$15:$A$28,F76)</f>
        <v>0</v>
      </c>
      <c r="AO76" s="32">
        <f t="shared" si="32"/>
        <v>0</v>
      </c>
      <c r="AP76" s="12">
        <f t="shared" si="22"/>
        <v>0</v>
      </c>
      <c r="AQ76" s="24">
        <f>SUMIFS(инфо!$H$15:$H$28,инфо!$A$15:$A$28,F76)</f>
        <v>0</v>
      </c>
      <c r="AR76" s="35">
        <f t="shared" si="26"/>
        <v>0</v>
      </c>
      <c r="AS76" s="12">
        <f t="shared" si="23"/>
        <v>0</v>
      </c>
      <c r="AT76" s="24">
        <f>SUMIFS(инфо!$I$15:$I$28,инфо!$A$15:$A$28,F76)</f>
        <v>0</v>
      </c>
      <c r="AU76" s="35">
        <f t="shared" si="33"/>
        <v>0</v>
      </c>
      <c r="AV76" s="12">
        <f t="shared" si="24"/>
        <v>0</v>
      </c>
      <c r="AX76" s="68">
        <f>SUMIFS(инфо!$C$15:$C$28,инфо!$A$15:$A$28,F76)*H75</f>
        <v>0</v>
      </c>
    </row>
    <row r="77" spans="1:50" x14ac:dyDescent="0.25">
      <c r="A77" s="70">
        <f t="shared" si="15"/>
        <v>46106</v>
      </c>
      <c r="B77" s="79"/>
      <c r="C77" s="17"/>
      <c r="D77" s="18"/>
      <c r="E77" s="83"/>
      <c r="F77" s="28"/>
      <c r="G77" s="81"/>
      <c r="H77" s="81"/>
      <c r="I77" s="118">
        <f>IFERROR(H77*VLOOKUP(F77,инфо!$A$15:$C$28,3,FALSE)/1000,0)</f>
        <v>0</v>
      </c>
      <c r="J77" s="81"/>
      <c r="K77" s="81"/>
      <c r="L77" s="81"/>
      <c r="M77" s="20"/>
      <c r="N77" s="23"/>
      <c r="O77" s="19"/>
      <c r="P77" s="19"/>
      <c r="Q77" s="19"/>
      <c r="R77" s="19"/>
      <c r="S77" s="69">
        <f t="shared" si="25"/>
        <v>0</v>
      </c>
      <c r="T77" s="17"/>
      <c r="U77" s="18"/>
      <c r="V77" s="19"/>
      <c r="W77" s="19"/>
      <c r="X77" s="19"/>
      <c r="Y77" s="17"/>
      <c r="Z77" s="19"/>
      <c r="AA77" s="19"/>
      <c r="AB77" s="19"/>
      <c r="AC77" s="19"/>
      <c r="AD77" s="18"/>
      <c r="AE77" s="25">
        <f>SUMIFS(инфо!$D$15:$D$28,инфо!$A$15:$A$28,F77)</f>
        <v>0</v>
      </c>
      <c r="AF77" s="35">
        <f t="shared" si="29"/>
        <v>0</v>
      </c>
      <c r="AG77" s="14">
        <f t="shared" si="27"/>
        <v>0</v>
      </c>
      <c r="AH77" s="25">
        <f>SUMIFS(инфо!$E$15:$E$28,инфо!$A$15:$A$28,F77)</f>
        <v>0</v>
      </c>
      <c r="AI77" s="32">
        <f t="shared" si="30"/>
        <v>0</v>
      </c>
      <c r="AJ77" s="14">
        <f t="shared" si="28"/>
        <v>0</v>
      </c>
      <c r="AK77" s="25">
        <f>SUMIFS(инфо!$F$15:$F$28,инфо!$A$15:$A$28,F77)</f>
        <v>0</v>
      </c>
      <c r="AL77" s="32">
        <f t="shared" si="31"/>
        <v>0</v>
      </c>
      <c r="AM77" s="14">
        <f t="shared" si="21"/>
        <v>0</v>
      </c>
      <c r="AN77" s="25">
        <f>SUMIFS(инфо!$G$15:$G$28,инфо!$A$15:$A$28,F77)</f>
        <v>0</v>
      </c>
      <c r="AO77" s="32">
        <f t="shared" si="32"/>
        <v>0</v>
      </c>
      <c r="AP77" s="14">
        <f t="shared" si="22"/>
        <v>0</v>
      </c>
      <c r="AQ77" s="25">
        <f>SUMIFS(инфо!$H$15:$H$28,инфо!$A$15:$A$28,F77)</f>
        <v>0</v>
      </c>
      <c r="AR77" s="26">
        <f t="shared" si="26"/>
        <v>0</v>
      </c>
      <c r="AS77" s="14">
        <f t="shared" si="23"/>
        <v>0</v>
      </c>
      <c r="AT77" s="25">
        <f>SUMIFS(инфо!$I$15:$I$28,инфо!$A$15:$A$28,F77)</f>
        <v>0</v>
      </c>
      <c r="AU77" s="35">
        <f t="shared" si="33"/>
        <v>0</v>
      </c>
      <c r="AV77" s="14">
        <f t="shared" si="24"/>
        <v>0</v>
      </c>
      <c r="AX77" s="69">
        <f>SUMIFS(инфо!$C$15:$C$28,инфо!$A$15:$A$28,F77)*H76</f>
        <v>0</v>
      </c>
    </row>
    <row r="78" spans="1:50" x14ac:dyDescent="0.25">
      <c r="A78" s="70">
        <f t="shared" si="15"/>
        <v>46106</v>
      </c>
      <c r="B78" s="79"/>
      <c r="C78" s="29"/>
      <c r="D78" s="30"/>
      <c r="E78" s="83"/>
      <c r="F78" s="28"/>
      <c r="G78" s="81"/>
      <c r="H78" s="81"/>
      <c r="I78" s="118">
        <f>IFERROR(H78*VLOOKUP(F78,инфо!$A$15:$C$28,3,FALSE)/1000,0)</f>
        <v>0</v>
      </c>
      <c r="J78" s="81"/>
      <c r="K78" s="81"/>
      <c r="L78" s="81"/>
      <c r="M78" s="20"/>
      <c r="N78" s="28"/>
      <c r="O78" s="27"/>
      <c r="P78" s="27"/>
      <c r="Q78" s="27"/>
      <c r="R78" s="27"/>
      <c r="S78" s="67">
        <f t="shared" si="25"/>
        <v>0</v>
      </c>
      <c r="T78" s="29"/>
      <c r="U78" s="30"/>
      <c r="V78" s="27"/>
      <c r="W78" s="27"/>
      <c r="X78" s="27"/>
      <c r="Y78" s="29"/>
      <c r="Z78" s="27"/>
      <c r="AA78" s="27"/>
      <c r="AB78" s="27"/>
      <c r="AC78" s="27"/>
      <c r="AD78" s="30"/>
      <c r="AE78" s="31">
        <f>SUMIFS(инфо!$D$15:$D$28,инфо!$A$15:$A$28,F78)</f>
        <v>0</v>
      </c>
      <c r="AF78" s="35">
        <f t="shared" si="29"/>
        <v>0</v>
      </c>
      <c r="AG78" s="33">
        <f t="shared" si="27"/>
        <v>0</v>
      </c>
      <c r="AH78" s="31">
        <f>SUMIFS(инфо!$E$15:$E$28,инфо!$A$15:$A$28,F78)</f>
        <v>0</v>
      </c>
      <c r="AI78" s="32">
        <f t="shared" si="30"/>
        <v>0</v>
      </c>
      <c r="AJ78" s="33">
        <f t="shared" si="28"/>
        <v>0</v>
      </c>
      <c r="AK78" s="31">
        <f>SUMIFS(инфо!$F$15:$F$28,инфо!$A$15:$A$28,F78)</f>
        <v>0</v>
      </c>
      <c r="AL78" s="32">
        <f t="shared" si="31"/>
        <v>0</v>
      </c>
      <c r="AM78" s="33">
        <f t="shared" si="21"/>
        <v>0</v>
      </c>
      <c r="AN78" s="31">
        <f>SUMIFS(инфо!$G$15:$G$28,инфо!$A$15:$A$28,F78)</f>
        <v>0</v>
      </c>
      <c r="AO78" s="32">
        <f t="shared" si="32"/>
        <v>0</v>
      </c>
      <c r="AP78" s="33">
        <f t="shared" si="22"/>
        <v>0</v>
      </c>
      <c r="AQ78" s="31">
        <f>SUMIFS(инфо!$H$15:$H$28,инфо!$A$15:$A$28,F78)</f>
        <v>0</v>
      </c>
      <c r="AR78" s="32">
        <f t="shared" ref="AR78:AR103" si="34">IF(H77=0,0,AC78/H77)</f>
        <v>0</v>
      </c>
      <c r="AS78" s="33">
        <f t="shared" si="23"/>
        <v>0</v>
      </c>
      <c r="AT78" s="31">
        <f>SUMIFS(инфо!$I$15:$I$28,инфо!$A$15:$A$28,F78)</f>
        <v>0</v>
      </c>
      <c r="AU78" s="35">
        <f t="shared" si="33"/>
        <v>0</v>
      </c>
      <c r="AV78" s="33">
        <f t="shared" si="24"/>
        <v>0</v>
      </c>
      <c r="AX78" s="67">
        <f>SUMIFS(инфо!$C$15:$C$28,инфо!$A$15:$A$28,F78)*H77</f>
        <v>0</v>
      </c>
    </row>
    <row r="79" spans="1:50" x14ac:dyDescent="0.25">
      <c r="A79" s="70">
        <f t="shared" si="15"/>
        <v>46107</v>
      </c>
      <c r="B79" s="79" t="s">
        <v>245</v>
      </c>
      <c r="C79" s="15" t="s">
        <v>771</v>
      </c>
      <c r="D79" s="16" t="s">
        <v>82</v>
      </c>
      <c r="E79" s="83" t="s">
        <v>75</v>
      </c>
      <c r="F79" s="28" t="s">
        <v>71</v>
      </c>
      <c r="G79" s="81">
        <v>48</v>
      </c>
      <c r="H79" s="81">
        <v>1910</v>
      </c>
      <c r="I79" s="118">
        <f>IFERROR(H79*VLOOKUP(F79,инфо!$A$15:$C$28,3,FALSE)/1000,0)</f>
        <v>37.436</v>
      </c>
      <c r="J79" s="81">
        <v>750</v>
      </c>
      <c r="K79" s="81">
        <v>25</v>
      </c>
      <c r="L79" s="81">
        <v>3</v>
      </c>
      <c r="M79" s="20"/>
      <c r="N79" s="20">
        <v>4869</v>
      </c>
      <c r="O79" s="34"/>
      <c r="P79" s="34"/>
      <c r="Q79" s="34">
        <v>15981</v>
      </c>
      <c r="R79" s="34">
        <v>14725</v>
      </c>
      <c r="S79" s="68">
        <f t="shared" si="25"/>
        <v>30706</v>
      </c>
      <c r="T79" s="15"/>
      <c r="U79" s="16"/>
      <c r="V79" s="34"/>
      <c r="W79" s="34"/>
      <c r="X79" s="34"/>
      <c r="Y79" s="15">
        <v>209</v>
      </c>
      <c r="Z79" s="34"/>
      <c r="AA79" s="34"/>
      <c r="AB79" s="34"/>
      <c r="AC79" s="117">
        <v>140</v>
      </c>
      <c r="AD79" s="16"/>
      <c r="AE79" s="24">
        <f>SUMIFS(инфо!$D$15:$D$28,инфо!$A$15:$A$28,F79)</f>
        <v>2.31</v>
      </c>
      <c r="AF79" s="35">
        <f t="shared" si="29"/>
        <v>2.5492146596858638</v>
      </c>
      <c r="AG79" s="12">
        <f t="shared" si="27"/>
        <v>0.23921465968586375</v>
      </c>
      <c r="AH79" s="24">
        <f>SUMIFS(инфо!$E$15:$E$28,инфо!$A$15:$A$28,F79)</f>
        <v>14.93</v>
      </c>
      <c r="AI79" s="32">
        <f t="shared" si="30"/>
        <v>16.076439790575915</v>
      </c>
      <c r="AJ79" s="12">
        <f t="shared" si="28"/>
        <v>1.1464397905759149</v>
      </c>
      <c r="AK79" s="24">
        <f>SUMIFS(инфо!$F$15:$F$28,инфо!$A$15:$A$28,F79)</f>
        <v>0.23100000000000001</v>
      </c>
      <c r="AL79" s="32">
        <f t="shared" si="31"/>
        <v>0.1094240837696335</v>
      </c>
      <c r="AM79" s="12">
        <f t="shared" si="21"/>
        <v>-0.12157591623036651</v>
      </c>
      <c r="AN79" s="24">
        <f>SUMIFS(инфо!$G$15:$G$28,инфо!$A$15:$A$28,F79)</f>
        <v>4.5999999999999999E-2</v>
      </c>
      <c r="AO79" s="32">
        <f t="shared" si="32"/>
        <v>0</v>
      </c>
      <c r="AP79" s="12">
        <f t="shared" si="22"/>
        <v>-4.5999999999999999E-2</v>
      </c>
      <c r="AQ79" s="24">
        <f>SUMIFS(инфо!$H$15:$H$28,инфо!$A$15:$A$28,F79)</f>
        <v>0</v>
      </c>
      <c r="AR79" s="35">
        <f t="shared" si="34"/>
        <v>0</v>
      </c>
      <c r="AS79" s="12">
        <f t="shared" si="23"/>
        <v>0</v>
      </c>
      <c r="AT79" s="24">
        <f>SUMIFS(инфо!$I$15:$I$28,инфо!$A$15:$A$28,F79)</f>
        <v>0.15</v>
      </c>
      <c r="AU79" s="35">
        <f t="shared" si="33"/>
        <v>0</v>
      </c>
      <c r="AV79" s="12">
        <f t="shared" si="24"/>
        <v>-0.15</v>
      </c>
      <c r="AX79" s="68">
        <f>SUMIFS(инфо!$C$15:$C$28,инфо!$A$15:$A$28,F79)*H78</f>
        <v>0</v>
      </c>
    </row>
    <row r="80" spans="1:50" x14ac:dyDescent="0.25">
      <c r="A80" s="70">
        <f t="shared" si="15"/>
        <v>46107</v>
      </c>
      <c r="B80" s="79" t="s">
        <v>250</v>
      </c>
      <c r="C80" s="15" t="s">
        <v>771</v>
      </c>
      <c r="D80" s="16" t="s">
        <v>83</v>
      </c>
      <c r="E80" s="83" t="s">
        <v>113</v>
      </c>
      <c r="F80" s="28" t="s">
        <v>71</v>
      </c>
      <c r="G80" s="81">
        <v>57</v>
      </c>
      <c r="H80" s="81">
        <v>2440</v>
      </c>
      <c r="I80" s="118">
        <f>IFERROR(H80*VLOOKUP(F80,инфо!$A$15:$C$28,3,FALSE)/1000,0)</f>
        <v>47.823999999999998</v>
      </c>
      <c r="J80" s="81">
        <v>2500</v>
      </c>
      <c r="K80" s="81">
        <v>5</v>
      </c>
      <c r="L80" s="81">
        <v>3</v>
      </c>
      <c r="M80" s="20"/>
      <c r="N80" s="20">
        <v>5865</v>
      </c>
      <c r="O80" s="34"/>
      <c r="P80" s="34"/>
      <c r="Q80" s="34">
        <v>21750</v>
      </c>
      <c r="R80" s="34">
        <v>14722</v>
      </c>
      <c r="S80" s="68">
        <f t="shared" si="25"/>
        <v>36472</v>
      </c>
      <c r="T80" s="15"/>
      <c r="U80" s="16"/>
      <c r="V80" s="34"/>
      <c r="W80" s="34"/>
      <c r="X80" s="34"/>
      <c r="Y80" s="15">
        <v>490</v>
      </c>
      <c r="Z80" s="34"/>
      <c r="AA80" s="34"/>
      <c r="AB80" s="34"/>
      <c r="AC80" s="117">
        <v>550</v>
      </c>
      <c r="AD80" s="16"/>
      <c r="AE80" s="24">
        <f>SUMIFS(инфо!$D$15:$D$28,инфо!$A$15:$A$28,F80)</f>
        <v>2.31</v>
      </c>
      <c r="AF80" s="35">
        <f t="shared" si="29"/>
        <v>2.403688524590164</v>
      </c>
      <c r="AG80" s="12">
        <f t="shared" si="27"/>
        <v>9.3688524590163968E-2</v>
      </c>
      <c r="AH80" s="24">
        <f>SUMIFS(инфо!$E$15:$E$28,инфо!$A$15:$A$28,F80)</f>
        <v>14.93</v>
      </c>
      <c r="AI80" s="32">
        <f t="shared" si="30"/>
        <v>14.947540983606558</v>
      </c>
      <c r="AJ80" s="12">
        <f t="shared" si="28"/>
        <v>1.7540983606558314E-2</v>
      </c>
      <c r="AK80" s="24">
        <f>SUMIFS(инфо!$F$15:$F$28,инфо!$A$15:$A$28,F80)</f>
        <v>0.23100000000000001</v>
      </c>
      <c r="AL80" s="32">
        <f t="shared" si="31"/>
        <v>0.20081967213114754</v>
      </c>
      <c r="AM80" s="12">
        <f t="shared" si="21"/>
        <v>-3.0180327868852469E-2</v>
      </c>
      <c r="AN80" s="24">
        <f>SUMIFS(инфо!$G$15:$G$28,инфо!$A$15:$A$28,F80)</f>
        <v>4.5999999999999999E-2</v>
      </c>
      <c r="AO80" s="32">
        <f t="shared" si="32"/>
        <v>0</v>
      </c>
      <c r="AP80" s="12">
        <f t="shared" si="22"/>
        <v>-4.5999999999999999E-2</v>
      </c>
      <c r="AQ80" s="24">
        <f>SUMIFS(инфо!$H$15:$H$28,инфо!$A$15:$A$28,F80)</f>
        <v>0</v>
      </c>
      <c r="AR80" s="35">
        <f t="shared" si="34"/>
        <v>0.2879581151832461</v>
      </c>
      <c r="AS80" s="12">
        <f t="shared" si="23"/>
        <v>0.2879581151832461</v>
      </c>
      <c r="AT80" s="24">
        <f>SUMIFS(инфо!$I$15:$I$28,инфо!$A$15:$A$28,F80)</f>
        <v>0.15</v>
      </c>
      <c r="AU80" s="35">
        <f t="shared" si="33"/>
        <v>0</v>
      </c>
      <c r="AV80" s="12">
        <f t="shared" si="24"/>
        <v>-0.15</v>
      </c>
      <c r="AX80" s="68">
        <f>SUMIFS(инфо!$C$15:$C$28,инфо!$A$15:$A$28,F80)*H79</f>
        <v>37436</v>
      </c>
    </row>
    <row r="81" spans="1:50" x14ac:dyDescent="0.25">
      <c r="A81" s="70">
        <f t="shared" si="15"/>
        <v>46108</v>
      </c>
      <c r="B81" s="79" t="s">
        <v>257</v>
      </c>
      <c r="C81" s="17" t="s">
        <v>771</v>
      </c>
      <c r="D81" s="18" t="s">
        <v>82</v>
      </c>
      <c r="E81" s="83" t="s">
        <v>77</v>
      </c>
      <c r="F81" s="28" t="s">
        <v>71</v>
      </c>
      <c r="G81" s="81">
        <v>29</v>
      </c>
      <c r="H81" s="81">
        <v>1240</v>
      </c>
      <c r="I81" s="118">
        <f>IFERROR(H81*VLOOKUP(F81,инфо!$A$15:$C$28,3,FALSE)/1000,0)</f>
        <v>24.303999999999998</v>
      </c>
      <c r="J81" s="81">
        <v>1000</v>
      </c>
      <c r="K81" s="81">
        <v>35</v>
      </c>
      <c r="L81" s="81">
        <v>2</v>
      </c>
      <c r="M81" s="20"/>
      <c r="N81" s="23">
        <v>2919</v>
      </c>
      <c r="O81" s="19"/>
      <c r="P81" s="19"/>
      <c r="Q81" s="19">
        <v>10227</v>
      </c>
      <c r="R81" s="19">
        <v>8312</v>
      </c>
      <c r="S81" s="69">
        <f t="shared" si="25"/>
        <v>18539</v>
      </c>
      <c r="T81" s="17"/>
      <c r="U81" s="18"/>
      <c r="V81" s="19"/>
      <c r="W81" s="19"/>
      <c r="X81" s="19"/>
      <c r="Y81" s="17">
        <v>290</v>
      </c>
      <c r="Z81" s="19"/>
      <c r="AA81" s="19"/>
      <c r="AB81" s="19"/>
      <c r="AC81" s="117">
        <v>290</v>
      </c>
      <c r="AD81" s="18">
        <v>120</v>
      </c>
      <c r="AE81" s="25">
        <f>SUMIFS(инфо!$D$15:$D$28,инфо!$A$15:$A$28,F81)</f>
        <v>2.31</v>
      </c>
      <c r="AF81" s="35">
        <f t="shared" si="29"/>
        <v>2.3540322580645161</v>
      </c>
      <c r="AG81" s="14">
        <f t="shared" si="27"/>
        <v>4.403225806451605E-2</v>
      </c>
      <c r="AH81" s="25">
        <f>SUMIFS(инфо!$E$15:$E$28,инфо!$A$15:$A$28,F81)</f>
        <v>14.93</v>
      </c>
      <c r="AI81" s="32">
        <f t="shared" si="30"/>
        <v>14.950806451612904</v>
      </c>
      <c r="AJ81" s="14">
        <f t="shared" si="28"/>
        <v>2.0806451612903842E-2</v>
      </c>
      <c r="AK81" s="25">
        <f>SUMIFS(инфо!$F$15:$F$28,инфо!$A$15:$A$28,F81)</f>
        <v>0.23100000000000001</v>
      </c>
      <c r="AL81" s="32">
        <f t="shared" si="31"/>
        <v>0.23387096774193547</v>
      </c>
      <c r="AM81" s="14">
        <f t="shared" si="21"/>
        <v>2.8709677419354596E-3</v>
      </c>
      <c r="AN81" s="25">
        <f>SUMIFS(инфо!$G$15:$G$28,инфо!$A$15:$A$28,F81)</f>
        <v>4.5999999999999999E-2</v>
      </c>
      <c r="AO81" s="32">
        <f t="shared" si="32"/>
        <v>0</v>
      </c>
      <c r="AP81" s="14">
        <f t="shared" si="22"/>
        <v>-4.5999999999999999E-2</v>
      </c>
      <c r="AQ81" s="25">
        <f>SUMIFS(инфо!$H$15:$H$28,инфо!$A$15:$A$28,F81)</f>
        <v>0</v>
      </c>
      <c r="AR81" s="26">
        <f t="shared" si="34"/>
        <v>0.11885245901639344</v>
      </c>
      <c r="AS81" s="14">
        <f t="shared" si="23"/>
        <v>0.11885245901639344</v>
      </c>
      <c r="AT81" s="25">
        <f>SUMIFS(инфо!$I$15:$I$28,инфо!$A$15:$A$28,F81)</f>
        <v>0.15</v>
      </c>
      <c r="AU81" s="35">
        <f t="shared" si="33"/>
        <v>9.6774193548387094E-2</v>
      </c>
      <c r="AV81" s="14">
        <f t="shared" si="24"/>
        <v>-5.32258064516129E-2</v>
      </c>
      <c r="AX81" s="69">
        <f>SUMIFS(инфо!$C$15:$C$28,инфо!$A$15:$A$28,F81)*H80</f>
        <v>47824</v>
      </c>
    </row>
    <row r="82" spans="1:50" x14ac:dyDescent="0.25">
      <c r="A82" s="70">
        <f t="shared" si="15"/>
        <v>46108</v>
      </c>
      <c r="B82" s="79" t="s">
        <v>263</v>
      </c>
      <c r="C82" s="29" t="s">
        <v>771</v>
      </c>
      <c r="D82" s="30" t="s">
        <v>83</v>
      </c>
      <c r="E82" s="83" t="s">
        <v>75</v>
      </c>
      <c r="F82" s="28" t="s">
        <v>71</v>
      </c>
      <c r="G82" s="81">
        <v>55</v>
      </c>
      <c r="H82" s="81">
        <v>2600</v>
      </c>
      <c r="I82" s="118">
        <f>IFERROR(H82*VLOOKUP(F82,инфо!$A$15:$C$28,3,FALSE)/1000,0)</f>
        <v>50.960000000000008</v>
      </c>
      <c r="J82" s="81">
        <v>2250</v>
      </c>
      <c r="K82" s="81">
        <v>143</v>
      </c>
      <c r="L82" s="81">
        <v>4</v>
      </c>
      <c r="M82" s="20"/>
      <c r="N82" s="28">
        <v>5511</v>
      </c>
      <c r="O82" s="27"/>
      <c r="P82" s="27"/>
      <c r="Q82" s="27">
        <v>17905</v>
      </c>
      <c r="R82" s="27">
        <v>17284</v>
      </c>
      <c r="S82" s="67">
        <f t="shared" si="25"/>
        <v>35189</v>
      </c>
      <c r="T82" s="29"/>
      <c r="U82" s="30"/>
      <c r="V82" s="27"/>
      <c r="W82" s="27"/>
      <c r="X82" s="27"/>
      <c r="Y82" s="29">
        <v>550</v>
      </c>
      <c r="Z82" s="27"/>
      <c r="AA82" s="27">
        <v>55</v>
      </c>
      <c r="AB82" s="27"/>
      <c r="AC82" s="117">
        <v>550</v>
      </c>
      <c r="AD82" s="30">
        <v>275</v>
      </c>
      <c r="AE82" s="31">
        <f>SUMIFS(инфо!$D$15:$D$28,инфо!$A$15:$A$28,F82)</f>
        <v>2.31</v>
      </c>
      <c r="AF82" s="35">
        <f t="shared" si="29"/>
        <v>2.1196153846153845</v>
      </c>
      <c r="AG82" s="33">
        <f t="shared" si="27"/>
        <v>-0.1903846153846156</v>
      </c>
      <c r="AH82" s="31">
        <f>SUMIFS(инфо!$E$15:$E$28,инфо!$A$15:$A$28,F82)</f>
        <v>14.93</v>
      </c>
      <c r="AI82" s="32">
        <f t="shared" si="30"/>
        <v>13.534230769230769</v>
      </c>
      <c r="AJ82" s="33">
        <f t="shared" si="28"/>
        <v>-1.3957692307692309</v>
      </c>
      <c r="AK82" s="31">
        <f>SUMIFS(инфо!$F$15:$F$28,инфо!$A$15:$A$28,F82)</f>
        <v>0.23100000000000001</v>
      </c>
      <c r="AL82" s="32">
        <f t="shared" si="31"/>
        <v>0.21153846153846154</v>
      </c>
      <c r="AM82" s="33">
        <f t="shared" si="21"/>
        <v>-1.9461538461538475E-2</v>
      </c>
      <c r="AN82" s="31">
        <f>SUMIFS(инфо!$G$15:$G$28,инфо!$A$15:$A$28,F82)</f>
        <v>4.5999999999999999E-2</v>
      </c>
      <c r="AO82" s="32">
        <f t="shared" si="32"/>
        <v>2.1153846153846155E-2</v>
      </c>
      <c r="AP82" s="33">
        <f t="shared" si="22"/>
        <v>-2.4846153846153844E-2</v>
      </c>
      <c r="AQ82" s="31">
        <f>SUMIFS(инфо!$H$15:$H$28,инфо!$A$15:$A$28,F82)</f>
        <v>0</v>
      </c>
      <c r="AR82" s="32">
        <f t="shared" si="34"/>
        <v>0.44354838709677419</v>
      </c>
      <c r="AS82" s="33">
        <f t="shared" si="23"/>
        <v>0.44354838709677419</v>
      </c>
      <c r="AT82" s="31">
        <f>SUMIFS(инфо!$I$15:$I$28,инфо!$A$15:$A$28,F82)</f>
        <v>0.15</v>
      </c>
      <c r="AU82" s="35">
        <f t="shared" si="33"/>
        <v>0.10576923076923077</v>
      </c>
      <c r="AV82" s="33">
        <f t="shared" si="24"/>
        <v>-4.4230769230769226E-2</v>
      </c>
      <c r="AX82" s="67">
        <f>SUMIFS(инфо!$C$15:$C$28,инфо!$A$15:$A$28,F82)*H81</f>
        <v>24304</v>
      </c>
    </row>
    <row r="83" spans="1:50" x14ac:dyDescent="0.25">
      <c r="A83" s="70">
        <f t="shared" si="15"/>
        <v>46109</v>
      </c>
      <c r="B83" s="79" t="s">
        <v>270</v>
      </c>
      <c r="C83" s="15" t="s">
        <v>771</v>
      </c>
      <c r="D83" s="16" t="s">
        <v>82</v>
      </c>
      <c r="E83" s="83" t="s">
        <v>114</v>
      </c>
      <c r="F83" s="28" t="s">
        <v>71</v>
      </c>
      <c r="G83" s="81">
        <v>45</v>
      </c>
      <c r="H83" s="81">
        <v>2010</v>
      </c>
      <c r="I83" s="118">
        <f>IFERROR(H83*VLOOKUP(F83,инфо!$A$15:$C$28,3,FALSE)/1000,0)</f>
        <v>39.396000000000001</v>
      </c>
      <c r="J83" s="81">
        <v>2000</v>
      </c>
      <c r="K83" s="81">
        <v>84</v>
      </c>
      <c r="L83" s="81">
        <v>2</v>
      </c>
      <c r="M83" s="20"/>
      <c r="N83" s="20">
        <v>4603</v>
      </c>
      <c r="O83" s="34"/>
      <c r="P83" s="34"/>
      <c r="Q83" s="34">
        <v>15211</v>
      </c>
      <c r="R83" s="34">
        <v>13439</v>
      </c>
      <c r="S83" s="68">
        <f t="shared" si="25"/>
        <v>28650</v>
      </c>
      <c r="T83" s="15"/>
      <c r="U83" s="16"/>
      <c r="V83" s="34"/>
      <c r="W83" s="34"/>
      <c r="X83" s="34"/>
      <c r="Y83" s="15">
        <v>450</v>
      </c>
      <c r="Z83" s="34"/>
      <c r="AA83" s="34">
        <v>45</v>
      </c>
      <c r="AB83" s="34"/>
      <c r="AC83" s="117">
        <v>450</v>
      </c>
      <c r="AD83" s="16">
        <v>220</v>
      </c>
      <c r="AE83" s="24">
        <f>SUMIFS(инфо!$D$15:$D$28,инфо!$A$15:$A$28,F83)</f>
        <v>2.31</v>
      </c>
      <c r="AF83" s="35">
        <f t="shared" si="29"/>
        <v>2.2900497512437812</v>
      </c>
      <c r="AG83" s="12">
        <f t="shared" si="27"/>
        <v>-1.9950248756218869E-2</v>
      </c>
      <c r="AH83" s="24">
        <f>SUMIFS(инфо!$E$15:$E$28,инфо!$A$15:$A$28,F83)</f>
        <v>14.93</v>
      </c>
      <c r="AI83" s="32">
        <f t="shared" si="30"/>
        <v>14.253731343283581</v>
      </c>
      <c r="AJ83" s="12">
        <f t="shared" si="28"/>
        <v>-0.67626865671641845</v>
      </c>
      <c r="AK83" s="24">
        <f>SUMIFS(инфо!$F$15:$F$28,инфо!$A$15:$A$28,F83)</f>
        <v>0.23100000000000001</v>
      </c>
      <c r="AL83" s="32">
        <f t="shared" si="31"/>
        <v>0.22388059701492538</v>
      </c>
      <c r="AM83" s="12">
        <f t="shared" si="21"/>
        <v>-7.1194029850746299E-3</v>
      </c>
      <c r="AN83" s="24">
        <f>SUMIFS(инфо!$G$15:$G$28,инфо!$A$15:$A$28,F83)</f>
        <v>4.5999999999999999E-2</v>
      </c>
      <c r="AO83" s="32">
        <f t="shared" si="32"/>
        <v>2.2388059701492536E-2</v>
      </c>
      <c r="AP83" s="12">
        <f t="shared" si="22"/>
        <v>-2.3611940298507463E-2</v>
      </c>
      <c r="AQ83" s="24">
        <f>SUMIFS(инфо!$H$15:$H$28,инфо!$A$15:$A$28,F83)</f>
        <v>0</v>
      </c>
      <c r="AR83" s="35">
        <f t="shared" si="34"/>
        <v>0.17307692307692307</v>
      </c>
      <c r="AS83" s="12">
        <f t="shared" si="23"/>
        <v>0.17307692307692307</v>
      </c>
      <c r="AT83" s="24">
        <f>SUMIFS(инфо!$I$15:$I$28,инфо!$A$15:$A$28,F83)</f>
        <v>0.15</v>
      </c>
      <c r="AU83" s="35">
        <f t="shared" si="33"/>
        <v>0.10945273631840796</v>
      </c>
      <c r="AV83" s="12">
        <f t="shared" si="24"/>
        <v>-4.0547263681592033E-2</v>
      </c>
      <c r="AX83" s="68">
        <f>SUMIFS(инфо!$C$15:$C$28,инфо!$A$15:$A$28,F83)*H82</f>
        <v>50960.000000000007</v>
      </c>
    </row>
    <row r="84" spans="1:50" x14ac:dyDescent="0.25">
      <c r="A84" s="70">
        <f t="shared" si="15"/>
        <v>46109</v>
      </c>
      <c r="B84" s="79" t="s">
        <v>273</v>
      </c>
      <c r="C84" s="15" t="s">
        <v>771</v>
      </c>
      <c r="D84" s="16" t="s">
        <v>83</v>
      </c>
      <c r="E84" s="83" t="s">
        <v>77</v>
      </c>
      <c r="F84" s="28" t="s">
        <v>71</v>
      </c>
      <c r="G84" s="81">
        <v>51</v>
      </c>
      <c r="H84" s="81">
        <v>2240</v>
      </c>
      <c r="I84" s="118">
        <f>IFERROR(H84*VLOOKUP(F84,инфо!$A$15:$C$28,3,FALSE)/1000,0)</f>
        <v>43.904000000000003</v>
      </c>
      <c r="J84" s="81">
        <v>2250</v>
      </c>
      <c r="K84" s="81">
        <v>117</v>
      </c>
      <c r="L84" s="81">
        <v>4</v>
      </c>
      <c r="M84" s="20"/>
      <c r="N84" s="20">
        <v>5088</v>
      </c>
      <c r="O84" s="34"/>
      <c r="P84" s="34"/>
      <c r="Q84" s="34">
        <v>16086</v>
      </c>
      <c r="R84" s="34">
        <v>16636</v>
      </c>
      <c r="S84" s="68">
        <f t="shared" si="25"/>
        <v>32722</v>
      </c>
      <c r="T84" s="15"/>
      <c r="U84" s="16"/>
      <c r="V84" s="34"/>
      <c r="W84" s="34"/>
      <c r="X84" s="34"/>
      <c r="Y84" s="15">
        <v>510</v>
      </c>
      <c r="Z84" s="34"/>
      <c r="AA84" s="34">
        <v>51</v>
      </c>
      <c r="AB84" s="34"/>
      <c r="AC84" s="117">
        <v>510</v>
      </c>
      <c r="AD84" s="16">
        <v>255</v>
      </c>
      <c r="AE84" s="24">
        <f>SUMIFS(инфо!$D$15:$D$28,инфо!$A$15:$A$28,F84)</f>
        <v>2.31</v>
      </c>
      <c r="AF84" s="35">
        <f t="shared" si="29"/>
        <v>2.2714285714285714</v>
      </c>
      <c r="AG84" s="12">
        <f t="shared" si="27"/>
        <v>-3.8571428571428701E-2</v>
      </c>
      <c r="AH84" s="24">
        <f>SUMIFS(инфо!$E$15:$E$28,инфо!$A$15:$A$28,F84)</f>
        <v>14.93</v>
      </c>
      <c r="AI84" s="32">
        <f t="shared" si="30"/>
        <v>14.608035714285714</v>
      </c>
      <c r="AJ84" s="12">
        <f t="shared" si="28"/>
        <v>-0.32196428571428548</v>
      </c>
      <c r="AK84" s="24">
        <f>SUMIFS(инфо!$F$15:$F$28,инфо!$A$15:$A$28,F84)</f>
        <v>0.23100000000000001</v>
      </c>
      <c r="AL84" s="32">
        <f t="shared" si="31"/>
        <v>0.22767857142857142</v>
      </c>
      <c r="AM84" s="12">
        <f t="shared" si="21"/>
        <v>-3.3214285714285863E-3</v>
      </c>
      <c r="AN84" s="24">
        <f>SUMIFS(инфо!$G$15:$G$28,инфо!$A$15:$A$28,F84)</f>
        <v>4.5999999999999999E-2</v>
      </c>
      <c r="AO84" s="32">
        <f t="shared" si="32"/>
        <v>2.2767857142857142E-2</v>
      </c>
      <c r="AP84" s="12">
        <f t="shared" si="22"/>
        <v>-2.3232142857142857E-2</v>
      </c>
      <c r="AQ84" s="24">
        <f>SUMIFS(инфо!$H$15:$H$28,инфо!$A$15:$A$28,F84)</f>
        <v>0</v>
      </c>
      <c r="AR84" s="35">
        <f t="shared" si="34"/>
        <v>0.2537313432835821</v>
      </c>
      <c r="AS84" s="12">
        <f t="shared" si="23"/>
        <v>0.2537313432835821</v>
      </c>
      <c r="AT84" s="24">
        <f>SUMIFS(инфо!$I$15:$I$28,инфо!$A$15:$A$28,F84)</f>
        <v>0.15</v>
      </c>
      <c r="AU84" s="35">
        <f t="shared" si="33"/>
        <v>0.11383928571428571</v>
      </c>
      <c r="AV84" s="12">
        <f t="shared" si="24"/>
        <v>-3.6160714285714282E-2</v>
      </c>
      <c r="AX84" s="68">
        <f>SUMIFS(инфо!$C$15:$C$28,инфо!$A$15:$A$28,F84)*H83</f>
        <v>39396</v>
      </c>
    </row>
    <row r="85" spans="1:50" x14ac:dyDescent="0.25">
      <c r="A85" s="70">
        <f t="shared" si="15"/>
        <v>46110</v>
      </c>
      <c r="B85" s="79" t="s">
        <v>278</v>
      </c>
      <c r="C85" s="17" t="s">
        <v>771</v>
      </c>
      <c r="D85" s="18" t="s">
        <v>82</v>
      </c>
      <c r="E85" s="83" t="s">
        <v>113</v>
      </c>
      <c r="F85" s="28" t="s">
        <v>71</v>
      </c>
      <c r="G85" s="81">
        <v>32</v>
      </c>
      <c r="H85" s="81">
        <v>1300</v>
      </c>
      <c r="I85" s="118">
        <f>IFERROR(H85*VLOOKUP(F85,инфо!$A$15:$C$28,3,FALSE)/1000,0)</f>
        <v>25.480000000000004</v>
      </c>
      <c r="J85" s="81">
        <v>1500</v>
      </c>
      <c r="K85" s="81">
        <v>5</v>
      </c>
      <c r="L85" s="81">
        <v>2</v>
      </c>
      <c r="M85" s="20"/>
      <c r="N85" s="23">
        <v>3165</v>
      </c>
      <c r="O85" s="19"/>
      <c r="P85" s="19"/>
      <c r="Q85" s="19">
        <v>9595</v>
      </c>
      <c r="R85" s="19">
        <v>10875</v>
      </c>
      <c r="S85" s="69">
        <f t="shared" si="25"/>
        <v>20470</v>
      </c>
      <c r="T85" s="17"/>
      <c r="U85" s="18"/>
      <c r="V85" s="19"/>
      <c r="W85" s="19"/>
      <c r="X85" s="19"/>
      <c r="Y85" s="17">
        <v>320</v>
      </c>
      <c r="Z85" s="19"/>
      <c r="AA85" s="19">
        <v>32</v>
      </c>
      <c r="AB85" s="19"/>
      <c r="AC85" s="117">
        <v>320</v>
      </c>
      <c r="AD85" s="18">
        <v>160</v>
      </c>
      <c r="AE85" s="25">
        <f>SUMIFS(инфо!$D$15:$D$28,инфо!$A$15:$A$28,F85)</f>
        <v>2.31</v>
      </c>
      <c r="AF85" s="35">
        <f t="shared" si="29"/>
        <v>2.4346153846153844</v>
      </c>
      <c r="AG85" s="14">
        <f t="shared" si="27"/>
        <v>0.12461538461538435</v>
      </c>
      <c r="AH85" s="25">
        <f>SUMIFS(инфо!$E$15:$E$28,инфо!$A$15:$A$28,F85)</f>
        <v>14.93</v>
      </c>
      <c r="AI85" s="32">
        <f t="shared" si="30"/>
        <v>15.746153846153845</v>
      </c>
      <c r="AJ85" s="14">
        <f t="shared" si="28"/>
        <v>0.81615384615384556</v>
      </c>
      <c r="AK85" s="25">
        <f>SUMIFS(инфо!$F$15:$F$28,инфо!$A$15:$A$28,F85)</f>
        <v>0.23100000000000001</v>
      </c>
      <c r="AL85" s="32">
        <f t="shared" si="31"/>
        <v>0.24615384615384617</v>
      </c>
      <c r="AM85" s="14">
        <f t="shared" si="21"/>
        <v>1.5153846153846157E-2</v>
      </c>
      <c r="AN85" s="25">
        <f>SUMIFS(инфо!$G$15:$G$28,инфо!$A$15:$A$28,F85)</f>
        <v>4.5999999999999999E-2</v>
      </c>
      <c r="AO85" s="32">
        <f t="shared" si="32"/>
        <v>2.4615384615384615E-2</v>
      </c>
      <c r="AP85" s="14">
        <f t="shared" si="22"/>
        <v>-2.1384615384615384E-2</v>
      </c>
      <c r="AQ85" s="25">
        <f>SUMIFS(инфо!$H$15:$H$28,инфо!$A$15:$A$28,F85)</f>
        <v>0</v>
      </c>
      <c r="AR85" s="26">
        <f t="shared" si="34"/>
        <v>0.14285714285714285</v>
      </c>
      <c r="AS85" s="14">
        <f t="shared" si="23"/>
        <v>0.14285714285714285</v>
      </c>
      <c r="AT85" s="25">
        <f>SUMIFS(инфо!$I$15:$I$28,инфо!$A$15:$A$28,F85)</f>
        <v>0.15</v>
      </c>
      <c r="AU85" s="35">
        <f t="shared" si="33"/>
        <v>0.12307692307692308</v>
      </c>
      <c r="AV85" s="14">
        <f t="shared" si="24"/>
        <v>-2.6923076923076911E-2</v>
      </c>
      <c r="AX85" s="69">
        <f>SUMIFS(инфо!$C$15:$C$28,инфо!$A$15:$A$28,F85)*H84</f>
        <v>43904</v>
      </c>
    </row>
    <row r="86" spans="1:50" x14ac:dyDescent="0.25">
      <c r="A86" s="70">
        <f t="shared" si="15"/>
        <v>46110</v>
      </c>
      <c r="B86" s="79" t="s">
        <v>283</v>
      </c>
      <c r="C86" s="29" t="s">
        <v>771</v>
      </c>
      <c r="D86" s="30" t="s">
        <v>83</v>
      </c>
      <c r="E86" s="83" t="s">
        <v>114</v>
      </c>
      <c r="F86" s="28" t="s">
        <v>71</v>
      </c>
      <c r="G86" s="81">
        <v>53</v>
      </c>
      <c r="H86" s="81">
        <v>2150</v>
      </c>
      <c r="I86" s="118">
        <f>IFERROR(H86*VLOOKUP(F86,инфо!$A$15:$C$28,3,FALSE)/1000,0)</f>
        <v>42.14</v>
      </c>
      <c r="J86" s="81">
        <v>2000</v>
      </c>
      <c r="K86" s="81">
        <v>18</v>
      </c>
      <c r="L86" s="81">
        <v>24</v>
      </c>
      <c r="M86" s="20"/>
      <c r="N86" s="28">
        <v>5749</v>
      </c>
      <c r="O86" s="27"/>
      <c r="P86" s="27"/>
      <c r="Q86" s="27">
        <v>20452</v>
      </c>
      <c r="R86" s="27">
        <v>16640</v>
      </c>
      <c r="S86" s="67">
        <f t="shared" si="25"/>
        <v>37092</v>
      </c>
      <c r="T86" s="29"/>
      <c r="U86" s="30"/>
      <c r="V86" s="27"/>
      <c r="W86" s="27"/>
      <c r="X86" s="27"/>
      <c r="Y86" s="29">
        <v>530</v>
      </c>
      <c r="Z86" s="27"/>
      <c r="AA86" s="27">
        <v>55</v>
      </c>
      <c r="AB86" s="27"/>
      <c r="AC86" s="117">
        <v>530</v>
      </c>
      <c r="AD86" s="30">
        <v>265</v>
      </c>
      <c r="AE86" s="31">
        <f>SUMIFS(инфо!$D$15:$D$28,инфо!$A$15:$A$28,F86)</f>
        <v>2.31</v>
      </c>
      <c r="AF86" s="35">
        <f t="shared" si="29"/>
        <v>2.673953488372093</v>
      </c>
      <c r="AG86" s="33">
        <f t="shared" si="27"/>
        <v>0.36395348837209296</v>
      </c>
      <c r="AH86" s="31">
        <f>SUMIFS(инфо!$E$15:$E$28,инфо!$A$15:$A$28,F86)</f>
        <v>14.93</v>
      </c>
      <c r="AI86" s="32">
        <f t="shared" si="30"/>
        <v>17.252093023255814</v>
      </c>
      <c r="AJ86" s="33">
        <f t="shared" si="28"/>
        <v>2.3220930232558139</v>
      </c>
      <c r="AK86" s="31">
        <f>SUMIFS(инфо!$F$15:$F$28,инфо!$A$15:$A$28,F86)</f>
        <v>0.23100000000000001</v>
      </c>
      <c r="AL86" s="32">
        <f t="shared" si="31"/>
        <v>0.24651162790697675</v>
      </c>
      <c r="AM86" s="33">
        <f t="shared" si="21"/>
        <v>1.5511627906976744E-2</v>
      </c>
      <c r="AN86" s="31">
        <f>SUMIFS(инфо!$G$15:$G$28,инфо!$A$15:$A$28,F86)</f>
        <v>4.5999999999999999E-2</v>
      </c>
      <c r="AO86" s="32">
        <f t="shared" si="32"/>
        <v>2.5581395348837209E-2</v>
      </c>
      <c r="AP86" s="33">
        <f t="shared" si="22"/>
        <v>-2.041860465116279E-2</v>
      </c>
      <c r="AQ86" s="31">
        <f>SUMIFS(инфо!$H$15:$H$28,инфо!$A$15:$A$28,F86)</f>
        <v>0</v>
      </c>
      <c r="AR86" s="32">
        <f t="shared" si="34"/>
        <v>0.40769230769230769</v>
      </c>
      <c r="AS86" s="33">
        <f t="shared" si="23"/>
        <v>0.40769230769230769</v>
      </c>
      <c r="AT86" s="31">
        <f>SUMIFS(инфо!$I$15:$I$28,инфо!$A$15:$A$28,F86)</f>
        <v>0.15</v>
      </c>
      <c r="AU86" s="35">
        <f t="shared" si="33"/>
        <v>0.12325581395348838</v>
      </c>
      <c r="AV86" s="33">
        <f t="shared" si="24"/>
        <v>-2.6744186046511617E-2</v>
      </c>
      <c r="AX86" s="67">
        <f>SUMIFS(инфо!$C$15:$C$28,инфо!$A$15:$A$28,F86)*H85</f>
        <v>25480.000000000004</v>
      </c>
    </row>
    <row r="87" spans="1:50" x14ac:dyDescent="0.25">
      <c r="A87" s="70">
        <f t="shared" ref="A87:A151" si="35">A85+1</f>
        <v>46111</v>
      </c>
      <c r="B87" s="79" t="s">
        <v>285</v>
      </c>
      <c r="C87" s="15" t="s">
        <v>771</v>
      </c>
      <c r="D87" s="16" t="s">
        <v>82</v>
      </c>
      <c r="E87" s="83" t="s">
        <v>75</v>
      </c>
      <c r="F87" s="28" t="s">
        <v>71</v>
      </c>
      <c r="G87" s="81">
        <v>49</v>
      </c>
      <c r="H87" s="81">
        <v>2050</v>
      </c>
      <c r="I87" s="118">
        <f>IFERROR(H87*VLOOKUP(F87,инфо!$A$15:$C$28,3,FALSE)/1000,0)</f>
        <v>40.18</v>
      </c>
      <c r="J87" s="81">
        <v>2000</v>
      </c>
      <c r="K87" s="81">
        <v>63</v>
      </c>
      <c r="L87" s="81">
        <v>3</v>
      </c>
      <c r="M87" s="20"/>
      <c r="N87" s="20">
        <v>4469</v>
      </c>
      <c r="O87" s="34"/>
      <c r="P87" s="34"/>
      <c r="Q87" s="34">
        <v>14079</v>
      </c>
      <c r="R87" s="34">
        <v>14715</v>
      </c>
      <c r="S87" s="68">
        <f t="shared" si="25"/>
        <v>28794</v>
      </c>
      <c r="T87" s="15"/>
      <c r="U87" s="16"/>
      <c r="V87" s="34"/>
      <c r="W87" s="34"/>
      <c r="X87" s="34"/>
      <c r="Y87" s="15">
        <v>450</v>
      </c>
      <c r="Z87" s="34"/>
      <c r="AA87" s="34">
        <v>51</v>
      </c>
      <c r="AB87" s="34"/>
      <c r="AC87" s="117">
        <v>450</v>
      </c>
      <c r="AD87" s="16">
        <v>225</v>
      </c>
      <c r="AE87" s="24">
        <f>SUMIFS(инфо!$D$15:$D$28,инфо!$A$15:$A$28,F87)</f>
        <v>2.31</v>
      </c>
      <c r="AF87" s="35">
        <f t="shared" si="29"/>
        <v>2.1800000000000002</v>
      </c>
      <c r="AG87" s="12">
        <f t="shared" si="27"/>
        <v>-0.12999999999999989</v>
      </c>
      <c r="AH87" s="24">
        <f>SUMIFS(инфо!$E$15:$E$28,инфо!$A$15:$A$28,F87)</f>
        <v>14.93</v>
      </c>
      <c r="AI87" s="32">
        <f t="shared" si="30"/>
        <v>14.045853658536585</v>
      </c>
      <c r="AJ87" s="12">
        <f t="shared" si="28"/>
        <v>-0.8841463414634152</v>
      </c>
      <c r="AK87" s="24">
        <f>SUMIFS(инфо!$F$15:$F$28,инфо!$A$15:$A$28,F87)</f>
        <v>0.23100000000000001</v>
      </c>
      <c r="AL87" s="32">
        <f t="shared" si="31"/>
        <v>0.21951219512195122</v>
      </c>
      <c r="AM87" s="12">
        <f t="shared" si="21"/>
        <v>-1.1487804878048791E-2</v>
      </c>
      <c r="AN87" s="24">
        <f>SUMIFS(инфо!$G$15:$G$28,инфо!$A$15:$A$28,F87)</f>
        <v>4.5999999999999999E-2</v>
      </c>
      <c r="AO87" s="32">
        <f t="shared" si="32"/>
        <v>2.4878048780487806E-2</v>
      </c>
      <c r="AP87" s="12">
        <f t="shared" si="22"/>
        <v>-2.1121951219512193E-2</v>
      </c>
      <c r="AQ87" s="24">
        <f>SUMIFS(инфо!$H$15:$H$28,инфо!$A$15:$A$28,F87)</f>
        <v>0</v>
      </c>
      <c r="AR87" s="35">
        <f t="shared" si="34"/>
        <v>0.20930232558139536</v>
      </c>
      <c r="AS87" s="12">
        <f t="shared" si="23"/>
        <v>0.20930232558139536</v>
      </c>
      <c r="AT87" s="24">
        <f>SUMIFS(инфо!$I$15:$I$28,инфо!$A$15:$A$28,F87)</f>
        <v>0.15</v>
      </c>
      <c r="AU87" s="35">
        <f t="shared" si="33"/>
        <v>0.10975609756097561</v>
      </c>
      <c r="AV87" s="12">
        <f t="shared" si="24"/>
        <v>-4.0243902439024384E-2</v>
      </c>
      <c r="AX87" s="68">
        <f>SUMIFS(инфо!$C$15:$C$28,инфо!$A$15:$A$28,F87)*H86</f>
        <v>42140</v>
      </c>
    </row>
    <row r="88" spans="1:50" x14ac:dyDescent="0.25">
      <c r="A88" s="70">
        <f>A86+1</f>
        <v>46111</v>
      </c>
      <c r="B88" s="79" t="s">
        <v>289</v>
      </c>
      <c r="C88" s="15" t="s">
        <v>771</v>
      </c>
      <c r="D88" s="16" t="s">
        <v>83</v>
      </c>
      <c r="E88" s="83" t="s">
        <v>113</v>
      </c>
      <c r="F88" s="28" t="s">
        <v>71</v>
      </c>
      <c r="G88" s="81">
        <v>56</v>
      </c>
      <c r="H88" s="81">
        <v>2580</v>
      </c>
      <c r="I88" s="118">
        <f>IFERROR(H88*VLOOKUP(F88,инфо!$A$15:$C$28,3,FALSE)/1000,0)</f>
        <v>50.568000000000005</v>
      </c>
      <c r="J88" s="81">
        <v>2500</v>
      </c>
      <c r="K88" s="81"/>
      <c r="L88" s="81">
        <v>6</v>
      </c>
      <c r="M88" s="20"/>
      <c r="N88" s="20">
        <v>5539</v>
      </c>
      <c r="O88" s="34"/>
      <c r="P88" s="34"/>
      <c r="Q88" s="34">
        <v>18539</v>
      </c>
      <c r="R88" s="34">
        <v>17277</v>
      </c>
      <c r="S88" s="68">
        <f t="shared" si="25"/>
        <v>35816</v>
      </c>
      <c r="T88" s="15"/>
      <c r="U88" s="16"/>
      <c r="V88" s="34"/>
      <c r="W88" s="34"/>
      <c r="X88" s="34"/>
      <c r="Y88" s="15">
        <v>560</v>
      </c>
      <c r="Z88" s="34"/>
      <c r="AA88" s="34">
        <v>112</v>
      </c>
      <c r="AB88" s="34"/>
      <c r="AC88" s="117">
        <v>560</v>
      </c>
      <c r="AD88" s="16">
        <v>280</v>
      </c>
      <c r="AE88" s="24">
        <f>SUMIFS(инфо!$D$15:$D$28,инфо!$A$15:$A$28,F88)</f>
        <v>2.31</v>
      </c>
      <c r="AF88" s="35">
        <f t="shared" si="29"/>
        <v>2.1468992248062015</v>
      </c>
      <c r="AG88" s="12">
        <f t="shared" si="27"/>
        <v>-0.16310077519379851</v>
      </c>
      <c r="AH88" s="24">
        <f>SUMIFS(инфо!$E$15:$E$28,инфо!$A$15:$A$28,F88)</f>
        <v>14.93</v>
      </c>
      <c r="AI88" s="32">
        <f t="shared" si="30"/>
        <v>13.882170542635659</v>
      </c>
      <c r="AJ88" s="12">
        <f t="shared" si="28"/>
        <v>-1.0478294573643403</v>
      </c>
      <c r="AK88" s="24">
        <f>SUMIFS(инфо!$F$15:$F$28,инфо!$A$15:$A$28,F88)</f>
        <v>0.23100000000000001</v>
      </c>
      <c r="AL88" s="32">
        <f t="shared" si="31"/>
        <v>0.21705426356589147</v>
      </c>
      <c r="AM88" s="12">
        <f t="shared" si="21"/>
        <v>-1.3945736434108541E-2</v>
      </c>
      <c r="AN88" s="24">
        <f>SUMIFS(инфо!$G$15:$G$28,инфо!$A$15:$A$28,F88)</f>
        <v>4.5999999999999999E-2</v>
      </c>
      <c r="AO88" s="32">
        <f t="shared" si="32"/>
        <v>4.3410852713178294E-2</v>
      </c>
      <c r="AP88" s="12">
        <f t="shared" si="22"/>
        <v>-2.5891472868217053E-3</v>
      </c>
      <c r="AQ88" s="24">
        <f>SUMIFS(инфо!$H$15:$H$28,инфо!$A$15:$A$28,F88)</f>
        <v>0</v>
      </c>
      <c r="AR88" s="35">
        <f t="shared" si="34"/>
        <v>0.27317073170731709</v>
      </c>
      <c r="AS88" s="12">
        <f t="shared" si="23"/>
        <v>0.27317073170731709</v>
      </c>
      <c r="AT88" s="24">
        <f>SUMIFS(инфо!$I$15:$I$28,инфо!$A$15:$A$28,F88)</f>
        <v>0.15</v>
      </c>
      <c r="AU88" s="35">
        <f t="shared" si="33"/>
        <v>0.10852713178294573</v>
      </c>
      <c r="AV88" s="12">
        <f t="shared" si="24"/>
        <v>-4.147286821705426E-2</v>
      </c>
      <c r="AX88" s="68">
        <f>SUMIFS(инфо!$C$15:$C$28,инфо!$A$15:$A$28,F88)*H87</f>
        <v>40180</v>
      </c>
    </row>
    <row r="89" spans="1:50" x14ac:dyDescent="0.25">
      <c r="A89" s="70">
        <f t="shared" si="35"/>
        <v>46112</v>
      </c>
      <c r="B89" s="79" t="s">
        <v>298</v>
      </c>
      <c r="C89" s="17" t="s">
        <v>771</v>
      </c>
      <c r="D89" s="18" t="s">
        <v>82</v>
      </c>
      <c r="E89" s="83" t="s">
        <v>77</v>
      </c>
      <c r="F89" s="28" t="s">
        <v>71</v>
      </c>
      <c r="G89" s="81">
        <v>5</v>
      </c>
      <c r="H89" s="81">
        <v>190</v>
      </c>
      <c r="I89" s="118">
        <f>IFERROR(H89*VLOOKUP(F89,инфо!$A$15:$C$28,3,FALSE)/1000,0)</f>
        <v>3.7240000000000006</v>
      </c>
      <c r="J89" s="81"/>
      <c r="K89" s="81"/>
      <c r="L89" s="81"/>
      <c r="M89" s="20"/>
      <c r="N89" s="23">
        <v>480</v>
      </c>
      <c r="O89" s="19"/>
      <c r="P89" s="19"/>
      <c r="Q89" s="19">
        <v>1920</v>
      </c>
      <c r="R89" s="19">
        <v>1279</v>
      </c>
      <c r="S89" s="69">
        <f t="shared" si="25"/>
        <v>3199</v>
      </c>
      <c r="T89" s="17"/>
      <c r="U89" s="18"/>
      <c r="V89" s="19"/>
      <c r="W89" s="19"/>
      <c r="X89" s="19"/>
      <c r="Y89" s="17">
        <v>50</v>
      </c>
      <c r="Z89" s="19"/>
      <c r="AA89" s="19">
        <v>10</v>
      </c>
      <c r="AB89" s="19"/>
      <c r="AC89" s="117">
        <v>50</v>
      </c>
      <c r="AD89" s="18"/>
      <c r="AE89" s="25">
        <f>SUMIFS(инфо!$D$15:$D$28,инфо!$A$15:$A$28,F89)</f>
        <v>2.31</v>
      </c>
      <c r="AF89" s="35">
        <f t="shared" si="29"/>
        <v>2.5263157894736841</v>
      </c>
      <c r="AG89" s="14">
        <f t="shared" si="27"/>
        <v>0.21631578947368402</v>
      </c>
      <c r="AH89" s="25">
        <f>SUMIFS(инфо!$E$15:$E$28,инфо!$A$15:$A$28,F89)</f>
        <v>14.93</v>
      </c>
      <c r="AI89" s="32">
        <f t="shared" si="30"/>
        <v>16.836842105263159</v>
      </c>
      <c r="AJ89" s="14">
        <f t="shared" si="28"/>
        <v>1.9068421052631592</v>
      </c>
      <c r="AK89" s="25">
        <f>SUMIFS(инфо!$F$15:$F$28,инфо!$A$15:$A$28,F89)</f>
        <v>0.23100000000000001</v>
      </c>
      <c r="AL89" s="32">
        <f t="shared" si="31"/>
        <v>0.26315789473684209</v>
      </c>
      <c r="AM89" s="14">
        <f t="shared" si="21"/>
        <v>3.215789473684208E-2</v>
      </c>
      <c r="AN89" s="25">
        <f>SUMIFS(инфо!$G$15:$G$28,инфо!$A$15:$A$28,F89)</f>
        <v>4.5999999999999999E-2</v>
      </c>
      <c r="AO89" s="32">
        <f t="shared" si="32"/>
        <v>5.2631578947368418E-2</v>
      </c>
      <c r="AP89" s="14">
        <f t="shared" si="22"/>
        <v>6.6315789473684189E-3</v>
      </c>
      <c r="AQ89" s="25">
        <f>SUMIFS(инфо!$H$15:$H$28,инфо!$A$15:$A$28,F89)</f>
        <v>0</v>
      </c>
      <c r="AR89" s="26">
        <f t="shared" si="34"/>
        <v>1.937984496124031E-2</v>
      </c>
      <c r="AS89" s="14">
        <f t="shared" si="23"/>
        <v>1.937984496124031E-2</v>
      </c>
      <c r="AT89" s="25">
        <f>SUMIFS(инфо!$I$15:$I$28,инфо!$A$15:$A$28,F89)</f>
        <v>0.15</v>
      </c>
      <c r="AU89" s="35">
        <f t="shared" si="33"/>
        <v>0</v>
      </c>
      <c r="AV89" s="14">
        <f t="shared" si="24"/>
        <v>-0.15</v>
      </c>
      <c r="AX89" s="69">
        <f>SUMIFS(инфо!$C$15:$C$28,инфо!$A$15:$A$28,F89)*H88</f>
        <v>50568.000000000007</v>
      </c>
    </row>
    <row r="90" spans="1:50" x14ac:dyDescent="0.25">
      <c r="A90" s="70">
        <f t="shared" si="35"/>
        <v>46112</v>
      </c>
      <c r="B90" s="79" t="s">
        <v>299</v>
      </c>
      <c r="C90" s="29" t="s">
        <v>771</v>
      </c>
      <c r="D90" s="30" t="s">
        <v>83</v>
      </c>
      <c r="E90" s="83" t="s">
        <v>75</v>
      </c>
      <c r="F90" s="28" t="s">
        <v>71</v>
      </c>
      <c r="G90" s="81">
        <v>53</v>
      </c>
      <c r="H90" s="81">
        <v>2450</v>
      </c>
      <c r="I90" s="118">
        <f>IFERROR(H90*VLOOKUP(F90,инфо!$A$15:$C$28,3,FALSE)/1000,0)</f>
        <v>48.02</v>
      </c>
      <c r="J90" s="81">
        <v>2500</v>
      </c>
      <c r="K90" s="81">
        <v>31</v>
      </c>
      <c r="L90" s="81">
        <v>6</v>
      </c>
      <c r="M90" s="20">
        <v>175</v>
      </c>
      <c r="N90" s="28">
        <v>5330</v>
      </c>
      <c r="O90" s="27"/>
      <c r="P90" s="27"/>
      <c r="Q90" s="27">
        <v>18572</v>
      </c>
      <c r="R90" s="27">
        <v>15353</v>
      </c>
      <c r="S90" s="67">
        <f t="shared" si="25"/>
        <v>33925</v>
      </c>
      <c r="T90" s="29"/>
      <c r="U90" s="30"/>
      <c r="V90" s="27"/>
      <c r="W90" s="27"/>
      <c r="X90" s="27"/>
      <c r="Y90" s="29">
        <v>530</v>
      </c>
      <c r="Z90" s="27"/>
      <c r="AA90" s="27">
        <v>106</v>
      </c>
      <c r="AB90" s="27"/>
      <c r="AC90" s="117">
        <v>530</v>
      </c>
      <c r="AD90" s="30">
        <v>180</v>
      </c>
      <c r="AE90" s="31">
        <f>SUMIFS(инфо!$D$15:$D$28,инфо!$A$15:$A$28,F90)</f>
        <v>2.31</v>
      </c>
      <c r="AF90" s="35">
        <f t="shared" si="29"/>
        <v>2.1755102040816325</v>
      </c>
      <c r="AG90" s="33">
        <f t="shared" si="27"/>
        <v>-0.13448979591836752</v>
      </c>
      <c r="AH90" s="31">
        <f>SUMIFS(инфо!$E$15:$E$28,инфо!$A$15:$A$28,F90)</f>
        <v>14.93</v>
      </c>
      <c r="AI90" s="32">
        <f t="shared" si="30"/>
        <v>13.846938775510203</v>
      </c>
      <c r="AJ90" s="33">
        <f t="shared" si="28"/>
        <v>-1.0830612244897964</v>
      </c>
      <c r="AK90" s="31">
        <f>SUMIFS(инфо!$F$15:$F$28,инфо!$A$15:$A$28,F90)</f>
        <v>0.23100000000000001</v>
      </c>
      <c r="AL90" s="32">
        <f t="shared" si="31"/>
        <v>0.21632653061224491</v>
      </c>
      <c r="AM90" s="33">
        <f t="shared" si="21"/>
        <v>-1.46734693877551E-2</v>
      </c>
      <c r="AN90" s="31">
        <f>SUMIFS(инфо!$G$15:$G$28,инфо!$A$15:$A$28,F90)</f>
        <v>4.5999999999999999E-2</v>
      </c>
      <c r="AO90" s="32">
        <f t="shared" si="32"/>
        <v>4.3265306122448978E-2</v>
      </c>
      <c r="AP90" s="33">
        <f t="shared" si="22"/>
        <v>-2.7346938775510213E-3</v>
      </c>
      <c r="AQ90" s="31">
        <f>SUMIFS(инфо!$H$15:$H$28,инфо!$A$15:$A$28,F90)</f>
        <v>0</v>
      </c>
      <c r="AR90" s="32">
        <f t="shared" si="34"/>
        <v>2.7894736842105261</v>
      </c>
      <c r="AS90" s="33">
        <f t="shared" si="23"/>
        <v>2.7894736842105261</v>
      </c>
      <c r="AT90" s="31">
        <f>SUMIFS(инфо!$I$15:$I$28,инфо!$A$15:$A$28,F90)</f>
        <v>0.15</v>
      </c>
      <c r="AU90" s="35">
        <f t="shared" si="33"/>
        <v>7.3469387755102047E-2</v>
      </c>
      <c r="AV90" s="33">
        <f t="shared" si="24"/>
        <v>-7.6530612244897947E-2</v>
      </c>
      <c r="AX90" s="67">
        <f>SUMIFS(инфо!$C$15:$C$28,инфо!$A$15:$A$28,F90)*H89</f>
        <v>3724.0000000000005</v>
      </c>
    </row>
    <row r="91" spans="1:50" x14ac:dyDescent="0.25">
      <c r="A91" s="70">
        <f>A89+1</f>
        <v>46113</v>
      </c>
      <c r="B91" s="79" t="s">
        <v>307</v>
      </c>
      <c r="C91" s="15" t="s">
        <v>771</v>
      </c>
      <c r="D91" s="16" t="s">
        <v>82</v>
      </c>
      <c r="E91" s="83" t="s">
        <v>114</v>
      </c>
      <c r="F91" s="28" t="s">
        <v>71</v>
      </c>
      <c r="G91" s="81">
        <v>43</v>
      </c>
      <c r="H91" s="81">
        <v>1970</v>
      </c>
      <c r="I91" s="118">
        <f>IFERROR(H91*VLOOKUP(F91,инфо!$A$15:$C$28,3,FALSE)/1000,0)</f>
        <v>38.612000000000002</v>
      </c>
      <c r="J91" s="81">
        <v>2000</v>
      </c>
      <c r="K91" s="81">
        <v>30</v>
      </c>
      <c r="L91" s="81">
        <v>2</v>
      </c>
      <c r="M91" s="20">
        <v>140</v>
      </c>
      <c r="N91" s="20">
        <v>4326</v>
      </c>
      <c r="O91" s="34"/>
      <c r="P91" s="34"/>
      <c r="Q91" s="34">
        <v>15358</v>
      </c>
      <c r="R91" s="34">
        <v>12151</v>
      </c>
      <c r="S91" s="68">
        <f t="shared" si="25"/>
        <v>27509</v>
      </c>
      <c r="T91" s="15"/>
      <c r="U91" s="16"/>
      <c r="V91" s="34"/>
      <c r="W91" s="34"/>
      <c r="X91" s="34"/>
      <c r="Y91" s="15">
        <v>430</v>
      </c>
      <c r="Z91" s="34"/>
      <c r="AA91" s="34">
        <v>86</v>
      </c>
      <c r="AB91" s="34"/>
      <c r="AC91" s="117">
        <v>430</v>
      </c>
      <c r="AD91" s="16">
        <v>100</v>
      </c>
      <c r="AE91" s="24">
        <f>SUMIFS(инфо!$D$15:$D$28,инфо!$A$15:$A$28,F91)</f>
        <v>2.31</v>
      </c>
      <c r="AF91" s="35">
        <f t="shared" si="29"/>
        <v>2.1959390862944161</v>
      </c>
      <c r="AG91" s="12">
        <f t="shared" si="27"/>
        <v>-0.11406091370558391</v>
      </c>
      <c r="AH91" s="24">
        <f>SUMIFS(инфо!$E$15:$E$28,инфо!$A$15:$A$28,F91)</f>
        <v>14.93</v>
      </c>
      <c r="AI91" s="32">
        <f t="shared" si="30"/>
        <v>13.963959390862945</v>
      </c>
      <c r="AJ91" s="12">
        <f t="shared" si="28"/>
        <v>-0.96604060913705503</v>
      </c>
      <c r="AK91" s="24">
        <f>SUMIFS(инфо!$F$15:$F$28,инфо!$A$15:$A$28,F91)</f>
        <v>0.23100000000000001</v>
      </c>
      <c r="AL91" s="32">
        <f t="shared" si="31"/>
        <v>0.21827411167512689</v>
      </c>
      <c r="AM91" s="12">
        <f t="shared" si="21"/>
        <v>-1.2725888324873119E-2</v>
      </c>
      <c r="AN91" s="24">
        <f>SUMIFS(инфо!$G$15:$G$28,инфо!$A$15:$A$28,F91)</f>
        <v>4.5999999999999999E-2</v>
      </c>
      <c r="AO91" s="32">
        <f t="shared" si="32"/>
        <v>4.3654822335025378E-2</v>
      </c>
      <c r="AP91" s="12">
        <f t="shared" si="22"/>
        <v>-2.3451776649746209E-3</v>
      </c>
      <c r="AQ91" s="24">
        <f>SUMIFS(инфо!$H$15:$H$28,инфо!$A$15:$A$28,F91)</f>
        <v>0</v>
      </c>
      <c r="AR91" s="35">
        <f t="shared" si="34"/>
        <v>0.17551020408163265</v>
      </c>
      <c r="AS91" s="12">
        <f t="shared" si="23"/>
        <v>0.17551020408163265</v>
      </c>
      <c r="AT91" s="24">
        <f>SUMIFS(инфо!$I$15:$I$28,инфо!$A$15:$A$28,F91)</f>
        <v>0.15</v>
      </c>
      <c r="AU91" s="35">
        <f t="shared" si="33"/>
        <v>5.0761421319796954E-2</v>
      </c>
      <c r="AV91" s="12">
        <f t="shared" si="24"/>
        <v>-9.9238578680203041E-2</v>
      </c>
      <c r="AX91" s="68">
        <f>SUMIFS(инфо!$C$15:$C$28,инфо!$A$15:$A$28,F91)*H90</f>
        <v>48020</v>
      </c>
    </row>
    <row r="92" spans="1:50" x14ac:dyDescent="0.25">
      <c r="A92" s="70">
        <f t="shared" si="35"/>
        <v>46113</v>
      </c>
      <c r="B92" s="79" t="s">
        <v>309</v>
      </c>
      <c r="C92" s="15" t="s">
        <v>771</v>
      </c>
      <c r="D92" s="16" t="s">
        <v>83</v>
      </c>
      <c r="E92" s="83" t="s">
        <v>77</v>
      </c>
      <c r="F92" s="28" t="s">
        <v>71</v>
      </c>
      <c r="G92" s="81">
        <v>65</v>
      </c>
      <c r="H92" s="81">
        <v>3000</v>
      </c>
      <c r="I92" s="118">
        <f>IFERROR(H92*VLOOKUP(F92,инфо!$A$15:$C$28,3,FALSE)/1000,0)</f>
        <v>58.800000000000004</v>
      </c>
      <c r="J92" s="81">
        <v>2750</v>
      </c>
      <c r="K92" s="81">
        <v>37</v>
      </c>
      <c r="L92" s="81">
        <v>1</v>
      </c>
      <c r="M92" s="20">
        <v>70</v>
      </c>
      <c r="N92" s="20">
        <v>6509</v>
      </c>
      <c r="O92" s="34"/>
      <c r="P92" s="34"/>
      <c r="Q92" s="34">
        <v>20490</v>
      </c>
      <c r="R92" s="34">
        <v>21087</v>
      </c>
      <c r="S92" s="68">
        <f t="shared" si="25"/>
        <v>41577</v>
      </c>
      <c r="T92" s="15"/>
      <c r="U92" s="16"/>
      <c r="V92" s="34"/>
      <c r="W92" s="34"/>
      <c r="X92" s="34"/>
      <c r="Y92" s="15">
        <v>650</v>
      </c>
      <c r="Z92" s="34"/>
      <c r="AA92" s="34">
        <v>130</v>
      </c>
      <c r="AB92" s="34"/>
      <c r="AC92" s="117">
        <v>400</v>
      </c>
      <c r="AD92" s="16">
        <v>200</v>
      </c>
      <c r="AE92" s="24">
        <f>SUMIFS(инфо!$D$15:$D$28,инфо!$A$15:$A$28,F92)</f>
        <v>2.31</v>
      </c>
      <c r="AF92" s="35">
        <f t="shared" si="29"/>
        <v>2.1696666666666666</v>
      </c>
      <c r="AG92" s="12">
        <f t="shared" si="27"/>
        <v>-0.14033333333333342</v>
      </c>
      <c r="AH92" s="24">
        <f>SUMIFS(инфо!$E$15:$E$28,инфо!$A$15:$A$28,F92)</f>
        <v>14.93</v>
      </c>
      <c r="AI92" s="32">
        <f t="shared" si="30"/>
        <v>13.859</v>
      </c>
      <c r="AJ92" s="12">
        <f t="shared" si="28"/>
        <v>-1.0709999999999997</v>
      </c>
      <c r="AK92" s="24">
        <f>SUMIFS(инфо!$F$15:$F$28,инфо!$A$15:$A$28,F92)</f>
        <v>0.23100000000000001</v>
      </c>
      <c r="AL92" s="32">
        <f t="shared" si="31"/>
        <v>0.21666666666666667</v>
      </c>
      <c r="AM92" s="12">
        <f t="shared" si="21"/>
        <v>-1.4333333333333337E-2</v>
      </c>
      <c r="AN92" s="24">
        <f>SUMIFS(инфо!$G$15:$G$28,инфо!$A$15:$A$28,F92)</f>
        <v>4.5999999999999999E-2</v>
      </c>
      <c r="AO92" s="32">
        <f t="shared" si="32"/>
        <v>4.3333333333333335E-2</v>
      </c>
      <c r="AP92" s="12">
        <f t="shared" si="22"/>
        <v>-2.6666666666666644E-3</v>
      </c>
      <c r="AQ92" s="24">
        <f>SUMIFS(инфо!$H$15:$H$28,инфо!$A$15:$A$28,F92)</f>
        <v>0</v>
      </c>
      <c r="AR92" s="35">
        <f t="shared" si="34"/>
        <v>0.20304568527918782</v>
      </c>
      <c r="AS92" s="12">
        <f t="shared" si="23"/>
        <v>0.20304568527918782</v>
      </c>
      <c r="AT92" s="24">
        <f>SUMIFS(инфо!$I$15:$I$28,инфо!$A$15:$A$28,F92)</f>
        <v>0.15</v>
      </c>
      <c r="AU92" s="35">
        <f t="shared" si="33"/>
        <v>6.6666666666666666E-2</v>
      </c>
      <c r="AV92" s="12">
        <f t="shared" si="24"/>
        <v>-8.3333333333333329E-2</v>
      </c>
      <c r="AX92" s="68">
        <f>SUMIFS(инфо!$C$15:$C$28,инфо!$A$15:$A$28,F92)*H91</f>
        <v>38612</v>
      </c>
    </row>
    <row r="93" spans="1:50" x14ac:dyDescent="0.25">
      <c r="A93" s="70">
        <f t="shared" si="35"/>
        <v>46114</v>
      </c>
      <c r="B93" s="79" t="s">
        <v>312</v>
      </c>
      <c r="C93" s="17" t="s">
        <v>771</v>
      </c>
      <c r="D93" s="18" t="s">
        <v>82</v>
      </c>
      <c r="E93" s="83" t="s">
        <v>113</v>
      </c>
      <c r="F93" s="28" t="s">
        <v>71</v>
      </c>
      <c r="G93" s="81">
        <v>59</v>
      </c>
      <c r="H93" s="81">
        <v>2460</v>
      </c>
      <c r="I93" s="118">
        <f>IFERROR(H93*VLOOKUP(F93,инфо!$A$15:$C$28,3,FALSE)/1000,0)</f>
        <v>48.216000000000001</v>
      </c>
      <c r="J93" s="81">
        <v>2500</v>
      </c>
      <c r="K93" s="81">
        <v>5</v>
      </c>
      <c r="L93" s="81">
        <v>4</v>
      </c>
      <c r="M93" s="20">
        <v>26</v>
      </c>
      <c r="N93" s="23">
        <v>5909</v>
      </c>
      <c r="O93" s="19"/>
      <c r="P93" s="19"/>
      <c r="Q93" s="19">
        <v>19197</v>
      </c>
      <c r="R93" s="19">
        <v>18531</v>
      </c>
      <c r="S93" s="69">
        <f t="shared" si="25"/>
        <v>37728</v>
      </c>
      <c r="T93" s="17"/>
      <c r="U93" s="18"/>
      <c r="V93" s="19"/>
      <c r="W93" s="19"/>
      <c r="X93" s="19"/>
      <c r="Y93" s="17">
        <v>590</v>
      </c>
      <c r="Z93" s="19"/>
      <c r="AA93" s="19">
        <v>118</v>
      </c>
      <c r="AB93" s="19"/>
      <c r="AC93" s="117">
        <v>450</v>
      </c>
      <c r="AD93" s="18">
        <v>295</v>
      </c>
      <c r="AE93" s="25">
        <f>SUMIFS(инфо!$D$15:$D$28,инфо!$A$15:$A$28,F93)</f>
        <v>2.31</v>
      </c>
      <c r="AF93" s="35">
        <f t="shared" si="29"/>
        <v>2.4020325203252031</v>
      </c>
      <c r="AG93" s="14">
        <f t="shared" si="27"/>
        <v>9.2032520325203038E-2</v>
      </c>
      <c r="AH93" s="25">
        <f>SUMIFS(инфо!$E$15:$E$28,инфо!$A$15:$A$28,F93)</f>
        <v>14.93</v>
      </c>
      <c r="AI93" s="32">
        <f t="shared" si="30"/>
        <v>15.336585365853658</v>
      </c>
      <c r="AJ93" s="14">
        <f t="shared" si="28"/>
        <v>0.40658536585365823</v>
      </c>
      <c r="AK93" s="25">
        <f>SUMIFS(инфо!$F$15:$F$28,инфо!$A$15:$A$28,F93)</f>
        <v>0.23100000000000001</v>
      </c>
      <c r="AL93" s="32">
        <f t="shared" si="31"/>
        <v>0.23983739837398374</v>
      </c>
      <c r="AM93" s="14">
        <f t="shared" si="21"/>
        <v>8.8373983739837292E-3</v>
      </c>
      <c r="AN93" s="25">
        <f>SUMIFS(инфо!$G$15:$G$28,инфо!$A$15:$A$28,F93)</f>
        <v>4.5999999999999999E-2</v>
      </c>
      <c r="AO93" s="32">
        <f t="shared" si="32"/>
        <v>4.7967479674796747E-2</v>
      </c>
      <c r="AP93" s="14">
        <f t="shared" si="22"/>
        <v>1.9674796747967474E-3</v>
      </c>
      <c r="AQ93" s="25">
        <f>SUMIFS(инфо!$H$15:$H$28,инфо!$A$15:$A$28,F93)</f>
        <v>0</v>
      </c>
      <c r="AR93" s="26">
        <f t="shared" si="34"/>
        <v>0.15</v>
      </c>
      <c r="AS93" s="14">
        <f t="shared" si="23"/>
        <v>0.15</v>
      </c>
      <c r="AT93" s="25">
        <f>SUMIFS(инфо!$I$15:$I$28,инфо!$A$15:$A$28,F93)</f>
        <v>0.15</v>
      </c>
      <c r="AU93" s="35">
        <f t="shared" si="33"/>
        <v>0.11991869918699187</v>
      </c>
      <c r="AV93" s="14">
        <f t="shared" si="24"/>
        <v>-3.0081300813008124E-2</v>
      </c>
      <c r="AX93" s="69">
        <f>SUMIFS(инфо!$C$15:$C$28,инфо!$A$15:$A$28,F93)*H92</f>
        <v>58800.000000000007</v>
      </c>
    </row>
    <row r="94" spans="1:50" x14ac:dyDescent="0.25">
      <c r="A94" s="70">
        <f t="shared" si="35"/>
        <v>46114</v>
      </c>
      <c r="B94" s="79" t="s">
        <v>313</v>
      </c>
      <c r="C94" s="29" t="s">
        <v>771</v>
      </c>
      <c r="D94" s="30" t="s">
        <v>83</v>
      </c>
      <c r="E94" s="83" t="s">
        <v>114</v>
      </c>
      <c r="F94" s="28" t="s">
        <v>71</v>
      </c>
      <c r="G94" s="81">
        <v>57</v>
      </c>
      <c r="H94" s="81">
        <v>2660</v>
      </c>
      <c r="I94" s="118">
        <f>IFERROR(H94*VLOOKUP(F94,инфо!$A$15:$C$28,3,FALSE)/1000,0)</f>
        <v>52.13600000000001</v>
      </c>
      <c r="J94" s="81">
        <v>2750</v>
      </c>
      <c r="K94" s="81">
        <v>10</v>
      </c>
      <c r="L94" s="81">
        <v>20</v>
      </c>
      <c r="M94" s="20">
        <v>86</v>
      </c>
      <c r="N94" s="28">
        <v>5842</v>
      </c>
      <c r="O94" s="27"/>
      <c r="P94" s="27"/>
      <c r="Q94" s="27">
        <v>12486</v>
      </c>
      <c r="R94" s="27">
        <v>23659</v>
      </c>
      <c r="S94" s="67">
        <f t="shared" si="25"/>
        <v>36145</v>
      </c>
      <c r="T94" s="29"/>
      <c r="U94" s="30"/>
      <c r="V94" s="27"/>
      <c r="W94" s="27"/>
      <c r="X94" s="27"/>
      <c r="Y94" s="29">
        <v>560</v>
      </c>
      <c r="Z94" s="27"/>
      <c r="AA94" s="27">
        <v>114</v>
      </c>
      <c r="AB94" s="27"/>
      <c r="AC94" s="117">
        <v>545</v>
      </c>
      <c r="AD94" s="30">
        <v>245</v>
      </c>
      <c r="AE94" s="31">
        <f>SUMIFS(инфо!$D$15:$D$28,инфо!$A$15:$A$28,F94)</f>
        <v>2.31</v>
      </c>
      <c r="AF94" s="35">
        <f t="shared" si="29"/>
        <v>2.1962406015037592</v>
      </c>
      <c r="AG94" s="33">
        <f t="shared" si="27"/>
        <v>-0.11375939849624084</v>
      </c>
      <c r="AH94" s="31">
        <f>SUMIFS(инфо!$E$15:$E$28,инфо!$A$15:$A$28,F94)</f>
        <v>14.93</v>
      </c>
      <c r="AI94" s="32">
        <f t="shared" si="30"/>
        <v>13.588345864661655</v>
      </c>
      <c r="AJ94" s="33">
        <f t="shared" si="28"/>
        <v>-1.3416541353383451</v>
      </c>
      <c r="AK94" s="31">
        <f>SUMIFS(инфо!$F$15:$F$28,инфо!$A$15:$A$28,F94)</f>
        <v>0.23100000000000001</v>
      </c>
      <c r="AL94" s="32">
        <f t="shared" si="31"/>
        <v>0.21052631578947367</v>
      </c>
      <c r="AM94" s="33">
        <f t="shared" si="21"/>
        <v>-2.0473684210526338E-2</v>
      </c>
      <c r="AN94" s="31">
        <f>SUMIFS(инфо!$G$15:$G$28,инфо!$A$15:$A$28,F94)</f>
        <v>4.5999999999999999E-2</v>
      </c>
      <c r="AO94" s="32">
        <f t="shared" si="32"/>
        <v>4.2857142857142858E-2</v>
      </c>
      <c r="AP94" s="33">
        <f t="shared" si="22"/>
        <v>-3.1428571428571417E-3</v>
      </c>
      <c r="AQ94" s="31">
        <f>SUMIFS(инфо!$H$15:$H$28,инфо!$A$15:$A$28,F94)</f>
        <v>0</v>
      </c>
      <c r="AR94" s="32">
        <f t="shared" si="34"/>
        <v>0.22154471544715448</v>
      </c>
      <c r="AS94" s="33">
        <f t="shared" si="23"/>
        <v>0.22154471544715448</v>
      </c>
      <c r="AT94" s="31">
        <f>SUMIFS(инфо!$I$15:$I$28,инфо!$A$15:$A$28,F94)</f>
        <v>0.15</v>
      </c>
      <c r="AU94" s="35">
        <f t="shared" si="33"/>
        <v>9.2105263157894732E-2</v>
      </c>
      <c r="AV94" s="33">
        <f t="shared" si="24"/>
        <v>-5.7894736842105263E-2</v>
      </c>
      <c r="AX94" s="67">
        <f>SUMIFS(инфо!$C$15:$C$28,инфо!$A$15:$A$28,F94)*H93</f>
        <v>48216</v>
      </c>
    </row>
    <row r="95" spans="1:50" x14ac:dyDescent="0.25">
      <c r="A95" s="70">
        <f t="shared" si="35"/>
        <v>46115</v>
      </c>
      <c r="B95" s="79" t="s">
        <v>324</v>
      </c>
      <c r="C95" s="15" t="s">
        <v>771</v>
      </c>
      <c r="D95" s="16" t="s">
        <v>82</v>
      </c>
      <c r="E95" s="83" t="s">
        <v>75</v>
      </c>
      <c r="F95" s="28" t="s">
        <v>71</v>
      </c>
      <c r="G95" s="81">
        <v>15</v>
      </c>
      <c r="H95" s="81">
        <v>700</v>
      </c>
      <c r="I95" s="118">
        <f>IFERROR(H95*VLOOKUP(F95,инфо!$A$15:$C$28,3,FALSE)/1000,0)</f>
        <v>13.720000000000002</v>
      </c>
      <c r="J95" s="81">
        <v>1000</v>
      </c>
      <c r="K95" s="81">
        <v>14</v>
      </c>
      <c r="L95" s="81">
        <v>1</v>
      </c>
      <c r="M95" s="20">
        <v>58</v>
      </c>
      <c r="N95" s="20">
        <v>1504</v>
      </c>
      <c r="O95" s="34"/>
      <c r="P95" s="34"/>
      <c r="Q95" s="34">
        <v>4875</v>
      </c>
      <c r="R95" s="34">
        <v>5114</v>
      </c>
      <c r="S95" s="68">
        <f t="shared" si="25"/>
        <v>9989</v>
      </c>
      <c r="T95" s="15"/>
      <c r="U95" s="16"/>
      <c r="V95" s="34"/>
      <c r="W95" s="34"/>
      <c r="X95" s="34"/>
      <c r="Y95" s="15">
        <v>150</v>
      </c>
      <c r="Z95" s="34"/>
      <c r="AA95" s="34">
        <v>30</v>
      </c>
      <c r="AB95" s="34"/>
      <c r="AC95" s="117">
        <v>150</v>
      </c>
      <c r="AD95" s="16">
        <v>55</v>
      </c>
      <c r="AE95" s="24">
        <f>SUMIFS(инфо!$D$15:$D$28,инфо!$A$15:$A$28,F95)</f>
        <v>2.31</v>
      </c>
      <c r="AF95" s="35">
        <f t="shared" si="29"/>
        <v>2.1485714285714286</v>
      </c>
      <c r="AG95" s="12">
        <f t="shared" si="27"/>
        <v>-0.16142857142857148</v>
      </c>
      <c r="AH95" s="24">
        <f>SUMIFS(инфо!$E$15:$E$28,инфо!$A$15:$A$28,F95)</f>
        <v>14.93</v>
      </c>
      <c r="AI95" s="32">
        <f t="shared" si="30"/>
        <v>14.27</v>
      </c>
      <c r="AJ95" s="12">
        <f t="shared" si="28"/>
        <v>-0.66000000000000014</v>
      </c>
      <c r="AK95" s="24">
        <f>SUMIFS(инфо!$F$15:$F$28,инфо!$A$15:$A$28,F95)</f>
        <v>0.23100000000000001</v>
      </c>
      <c r="AL95" s="32">
        <f t="shared" si="31"/>
        <v>0.21428571428571427</v>
      </c>
      <c r="AM95" s="12">
        <f t="shared" si="21"/>
        <v>-1.6714285714285737E-2</v>
      </c>
      <c r="AN95" s="24">
        <f>SUMIFS(инфо!$G$15:$G$28,инфо!$A$15:$A$28,F95)</f>
        <v>4.5999999999999999E-2</v>
      </c>
      <c r="AO95" s="32">
        <f t="shared" si="32"/>
        <v>4.2857142857142858E-2</v>
      </c>
      <c r="AP95" s="12">
        <f t="shared" si="22"/>
        <v>-3.1428571428571417E-3</v>
      </c>
      <c r="AQ95" s="24">
        <f>SUMIFS(инфо!$H$15:$H$28,инфо!$A$15:$A$28,F95)</f>
        <v>0</v>
      </c>
      <c r="AR95" s="35">
        <f t="shared" si="34"/>
        <v>5.6390977443609019E-2</v>
      </c>
      <c r="AS95" s="12">
        <f t="shared" si="23"/>
        <v>5.6390977443609019E-2</v>
      </c>
      <c r="AT95" s="24">
        <f>SUMIFS(инфо!$I$15:$I$28,инфо!$A$15:$A$28,F95)</f>
        <v>0.15</v>
      </c>
      <c r="AU95" s="35">
        <f t="shared" si="33"/>
        <v>7.857142857142857E-2</v>
      </c>
      <c r="AV95" s="12">
        <f t="shared" si="24"/>
        <v>-7.1428571428571425E-2</v>
      </c>
      <c r="AX95" s="68">
        <f>SUMIFS(инфо!$C$15:$C$28,инфо!$A$15:$A$28,F95)*H94</f>
        <v>52136.000000000007</v>
      </c>
    </row>
    <row r="96" spans="1:50" x14ac:dyDescent="0.25">
      <c r="A96" s="70">
        <f t="shared" si="35"/>
        <v>46115</v>
      </c>
      <c r="B96" s="79" t="s">
        <v>325</v>
      </c>
      <c r="C96" s="15" t="s">
        <v>771</v>
      </c>
      <c r="D96" s="16" t="s">
        <v>83</v>
      </c>
      <c r="E96" s="83" t="s">
        <v>113</v>
      </c>
      <c r="F96" s="28" t="s">
        <v>71</v>
      </c>
      <c r="G96" s="81">
        <v>31</v>
      </c>
      <c r="H96" s="81">
        <v>1250</v>
      </c>
      <c r="I96" s="118">
        <f>IFERROR(H96*VLOOKUP(F96,инфо!$A$15:$C$28,3,FALSE)/1000,0)</f>
        <v>24.5</v>
      </c>
      <c r="J96" s="81">
        <v>750</v>
      </c>
      <c r="K96" s="81">
        <v>6</v>
      </c>
      <c r="L96" s="81"/>
      <c r="M96" s="20">
        <v>101</v>
      </c>
      <c r="N96" s="20">
        <v>3138</v>
      </c>
      <c r="O96" s="34"/>
      <c r="P96" s="34"/>
      <c r="Q96" s="34">
        <v>10183</v>
      </c>
      <c r="R96" s="34">
        <v>9590</v>
      </c>
      <c r="S96" s="68">
        <f t="shared" si="25"/>
        <v>19773</v>
      </c>
      <c r="T96" s="15"/>
      <c r="U96" s="16"/>
      <c r="V96" s="34"/>
      <c r="W96" s="34"/>
      <c r="X96" s="34"/>
      <c r="Y96" s="15">
        <v>310</v>
      </c>
      <c r="Z96" s="34"/>
      <c r="AA96" s="34">
        <v>62</v>
      </c>
      <c r="AB96" s="34"/>
      <c r="AC96" s="117">
        <v>310</v>
      </c>
      <c r="AD96" s="16">
        <v>155</v>
      </c>
      <c r="AE96" s="24">
        <f>SUMIFS(инфо!$D$15:$D$28,инфо!$A$15:$A$28,F96)</f>
        <v>2.31</v>
      </c>
      <c r="AF96" s="35">
        <f t="shared" si="29"/>
        <v>2.5104000000000002</v>
      </c>
      <c r="AG96" s="12">
        <f t="shared" si="27"/>
        <v>0.20040000000000013</v>
      </c>
      <c r="AH96" s="24">
        <f>SUMIFS(инфо!$E$15:$E$28,инфо!$A$15:$A$28,F96)</f>
        <v>14.93</v>
      </c>
      <c r="AI96" s="32">
        <f t="shared" si="30"/>
        <v>15.8184</v>
      </c>
      <c r="AJ96" s="12">
        <f t="shared" si="28"/>
        <v>0.88840000000000074</v>
      </c>
      <c r="AK96" s="24">
        <f>SUMIFS(инфо!$F$15:$F$28,инфо!$A$15:$A$28,F96)</f>
        <v>0.23100000000000001</v>
      </c>
      <c r="AL96" s="32">
        <f t="shared" si="31"/>
        <v>0.248</v>
      </c>
      <c r="AM96" s="12">
        <f t="shared" si="21"/>
        <v>1.6999999999999987E-2</v>
      </c>
      <c r="AN96" s="24">
        <f>SUMIFS(инфо!$G$15:$G$28,инфо!$A$15:$A$28,F96)</f>
        <v>4.5999999999999999E-2</v>
      </c>
      <c r="AO96" s="32">
        <f t="shared" si="32"/>
        <v>4.9599999999999998E-2</v>
      </c>
      <c r="AP96" s="12">
        <f t="shared" si="22"/>
        <v>3.599999999999999E-3</v>
      </c>
      <c r="AQ96" s="24">
        <f>SUMIFS(инфо!$H$15:$H$28,инфо!$A$15:$A$28,F96)</f>
        <v>0</v>
      </c>
      <c r="AR96" s="35">
        <f t="shared" si="34"/>
        <v>0.44285714285714284</v>
      </c>
      <c r="AS96" s="12">
        <f t="shared" si="23"/>
        <v>0.44285714285714284</v>
      </c>
      <c r="AT96" s="24">
        <f>SUMIFS(инфо!$I$15:$I$28,инфо!$A$15:$A$28,F96)</f>
        <v>0.15</v>
      </c>
      <c r="AU96" s="35">
        <f t="shared" si="33"/>
        <v>0.124</v>
      </c>
      <c r="AV96" s="12">
        <f t="shared" si="24"/>
        <v>-2.5999999999999995E-2</v>
      </c>
      <c r="AX96" s="68">
        <f>SUMIFS(инфо!$C$15:$C$28,инфо!$A$15:$A$28,F96)*H95</f>
        <v>13720.000000000002</v>
      </c>
    </row>
    <row r="97" spans="1:50" x14ac:dyDescent="0.25">
      <c r="A97" s="70">
        <f t="shared" si="35"/>
        <v>46116</v>
      </c>
      <c r="B97" s="79" t="s">
        <v>328</v>
      </c>
      <c r="C97" s="17" t="s">
        <v>771</v>
      </c>
      <c r="D97" s="18" t="s">
        <v>82</v>
      </c>
      <c r="E97" s="83" t="s">
        <v>77</v>
      </c>
      <c r="F97" s="28" t="s">
        <v>71</v>
      </c>
      <c r="G97" s="81">
        <v>58</v>
      </c>
      <c r="H97" s="81">
        <v>2700</v>
      </c>
      <c r="I97" s="118">
        <f>IFERROR(H97*VLOOKUP(F97,инфо!$A$15:$C$28,3,FALSE)/1000,0)</f>
        <v>52.920000000000009</v>
      </c>
      <c r="J97" s="81">
        <v>2750</v>
      </c>
      <c r="K97" s="81">
        <v>23</v>
      </c>
      <c r="L97" s="81">
        <v>14</v>
      </c>
      <c r="M97" s="20">
        <v>85</v>
      </c>
      <c r="N97" s="23">
        <v>5718</v>
      </c>
      <c r="O97" s="19"/>
      <c r="P97" s="19"/>
      <c r="Q97" s="19">
        <v>18588</v>
      </c>
      <c r="R97" s="19">
        <v>18552</v>
      </c>
      <c r="S97" s="69">
        <f t="shared" si="25"/>
        <v>37140</v>
      </c>
      <c r="T97" s="17"/>
      <c r="U97" s="18"/>
      <c r="V97" s="19"/>
      <c r="W97" s="19"/>
      <c r="X97" s="19"/>
      <c r="Y97" s="17">
        <v>580</v>
      </c>
      <c r="Z97" s="19"/>
      <c r="AA97" s="19">
        <v>116</v>
      </c>
      <c r="AB97" s="19"/>
      <c r="AC97" s="117">
        <v>580</v>
      </c>
      <c r="AD97" s="18">
        <v>290</v>
      </c>
      <c r="AE97" s="25">
        <f>SUMIFS(инфо!$D$15:$D$28,инфо!$A$15:$A$28,F97)</f>
        <v>2.31</v>
      </c>
      <c r="AF97" s="35">
        <f t="shared" si="29"/>
        <v>2.117777777777778</v>
      </c>
      <c r="AG97" s="14">
        <f t="shared" si="27"/>
        <v>-0.19222222222222207</v>
      </c>
      <c r="AH97" s="25">
        <f>SUMIFS(инфо!$E$15:$E$28,инфо!$A$15:$A$28,F97)</f>
        <v>14.93</v>
      </c>
      <c r="AI97" s="32">
        <f t="shared" si="30"/>
        <v>13.755555555555556</v>
      </c>
      <c r="AJ97" s="14">
        <f t="shared" si="28"/>
        <v>-1.1744444444444433</v>
      </c>
      <c r="AK97" s="25">
        <f>SUMIFS(инфо!$F$15:$F$28,инфо!$A$15:$A$28,F97)</f>
        <v>0.23100000000000001</v>
      </c>
      <c r="AL97" s="32">
        <f t="shared" si="31"/>
        <v>0.21481481481481482</v>
      </c>
      <c r="AM97" s="14">
        <f t="shared" si="21"/>
        <v>-1.6185185185185191E-2</v>
      </c>
      <c r="AN97" s="25">
        <f>SUMIFS(инфо!$G$15:$G$28,инфо!$A$15:$A$28,F97)</f>
        <v>4.5999999999999999E-2</v>
      </c>
      <c r="AO97" s="32">
        <f t="shared" si="32"/>
        <v>4.296296296296296E-2</v>
      </c>
      <c r="AP97" s="14">
        <f t="shared" si="22"/>
        <v>-3.0370370370370395E-3</v>
      </c>
      <c r="AQ97" s="25">
        <f>SUMIFS(инфо!$H$15:$H$28,инфо!$A$15:$A$28,F97)</f>
        <v>0</v>
      </c>
      <c r="AR97" s="26">
        <f t="shared" si="34"/>
        <v>0.46400000000000002</v>
      </c>
      <c r="AS97" s="14">
        <f t="shared" si="23"/>
        <v>0.46400000000000002</v>
      </c>
      <c r="AT97" s="25">
        <f>SUMIFS(инфо!$I$15:$I$28,инфо!$A$15:$A$28,F97)</f>
        <v>0.15</v>
      </c>
      <c r="AU97" s="35">
        <f t="shared" si="33"/>
        <v>0.10740740740740741</v>
      </c>
      <c r="AV97" s="14">
        <f t="shared" si="24"/>
        <v>-4.2592592592592585E-2</v>
      </c>
      <c r="AX97" s="69">
        <f>SUMIFS(инфо!$C$15:$C$28,инфо!$A$15:$A$28,F97)*H96</f>
        <v>24500</v>
      </c>
    </row>
    <row r="98" spans="1:50" x14ac:dyDescent="0.25">
      <c r="A98" s="70">
        <f t="shared" si="35"/>
        <v>46116</v>
      </c>
      <c r="B98" s="79" t="s">
        <v>330</v>
      </c>
      <c r="C98" s="29" t="s">
        <v>771</v>
      </c>
      <c r="D98" s="30" t="s">
        <v>83</v>
      </c>
      <c r="E98" s="83" t="s">
        <v>75</v>
      </c>
      <c r="F98" s="28" t="s">
        <v>71</v>
      </c>
      <c r="G98" s="81">
        <v>72</v>
      </c>
      <c r="H98" s="81">
        <v>3380</v>
      </c>
      <c r="I98" s="118">
        <f>IFERROR(H98*VLOOKUP(F98,инфо!$A$15:$C$28,3,FALSE)/1000,0)</f>
        <v>66.248000000000005</v>
      </c>
      <c r="J98" s="81">
        <v>3250</v>
      </c>
      <c r="K98" s="81">
        <v>6</v>
      </c>
      <c r="L98" s="81">
        <v>29</v>
      </c>
      <c r="M98" s="20">
        <v>57</v>
      </c>
      <c r="N98" s="28">
        <v>7233</v>
      </c>
      <c r="O98" s="27"/>
      <c r="P98" s="27"/>
      <c r="Q98" s="27">
        <v>22371</v>
      </c>
      <c r="R98" s="27">
        <v>23673</v>
      </c>
      <c r="S98" s="67">
        <f t="shared" si="25"/>
        <v>46044</v>
      </c>
      <c r="T98" s="29"/>
      <c r="U98" s="30"/>
      <c r="V98" s="27"/>
      <c r="W98" s="27"/>
      <c r="X98" s="27"/>
      <c r="Y98" s="29">
        <v>720</v>
      </c>
      <c r="Z98" s="27"/>
      <c r="AA98" s="27">
        <v>144</v>
      </c>
      <c r="AB98" s="27"/>
      <c r="AC98" s="117">
        <v>720</v>
      </c>
      <c r="AD98" s="30">
        <v>205</v>
      </c>
      <c r="AE98" s="31">
        <f>SUMIFS(инфо!$D$15:$D$28,инфо!$A$15:$A$28,F98)</f>
        <v>2.31</v>
      </c>
      <c r="AF98" s="35">
        <f t="shared" si="29"/>
        <v>2.1399408284023669</v>
      </c>
      <c r="AG98" s="33">
        <f t="shared" si="27"/>
        <v>-0.17005917159763317</v>
      </c>
      <c r="AH98" s="31">
        <f>SUMIFS(инфо!$E$15:$E$28,инфо!$A$15:$A$28,F98)</f>
        <v>14.93</v>
      </c>
      <c r="AI98" s="32">
        <f t="shared" si="30"/>
        <v>13.622485207100592</v>
      </c>
      <c r="AJ98" s="33">
        <f t="shared" si="28"/>
        <v>-1.3075147928994078</v>
      </c>
      <c r="AK98" s="31">
        <f>SUMIFS(инфо!$F$15:$F$28,инфо!$A$15:$A$28,F98)</f>
        <v>0.23100000000000001</v>
      </c>
      <c r="AL98" s="32">
        <f t="shared" si="31"/>
        <v>0.21301775147928995</v>
      </c>
      <c r="AM98" s="33">
        <f t="shared" si="21"/>
        <v>-1.7982248520710065E-2</v>
      </c>
      <c r="AN98" s="31">
        <f>SUMIFS(инфо!$G$15:$G$28,инфо!$A$15:$A$28,F98)</f>
        <v>4.5999999999999999E-2</v>
      </c>
      <c r="AO98" s="32">
        <f t="shared" si="32"/>
        <v>4.2603550295857988E-2</v>
      </c>
      <c r="AP98" s="33">
        <f t="shared" si="22"/>
        <v>-3.3964497041420114E-3</v>
      </c>
      <c r="AQ98" s="31">
        <f>SUMIFS(инфо!$H$15:$H$28,инфо!$A$15:$A$28,F98)</f>
        <v>0</v>
      </c>
      <c r="AR98" s="32">
        <f t="shared" si="34"/>
        <v>0.26666666666666666</v>
      </c>
      <c r="AS98" s="33">
        <f t="shared" si="23"/>
        <v>0.26666666666666666</v>
      </c>
      <c r="AT98" s="31">
        <f>SUMIFS(инфо!$I$15:$I$28,инфо!$A$15:$A$28,F98)</f>
        <v>0.15</v>
      </c>
      <c r="AU98" s="35">
        <f t="shared" si="33"/>
        <v>6.0650887573964495E-2</v>
      </c>
      <c r="AV98" s="33">
        <f t="shared" si="24"/>
        <v>-8.9349112426035493E-2</v>
      </c>
      <c r="AX98" s="67">
        <f>SUMIFS(инфо!$C$15:$C$28,инфо!$A$15:$A$28,F98)*H97</f>
        <v>52920.000000000007</v>
      </c>
    </row>
    <row r="99" spans="1:50" x14ac:dyDescent="0.25">
      <c r="A99" s="70">
        <f t="shared" si="35"/>
        <v>46117</v>
      </c>
      <c r="B99" s="79" t="s">
        <v>334</v>
      </c>
      <c r="C99" s="15" t="s">
        <v>771</v>
      </c>
      <c r="D99" s="16" t="s">
        <v>82</v>
      </c>
      <c r="E99" s="83" t="s">
        <v>114</v>
      </c>
      <c r="F99" s="28" t="s">
        <v>71</v>
      </c>
      <c r="G99" s="81">
        <v>54</v>
      </c>
      <c r="H99" s="81">
        <v>2500</v>
      </c>
      <c r="I99" s="118">
        <f>IFERROR(H99*VLOOKUP(F99,инфо!$A$15:$C$28,3,FALSE)/1000,0)</f>
        <v>49</v>
      </c>
      <c r="J99" s="81">
        <v>2750</v>
      </c>
      <c r="K99" s="81">
        <v>12</v>
      </c>
      <c r="L99" s="81">
        <v>9</v>
      </c>
      <c r="M99" s="20">
        <v>107</v>
      </c>
      <c r="N99" s="20">
        <v>5494</v>
      </c>
      <c r="O99" s="34"/>
      <c r="P99" s="34"/>
      <c r="Q99" s="34">
        <v>18110</v>
      </c>
      <c r="R99" s="34">
        <v>17243</v>
      </c>
      <c r="S99" s="68">
        <f t="shared" si="25"/>
        <v>35353</v>
      </c>
      <c r="T99" s="15"/>
      <c r="U99" s="16"/>
      <c r="V99" s="34"/>
      <c r="W99" s="34"/>
      <c r="X99" s="34"/>
      <c r="Y99" s="15">
        <v>540</v>
      </c>
      <c r="Z99" s="34"/>
      <c r="AA99" s="34">
        <v>108</v>
      </c>
      <c r="AB99" s="34"/>
      <c r="AC99" s="117">
        <v>500</v>
      </c>
      <c r="AD99" s="16">
        <v>240</v>
      </c>
      <c r="AE99" s="24">
        <f>SUMIFS(инфо!$D$15:$D$28,инфо!$A$15:$A$28,F99)</f>
        <v>2.31</v>
      </c>
      <c r="AF99" s="35">
        <f t="shared" si="29"/>
        <v>2.1976</v>
      </c>
      <c r="AG99" s="12">
        <f t="shared" si="27"/>
        <v>-0.11240000000000006</v>
      </c>
      <c r="AH99" s="24">
        <f>SUMIFS(инфо!$E$15:$E$28,инфо!$A$15:$A$28,F99)</f>
        <v>14.93</v>
      </c>
      <c r="AI99" s="32">
        <f t="shared" si="30"/>
        <v>14.1412</v>
      </c>
      <c r="AJ99" s="12">
        <f t="shared" si="28"/>
        <v>-0.78880000000000017</v>
      </c>
      <c r="AK99" s="24">
        <f>SUMIFS(инфо!$F$15:$F$28,инфо!$A$15:$A$28,F99)</f>
        <v>0.23100000000000001</v>
      </c>
      <c r="AL99" s="32">
        <f t="shared" si="31"/>
        <v>0.216</v>
      </c>
      <c r="AM99" s="12">
        <f t="shared" si="21"/>
        <v>-1.5000000000000013E-2</v>
      </c>
      <c r="AN99" s="24">
        <f>SUMIFS(инфо!$G$15:$G$28,инфо!$A$15:$A$28,F99)</f>
        <v>4.5999999999999999E-2</v>
      </c>
      <c r="AO99" s="32">
        <f t="shared" si="32"/>
        <v>4.3200000000000002E-2</v>
      </c>
      <c r="AP99" s="12">
        <f t="shared" si="22"/>
        <v>-2.7999999999999969E-3</v>
      </c>
      <c r="AQ99" s="24">
        <f>SUMIFS(инфо!$H$15:$H$28,инфо!$A$15:$A$28,F99)</f>
        <v>0</v>
      </c>
      <c r="AR99" s="35">
        <f t="shared" si="34"/>
        <v>0.14792899408284024</v>
      </c>
      <c r="AS99" s="12">
        <f t="shared" si="23"/>
        <v>0.14792899408284024</v>
      </c>
      <c r="AT99" s="24">
        <f>SUMIFS(инфо!$I$15:$I$28,инфо!$A$15:$A$28,F99)</f>
        <v>0.15</v>
      </c>
      <c r="AU99" s="35">
        <f t="shared" si="33"/>
        <v>9.6000000000000002E-2</v>
      </c>
      <c r="AV99" s="12">
        <f t="shared" si="24"/>
        <v>-5.3999999999999992E-2</v>
      </c>
      <c r="AX99" s="68">
        <f>SUMIFS(инфо!$C$15:$C$28,инфо!$A$15:$A$28,F99)*H98</f>
        <v>66248</v>
      </c>
    </row>
    <row r="100" spans="1:50" x14ac:dyDescent="0.25">
      <c r="A100" s="70">
        <f t="shared" si="35"/>
        <v>46117</v>
      </c>
      <c r="B100" s="79" t="s">
        <v>336</v>
      </c>
      <c r="C100" s="15" t="s">
        <v>771</v>
      </c>
      <c r="D100" s="16" t="s">
        <v>83</v>
      </c>
      <c r="E100" s="83" t="s">
        <v>77</v>
      </c>
      <c r="F100" s="28" t="s">
        <v>71</v>
      </c>
      <c r="G100" s="81">
        <v>69</v>
      </c>
      <c r="H100" s="81">
        <v>3080</v>
      </c>
      <c r="I100" s="118">
        <f>IFERROR(H100*VLOOKUP(F100,инфо!$A$15:$C$28,3,FALSE)/1000,0)</f>
        <v>60.368000000000009</v>
      </c>
      <c r="J100" s="81">
        <v>2750</v>
      </c>
      <c r="K100" s="81">
        <v>20</v>
      </c>
      <c r="L100" s="81">
        <v>20</v>
      </c>
      <c r="M100" s="20">
        <v>90</v>
      </c>
      <c r="N100" s="20">
        <v>7009</v>
      </c>
      <c r="O100" s="34"/>
      <c r="P100" s="34"/>
      <c r="Q100" s="34">
        <v>21715</v>
      </c>
      <c r="R100" s="34">
        <v>22399</v>
      </c>
      <c r="S100" s="68">
        <f t="shared" si="25"/>
        <v>44114</v>
      </c>
      <c r="T100" s="15"/>
      <c r="U100" s="16"/>
      <c r="V100" s="34"/>
      <c r="W100" s="34"/>
      <c r="X100" s="34"/>
      <c r="Y100" s="15">
        <v>690</v>
      </c>
      <c r="Z100" s="34"/>
      <c r="AA100" s="34">
        <v>138</v>
      </c>
      <c r="AB100" s="34"/>
      <c r="AC100" s="117">
        <v>690</v>
      </c>
      <c r="AD100" s="16">
        <v>0</v>
      </c>
      <c r="AE100" s="24">
        <f>SUMIFS(инфо!$D$15:$D$28,инфо!$A$15:$A$28,F100)</f>
        <v>2.31</v>
      </c>
      <c r="AF100" s="35">
        <f t="shared" si="29"/>
        <v>2.2756493506493505</v>
      </c>
      <c r="AG100" s="12">
        <f t="shared" si="27"/>
        <v>-3.4350649350649576E-2</v>
      </c>
      <c r="AH100" s="24">
        <f>SUMIFS(инфо!$E$15:$E$28,инфо!$A$15:$A$28,F100)</f>
        <v>14.93</v>
      </c>
      <c r="AI100" s="32">
        <f t="shared" si="30"/>
        <v>14.322727272727272</v>
      </c>
      <c r="AJ100" s="12">
        <f t="shared" si="28"/>
        <v>-0.60727272727272741</v>
      </c>
      <c r="AK100" s="24">
        <f>SUMIFS(инфо!$F$15:$F$28,инфо!$A$15:$A$28,F100)</f>
        <v>0.23100000000000001</v>
      </c>
      <c r="AL100" s="32">
        <f t="shared" si="31"/>
        <v>0.22402597402597402</v>
      </c>
      <c r="AM100" s="12">
        <f t="shared" si="21"/>
        <v>-6.9740259740259936E-3</v>
      </c>
      <c r="AN100" s="24">
        <f>SUMIFS(инфо!$G$15:$G$28,инфо!$A$15:$A$28,F100)</f>
        <v>4.5999999999999999E-2</v>
      </c>
      <c r="AO100" s="32">
        <f t="shared" si="32"/>
        <v>4.4805194805194806E-2</v>
      </c>
      <c r="AP100" s="12">
        <f t="shared" si="22"/>
        <v>-1.194805194805193E-3</v>
      </c>
      <c r="AQ100" s="24">
        <f>SUMIFS(инфо!$H$15:$H$28,инфо!$A$15:$A$28,F100)</f>
        <v>0</v>
      </c>
      <c r="AR100" s="35">
        <f t="shared" si="34"/>
        <v>0.27600000000000002</v>
      </c>
      <c r="AS100" s="12">
        <f t="shared" si="23"/>
        <v>0.27600000000000002</v>
      </c>
      <c r="AT100" s="24">
        <f>SUMIFS(инфо!$I$15:$I$28,инфо!$A$15:$A$28,F100)</f>
        <v>0.15</v>
      </c>
      <c r="AU100" s="35">
        <f t="shared" si="33"/>
        <v>0</v>
      </c>
      <c r="AV100" s="12">
        <f t="shared" si="24"/>
        <v>-0.15</v>
      </c>
      <c r="AX100" s="68">
        <f>SUMIFS(инфо!$C$15:$C$28,инфо!$A$15:$A$28,F100)*H99</f>
        <v>49000</v>
      </c>
    </row>
    <row r="101" spans="1:50" x14ac:dyDescent="0.25">
      <c r="A101" s="70">
        <f t="shared" si="35"/>
        <v>46118</v>
      </c>
      <c r="B101" s="79" t="s">
        <v>339</v>
      </c>
      <c r="C101" s="17" t="s">
        <v>771</v>
      </c>
      <c r="D101" s="18" t="s">
        <v>82</v>
      </c>
      <c r="E101" s="83" t="s">
        <v>113</v>
      </c>
      <c r="F101" s="28" t="s">
        <v>71</v>
      </c>
      <c r="G101" s="81">
        <v>54</v>
      </c>
      <c r="H101" s="81">
        <v>2420</v>
      </c>
      <c r="I101" s="118">
        <f>IFERROR(H101*VLOOKUP(F101,инфо!$A$15:$C$28,3,FALSE)/1000,0)</f>
        <v>47.432000000000002</v>
      </c>
      <c r="J101" s="81">
        <v>2500</v>
      </c>
      <c r="K101" s="81">
        <v>15</v>
      </c>
      <c r="L101" s="81">
        <v>2</v>
      </c>
      <c r="M101" s="20">
        <v>97</v>
      </c>
      <c r="N101" s="23">
        <v>5501</v>
      </c>
      <c r="O101" s="19"/>
      <c r="P101" s="19"/>
      <c r="Q101" s="19">
        <v>14704</v>
      </c>
      <c r="R101" s="19">
        <v>19828</v>
      </c>
      <c r="S101" s="69">
        <f t="shared" si="25"/>
        <v>34532</v>
      </c>
      <c r="T101" s="17"/>
      <c r="U101" s="18"/>
      <c r="V101" s="19"/>
      <c r="W101" s="19"/>
      <c r="X101" s="19"/>
      <c r="Y101" s="17">
        <v>540</v>
      </c>
      <c r="Z101" s="19"/>
      <c r="AA101" s="19">
        <v>108</v>
      </c>
      <c r="AB101" s="19"/>
      <c r="AC101" s="117">
        <v>540</v>
      </c>
      <c r="AD101" s="18">
        <v>54</v>
      </c>
      <c r="AE101" s="25">
        <f>SUMIFS(инфо!$D$15:$D$28,инфо!$A$15:$A$28,F101)</f>
        <v>2.31</v>
      </c>
      <c r="AF101" s="35">
        <f t="shared" si="29"/>
        <v>2.2731404958677688</v>
      </c>
      <c r="AG101" s="14">
        <f t="shared" si="27"/>
        <v>-3.6859504132231269E-2</v>
      </c>
      <c r="AH101" s="25">
        <f>SUMIFS(инфо!$E$15:$E$28,инфо!$A$15:$A$28,F101)</f>
        <v>14.93</v>
      </c>
      <c r="AI101" s="32">
        <f t="shared" si="30"/>
        <v>14.269421487603307</v>
      </c>
      <c r="AJ101" s="14">
        <f t="shared" si="28"/>
        <v>-0.66057851239669318</v>
      </c>
      <c r="AK101" s="25">
        <f>SUMIFS(инфо!$F$15:$F$28,инфо!$A$15:$A$28,F101)</f>
        <v>0.23100000000000001</v>
      </c>
      <c r="AL101" s="32">
        <f t="shared" si="31"/>
        <v>0.2231404958677686</v>
      </c>
      <c r="AM101" s="14">
        <f t="shared" si="21"/>
        <v>-7.8595041322314096E-3</v>
      </c>
      <c r="AN101" s="25">
        <f>SUMIFS(инфо!$G$15:$G$28,инфо!$A$15:$A$28,F101)</f>
        <v>4.5999999999999999E-2</v>
      </c>
      <c r="AO101" s="32">
        <f t="shared" si="32"/>
        <v>4.4628099173553717E-2</v>
      </c>
      <c r="AP101" s="14">
        <f t="shared" si="22"/>
        <v>-1.3719008264462818E-3</v>
      </c>
      <c r="AQ101" s="25">
        <f>SUMIFS(инфо!$H$15:$H$28,инфо!$A$15:$A$28,F101)</f>
        <v>0</v>
      </c>
      <c r="AR101" s="26">
        <f t="shared" si="34"/>
        <v>0.17532467532467533</v>
      </c>
      <c r="AS101" s="14">
        <f t="shared" si="23"/>
        <v>0.17532467532467533</v>
      </c>
      <c r="AT101" s="25">
        <f>SUMIFS(инфо!$I$15:$I$28,инфо!$A$15:$A$28,F101)</f>
        <v>0.15</v>
      </c>
      <c r="AU101" s="35">
        <f t="shared" si="33"/>
        <v>2.2314049586776859E-2</v>
      </c>
      <c r="AV101" s="14">
        <f t="shared" si="24"/>
        <v>-0.12768595041322314</v>
      </c>
      <c r="AX101" s="69">
        <f>SUMIFS(инфо!$C$15:$C$28,инфо!$A$15:$A$28,F101)*H100</f>
        <v>60368.000000000007</v>
      </c>
    </row>
    <row r="102" spans="1:50" x14ac:dyDescent="0.25">
      <c r="A102" s="70">
        <f t="shared" si="35"/>
        <v>46118</v>
      </c>
      <c r="B102" s="79" t="s">
        <v>344</v>
      </c>
      <c r="C102" s="29" t="s">
        <v>771</v>
      </c>
      <c r="D102" s="30" t="s">
        <v>83</v>
      </c>
      <c r="E102" s="83" t="s">
        <v>114</v>
      </c>
      <c r="F102" s="28" t="s">
        <v>71</v>
      </c>
      <c r="G102" s="81">
        <v>61</v>
      </c>
      <c r="H102" s="81">
        <v>2800</v>
      </c>
      <c r="I102" s="118">
        <f>IFERROR(H102*VLOOKUP(F102,инфо!$A$15:$C$28,3,FALSE)/1000,0)</f>
        <v>54.88000000000001</v>
      </c>
      <c r="J102" s="81">
        <v>2750</v>
      </c>
      <c r="K102" s="81">
        <v>19</v>
      </c>
      <c r="L102" s="81">
        <v>27</v>
      </c>
      <c r="M102" s="20">
        <v>125</v>
      </c>
      <c r="N102" s="28">
        <v>6251</v>
      </c>
      <c r="O102" s="27"/>
      <c r="P102" s="27"/>
      <c r="Q102" s="27">
        <v>19825</v>
      </c>
      <c r="R102" s="27">
        <v>19822</v>
      </c>
      <c r="S102" s="67">
        <f t="shared" si="25"/>
        <v>39647</v>
      </c>
      <c r="T102" s="29"/>
      <c r="U102" s="30"/>
      <c r="V102" s="27"/>
      <c r="W102" s="27"/>
      <c r="X102" s="27"/>
      <c r="Y102" s="29">
        <v>610</v>
      </c>
      <c r="Z102" s="27"/>
      <c r="AA102" s="27">
        <v>122</v>
      </c>
      <c r="AB102" s="27"/>
      <c r="AC102" s="117">
        <v>610</v>
      </c>
      <c r="AD102" s="30">
        <v>305</v>
      </c>
      <c r="AE102" s="31">
        <f>SUMIFS(инфо!$D$15:$D$28,инфо!$A$15:$A$28,F102)</f>
        <v>2.31</v>
      </c>
      <c r="AF102" s="35">
        <f t="shared" si="29"/>
        <v>2.2324999999999999</v>
      </c>
      <c r="AG102" s="33">
        <f t="shared" si="27"/>
        <v>-7.7500000000000124E-2</v>
      </c>
      <c r="AH102" s="31">
        <f>SUMIFS(инфо!$E$15:$E$28,инфо!$A$15:$A$28,F102)</f>
        <v>14.93</v>
      </c>
      <c r="AI102" s="32">
        <f t="shared" si="30"/>
        <v>14.159642857142858</v>
      </c>
      <c r="AJ102" s="33">
        <f t="shared" si="28"/>
        <v>-0.77035714285714185</v>
      </c>
      <c r="AK102" s="31">
        <f>SUMIFS(инфо!$F$15:$F$28,инфо!$A$15:$A$28,F102)</f>
        <v>0.23100000000000001</v>
      </c>
      <c r="AL102" s="32">
        <f t="shared" si="31"/>
        <v>0.21785714285714286</v>
      </c>
      <c r="AM102" s="33">
        <f t="shared" si="21"/>
        <v>-1.3142857142857151E-2</v>
      </c>
      <c r="AN102" s="31">
        <f>SUMIFS(инфо!$G$15:$G$28,инфо!$A$15:$A$28,F102)</f>
        <v>4.5999999999999999E-2</v>
      </c>
      <c r="AO102" s="32">
        <f t="shared" si="32"/>
        <v>4.3571428571428573E-2</v>
      </c>
      <c r="AP102" s="33">
        <f t="shared" si="22"/>
        <v>-2.4285714285714258E-3</v>
      </c>
      <c r="AQ102" s="31">
        <f>SUMIFS(инфо!$H$15:$H$28,инфо!$A$15:$A$28,F102)</f>
        <v>0</v>
      </c>
      <c r="AR102" s="32">
        <f t="shared" si="34"/>
        <v>0.25206611570247933</v>
      </c>
      <c r="AS102" s="33">
        <f t="shared" si="23"/>
        <v>0.25206611570247933</v>
      </c>
      <c r="AT102" s="31">
        <f>SUMIFS(инфо!$I$15:$I$28,инфо!$A$15:$A$28,F102)</f>
        <v>0.15</v>
      </c>
      <c r="AU102" s="35">
        <f t="shared" si="33"/>
        <v>0.10892857142857143</v>
      </c>
      <c r="AV102" s="33">
        <f t="shared" si="24"/>
        <v>-4.1071428571428564E-2</v>
      </c>
      <c r="AX102" s="67">
        <f>SUMIFS(инфо!$C$15:$C$28,инфо!$A$15:$A$28,F102)*H101</f>
        <v>47432</v>
      </c>
    </row>
    <row r="103" spans="1:50" x14ac:dyDescent="0.25">
      <c r="A103" s="70">
        <f t="shared" si="35"/>
        <v>46119</v>
      </c>
      <c r="B103" s="79" t="s">
        <v>346</v>
      </c>
      <c r="C103" s="15" t="s">
        <v>771</v>
      </c>
      <c r="D103" s="16" t="s">
        <v>82</v>
      </c>
      <c r="E103" s="82" t="s">
        <v>75</v>
      </c>
      <c r="F103" s="28" t="s">
        <v>71</v>
      </c>
      <c r="G103" s="81"/>
      <c r="H103" s="81">
        <v>100</v>
      </c>
      <c r="I103" s="118">
        <f>IFERROR(H103*VLOOKUP(F103,инфо!$A$15:$C$28,3,FALSE)/1000,0)</f>
        <v>1.9600000000000002</v>
      </c>
      <c r="J103" s="81">
        <v>1346</v>
      </c>
      <c r="K103" s="81">
        <v>48</v>
      </c>
      <c r="L103" s="81">
        <v>5</v>
      </c>
      <c r="M103" s="20"/>
      <c r="N103" s="20"/>
      <c r="O103" s="34"/>
      <c r="P103" s="34"/>
      <c r="Q103" s="34"/>
      <c r="R103" s="34"/>
      <c r="S103" s="68">
        <f t="shared" si="25"/>
        <v>0</v>
      </c>
      <c r="T103" s="15"/>
      <c r="U103" s="16"/>
      <c r="V103" s="34"/>
      <c r="W103" s="34"/>
      <c r="X103" s="34"/>
      <c r="Y103" s="15"/>
      <c r="Z103" s="34"/>
      <c r="AA103" s="34"/>
      <c r="AB103" s="34"/>
      <c r="AC103" s="117"/>
      <c r="AD103" s="16"/>
      <c r="AE103" s="24">
        <f>SUMIFS(инфо!$D$15:$D$28,инфо!$A$15:$A$28,F103)</f>
        <v>2.31</v>
      </c>
      <c r="AF103" s="35">
        <f t="shared" si="29"/>
        <v>0</v>
      </c>
      <c r="AG103" s="12">
        <f t="shared" si="27"/>
        <v>-2.31</v>
      </c>
      <c r="AH103" s="24">
        <f>SUMIFS(инфо!$E$15:$E$28,инфо!$A$15:$A$28,F103)</f>
        <v>14.93</v>
      </c>
      <c r="AI103" s="32">
        <f t="shared" si="30"/>
        <v>0</v>
      </c>
      <c r="AJ103" s="12">
        <f t="shared" si="28"/>
        <v>-14.93</v>
      </c>
      <c r="AK103" s="24">
        <f>SUMIFS(инфо!$F$15:$F$28,инфо!$A$15:$A$28,F103)</f>
        <v>0.23100000000000001</v>
      </c>
      <c r="AL103" s="32">
        <f t="shared" si="31"/>
        <v>0</v>
      </c>
      <c r="AM103" s="12">
        <f t="shared" si="21"/>
        <v>-0.23100000000000001</v>
      </c>
      <c r="AN103" s="24">
        <f>SUMIFS(инфо!$G$15:$G$28,инфо!$A$15:$A$28,F103)</f>
        <v>4.5999999999999999E-2</v>
      </c>
      <c r="AO103" s="32">
        <f t="shared" si="32"/>
        <v>0</v>
      </c>
      <c r="AP103" s="12">
        <f t="shared" si="22"/>
        <v>-4.5999999999999999E-2</v>
      </c>
      <c r="AQ103" s="24">
        <f>SUMIFS(инфо!$H$15:$H$28,инфо!$A$15:$A$28,F103)</f>
        <v>0</v>
      </c>
      <c r="AR103" s="35">
        <f t="shared" si="34"/>
        <v>0</v>
      </c>
      <c r="AS103" s="12">
        <f t="shared" si="23"/>
        <v>0</v>
      </c>
      <c r="AT103" s="24">
        <f>SUMIFS(инфо!$I$15:$I$28,инфо!$A$15:$A$28,F103)</f>
        <v>0.15</v>
      </c>
      <c r="AU103" s="35">
        <f t="shared" si="33"/>
        <v>0</v>
      </c>
      <c r="AV103" s="12">
        <f t="shared" si="24"/>
        <v>-0.15</v>
      </c>
      <c r="AX103" s="68">
        <f>SUMIFS(инфо!$C$15:$C$28,инфо!$A$15:$A$28,F103)*H102</f>
        <v>54880.000000000007</v>
      </c>
    </row>
    <row r="104" spans="1:50" x14ac:dyDescent="0.25">
      <c r="A104" s="70">
        <f t="shared" si="35"/>
        <v>46119</v>
      </c>
      <c r="B104" s="79" t="s">
        <v>346</v>
      </c>
      <c r="C104" s="15" t="s">
        <v>771</v>
      </c>
      <c r="D104" s="16" t="s">
        <v>82</v>
      </c>
      <c r="E104" s="82" t="s">
        <v>75</v>
      </c>
      <c r="F104" s="28" t="s">
        <v>70</v>
      </c>
      <c r="G104" s="81">
        <v>37</v>
      </c>
      <c r="H104" s="81">
        <v>1600</v>
      </c>
      <c r="I104" s="118">
        <f>IFERROR(H104*VLOOKUP(F104,инфо!$A$15:$C$28,3,FALSE)/1000,0)</f>
        <v>31.360000000000003</v>
      </c>
      <c r="J104" s="81">
        <v>500</v>
      </c>
      <c r="K104" s="81">
        <v>14</v>
      </c>
      <c r="L104" s="81"/>
      <c r="M104" s="20">
        <v>96</v>
      </c>
      <c r="N104" s="20">
        <v>3768</v>
      </c>
      <c r="O104" s="34"/>
      <c r="P104" s="34"/>
      <c r="Q104" s="34">
        <v>12157</v>
      </c>
      <c r="R104" s="34">
        <v>11513</v>
      </c>
      <c r="S104" s="68">
        <v>23670</v>
      </c>
      <c r="T104" s="15"/>
      <c r="U104" s="16"/>
      <c r="V104" s="34"/>
      <c r="W104" s="34"/>
      <c r="X104" s="34"/>
      <c r="Y104" s="15">
        <v>370</v>
      </c>
      <c r="Z104" s="34"/>
      <c r="AA104" s="34">
        <v>74</v>
      </c>
      <c r="AB104" s="34"/>
      <c r="AC104" s="117">
        <v>370</v>
      </c>
      <c r="AD104" s="16">
        <v>185</v>
      </c>
      <c r="AE104" s="24"/>
      <c r="AF104" s="35"/>
      <c r="AG104" s="12"/>
      <c r="AH104" s="24"/>
      <c r="AI104" s="32"/>
      <c r="AJ104" s="12"/>
      <c r="AK104" s="24"/>
      <c r="AL104" s="32"/>
      <c r="AM104" s="12"/>
      <c r="AN104" s="24"/>
      <c r="AO104" s="32"/>
      <c r="AP104" s="12"/>
      <c r="AQ104" s="24"/>
      <c r="AR104" s="35"/>
      <c r="AS104" s="12"/>
      <c r="AT104" s="24"/>
      <c r="AU104" s="35">
        <f t="shared" si="33"/>
        <v>0.11562500000000001</v>
      </c>
      <c r="AV104" s="12"/>
      <c r="AX104" s="68"/>
    </row>
    <row r="105" spans="1:50" x14ac:dyDescent="0.25">
      <c r="A105" s="70">
        <f>A102+1</f>
        <v>46119</v>
      </c>
      <c r="B105" s="79" t="s">
        <v>352</v>
      </c>
      <c r="C105" s="15" t="s">
        <v>771</v>
      </c>
      <c r="D105" s="16" t="s">
        <v>83</v>
      </c>
      <c r="E105" s="83" t="s">
        <v>113</v>
      </c>
      <c r="F105" s="28" t="s">
        <v>70</v>
      </c>
      <c r="G105" s="81">
        <v>63</v>
      </c>
      <c r="H105" s="81">
        <v>2830</v>
      </c>
      <c r="I105" s="118">
        <f>IFERROR(H105*VLOOKUP(F105,инфо!$A$15:$C$28,3,FALSE)/1000,0)</f>
        <v>55.468000000000011</v>
      </c>
      <c r="J105" s="81">
        <v>2500</v>
      </c>
      <c r="K105" s="81">
        <v>22</v>
      </c>
      <c r="L105" s="81">
        <v>6</v>
      </c>
      <c r="M105" s="20">
        <v>118</v>
      </c>
      <c r="N105" s="20">
        <v>6355</v>
      </c>
      <c r="O105" s="34"/>
      <c r="P105" s="34"/>
      <c r="Q105" s="34">
        <v>19832</v>
      </c>
      <c r="R105" s="34">
        <v>20466</v>
      </c>
      <c r="S105" s="68">
        <f t="shared" si="25"/>
        <v>40298</v>
      </c>
      <c r="T105" s="15"/>
      <c r="U105" s="16"/>
      <c r="V105" s="34"/>
      <c r="W105" s="34"/>
      <c r="X105" s="34"/>
      <c r="Y105" s="15">
        <v>630</v>
      </c>
      <c r="Z105" s="34"/>
      <c r="AA105" s="34">
        <v>126</v>
      </c>
      <c r="AB105" s="34"/>
      <c r="AC105" s="117">
        <v>630</v>
      </c>
      <c r="AD105" s="16">
        <v>315</v>
      </c>
      <c r="AE105" s="24">
        <f>SUMIFS(инфо!$D$15:$D$28,инфо!$A$15:$A$28,F105)</f>
        <v>2.31</v>
      </c>
      <c r="AF105" s="35">
        <f t="shared" ref="AF105:AF168" si="36">IF(H105=0,0,N105/H105)</f>
        <v>2.2455830388692579</v>
      </c>
      <c r="AG105" s="12">
        <f t="shared" si="27"/>
        <v>-6.4416961130742134E-2</v>
      </c>
      <c r="AH105" s="24">
        <f>SUMIFS(инфо!$E$15:$E$28,инфо!$A$15:$A$28,F105)</f>
        <v>14.93</v>
      </c>
      <c r="AI105" s="32">
        <f t="shared" ref="AI105:AI168" si="37">IF(H105=0,0,S105/H105)</f>
        <v>14.239575971731449</v>
      </c>
      <c r="AJ105" s="12">
        <f t="shared" si="28"/>
        <v>-0.69042402826855032</v>
      </c>
      <c r="AK105" s="24">
        <f>SUMIFS(инфо!$F$15:$F$28,инфо!$A$15:$A$28,F105)</f>
        <v>0.23100000000000001</v>
      </c>
      <c r="AL105" s="32">
        <f t="shared" ref="AL105:AL168" si="38">IF(H105=0,0,Y105/H105)</f>
        <v>0.22261484098939929</v>
      </c>
      <c r="AM105" s="12">
        <f t="shared" si="21"/>
        <v>-8.3851590106007179E-3</v>
      </c>
      <c r="AN105" s="24">
        <f>SUMIFS(инфо!$G$15:$G$28,инфо!$A$15:$A$28,F105)</f>
        <v>4.5999999999999999E-2</v>
      </c>
      <c r="AO105" s="32">
        <f t="shared" ref="AO105:AO168" si="39">IF(H105=0,0,AA105/H105)</f>
        <v>4.4522968197879861E-2</v>
      </c>
      <c r="AP105" s="12">
        <f t="shared" si="22"/>
        <v>-1.4770318021201378E-3</v>
      </c>
      <c r="AQ105" s="24">
        <f>SUMIFS(инфо!$H$15:$H$28,инфо!$A$15:$A$28,F105)</f>
        <v>0</v>
      </c>
      <c r="AR105" s="35">
        <f>IF(H103=0,0,AC105/H103)</f>
        <v>6.3</v>
      </c>
      <c r="AS105" s="12">
        <f t="shared" si="23"/>
        <v>6.3</v>
      </c>
      <c r="AT105" s="24">
        <f>SUMIFS(инфо!$I$15:$I$28,инфо!$A$15:$A$28,F105)</f>
        <v>0.15</v>
      </c>
      <c r="AU105" s="35">
        <f t="shared" si="33"/>
        <v>0.11130742049469965</v>
      </c>
      <c r="AV105" s="12">
        <f t="shared" si="24"/>
        <v>-3.8692579505300348E-2</v>
      </c>
      <c r="AX105" s="68">
        <f>SUMIFS(инфо!$C$15:$C$28,инфо!$A$15:$A$28,F105)*H103</f>
        <v>1960.0000000000002</v>
      </c>
    </row>
    <row r="106" spans="1:50" x14ac:dyDescent="0.25">
      <c r="A106" s="70">
        <f>A103+1</f>
        <v>46120</v>
      </c>
      <c r="B106" s="79" t="s">
        <v>356</v>
      </c>
      <c r="C106" s="17" t="s">
        <v>771</v>
      </c>
      <c r="D106" s="18" t="s">
        <v>82</v>
      </c>
      <c r="E106" s="83" t="s">
        <v>77</v>
      </c>
      <c r="F106" s="28" t="s">
        <v>70</v>
      </c>
      <c r="G106" s="81">
        <v>45</v>
      </c>
      <c r="H106" s="81">
        <v>2130</v>
      </c>
      <c r="I106" s="118">
        <f>IFERROR(H106*VLOOKUP(F106,инфо!$A$15:$C$28,3,FALSE)/1000,0)</f>
        <v>41.747999999999998</v>
      </c>
      <c r="J106" s="81">
        <v>2250</v>
      </c>
      <c r="K106" s="81">
        <v>25</v>
      </c>
      <c r="L106" s="81">
        <v>9</v>
      </c>
      <c r="M106" s="20">
        <v>80</v>
      </c>
      <c r="N106" s="23">
        <v>4544</v>
      </c>
      <c r="O106" s="19"/>
      <c r="P106" s="19"/>
      <c r="Q106" s="19">
        <v>14063</v>
      </c>
      <c r="R106" s="19">
        <v>14707</v>
      </c>
      <c r="S106" s="69">
        <f t="shared" si="25"/>
        <v>28770</v>
      </c>
      <c r="T106" s="17"/>
      <c r="U106" s="18"/>
      <c r="V106" s="19"/>
      <c r="W106" s="19"/>
      <c r="X106" s="19"/>
      <c r="Y106" s="17">
        <v>450</v>
      </c>
      <c r="Z106" s="19"/>
      <c r="AA106" s="19">
        <v>990</v>
      </c>
      <c r="AB106" s="19"/>
      <c r="AC106" s="117">
        <v>450</v>
      </c>
      <c r="AD106" s="18">
        <v>225</v>
      </c>
      <c r="AE106" s="25">
        <f>SUMIFS(инфо!$D$15:$D$28,инфо!$A$15:$A$28,F106)</f>
        <v>2.31</v>
      </c>
      <c r="AF106" s="35">
        <f t="shared" si="36"/>
        <v>2.1333333333333333</v>
      </c>
      <c r="AG106" s="14">
        <f t="shared" si="27"/>
        <v>-0.17666666666666675</v>
      </c>
      <c r="AH106" s="25">
        <f>SUMIFS(инфо!$E$15:$E$28,инфо!$A$15:$A$28,F106)</f>
        <v>14.93</v>
      </c>
      <c r="AI106" s="32">
        <f t="shared" si="37"/>
        <v>13.507042253521126</v>
      </c>
      <c r="AJ106" s="14">
        <f t="shared" si="28"/>
        <v>-1.4229577464788736</v>
      </c>
      <c r="AK106" s="25">
        <f>SUMIFS(инфо!$F$15:$F$28,инфо!$A$15:$A$28,F106)</f>
        <v>0.23100000000000001</v>
      </c>
      <c r="AL106" s="32">
        <f t="shared" si="38"/>
        <v>0.21126760563380281</v>
      </c>
      <c r="AM106" s="14">
        <f t="shared" si="21"/>
        <v>-1.9732394366197198E-2</v>
      </c>
      <c r="AN106" s="25">
        <f>SUMIFS(инфо!$G$15:$G$28,инфо!$A$15:$A$28,F106)</f>
        <v>4.5999999999999999E-2</v>
      </c>
      <c r="AO106" s="32">
        <f t="shared" si="39"/>
        <v>0.46478873239436619</v>
      </c>
      <c r="AP106" s="14">
        <f t="shared" si="22"/>
        <v>0.4187887323943662</v>
      </c>
      <c r="AQ106" s="25">
        <f>SUMIFS(инфо!$H$15:$H$28,инфо!$A$15:$A$28,F106)</f>
        <v>0</v>
      </c>
      <c r="AR106" s="26">
        <f t="shared" ref="AR106:AR169" si="40">IF(H105=0,0,AC106/H105)</f>
        <v>0.15901060070671377</v>
      </c>
      <c r="AS106" s="14">
        <f t="shared" si="23"/>
        <v>0.15901060070671377</v>
      </c>
      <c r="AT106" s="25">
        <f>SUMIFS(инфо!$I$15:$I$28,инфо!$A$15:$A$28,F106)</f>
        <v>0.15</v>
      </c>
      <c r="AU106" s="35">
        <f t="shared" si="33"/>
        <v>0.10563380281690141</v>
      </c>
      <c r="AV106" s="14">
        <f t="shared" si="24"/>
        <v>-4.4366197183098588E-2</v>
      </c>
      <c r="AX106" s="69">
        <f>SUMIFS(инфо!$C$15:$C$28,инфо!$A$15:$A$28,F106)*H105</f>
        <v>55468.000000000007</v>
      </c>
    </row>
    <row r="107" spans="1:50" x14ac:dyDescent="0.25">
      <c r="A107" s="70">
        <f t="shared" si="35"/>
        <v>46120</v>
      </c>
      <c r="B107" s="79" t="s">
        <v>364</v>
      </c>
      <c r="C107" s="29" t="s">
        <v>771</v>
      </c>
      <c r="D107" s="30" t="s">
        <v>83</v>
      </c>
      <c r="E107" s="83" t="s">
        <v>75</v>
      </c>
      <c r="F107" s="28" t="s">
        <v>70</v>
      </c>
      <c r="G107" s="81">
        <v>71</v>
      </c>
      <c r="H107" s="81">
        <v>3250</v>
      </c>
      <c r="I107" s="118">
        <f>IFERROR(H107*VLOOKUP(F107,инфо!$A$15:$C$28,3,FALSE)/1000,0)</f>
        <v>63.70000000000001</v>
      </c>
      <c r="J107" s="81">
        <v>3000</v>
      </c>
      <c r="K107" s="81">
        <v>33</v>
      </c>
      <c r="L107" s="81">
        <v>3</v>
      </c>
      <c r="M107" s="20">
        <v>101</v>
      </c>
      <c r="N107" s="28">
        <v>7141</v>
      </c>
      <c r="O107" s="27"/>
      <c r="P107" s="27"/>
      <c r="Q107" s="27">
        <v>23030</v>
      </c>
      <c r="R107" s="27">
        <v>22396</v>
      </c>
      <c r="S107" s="67">
        <f t="shared" si="25"/>
        <v>45426</v>
      </c>
      <c r="T107" s="29"/>
      <c r="U107" s="30"/>
      <c r="V107" s="27"/>
      <c r="W107" s="27"/>
      <c r="X107" s="27"/>
      <c r="Y107" s="29">
        <v>710</v>
      </c>
      <c r="Z107" s="27"/>
      <c r="AA107" s="27">
        <v>142</v>
      </c>
      <c r="AB107" s="27"/>
      <c r="AC107" s="117">
        <v>710</v>
      </c>
      <c r="AD107" s="30">
        <v>335</v>
      </c>
      <c r="AE107" s="31">
        <f>SUMIFS(инфо!$D$15:$D$28,инфо!$A$15:$A$28,F107)</f>
        <v>2.31</v>
      </c>
      <c r="AF107" s="35">
        <f t="shared" si="36"/>
        <v>2.1972307692307691</v>
      </c>
      <c r="AG107" s="33">
        <f t="shared" si="27"/>
        <v>-0.11276923076923095</v>
      </c>
      <c r="AH107" s="31">
        <f>SUMIFS(инфо!$E$15:$E$28,инфо!$A$15:$A$28,F107)</f>
        <v>14.93</v>
      </c>
      <c r="AI107" s="32">
        <f t="shared" si="37"/>
        <v>13.977230769230768</v>
      </c>
      <c r="AJ107" s="33">
        <f t="shared" si="28"/>
        <v>-0.95276923076923126</v>
      </c>
      <c r="AK107" s="31">
        <f>SUMIFS(инфо!$F$15:$F$28,инфо!$A$15:$A$28,F107)</f>
        <v>0.23100000000000001</v>
      </c>
      <c r="AL107" s="32">
        <f t="shared" si="38"/>
        <v>0.21846153846153846</v>
      </c>
      <c r="AM107" s="33">
        <f t="shared" ref="AM107:AM170" si="41">AL107-AK107</f>
        <v>-1.2538461538461554E-2</v>
      </c>
      <c r="AN107" s="31">
        <f>SUMIFS(инфо!$G$15:$G$28,инфо!$A$15:$A$28,F107)</f>
        <v>4.5999999999999999E-2</v>
      </c>
      <c r="AO107" s="32">
        <f t="shared" si="39"/>
        <v>4.369230769230769E-2</v>
      </c>
      <c r="AP107" s="33">
        <f t="shared" ref="AP107:AP170" si="42">AO107-AN107</f>
        <v>-2.3076923076923092E-3</v>
      </c>
      <c r="AQ107" s="31">
        <f>SUMIFS(инфо!$H$15:$H$28,инфо!$A$15:$A$28,F107)</f>
        <v>0</v>
      </c>
      <c r="AR107" s="32">
        <f t="shared" si="40"/>
        <v>0.33333333333333331</v>
      </c>
      <c r="AS107" s="33">
        <f t="shared" ref="AS107:AS170" si="43">AR107-AQ107</f>
        <v>0.33333333333333331</v>
      </c>
      <c r="AT107" s="31">
        <f>SUMIFS(инфо!$I$15:$I$28,инфо!$A$15:$A$28,F107)</f>
        <v>0.15</v>
      </c>
      <c r="AU107" s="35">
        <f t="shared" si="33"/>
        <v>0.10307692307692308</v>
      </c>
      <c r="AV107" s="33">
        <f t="shared" ref="AV107:AV170" si="44">AU107-AT107</f>
        <v>-4.6923076923076915E-2</v>
      </c>
      <c r="AX107" s="67">
        <f>SUMIFS(инфо!$C$15:$C$28,инфо!$A$15:$A$28,F107)*H106</f>
        <v>41748</v>
      </c>
    </row>
    <row r="108" spans="1:50" x14ac:dyDescent="0.25">
      <c r="A108" s="70">
        <f t="shared" si="35"/>
        <v>46121</v>
      </c>
      <c r="B108" s="79" t="s">
        <v>368</v>
      </c>
      <c r="C108" s="15" t="s">
        <v>771</v>
      </c>
      <c r="D108" s="16" t="s">
        <v>82</v>
      </c>
      <c r="E108" s="83" t="s">
        <v>114</v>
      </c>
      <c r="F108" s="28" t="s">
        <v>70</v>
      </c>
      <c r="G108" s="81">
        <v>47</v>
      </c>
      <c r="H108" s="81">
        <v>2160</v>
      </c>
      <c r="I108" s="118">
        <f>IFERROR(H108*VLOOKUP(F108,инфо!$A$15:$C$28,3,FALSE)/1000,0)</f>
        <v>42.335999999999999</v>
      </c>
      <c r="J108" s="81">
        <v>2250</v>
      </c>
      <c r="K108" s="81">
        <v>13</v>
      </c>
      <c r="L108" s="81">
        <v>3</v>
      </c>
      <c r="M108" s="20">
        <v>92</v>
      </c>
      <c r="N108" s="20">
        <v>4671</v>
      </c>
      <c r="O108" s="34"/>
      <c r="P108" s="34"/>
      <c r="Q108" s="34">
        <v>15349</v>
      </c>
      <c r="R108" s="34">
        <v>14718</v>
      </c>
      <c r="S108" s="68">
        <f t="shared" ref="S108:S171" si="45">SUM(O108:R108)</f>
        <v>30067</v>
      </c>
      <c r="T108" s="15"/>
      <c r="U108" s="16"/>
      <c r="V108" s="34"/>
      <c r="W108" s="34"/>
      <c r="X108" s="34"/>
      <c r="Y108" s="15">
        <v>470</v>
      </c>
      <c r="Z108" s="34"/>
      <c r="AA108" s="34">
        <v>94</v>
      </c>
      <c r="AB108" s="34"/>
      <c r="AC108" s="117">
        <v>470</v>
      </c>
      <c r="AD108" s="16">
        <v>235</v>
      </c>
      <c r="AE108" s="24">
        <f>SUMIFS(инфо!$D$15:$D$28,инфо!$A$15:$A$28,F108)</f>
        <v>2.31</v>
      </c>
      <c r="AF108" s="35">
        <f t="shared" si="36"/>
        <v>2.1625000000000001</v>
      </c>
      <c r="AG108" s="12">
        <f t="shared" si="27"/>
        <v>-0.14749999999999996</v>
      </c>
      <c r="AH108" s="24">
        <f>SUMIFS(инфо!$E$15:$E$28,инфо!$A$15:$A$28,F108)</f>
        <v>14.93</v>
      </c>
      <c r="AI108" s="32">
        <f t="shared" si="37"/>
        <v>13.919907407407408</v>
      </c>
      <c r="AJ108" s="12">
        <f t="shared" si="28"/>
        <v>-1.0100925925925921</v>
      </c>
      <c r="AK108" s="24">
        <f>SUMIFS(инфо!$F$15:$F$28,инфо!$A$15:$A$28,F108)</f>
        <v>0.23100000000000001</v>
      </c>
      <c r="AL108" s="32">
        <f t="shared" si="38"/>
        <v>0.21759259259259259</v>
      </c>
      <c r="AM108" s="12">
        <f t="shared" si="41"/>
        <v>-1.3407407407407423E-2</v>
      </c>
      <c r="AN108" s="24">
        <f>SUMIFS(инфо!$G$15:$G$28,инфо!$A$15:$A$28,F108)</f>
        <v>4.5999999999999999E-2</v>
      </c>
      <c r="AO108" s="32">
        <f t="shared" si="39"/>
        <v>4.3518518518518519E-2</v>
      </c>
      <c r="AP108" s="12">
        <f t="shared" si="42"/>
        <v>-2.4814814814814803E-3</v>
      </c>
      <c r="AQ108" s="24">
        <f>SUMIFS(инфо!$H$15:$H$28,инфо!$A$15:$A$28,F108)</f>
        <v>0</v>
      </c>
      <c r="AR108" s="35">
        <f t="shared" si="40"/>
        <v>0.14461538461538462</v>
      </c>
      <c r="AS108" s="12">
        <f t="shared" si="43"/>
        <v>0.14461538461538462</v>
      </c>
      <c r="AT108" s="24">
        <f>SUMIFS(инфо!$I$15:$I$28,инфо!$A$15:$A$28,F108)</f>
        <v>0.15</v>
      </c>
      <c r="AU108" s="35">
        <f t="shared" si="33"/>
        <v>0.10879629629629629</v>
      </c>
      <c r="AV108" s="12">
        <f t="shared" si="44"/>
        <v>-4.1203703703703701E-2</v>
      </c>
      <c r="AX108" s="68">
        <f>SUMIFS(инфо!$C$15:$C$28,инфо!$A$15:$A$28,F108)*H107</f>
        <v>63700.000000000007</v>
      </c>
    </row>
    <row r="109" spans="1:50" x14ac:dyDescent="0.25">
      <c r="A109" s="70">
        <f t="shared" si="35"/>
        <v>46121</v>
      </c>
      <c r="B109" s="79" t="s">
        <v>370</v>
      </c>
      <c r="C109" s="15" t="s">
        <v>771</v>
      </c>
      <c r="D109" s="16" t="s">
        <v>83</v>
      </c>
      <c r="E109" s="83" t="s">
        <v>77</v>
      </c>
      <c r="F109" s="28" t="s">
        <v>70</v>
      </c>
      <c r="G109" s="81">
        <v>56</v>
      </c>
      <c r="H109" s="81">
        <v>2960</v>
      </c>
      <c r="I109" s="118">
        <f>IFERROR(H109*VLOOKUP(F109,инфо!$A$15:$C$28,3,FALSE)/1000,0)</f>
        <v>58.016000000000005</v>
      </c>
      <c r="J109" s="81">
        <v>2750</v>
      </c>
      <c r="K109" s="81">
        <v>83</v>
      </c>
      <c r="L109" s="81">
        <v>1</v>
      </c>
      <c r="M109" s="20">
        <v>192</v>
      </c>
      <c r="N109" s="20">
        <v>5628</v>
      </c>
      <c r="O109" s="34"/>
      <c r="P109" s="34"/>
      <c r="Q109" s="34">
        <v>17915</v>
      </c>
      <c r="R109" s="34">
        <v>17907</v>
      </c>
      <c r="S109" s="68">
        <f t="shared" si="45"/>
        <v>35822</v>
      </c>
      <c r="T109" s="15"/>
      <c r="U109" s="16"/>
      <c r="V109" s="34"/>
      <c r="W109" s="34"/>
      <c r="X109" s="34"/>
      <c r="Y109" s="15">
        <v>560</v>
      </c>
      <c r="Z109" s="34"/>
      <c r="AA109" s="34">
        <v>112</v>
      </c>
      <c r="AB109" s="34"/>
      <c r="AC109" s="117">
        <v>560</v>
      </c>
      <c r="AD109" s="16">
        <v>280</v>
      </c>
      <c r="AE109" s="24">
        <f>SUMIFS(инфо!$D$15:$D$28,инфо!$A$15:$A$28,F109)</f>
        <v>2.31</v>
      </c>
      <c r="AF109" s="35">
        <f t="shared" si="36"/>
        <v>1.9013513513513514</v>
      </c>
      <c r="AG109" s="12">
        <f t="shared" si="27"/>
        <v>-0.40864864864864869</v>
      </c>
      <c r="AH109" s="24">
        <f>SUMIFS(инфо!$E$15:$E$28,инфо!$A$15:$A$28,F109)</f>
        <v>14.93</v>
      </c>
      <c r="AI109" s="32">
        <f t="shared" si="37"/>
        <v>12.102027027027027</v>
      </c>
      <c r="AJ109" s="12">
        <f t="shared" si="28"/>
        <v>-2.8279729729729723</v>
      </c>
      <c r="AK109" s="24">
        <f>SUMIFS(инфо!$F$15:$F$28,инфо!$A$15:$A$28,F109)</f>
        <v>0.23100000000000001</v>
      </c>
      <c r="AL109" s="32">
        <f t="shared" si="38"/>
        <v>0.1891891891891892</v>
      </c>
      <c r="AM109" s="12">
        <f t="shared" si="41"/>
        <v>-4.1810810810810811E-2</v>
      </c>
      <c r="AN109" s="24">
        <f>SUMIFS(инфо!$G$15:$G$28,инфо!$A$15:$A$28,F109)</f>
        <v>4.5999999999999999E-2</v>
      </c>
      <c r="AO109" s="32">
        <f t="shared" si="39"/>
        <v>3.783783783783784E-2</v>
      </c>
      <c r="AP109" s="12">
        <f t="shared" si="42"/>
        <v>-8.1621621621621593E-3</v>
      </c>
      <c r="AQ109" s="24">
        <f>SUMIFS(инфо!$H$15:$H$28,инфо!$A$15:$A$28,F109)</f>
        <v>0</v>
      </c>
      <c r="AR109" s="35">
        <f t="shared" si="40"/>
        <v>0.25925925925925924</v>
      </c>
      <c r="AS109" s="12">
        <f t="shared" si="43"/>
        <v>0.25925925925925924</v>
      </c>
      <c r="AT109" s="24">
        <f>SUMIFS(инфо!$I$15:$I$28,инфо!$A$15:$A$28,F109)</f>
        <v>0.15</v>
      </c>
      <c r="AU109" s="35">
        <f t="shared" si="33"/>
        <v>9.45945945945946E-2</v>
      </c>
      <c r="AV109" s="12">
        <f t="shared" si="44"/>
        <v>-5.5405405405405395E-2</v>
      </c>
      <c r="AX109" s="68">
        <f>SUMIFS(инфо!$C$15:$C$28,инфо!$A$15:$A$28,F109)*H108</f>
        <v>42336</v>
      </c>
    </row>
    <row r="110" spans="1:50" x14ac:dyDescent="0.25">
      <c r="A110" s="70">
        <f t="shared" si="35"/>
        <v>46122</v>
      </c>
      <c r="B110" s="79" t="s">
        <v>376</v>
      </c>
      <c r="C110" s="17" t="s">
        <v>771</v>
      </c>
      <c r="D110" s="18" t="s">
        <v>82</v>
      </c>
      <c r="E110" s="83" t="s">
        <v>113</v>
      </c>
      <c r="F110" s="28" t="s">
        <v>70</v>
      </c>
      <c r="G110" s="81">
        <v>5</v>
      </c>
      <c r="H110" s="81">
        <v>260</v>
      </c>
      <c r="I110" s="118">
        <f>IFERROR(H110*VLOOKUP(F110,инфо!$A$15:$C$28,3,FALSE)/1000,0)</f>
        <v>5.0960000000000001</v>
      </c>
      <c r="J110" s="81">
        <v>250</v>
      </c>
      <c r="K110" s="81">
        <v>1</v>
      </c>
      <c r="L110" s="81">
        <v>3</v>
      </c>
      <c r="M110" s="20">
        <v>20</v>
      </c>
      <c r="N110" s="23">
        <v>486</v>
      </c>
      <c r="O110" s="19"/>
      <c r="P110" s="19"/>
      <c r="Q110" s="19">
        <v>1920</v>
      </c>
      <c r="R110" s="19">
        <v>1240</v>
      </c>
      <c r="S110" s="69">
        <f t="shared" si="45"/>
        <v>3160</v>
      </c>
      <c r="T110" s="17"/>
      <c r="U110" s="18"/>
      <c r="V110" s="19"/>
      <c r="W110" s="19"/>
      <c r="X110" s="19"/>
      <c r="Y110" s="17">
        <v>50</v>
      </c>
      <c r="Z110" s="19"/>
      <c r="AA110" s="19">
        <v>10</v>
      </c>
      <c r="AB110" s="19"/>
      <c r="AC110" s="117">
        <v>50</v>
      </c>
      <c r="AD110" s="18">
        <v>25</v>
      </c>
      <c r="AE110" s="25">
        <f>SUMIFS(инфо!$D$15:$D$28,инфо!$A$15:$A$28,F110)</f>
        <v>2.31</v>
      </c>
      <c r="AF110" s="35">
        <f t="shared" si="36"/>
        <v>1.8692307692307693</v>
      </c>
      <c r="AG110" s="14">
        <f t="shared" si="27"/>
        <v>-0.4407692307692308</v>
      </c>
      <c r="AH110" s="25">
        <f>SUMIFS(инфо!$E$15:$E$28,инфо!$A$15:$A$28,F110)</f>
        <v>14.93</v>
      </c>
      <c r="AI110" s="32">
        <f t="shared" si="37"/>
        <v>12.153846153846153</v>
      </c>
      <c r="AJ110" s="14">
        <f t="shared" si="28"/>
        <v>-2.7761538461538464</v>
      </c>
      <c r="AK110" s="25">
        <f>SUMIFS(инфо!$F$15:$F$28,инфо!$A$15:$A$28,F110)</f>
        <v>0.23100000000000001</v>
      </c>
      <c r="AL110" s="32">
        <f t="shared" si="38"/>
        <v>0.19230769230769232</v>
      </c>
      <c r="AM110" s="14">
        <f t="shared" si="41"/>
        <v>-3.8692307692307693E-2</v>
      </c>
      <c r="AN110" s="25">
        <f>SUMIFS(инфо!$G$15:$G$28,инфо!$A$15:$A$28,F110)</f>
        <v>4.5999999999999999E-2</v>
      </c>
      <c r="AO110" s="32">
        <f t="shared" si="39"/>
        <v>3.8461538461538464E-2</v>
      </c>
      <c r="AP110" s="14">
        <f t="shared" si="42"/>
        <v>-7.5384615384615355E-3</v>
      </c>
      <c r="AQ110" s="25">
        <f>SUMIFS(инфо!$H$15:$H$28,инфо!$A$15:$A$28,F110)</f>
        <v>0</v>
      </c>
      <c r="AR110" s="26">
        <f t="shared" si="40"/>
        <v>1.6891891891891893E-2</v>
      </c>
      <c r="AS110" s="14">
        <f t="shared" si="43"/>
        <v>1.6891891891891893E-2</v>
      </c>
      <c r="AT110" s="25">
        <f>SUMIFS(инфо!$I$15:$I$28,инфо!$A$15:$A$28,F110)</f>
        <v>0.15</v>
      </c>
      <c r="AU110" s="35">
        <f t="shared" si="33"/>
        <v>9.6153846153846159E-2</v>
      </c>
      <c r="AV110" s="14">
        <f t="shared" si="44"/>
        <v>-5.3846153846153835E-2</v>
      </c>
      <c r="AX110" s="69">
        <f>SUMIFS(инфо!$C$15:$C$28,инфо!$A$15:$A$28,F110)*H109</f>
        <v>58016.000000000007</v>
      </c>
    </row>
    <row r="111" spans="1:50" x14ac:dyDescent="0.25">
      <c r="A111" s="70">
        <f t="shared" si="35"/>
        <v>46122</v>
      </c>
      <c r="B111" s="79"/>
      <c r="C111" s="29" t="s">
        <v>771</v>
      </c>
      <c r="D111" s="30" t="s">
        <v>83</v>
      </c>
      <c r="E111" s="83" t="s">
        <v>113</v>
      </c>
      <c r="F111" s="28" t="s">
        <v>70</v>
      </c>
      <c r="G111" s="81"/>
      <c r="H111" s="81"/>
      <c r="I111" s="118">
        <f>IFERROR(H111*VLOOKUP(F111,инфо!$A$15:$C$28,3,FALSE)/1000,0)</f>
        <v>0</v>
      </c>
      <c r="J111" s="81"/>
      <c r="K111" s="81"/>
      <c r="L111" s="81"/>
      <c r="M111" s="20"/>
      <c r="N111" s="28"/>
      <c r="O111" s="27"/>
      <c r="P111" s="27"/>
      <c r="Q111" s="27"/>
      <c r="R111" s="27"/>
      <c r="S111" s="67">
        <f t="shared" si="45"/>
        <v>0</v>
      </c>
      <c r="T111" s="29"/>
      <c r="U111" s="30"/>
      <c r="V111" s="27"/>
      <c r="W111" s="27"/>
      <c r="X111" s="27"/>
      <c r="Y111" s="29"/>
      <c r="Z111" s="27"/>
      <c r="AA111" s="27"/>
      <c r="AB111" s="27"/>
      <c r="AC111" s="117"/>
      <c r="AD111" s="30"/>
      <c r="AE111" s="31">
        <f>SUMIFS(инфо!$D$15:$D$28,инфо!$A$15:$A$28,F111)</f>
        <v>2.31</v>
      </c>
      <c r="AF111" s="35">
        <f t="shared" si="36"/>
        <v>0</v>
      </c>
      <c r="AG111" s="33">
        <f t="shared" si="27"/>
        <v>-2.31</v>
      </c>
      <c r="AH111" s="31">
        <f>SUMIFS(инфо!$E$15:$E$28,инфо!$A$15:$A$28,F111)</f>
        <v>14.93</v>
      </c>
      <c r="AI111" s="32">
        <f t="shared" si="37"/>
        <v>0</v>
      </c>
      <c r="AJ111" s="33">
        <f t="shared" si="28"/>
        <v>-14.93</v>
      </c>
      <c r="AK111" s="31">
        <f>SUMIFS(инфо!$F$15:$F$28,инфо!$A$15:$A$28,F111)</f>
        <v>0.23100000000000001</v>
      </c>
      <c r="AL111" s="32">
        <f t="shared" si="38"/>
        <v>0</v>
      </c>
      <c r="AM111" s="33">
        <f t="shared" si="41"/>
        <v>-0.23100000000000001</v>
      </c>
      <c r="AN111" s="31">
        <f>SUMIFS(инфо!$G$15:$G$28,инфо!$A$15:$A$28,F111)</f>
        <v>4.5999999999999999E-2</v>
      </c>
      <c r="AO111" s="32">
        <f t="shared" si="39"/>
        <v>0</v>
      </c>
      <c r="AP111" s="33">
        <f t="shared" si="42"/>
        <v>-4.5999999999999999E-2</v>
      </c>
      <c r="AQ111" s="31">
        <f>SUMIFS(инфо!$H$15:$H$28,инфо!$A$15:$A$28,F111)</f>
        <v>0</v>
      </c>
      <c r="AR111" s="32">
        <f t="shared" si="40"/>
        <v>0</v>
      </c>
      <c r="AS111" s="33">
        <f t="shared" si="43"/>
        <v>0</v>
      </c>
      <c r="AT111" s="31">
        <f>SUMIFS(инфо!$I$15:$I$28,инфо!$A$15:$A$28,F111)</f>
        <v>0.15</v>
      </c>
      <c r="AU111" s="35">
        <f t="shared" si="33"/>
        <v>0</v>
      </c>
      <c r="AV111" s="33">
        <f t="shared" si="44"/>
        <v>-0.15</v>
      </c>
      <c r="AX111" s="67">
        <f>SUMIFS(инфо!$C$15:$C$28,инфо!$A$15:$A$28,F111)*H110</f>
        <v>5096</v>
      </c>
    </row>
    <row r="112" spans="1:50" x14ac:dyDescent="0.25">
      <c r="A112" s="70">
        <f t="shared" si="35"/>
        <v>46123</v>
      </c>
      <c r="B112" s="79"/>
      <c r="C112" s="15"/>
      <c r="D112" s="16"/>
      <c r="E112" s="83"/>
      <c r="F112" s="28"/>
      <c r="G112" s="81"/>
      <c r="H112" s="81"/>
      <c r="I112" s="118">
        <f>IFERROR(H112*VLOOKUP(F112,инфо!$A$15:$C$28,3,FALSE)/1000,0)</f>
        <v>0</v>
      </c>
      <c r="J112" s="81"/>
      <c r="K112" s="81"/>
      <c r="L112" s="81"/>
      <c r="M112" s="20"/>
      <c r="N112" s="20"/>
      <c r="O112" s="34"/>
      <c r="P112" s="34"/>
      <c r="Q112" s="34"/>
      <c r="R112" s="34"/>
      <c r="S112" s="68">
        <f t="shared" si="45"/>
        <v>0</v>
      </c>
      <c r="T112" s="15"/>
      <c r="U112" s="16"/>
      <c r="V112" s="34"/>
      <c r="W112" s="34"/>
      <c r="X112" s="34">
        <v>2310</v>
      </c>
      <c r="Y112" s="15"/>
      <c r="Z112" s="34"/>
      <c r="AA112" s="34"/>
      <c r="AB112" s="34"/>
      <c r="AC112" s="117"/>
      <c r="AD112" s="16"/>
      <c r="AE112" s="24">
        <f>SUMIFS(инфо!$D$15:$D$28,инфо!$A$15:$A$28,F112)</f>
        <v>0</v>
      </c>
      <c r="AF112" s="35">
        <f t="shared" si="36"/>
        <v>0</v>
      </c>
      <c r="AG112" s="12">
        <f t="shared" si="27"/>
        <v>0</v>
      </c>
      <c r="AH112" s="24">
        <f>SUMIFS(инфо!$E$15:$E$28,инфо!$A$15:$A$28,F112)</f>
        <v>0</v>
      </c>
      <c r="AI112" s="32">
        <f t="shared" si="37"/>
        <v>0</v>
      </c>
      <c r="AJ112" s="12">
        <f t="shared" si="28"/>
        <v>0</v>
      </c>
      <c r="AK112" s="24">
        <f>SUMIFS(инфо!$F$15:$F$28,инфо!$A$15:$A$28,F112)</f>
        <v>0</v>
      </c>
      <c r="AL112" s="32">
        <f t="shared" si="38"/>
        <v>0</v>
      </c>
      <c r="AM112" s="12">
        <f t="shared" si="41"/>
        <v>0</v>
      </c>
      <c r="AN112" s="24">
        <f>SUMIFS(инфо!$G$15:$G$28,инфо!$A$15:$A$28,F112)</f>
        <v>0</v>
      </c>
      <c r="AO112" s="32">
        <f t="shared" si="39"/>
        <v>0</v>
      </c>
      <c r="AP112" s="12">
        <f t="shared" si="42"/>
        <v>0</v>
      </c>
      <c r="AQ112" s="24">
        <f>SUMIFS(инфо!$H$15:$H$28,инфо!$A$15:$A$28,F112)</f>
        <v>0</v>
      </c>
      <c r="AR112" s="35">
        <f t="shared" si="40"/>
        <v>0</v>
      </c>
      <c r="AS112" s="12">
        <f t="shared" si="43"/>
        <v>0</v>
      </c>
      <c r="AT112" s="24">
        <f>SUMIFS(инфо!$I$15:$I$28,инфо!$A$15:$A$28,F112)</f>
        <v>0</v>
      </c>
      <c r="AU112" s="35">
        <f t="shared" si="33"/>
        <v>0</v>
      </c>
      <c r="AV112" s="12">
        <f t="shared" si="44"/>
        <v>0</v>
      </c>
      <c r="AX112" s="68">
        <f>SUMIFS(инфо!$C$15:$C$28,инфо!$A$15:$A$28,F112)*H111</f>
        <v>0</v>
      </c>
    </row>
    <row r="113" spans="1:50" x14ac:dyDescent="0.25">
      <c r="A113" s="70">
        <f t="shared" si="35"/>
        <v>46123</v>
      </c>
      <c r="B113" s="79" t="s">
        <v>376</v>
      </c>
      <c r="C113" s="15" t="s">
        <v>771</v>
      </c>
      <c r="D113" s="16" t="s">
        <v>83</v>
      </c>
      <c r="E113" s="83" t="s">
        <v>113</v>
      </c>
      <c r="F113" s="28" t="s">
        <v>70</v>
      </c>
      <c r="G113" s="81"/>
      <c r="H113" s="81"/>
      <c r="I113" s="118">
        <f>IFERROR(H113*VLOOKUP(F113,инфо!$A$15:$C$28,3,FALSE)/1000,0)</f>
        <v>0</v>
      </c>
      <c r="J113" s="81">
        <v>500</v>
      </c>
      <c r="K113" s="81">
        <v>2</v>
      </c>
      <c r="L113" s="81">
        <v>1</v>
      </c>
      <c r="M113" s="20"/>
      <c r="N113" s="20"/>
      <c r="O113" s="34"/>
      <c r="P113" s="34"/>
      <c r="Q113" s="34"/>
      <c r="R113" s="34"/>
      <c r="S113" s="68">
        <f t="shared" si="45"/>
        <v>0</v>
      </c>
      <c r="T113" s="15"/>
      <c r="U113" s="16"/>
      <c r="V113" s="34"/>
      <c r="W113" s="34"/>
      <c r="X113" s="34"/>
      <c r="Y113" s="15"/>
      <c r="Z113" s="34"/>
      <c r="AA113" s="34"/>
      <c r="AB113" s="34"/>
      <c r="AC113" s="117"/>
      <c r="AD113" s="16"/>
      <c r="AE113" s="24">
        <f>SUMIFS(инфо!$D$15:$D$28,инфо!$A$15:$A$28,F113)</f>
        <v>2.31</v>
      </c>
      <c r="AF113" s="35">
        <f t="shared" si="36"/>
        <v>0</v>
      </c>
      <c r="AG113" s="12">
        <f t="shared" si="27"/>
        <v>-2.31</v>
      </c>
      <c r="AH113" s="24">
        <f>SUMIFS(инфо!$E$15:$E$28,инфо!$A$15:$A$28,F113)</f>
        <v>14.93</v>
      </c>
      <c r="AI113" s="32">
        <f t="shared" si="37"/>
        <v>0</v>
      </c>
      <c r="AJ113" s="12">
        <f t="shared" si="28"/>
        <v>-14.93</v>
      </c>
      <c r="AK113" s="24">
        <f>SUMIFS(инфо!$F$15:$F$28,инфо!$A$15:$A$28,F113)</f>
        <v>0.23100000000000001</v>
      </c>
      <c r="AL113" s="32">
        <f t="shared" si="38"/>
        <v>0</v>
      </c>
      <c r="AM113" s="12">
        <f t="shared" si="41"/>
        <v>-0.23100000000000001</v>
      </c>
      <c r="AN113" s="24">
        <f>SUMIFS(инфо!$G$15:$G$28,инфо!$A$15:$A$28,F113)</f>
        <v>4.5999999999999999E-2</v>
      </c>
      <c r="AO113" s="32">
        <f t="shared" si="39"/>
        <v>0</v>
      </c>
      <c r="AP113" s="12">
        <f t="shared" si="42"/>
        <v>-4.5999999999999999E-2</v>
      </c>
      <c r="AQ113" s="24">
        <f>SUMIFS(инфо!$H$15:$H$28,инфо!$A$15:$A$28,F113)</f>
        <v>0</v>
      </c>
      <c r="AR113" s="35">
        <f t="shared" si="40"/>
        <v>0</v>
      </c>
      <c r="AS113" s="12">
        <f t="shared" si="43"/>
        <v>0</v>
      </c>
      <c r="AT113" s="24">
        <f>SUMIFS(инфо!$I$15:$I$28,инфо!$A$15:$A$28,F113)</f>
        <v>0.15</v>
      </c>
      <c r="AU113" s="35">
        <f t="shared" si="33"/>
        <v>0</v>
      </c>
      <c r="AV113" s="12">
        <f t="shared" si="44"/>
        <v>-0.15</v>
      </c>
      <c r="AX113" s="68">
        <f>SUMIFS(инфо!$C$15:$C$28,инфо!$A$15:$A$28,F113)*H112</f>
        <v>0</v>
      </c>
    </row>
    <row r="114" spans="1:50" x14ac:dyDescent="0.25">
      <c r="A114" s="70">
        <f t="shared" si="35"/>
        <v>46124</v>
      </c>
      <c r="B114" s="79" t="s">
        <v>381</v>
      </c>
      <c r="C114" s="17" t="s">
        <v>771</v>
      </c>
      <c r="D114" s="18" t="s">
        <v>82</v>
      </c>
      <c r="E114" s="83" t="s">
        <v>77</v>
      </c>
      <c r="F114" s="28" t="s">
        <v>70</v>
      </c>
      <c r="G114" s="81">
        <v>29</v>
      </c>
      <c r="H114" s="81">
        <v>1140</v>
      </c>
      <c r="I114" s="118">
        <f>IFERROR(H114*VLOOKUP(F114,инфо!$A$15:$C$28,3,FALSE)/1000,0)</f>
        <v>22.344000000000001</v>
      </c>
      <c r="J114" s="81">
        <v>250</v>
      </c>
      <c r="K114" s="81">
        <v>20</v>
      </c>
      <c r="L114" s="81">
        <v>1</v>
      </c>
      <c r="M114" s="20"/>
      <c r="N114" s="23">
        <v>2902</v>
      </c>
      <c r="O114" s="19"/>
      <c r="P114" s="19"/>
      <c r="Q114" s="19">
        <v>9582</v>
      </c>
      <c r="R114" s="19">
        <v>8954</v>
      </c>
      <c r="S114" s="69">
        <f t="shared" si="45"/>
        <v>18536</v>
      </c>
      <c r="T114" s="17"/>
      <c r="U114" s="18"/>
      <c r="V114" s="19"/>
      <c r="W114" s="19"/>
      <c r="X114" s="19"/>
      <c r="Y114" s="17">
        <v>290</v>
      </c>
      <c r="Z114" s="19"/>
      <c r="AA114" s="19">
        <v>58</v>
      </c>
      <c r="AB114" s="19"/>
      <c r="AC114" s="117">
        <v>290</v>
      </c>
      <c r="AD114" s="18">
        <v>145</v>
      </c>
      <c r="AE114" s="25">
        <f>SUMIFS(инфо!$D$15:$D$28,инфо!$A$15:$A$28,F114)</f>
        <v>2.31</v>
      </c>
      <c r="AF114" s="35">
        <f t="shared" si="36"/>
        <v>2.5456140350877194</v>
      </c>
      <c r="AG114" s="14">
        <f t="shared" si="27"/>
        <v>0.23561403508771939</v>
      </c>
      <c r="AH114" s="25">
        <f>SUMIFS(инфо!$E$15:$E$28,инфо!$A$15:$A$28,F114)</f>
        <v>14.93</v>
      </c>
      <c r="AI114" s="32">
        <f t="shared" si="37"/>
        <v>16.259649122807019</v>
      </c>
      <c r="AJ114" s="14">
        <f t="shared" si="28"/>
        <v>1.3296491228070195</v>
      </c>
      <c r="AK114" s="25">
        <f>SUMIFS(инфо!$F$15:$F$28,инфо!$A$15:$A$28,F114)</f>
        <v>0.23100000000000001</v>
      </c>
      <c r="AL114" s="32">
        <f t="shared" si="38"/>
        <v>0.25438596491228072</v>
      </c>
      <c r="AM114" s="14">
        <f t="shared" si="41"/>
        <v>2.3385964912280705E-2</v>
      </c>
      <c r="AN114" s="25">
        <f>SUMIFS(инфо!$G$15:$G$28,инфо!$A$15:$A$28,F114)</f>
        <v>4.5999999999999999E-2</v>
      </c>
      <c r="AO114" s="32">
        <f t="shared" si="39"/>
        <v>5.0877192982456139E-2</v>
      </c>
      <c r="AP114" s="14">
        <f t="shared" si="42"/>
        <v>4.8771929824561397E-3</v>
      </c>
      <c r="AQ114" s="25">
        <f>SUMIFS(инфо!$H$15:$H$28,инфо!$A$15:$A$28,F114)</f>
        <v>0</v>
      </c>
      <c r="AR114" s="26">
        <f t="shared" si="40"/>
        <v>0</v>
      </c>
      <c r="AS114" s="14">
        <f t="shared" si="43"/>
        <v>0</v>
      </c>
      <c r="AT114" s="25">
        <f>SUMIFS(инфо!$I$15:$I$28,инфо!$A$15:$A$28,F114)</f>
        <v>0.15</v>
      </c>
      <c r="AU114" s="35">
        <f t="shared" si="33"/>
        <v>0.12719298245614036</v>
      </c>
      <c r="AV114" s="14">
        <f t="shared" si="44"/>
        <v>-2.2807017543859637E-2</v>
      </c>
      <c r="AX114" s="69">
        <f>SUMIFS(инфо!$C$15:$C$28,инфо!$A$15:$A$28,F114)*H113</f>
        <v>0</v>
      </c>
    </row>
    <row r="115" spans="1:50" x14ac:dyDescent="0.25">
      <c r="A115" s="70">
        <f t="shared" si="35"/>
        <v>46124</v>
      </c>
      <c r="B115" s="79" t="s">
        <v>385</v>
      </c>
      <c r="C115" s="29" t="s">
        <v>771</v>
      </c>
      <c r="D115" s="30" t="s">
        <v>83</v>
      </c>
      <c r="E115" s="83" t="s">
        <v>75</v>
      </c>
      <c r="F115" s="28" t="s">
        <v>70</v>
      </c>
      <c r="G115" s="81">
        <v>46</v>
      </c>
      <c r="H115" s="81">
        <v>2160</v>
      </c>
      <c r="I115" s="118">
        <f>IFERROR(H115*VLOOKUP(F115,инфо!$A$15:$C$28,3,FALSE)/1000,0)</f>
        <v>42.335999999999999</v>
      </c>
      <c r="J115" s="81">
        <v>2000</v>
      </c>
      <c r="K115" s="81">
        <v>58</v>
      </c>
      <c r="L115" s="81">
        <v>15</v>
      </c>
      <c r="M115" s="20">
        <v>158</v>
      </c>
      <c r="N115" s="28">
        <v>4631</v>
      </c>
      <c r="O115" s="27"/>
      <c r="P115" s="27"/>
      <c r="Q115" s="27">
        <v>15332</v>
      </c>
      <c r="R115" s="27">
        <v>14061</v>
      </c>
      <c r="S115" s="67">
        <f t="shared" si="45"/>
        <v>29393</v>
      </c>
      <c r="T115" s="29"/>
      <c r="U115" s="30"/>
      <c r="V115" s="27"/>
      <c r="W115" s="27"/>
      <c r="X115" s="27"/>
      <c r="Y115" s="29">
        <v>460</v>
      </c>
      <c r="Z115" s="27"/>
      <c r="AA115" s="27">
        <v>92</v>
      </c>
      <c r="AB115" s="27"/>
      <c r="AC115" s="117">
        <v>460</v>
      </c>
      <c r="AD115" s="30">
        <v>230</v>
      </c>
      <c r="AE115" s="31">
        <f>SUMIFS(инфо!$D$15:$D$28,инфо!$A$15:$A$28,F115)</f>
        <v>2.31</v>
      </c>
      <c r="AF115" s="35">
        <f t="shared" si="36"/>
        <v>2.1439814814814815</v>
      </c>
      <c r="AG115" s="33">
        <f t="shared" si="27"/>
        <v>-0.16601851851851857</v>
      </c>
      <c r="AH115" s="31">
        <f>SUMIFS(инфо!$E$15:$E$28,инфо!$A$15:$A$28,F115)</f>
        <v>14.93</v>
      </c>
      <c r="AI115" s="32">
        <f t="shared" si="37"/>
        <v>13.607870370370371</v>
      </c>
      <c r="AJ115" s="33">
        <f t="shared" si="28"/>
        <v>-1.3221296296296288</v>
      </c>
      <c r="AK115" s="31">
        <f>SUMIFS(инфо!$F$15:$F$28,инфо!$A$15:$A$28,F115)</f>
        <v>0.23100000000000001</v>
      </c>
      <c r="AL115" s="32">
        <f t="shared" si="38"/>
        <v>0.21296296296296297</v>
      </c>
      <c r="AM115" s="33">
        <f t="shared" si="41"/>
        <v>-1.8037037037037046E-2</v>
      </c>
      <c r="AN115" s="31">
        <f>SUMIFS(инфо!$G$15:$G$28,инфо!$A$15:$A$28,F115)</f>
        <v>4.5999999999999999E-2</v>
      </c>
      <c r="AO115" s="32">
        <f t="shared" si="39"/>
        <v>4.2592592592592592E-2</v>
      </c>
      <c r="AP115" s="33">
        <f t="shared" si="42"/>
        <v>-3.4074074074074076E-3</v>
      </c>
      <c r="AQ115" s="31">
        <f>SUMIFS(инфо!$H$15:$H$28,инфо!$A$15:$A$28,F115)</f>
        <v>0</v>
      </c>
      <c r="AR115" s="32">
        <f t="shared" si="40"/>
        <v>0.40350877192982454</v>
      </c>
      <c r="AS115" s="33">
        <f t="shared" si="43"/>
        <v>0.40350877192982454</v>
      </c>
      <c r="AT115" s="31">
        <f>SUMIFS(инфо!$I$15:$I$28,инфо!$A$15:$A$28,F115)</f>
        <v>0.15</v>
      </c>
      <c r="AU115" s="35">
        <f t="shared" si="33"/>
        <v>0.10648148148148148</v>
      </c>
      <c r="AV115" s="33">
        <f t="shared" si="44"/>
        <v>-4.3518518518518512E-2</v>
      </c>
      <c r="AX115" s="67">
        <f>SUMIFS(инфо!$C$15:$C$28,инфо!$A$15:$A$28,F115)*H114</f>
        <v>22344</v>
      </c>
    </row>
    <row r="116" spans="1:50" x14ac:dyDescent="0.25">
      <c r="A116" s="70">
        <f t="shared" si="35"/>
        <v>46125</v>
      </c>
      <c r="B116" s="79" t="s">
        <v>391</v>
      </c>
      <c r="C116" s="15" t="s">
        <v>771</v>
      </c>
      <c r="D116" s="16" t="s">
        <v>82</v>
      </c>
      <c r="E116" s="83" t="s">
        <v>114</v>
      </c>
      <c r="F116" s="28" t="s">
        <v>70</v>
      </c>
      <c r="G116" s="81">
        <v>56</v>
      </c>
      <c r="H116" s="81">
        <v>2300</v>
      </c>
      <c r="I116" s="118">
        <f>IFERROR(H116*VLOOKUP(F116,инфо!$A$15:$C$28,3,FALSE)/1000,0)</f>
        <v>45.08</v>
      </c>
      <c r="J116" s="81">
        <v>2250</v>
      </c>
      <c r="K116" s="81">
        <v>29</v>
      </c>
      <c r="L116" s="81">
        <v>15</v>
      </c>
      <c r="M116" s="20">
        <v>103</v>
      </c>
      <c r="N116" s="20">
        <v>5620</v>
      </c>
      <c r="O116" s="34"/>
      <c r="P116" s="34"/>
      <c r="Q116" s="34">
        <v>17908</v>
      </c>
      <c r="R116" s="34">
        <v>17887</v>
      </c>
      <c r="S116" s="68">
        <f t="shared" si="45"/>
        <v>35795</v>
      </c>
      <c r="T116" s="15"/>
      <c r="U116" s="16"/>
      <c r="V116" s="34"/>
      <c r="W116" s="34"/>
      <c r="X116" s="34"/>
      <c r="Y116" s="15">
        <v>560</v>
      </c>
      <c r="Z116" s="34"/>
      <c r="AA116" s="34">
        <v>112</v>
      </c>
      <c r="AB116" s="34"/>
      <c r="AC116" s="117">
        <v>560</v>
      </c>
      <c r="AD116" s="16">
        <v>280</v>
      </c>
      <c r="AE116" s="24">
        <f>SUMIFS(инфо!$D$15:$D$28,инфо!$A$15:$A$28,F116)</f>
        <v>2.31</v>
      </c>
      <c r="AF116" s="35">
        <f t="shared" si="36"/>
        <v>2.4434782608695653</v>
      </c>
      <c r="AG116" s="12">
        <f t="shared" si="27"/>
        <v>0.13347826086956527</v>
      </c>
      <c r="AH116" s="24">
        <f>SUMIFS(инфо!$E$15:$E$28,инфо!$A$15:$A$28,F116)</f>
        <v>14.93</v>
      </c>
      <c r="AI116" s="32">
        <f t="shared" si="37"/>
        <v>15.56304347826087</v>
      </c>
      <c r="AJ116" s="12">
        <f t="shared" si="28"/>
        <v>0.63304347826086982</v>
      </c>
      <c r="AK116" s="24">
        <f>SUMIFS(инфо!$F$15:$F$28,инфо!$A$15:$A$28,F116)</f>
        <v>0.23100000000000001</v>
      </c>
      <c r="AL116" s="32">
        <f t="shared" si="38"/>
        <v>0.24347826086956523</v>
      </c>
      <c r="AM116" s="12">
        <f t="shared" si="41"/>
        <v>1.2478260869565216E-2</v>
      </c>
      <c r="AN116" s="24">
        <f>SUMIFS(инфо!$G$15:$G$28,инфо!$A$15:$A$28,F116)</f>
        <v>4.5999999999999999E-2</v>
      </c>
      <c r="AO116" s="32">
        <f t="shared" si="39"/>
        <v>4.8695652173913043E-2</v>
      </c>
      <c r="AP116" s="12">
        <f t="shared" si="42"/>
        <v>2.6956521739130435E-3</v>
      </c>
      <c r="AQ116" s="24">
        <f>SUMIFS(инфо!$H$15:$H$28,инфо!$A$15:$A$28,F116)</f>
        <v>0</v>
      </c>
      <c r="AR116" s="35">
        <f t="shared" si="40"/>
        <v>0.25925925925925924</v>
      </c>
      <c r="AS116" s="12">
        <f t="shared" si="43"/>
        <v>0.25925925925925924</v>
      </c>
      <c r="AT116" s="24">
        <f>SUMIFS(инфо!$I$15:$I$28,инфо!$A$15:$A$28,F116)</f>
        <v>0.15</v>
      </c>
      <c r="AU116" s="35">
        <f t="shared" si="33"/>
        <v>0.12173913043478261</v>
      </c>
      <c r="AV116" s="12">
        <f t="shared" si="44"/>
        <v>-2.8260869565217381E-2</v>
      </c>
      <c r="AX116" s="68">
        <f>SUMIFS(инфо!$C$15:$C$28,инфо!$A$15:$A$28,F116)*H115</f>
        <v>42336</v>
      </c>
    </row>
    <row r="117" spans="1:50" x14ac:dyDescent="0.25">
      <c r="A117" s="70">
        <f t="shared" si="35"/>
        <v>46125</v>
      </c>
      <c r="B117" s="79" t="s">
        <v>393</v>
      </c>
      <c r="C117" s="15" t="s">
        <v>771</v>
      </c>
      <c r="D117" s="16" t="s">
        <v>83</v>
      </c>
      <c r="E117" s="83" t="s">
        <v>77</v>
      </c>
      <c r="F117" s="28" t="s">
        <v>70</v>
      </c>
      <c r="G117" s="81">
        <v>63</v>
      </c>
      <c r="H117" s="81">
        <v>2680</v>
      </c>
      <c r="I117" s="118">
        <f>IFERROR(H117*VLOOKUP(F117,инфо!$A$15:$C$28,3,FALSE)/1000,0)</f>
        <v>52.528000000000006</v>
      </c>
      <c r="J117" s="81">
        <v>2750</v>
      </c>
      <c r="K117" s="81">
        <v>59</v>
      </c>
      <c r="L117" s="81">
        <v>16</v>
      </c>
      <c r="M117" s="20">
        <v>180</v>
      </c>
      <c r="N117" s="20">
        <v>6376</v>
      </c>
      <c r="O117" s="34"/>
      <c r="P117" s="34"/>
      <c r="Q117" s="34">
        <v>19805</v>
      </c>
      <c r="R117" s="34">
        <v>20464</v>
      </c>
      <c r="S117" s="68">
        <f t="shared" si="45"/>
        <v>40269</v>
      </c>
      <c r="T117" s="15"/>
      <c r="U117" s="16"/>
      <c r="V117" s="34"/>
      <c r="W117" s="34"/>
      <c r="X117" s="34"/>
      <c r="Y117" s="15">
        <v>630</v>
      </c>
      <c r="Z117" s="34"/>
      <c r="AA117" s="34">
        <v>126</v>
      </c>
      <c r="AB117" s="34"/>
      <c r="AC117" s="117">
        <v>630</v>
      </c>
      <c r="AD117" s="16">
        <v>315</v>
      </c>
      <c r="AE117" s="24">
        <f>SUMIFS(инфо!$D$15:$D$28,инфо!$A$15:$A$28,F117)</f>
        <v>2.31</v>
      </c>
      <c r="AF117" s="35">
        <f t="shared" si="36"/>
        <v>2.3791044776119401</v>
      </c>
      <c r="AG117" s="12">
        <f t="shared" si="27"/>
        <v>6.9104477611940052E-2</v>
      </c>
      <c r="AH117" s="24">
        <f>SUMIFS(инфо!$E$15:$E$28,инфо!$A$15:$A$28,F117)</f>
        <v>14.93</v>
      </c>
      <c r="AI117" s="32">
        <f t="shared" si="37"/>
        <v>15.025746268656716</v>
      </c>
      <c r="AJ117" s="12">
        <f t="shared" si="28"/>
        <v>9.5746268656716538E-2</v>
      </c>
      <c r="AK117" s="24">
        <f>SUMIFS(инфо!$F$15:$F$28,инфо!$A$15:$A$28,F117)</f>
        <v>0.23100000000000001</v>
      </c>
      <c r="AL117" s="32">
        <f t="shared" si="38"/>
        <v>0.23507462686567165</v>
      </c>
      <c r="AM117" s="12">
        <f t="shared" si="41"/>
        <v>4.0746268656716433E-3</v>
      </c>
      <c r="AN117" s="24">
        <f>SUMIFS(инфо!$G$15:$G$28,инфо!$A$15:$A$28,F117)</f>
        <v>4.5999999999999999E-2</v>
      </c>
      <c r="AO117" s="32">
        <f t="shared" si="39"/>
        <v>4.7014925373134328E-2</v>
      </c>
      <c r="AP117" s="12">
        <f t="shared" si="42"/>
        <v>1.0149253731343288E-3</v>
      </c>
      <c r="AQ117" s="24">
        <f>SUMIFS(инфо!$H$15:$H$28,инфо!$A$15:$A$28,F117)</f>
        <v>0</v>
      </c>
      <c r="AR117" s="35">
        <f t="shared" si="40"/>
        <v>0.27391304347826084</v>
      </c>
      <c r="AS117" s="12">
        <f t="shared" si="43"/>
        <v>0.27391304347826084</v>
      </c>
      <c r="AT117" s="24">
        <f>SUMIFS(инфо!$I$15:$I$28,инфо!$A$15:$A$28,F117)</f>
        <v>0.15</v>
      </c>
      <c r="AU117" s="35">
        <f t="shared" si="33"/>
        <v>0.11753731343283583</v>
      </c>
      <c r="AV117" s="12">
        <f t="shared" si="44"/>
        <v>-3.2462686567164167E-2</v>
      </c>
      <c r="AX117" s="68">
        <f>SUMIFS(инфо!$C$15:$C$28,инфо!$A$15:$A$28,F117)*H116</f>
        <v>45080</v>
      </c>
    </row>
    <row r="118" spans="1:50" x14ac:dyDescent="0.25">
      <c r="A118" s="70">
        <f t="shared" si="35"/>
        <v>46126</v>
      </c>
      <c r="B118" s="79" t="s">
        <v>398</v>
      </c>
      <c r="C118" s="17" t="s">
        <v>771</v>
      </c>
      <c r="D118" s="18" t="s">
        <v>82</v>
      </c>
      <c r="E118" s="83" t="s">
        <v>113</v>
      </c>
      <c r="F118" s="28" t="s">
        <v>70</v>
      </c>
      <c r="G118" s="81">
        <v>47</v>
      </c>
      <c r="H118" s="81">
        <v>2060</v>
      </c>
      <c r="I118" s="118">
        <f>IFERROR(H118*VLOOKUP(F118,инфо!$A$15:$C$28,3,FALSE)/1000,0)</f>
        <v>40.375999999999998</v>
      </c>
      <c r="J118" s="81">
        <v>2000</v>
      </c>
      <c r="K118" s="81">
        <v>17</v>
      </c>
      <c r="L118" s="81">
        <v>16</v>
      </c>
      <c r="M118" s="20">
        <v>92</v>
      </c>
      <c r="N118" s="23">
        <v>4743</v>
      </c>
      <c r="O118" s="19"/>
      <c r="P118" s="19"/>
      <c r="Q118" s="19">
        <v>15337</v>
      </c>
      <c r="R118" s="19">
        <v>14706</v>
      </c>
      <c r="S118" s="69">
        <f t="shared" si="45"/>
        <v>30043</v>
      </c>
      <c r="T118" s="17"/>
      <c r="U118" s="18"/>
      <c r="V118" s="19"/>
      <c r="W118" s="19"/>
      <c r="X118" s="19"/>
      <c r="Y118" s="17">
        <v>470</v>
      </c>
      <c r="Z118" s="19"/>
      <c r="AA118" s="19">
        <v>94</v>
      </c>
      <c r="AB118" s="19"/>
      <c r="AC118" s="117">
        <v>470</v>
      </c>
      <c r="AD118" s="18">
        <v>235</v>
      </c>
      <c r="AE118" s="25">
        <f>SUMIFS(инфо!$D$15:$D$28,инфо!$A$15:$A$28,F118)</f>
        <v>2.31</v>
      </c>
      <c r="AF118" s="35">
        <f t="shared" si="36"/>
        <v>2.3024271844660196</v>
      </c>
      <c r="AG118" s="14">
        <f t="shared" si="27"/>
        <v>-7.5728155339804815E-3</v>
      </c>
      <c r="AH118" s="25">
        <f>SUMIFS(инфо!$E$15:$E$28,инфо!$A$15:$A$28,F118)</f>
        <v>14.93</v>
      </c>
      <c r="AI118" s="32">
        <f t="shared" si="37"/>
        <v>14.583980582524271</v>
      </c>
      <c r="AJ118" s="14">
        <f t="shared" si="28"/>
        <v>-0.34601941747572873</v>
      </c>
      <c r="AK118" s="25">
        <f>SUMIFS(инфо!$F$15:$F$28,инфо!$A$15:$A$28,F118)</f>
        <v>0.23100000000000001</v>
      </c>
      <c r="AL118" s="32">
        <f t="shared" si="38"/>
        <v>0.22815533980582525</v>
      </c>
      <c r="AM118" s="14">
        <f t="shared" si="41"/>
        <v>-2.8446601941747585E-3</v>
      </c>
      <c r="AN118" s="25">
        <f>SUMIFS(инфо!$G$15:$G$28,инфо!$A$15:$A$28,F118)</f>
        <v>4.5999999999999999E-2</v>
      </c>
      <c r="AO118" s="32">
        <f t="shared" si="39"/>
        <v>4.5631067961165048E-2</v>
      </c>
      <c r="AP118" s="14">
        <f t="shared" si="42"/>
        <v>-3.6893203883495151E-4</v>
      </c>
      <c r="AQ118" s="25">
        <f>SUMIFS(инфо!$H$15:$H$28,инфо!$A$15:$A$28,F118)</f>
        <v>0</v>
      </c>
      <c r="AR118" s="26">
        <f t="shared" si="40"/>
        <v>0.17537313432835822</v>
      </c>
      <c r="AS118" s="14">
        <f t="shared" si="43"/>
        <v>0.17537313432835822</v>
      </c>
      <c r="AT118" s="25">
        <f>SUMIFS(инфо!$I$15:$I$28,инфо!$A$15:$A$28,F118)</f>
        <v>0.15</v>
      </c>
      <c r="AU118" s="35">
        <f t="shared" si="33"/>
        <v>0.11407766990291263</v>
      </c>
      <c r="AV118" s="14">
        <f t="shared" si="44"/>
        <v>-3.5922330097087368E-2</v>
      </c>
      <c r="AX118" s="69">
        <f>SUMIFS(инфо!$C$15:$C$28,инфо!$A$15:$A$28,F118)*H117</f>
        <v>52528.000000000007</v>
      </c>
    </row>
    <row r="119" spans="1:50" x14ac:dyDescent="0.25">
      <c r="A119" s="70">
        <f t="shared" si="35"/>
        <v>46126</v>
      </c>
      <c r="B119" s="79" t="s">
        <v>400</v>
      </c>
      <c r="C119" s="29" t="s">
        <v>771</v>
      </c>
      <c r="D119" s="30" t="s">
        <v>83</v>
      </c>
      <c r="E119" s="83" t="s">
        <v>114</v>
      </c>
      <c r="F119" s="28" t="s">
        <v>70</v>
      </c>
      <c r="G119" s="81">
        <v>62</v>
      </c>
      <c r="H119" s="81">
        <v>2750</v>
      </c>
      <c r="I119" s="118">
        <f>IFERROR(H119*VLOOKUP(F119,инфо!$A$15:$C$28,3,FALSE)/1000,0)</f>
        <v>53.900000000000006</v>
      </c>
      <c r="J119" s="81">
        <v>2500</v>
      </c>
      <c r="K119" s="81">
        <v>26</v>
      </c>
      <c r="L119" s="81">
        <v>1</v>
      </c>
      <c r="M119" s="20">
        <v>123</v>
      </c>
      <c r="N119" s="28">
        <v>6309</v>
      </c>
      <c r="O119" s="27"/>
      <c r="P119" s="27"/>
      <c r="Q119" s="27">
        <v>19819</v>
      </c>
      <c r="R119" s="27">
        <v>19831</v>
      </c>
      <c r="S119" s="67">
        <f t="shared" si="45"/>
        <v>39650</v>
      </c>
      <c r="T119" s="29"/>
      <c r="U119" s="30"/>
      <c r="V119" s="34"/>
      <c r="W119" s="27"/>
      <c r="X119" s="27"/>
      <c r="Y119" s="29">
        <v>320</v>
      </c>
      <c r="Z119" s="27"/>
      <c r="AA119" s="27">
        <v>93</v>
      </c>
      <c r="AB119" s="27"/>
      <c r="AC119" s="117">
        <v>620</v>
      </c>
      <c r="AD119" s="30">
        <v>310</v>
      </c>
      <c r="AE119" s="31">
        <f>SUMIFS(инфо!$D$15:$D$28,инфо!$A$15:$A$28,F119)</f>
        <v>2.31</v>
      </c>
      <c r="AF119" s="35">
        <f t="shared" si="36"/>
        <v>2.2941818181818183</v>
      </c>
      <c r="AG119" s="33">
        <f t="shared" si="27"/>
        <v>-1.5818181818181731E-2</v>
      </c>
      <c r="AH119" s="31">
        <f>SUMIFS(инфо!$E$15:$E$28,инфо!$A$15:$A$28,F119)</f>
        <v>14.93</v>
      </c>
      <c r="AI119" s="32">
        <f t="shared" si="37"/>
        <v>14.418181818181818</v>
      </c>
      <c r="AJ119" s="33">
        <f t="shared" si="28"/>
        <v>-0.51181818181818173</v>
      </c>
      <c r="AK119" s="31">
        <f>SUMIFS(инфо!$F$15:$F$28,инфо!$A$15:$A$28,F119)</f>
        <v>0.23100000000000001</v>
      </c>
      <c r="AL119" s="32">
        <f t="shared" si="38"/>
        <v>0.11636363636363636</v>
      </c>
      <c r="AM119" s="33">
        <f t="shared" si="41"/>
        <v>-0.11463636363636365</v>
      </c>
      <c r="AN119" s="31">
        <f>SUMIFS(инфо!$G$15:$G$28,инфо!$A$15:$A$28,F119)</f>
        <v>4.5999999999999999E-2</v>
      </c>
      <c r="AO119" s="32">
        <f t="shared" si="39"/>
        <v>3.3818181818181817E-2</v>
      </c>
      <c r="AP119" s="33">
        <f t="shared" si="42"/>
        <v>-1.2181818181818183E-2</v>
      </c>
      <c r="AQ119" s="31">
        <f>SUMIFS(инфо!$H$15:$H$28,инфо!$A$15:$A$28,F119)</f>
        <v>0</v>
      </c>
      <c r="AR119" s="32">
        <f t="shared" si="40"/>
        <v>0.30097087378640774</v>
      </c>
      <c r="AS119" s="33">
        <f t="shared" si="43"/>
        <v>0.30097087378640774</v>
      </c>
      <c r="AT119" s="31">
        <f>SUMIFS(инфо!$I$15:$I$28,инфо!$A$15:$A$28,F119)</f>
        <v>0.15</v>
      </c>
      <c r="AU119" s="35">
        <f t="shared" si="33"/>
        <v>0.11272727272727273</v>
      </c>
      <c r="AV119" s="33">
        <f t="shared" si="44"/>
        <v>-3.7272727272727263E-2</v>
      </c>
      <c r="AX119" s="67">
        <f>SUMIFS(инфо!$C$15:$C$28,инфо!$A$15:$A$28,F119)*H118</f>
        <v>40376</v>
      </c>
    </row>
    <row r="120" spans="1:50" x14ac:dyDescent="0.25">
      <c r="A120" s="70">
        <f t="shared" si="35"/>
        <v>46127</v>
      </c>
      <c r="B120" s="79" t="s">
        <v>402</v>
      </c>
      <c r="C120" s="15" t="s">
        <v>771</v>
      </c>
      <c r="D120" s="16" t="s">
        <v>82</v>
      </c>
      <c r="E120" s="83" t="s">
        <v>75</v>
      </c>
      <c r="F120" s="28" t="s">
        <v>70</v>
      </c>
      <c r="G120" s="81">
        <v>54</v>
      </c>
      <c r="H120" s="81">
        <v>2500</v>
      </c>
      <c r="I120" s="118">
        <f>IFERROR(H120*VLOOKUP(F120,инфо!$A$15:$C$28,3,FALSE)/1000,0)</f>
        <v>49</v>
      </c>
      <c r="J120" s="81">
        <v>2750</v>
      </c>
      <c r="K120" s="81">
        <v>13</v>
      </c>
      <c r="L120" s="81">
        <v>3</v>
      </c>
      <c r="M120" s="20">
        <v>85</v>
      </c>
      <c r="N120" s="20">
        <v>5497</v>
      </c>
      <c r="O120" s="34"/>
      <c r="P120" s="34"/>
      <c r="Q120" s="34">
        <v>17267</v>
      </c>
      <c r="R120" s="34">
        <v>17267</v>
      </c>
      <c r="S120" s="68">
        <f t="shared" si="45"/>
        <v>34534</v>
      </c>
      <c r="T120" s="15"/>
      <c r="U120" s="16"/>
      <c r="W120" s="34"/>
      <c r="X120" s="34"/>
      <c r="Y120" s="15">
        <v>540</v>
      </c>
      <c r="Z120" s="34"/>
      <c r="AA120" s="34">
        <v>108</v>
      </c>
      <c r="AB120" s="34"/>
      <c r="AC120" s="117">
        <v>540</v>
      </c>
      <c r="AD120" s="16">
        <v>270</v>
      </c>
      <c r="AE120" s="24">
        <f>SUMIFS(инфо!$D$15:$D$28,инфо!$A$15:$A$28,F120)</f>
        <v>2.31</v>
      </c>
      <c r="AF120" s="35">
        <f t="shared" si="36"/>
        <v>2.1987999999999999</v>
      </c>
      <c r="AG120" s="12">
        <f t="shared" si="27"/>
        <v>-0.11120000000000019</v>
      </c>
      <c r="AH120" s="24">
        <f>SUMIFS(инфо!$E$15:$E$28,инфо!$A$15:$A$28,F120)</f>
        <v>14.93</v>
      </c>
      <c r="AI120" s="32">
        <f t="shared" si="37"/>
        <v>13.813599999999999</v>
      </c>
      <c r="AJ120" s="12">
        <f t="shared" si="28"/>
        <v>-1.1164000000000005</v>
      </c>
      <c r="AK120" s="24">
        <f>SUMIFS(инфо!$F$15:$F$28,инфо!$A$15:$A$28,F120)</f>
        <v>0.23100000000000001</v>
      </c>
      <c r="AL120" s="32">
        <f t="shared" si="38"/>
        <v>0.216</v>
      </c>
      <c r="AM120" s="12">
        <f t="shared" si="41"/>
        <v>-1.5000000000000013E-2</v>
      </c>
      <c r="AN120" s="24">
        <f>SUMIFS(инфо!$G$15:$G$28,инфо!$A$15:$A$28,F120)</f>
        <v>4.5999999999999999E-2</v>
      </c>
      <c r="AO120" s="32">
        <f t="shared" si="39"/>
        <v>4.3200000000000002E-2</v>
      </c>
      <c r="AP120" s="12">
        <f t="shared" si="42"/>
        <v>-2.7999999999999969E-3</v>
      </c>
      <c r="AQ120" s="24">
        <f>SUMIFS(инфо!$H$15:$H$28,инфо!$A$15:$A$28,F120)</f>
        <v>0</v>
      </c>
      <c r="AR120" s="35">
        <f t="shared" si="40"/>
        <v>0.19636363636363635</v>
      </c>
      <c r="AS120" s="12">
        <f t="shared" si="43"/>
        <v>0.19636363636363635</v>
      </c>
      <c r="AT120" s="24">
        <f>SUMIFS(инфо!$I$15:$I$28,инфо!$A$15:$A$28,F120)</f>
        <v>0.15</v>
      </c>
      <c r="AU120" s="35">
        <f t="shared" si="33"/>
        <v>0.108</v>
      </c>
      <c r="AV120" s="12">
        <f t="shared" si="44"/>
        <v>-4.1999999999999996E-2</v>
      </c>
      <c r="AX120" s="68">
        <f>SUMIFS(инфо!$C$15:$C$28,инфо!$A$15:$A$28,F120)*H119</f>
        <v>53900.000000000007</v>
      </c>
    </row>
    <row r="121" spans="1:50" x14ac:dyDescent="0.25">
      <c r="A121" s="70">
        <f t="shared" si="35"/>
        <v>46127</v>
      </c>
      <c r="B121" s="79" t="s">
        <v>409</v>
      </c>
      <c r="C121" s="15" t="s">
        <v>771</v>
      </c>
      <c r="D121" s="16" t="s">
        <v>83</v>
      </c>
      <c r="E121" s="83" t="s">
        <v>113</v>
      </c>
      <c r="F121" s="28" t="s">
        <v>70</v>
      </c>
      <c r="G121" s="81">
        <v>63</v>
      </c>
      <c r="H121" s="81">
        <v>2900</v>
      </c>
      <c r="I121" s="118">
        <f>IFERROR(H121*VLOOKUP(F121,инфо!$A$15:$C$28,3,FALSE)/1000,0)</f>
        <v>56.840000000000011</v>
      </c>
      <c r="J121" s="81">
        <v>3000</v>
      </c>
      <c r="K121" s="81">
        <v>5</v>
      </c>
      <c r="L121" s="81">
        <v>5</v>
      </c>
      <c r="M121" s="20">
        <v>125</v>
      </c>
      <c r="N121" s="20">
        <v>6390</v>
      </c>
      <c r="O121" s="34"/>
      <c r="P121" s="34"/>
      <c r="Q121" s="34">
        <v>19816</v>
      </c>
      <c r="R121" s="34">
        <v>20457</v>
      </c>
      <c r="S121" s="68">
        <f t="shared" si="45"/>
        <v>40273</v>
      </c>
      <c r="T121" s="15"/>
      <c r="U121" s="16"/>
      <c r="V121" s="34"/>
      <c r="W121" s="34"/>
      <c r="X121" s="34"/>
      <c r="Y121" s="15">
        <v>630</v>
      </c>
      <c r="Z121" s="34"/>
      <c r="AA121" s="34">
        <v>126</v>
      </c>
      <c r="AB121" s="34"/>
      <c r="AC121" s="117">
        <v>630</v>
      </c>
      <c r="AD121" s="16">
        <v>290</v>
      </c>
      <c r="AE121" s="24">
        <f>SUMIFS(инфо!$D$15:$D$28,инфо!$A$15:$A$28,F121)</f>
        <v>2.31</v>
      </c>
      <c r="AF121" s="35">
        <f t="shared" si="36"/>
        <v>2.203448275862069</v>
      </c>
      <c r="AG121" s="12">
        <f t="shared" ref="AG121:AG184" si="46">AF121-AE121</f>
        <v>-0.10655172413793101</v>
      </c>
      <c r="AH121" s="24">
        <f>SUMIFS(инфо!$E$15:$E$28,инфо!$A$15:$A$28,F121)</f>
        <v>14.93</v>
      </c>
      <c r="AI121" s="32">
        <f t="shared" si="37"/>
        <v>13.887241379310344</v>
      </c>
      <c r="AJ121" s="12">
        <f t="shared" ref="AJ121:AJ184" si="47">AI121-AH121</f>
        <v>-1.0427586206896553</v>
      </c>
      <c r="AK121" s="24">
        <f>SUMIFS(инфо!$F$15:$F$28,инфо!$A$15:$A$28,F121)</f>
        <v>0.23100000000000001</v>
      </c>
      <c r="AL121" s="32">
        <f t="shared" si="38"/>
        <v>0.21724137931034482</v>
      </c>
      <c r="AM121" s="12">
        <f t="shared" si="41"/>
        <v>-1.3758620689655193E-2</v>
      </c>
      <c r="AN121" s="24">
        <f>SUMIFS(инфо!$G$15:$G$28,инфо!$A$15:$A$28,F121)</f>
        <v>4.5999999999999999E-2</v>
      </c>
      <c r="AO121" s="32">
        <f t="shared" si="39"/>
        <v>4.3448275862068966E-2</v>
      </c>
      <c r="AP121" s="12">
        <f t="shared" si="42"/>
        <v>-2.5517241379310329E-3</v>
      </c>
      <c r="AQ121" s="24">
        <f>SUMIFS(инфо!$H$15:$H$28,инфо!$A$15:$A$28,F121)</f>
        <v>0</v>
      </c>
      <c r="AR121" s="35">
        <f t="shared" si="40"/>
        <v>0.252</v>
      </c>
      <c r="AS121" s="12">
        <f t="shared" si="43"/>
        <v>0.252</v>
      </c>
      <c r="AT121" s="24">
        <f>SUMIFS(инфо!$I$15:$I$28,инфо!$A$15:$A$28,F121)</f>
        <v>0.15</v>
      </c>
      <c r="AU121" s="35">
        <f t="shared" si="33"/>
        <v>0.1</v>
      </c>
      <c r="AV121" s="12">
        <f t="shared" si="44"/>
        <v>-4.9999999999999989E-2</v>
      </c>
      <c r="AX121" s="68">
        <f>SUMIFS(инфо!$C$15:$C$28,инфо!$A$15:$A$28,F121)*H120</f>
        <v>49000</v>
      </c>
    </row>
    <row r="122" spans="1:50" x14ac:dyDescent="0.25">
      <c r="A122" s="70">
        <f t="shared" si="35"/>
        <v>46128</v>
      </c>
      <c r="B122" s="79" t="s">
        <v>410</v>
      </c>
      <c r="C122" s="17" t="s">
        <v>771</v>
      </c>
      <c r="D122" s="18" t="s">
        <v>83</v>
      </c>
      <c r="E122" s="83" t="s">
        <v>75</v>
      </c>
      <c r="F122" s="28" t="s">
        <v>70</v>
      </c>
      <c r="G122" s="81">
        <v>64</v>
      </c>
      <c r="H122" s="81">
        <v>2600</v>
      </c>
      <c r="I122" s="118">
        <f>IFERROR(H122*VLOOKUP(F122,инфо!$A$15:$C$28,3,FALSE)/1000,0)</f>
        <v>50.960000000000008</v>
      </c>
      <c r="J122" s="81">
        <v>2250</v>
      </c>
      <c r="K122" s="81">
        <v>23</v>
      </c>
      <c r="L122" s="81"/>
      <c r="M122" s="20">
        <v>134</v>
      </c>
      <c r="N122" s="23">
        <v>6496</v>
      </c>
      <c r="O122" s="19"/>
      <c r="P122" s="19"/>
      <c r="Q122" s="19">
        <v>20533</v>
      </c>
      <c r="R122" s="19">
        <v>20466</v>
      </c>
      <c r="S122" s="69">
        <f t="shared" si="45"/>
        <v>40999</v>
      </c>
      <c r="T122" s="17"/>
      <c r="U122" s="18"/>
      <c r="V122" s="19"/>
      <c r="W122" s="19"/>
      <c r="X122" s="19"/>
      <c r="Y122" s="17">
        <v>640</v>
      </c>
      <c r="Z122" s="19"/>
      <c r="AA122" s="19">
        <v>128</v>
      </c>
      <c r="AB122" s="19"/>
      <c r="AC122" s="117">
        <v>640</v>
      </c>
      <c r="AD122" s="18">
        <v>320</v>
      </c>
      <c r="AE122" s="25">
        <f>SUMIFS(инфо!$D$15:$D$28,инфо!$A$15:$A$28,F122)</f>
        <v>2.31</v>
      </c>
      <c r="AF122" s="35">
        <f t="shared" si="36"/>
        <v>2.4984615384615383</v>
      </c>
      <c r="AG122" s="14">
        <f t="shared" si="46"/>
        <v>0.18846153846153824</v>
      </c>
      <c r="AH122" s="25">
        <f>SUMIFS(инфо!$E$15:$E$28,инфо!$A$15:$A$28,F122)</f>
        <v>14.93</v>
      </c>
      <c r="AI122" s="32">
        <f t="shared" si="37"/>
        <v>15.768846153846154</v>
      </c>
      <c r="AJ122" s="14">
        <f t="shared" si="47"/>
        <v>0.8388461538461538</v>
      </c>
      <c r="AK122" s="25">
        <f>SUMIFS(инфо!$F$15:$F$28,инфо!$A$15:$A$28,F122)</f>
        <v>0.23100000000000001</v>
      </c>
      <c r="AL122" s="32">
        <f t="shared" si="38"/>
        <v>0.24615384615384617</v>
      </c>
      <c r="AM122" s="14">
        <f t="shared" si="41"/>
        <v>1.5153846153846157E-2</v>
      </c>
      <c r="AN122" s="25">
        <f>SUMIFS(инфо!$G$15:$G$28,инфо!$A$15:$A$28,F122)</f>
        <v>4.5999999999999999E-2</v>
      </c>
      <c r="AO122" s="32">
        <f t="shared" si="39"/>
        <v>4.9230769230769231E-2</v>
      </c>
      <c r="AP122" s="14">
        <f t="shared" si="42"/>
        <v>3.2307692307692315E-3</v>
      </c>
      <c r="AQ122" s="25">
        <f>SUMIFS(инфо!$H$15:$H$28,инфо!$A$15:$A$28,F122)</f>
        <v>0</v>
      </c>
      <c r="AR122" s="26">
        <f t="shared" si="40"/>
        <v>0.22068965517241379</v>
      </c>
      <c r="AS122" s="14">
        <f t="shared" si="43"/>
        <v>0.22068965517241379</v>
      </c>
      <c r="AT122" s="25">
        <f>SUMIFS(инфо!$I$15:$I$28,инфо!$A$15:$A$28,F122)</f>
        <v>0.15</v>
      </c>
      <c r="AU122" s="35">
        <f t="shared" si="33"/>
        <v>0.12307692307692308</v>
      </c>
      <c r="AV122" s="14">
        <f t="shared" si="44"/>
        <v>-2.6923076923076911E-2</v>
      </c>
      <c r="AX122" s="69">
        <f>SUMIFS(инфо!$C$15:$C$28,инфо!$A$15:$A$28,F122)*H121</f>
        <v>56840.000000000007</v>
      </c>
    </row>
    <row r="123" spans="1:50" x14ac:dyDescent="0.25">
      <c r="A123" s="70">
        <f t="shared" si="35"/>
        <v>46128</v>
      </c>
      <c r="B123" s="79" t="s">
        <v>420</v>
      </c>
      <c r="C123" s="29" t="s">
        <v>771</v>
      </c>
      <c r="D123" s="30" t="s">
        <v>82</v>
      </c>
      <c r="E123" s="83" t="s">
        <v>114</v>
      </c>
      <c r="F123" s="28" t="s">
        <v>70</v>
      </c>
      <c r="G123" s="81">
        <v>58</v>
      </c>
      <c r="H123" s="81">
        <v>2400</v>
      </c>
      <c r="I123" s="118">
        <f>IFERROR(H123*VLOOKUP(F123,инфо!$A$15:$C$28,3,FALSE)/1000,0)</f>
        <v>47.04</v>
      </c>
      <c r="J123" s="81">
        <v>2500</v>
      </c>
      <c r="K123" s="81">
        <v>10</v>
      </c>
      <c r="L123" s="81">
        <v>1</v>
      </c>
      <c r="M123" s="20">
        <v>130</v>
      </c>
      <c r="N123" s="28">
        <v>5879</v>
      </c>
      <c r="O123" s="27"/>
      <c r="P123" s="27"/>
      <c r="Q123" s="27">
        <v>18559</v>
      </c>
      <c r="R123" s="27">
        <v>18602</v>
      </c>
      <c r="S123" s="67">
        <f t="shared" si="45"/>
        <v>37161</v>
      </c>
      <c r="T123" s="29"/>
      <c r="U123" s="30"/>
      <c r="V123" s="27"/>
      <c r="W123" s="27"/>
      <c r="X123" s="27"/>
      <c r="Y123" s="29">
        <v>500</v>
      </c>
      <c r="Z123" s="27"/>
      <c r="AA123" s="27">
        <v>116</v>
      </c>
      <c r="AB123" s="27"/>
      <c r="AC123" s="117">
        <v>580</v>
      </c>
      <c r="AD123" s="30">
        <v>40</v>
      </c>
      <c r="AE123" s="31">
        <f>SUMIFS(инфо!$D$15:$D$28,инфо!$A$15:$A$28,F123)</f>
        <v>2.31</v>
      </c>
      <c r="AF123" s="35">
        <f t="shared" si="36"/>
        <v>2.4495833333333334</v>
      </c>
      <c r="AG123" s="33">
        <f t="shared" si="46"/>
        <v>0.13958333333333339</v>
      </c>
      <c r="AH123" s="31">
        <f>SUMIFS(инфо!$E$15:$E$28,инфо!$A$15:$A$28,F123)</f>
        <v>14.93</v>
      </c>
      <c r="AI123" s="32">
        <f t="shared" si="37"/>
        <v>15.483750000000001</v>
      </c>
      <c r="AJ123" s="33">
        <f t="shared" si="47"/>
        <v>0.55375000000000085</v>
      </c>
      <c r="AK123" s="31">
        <f>SUMIFS(инфо!$F$15:$F$28,инфо!$A$15:$A$28,F123)</f>
        <v>0.23100000000000001</v>
      </c>
      <c r="AL123" s="32">
        <f t="shared" si="38"/>
        <v>0.20833333333333334</v>
      </c>
      <c r="AM123" s="33">
        <f t="shared" si="41"/>
        <v>-2.2666666666666668E-2</v>
      </c>
      <c r="AN123" s="31">
        <f>SUMIFS(инфо!$G$15:$G$28,инфо!$A$15:$A$28,F123)</f>
        <v>4.5999999999999999E-2</v>
      </c>
      <c r="AO123" s="32">
        <f t="shared" si="39"/>
        <v>4.8333333333333332E-2</v>
      </c>
      <c r="AP123" s="33">
        <f t="shared" si="42"/>
        <v>2.3333333333333331E-3</v>
      </c>
      <c r="AQ123" s="31">
        <f>SUMIFS(инфо!$H$15:$H$28,инфо!$A$15:$A$28,F123)</f>
        <v>0</v>
      </c>
      <c r="AR123" s="32">
        <f t="shared" si="40"/>
        <v>0.22307692307692309</v>
      </c>
      <c r="AS123" s="33">
        <f t="shared" si="43"/>
        <v>0.22307692307692309</v>
      </c>
      <c r="AT123" s="31">
        <f>SUMIFS(инфо!$I$15:$I$28,инфо!$A$15:$A$28,F123)</f>
        <v>0.15</v>
      </c>
      <c r="AU123" s="35">
        <f t="shared" si="33"/>
        <v>1.6666666666666666E-2</v>
      </c>
      <c r="AV123" s="33">
        <f t="shared" si="44"/>
        <v>-0.13333333333333333</v>
      </c>
      <c r="AX123" s="67">
        <f>SUMIFS(инфо!$C$15:$C$28,инфо!$A$15:$A$28,F123)*H122</f>
        <v>50960.000000000007</v>
      </c>
    </row>
    <row r="124" spans="1:50" x14ac:dyDescent="0.25">
      <c r="A124" s="70">
        <f t="shared" si="35"/>
        <v>46129</v>
      </c>
      <c r="B124" s="79" t="s">
        <v>421</v>
      </c>
      <c r="C124" s="15" t="s">
        <v>771</v>
      </c>
      <c r="D124" s="16" t="s">
        <v>83</v>
      </c>
      <c r="E124" s="83" t="s">
        <v>77</v>
      </c>
      <c r="F124" s="28" t="s">
        <v>70</v>
      </c>
      <c r="G124" s="81">
        <v>65</v>
      </c>
      <c r="H124" s="81">
        <v>2600</v>
      </c>
      <c r="I124" s="118">
        <f>IFERROR(H124*VLOOKUP(F124,инфо!$A$15:$C$28,3,FALSE)/1000,0)</f>
        <v>50.960000000000008</v>
      </c>
      <c r="J124" s="81">
        <v>2750</v>
      </c>
      <c r="K124" s="81">
        <v>4</v>
      </c>
      <c r="L124" s="81">
        <v>4</v>
      </c>
      <c r="M124" s="20">
        <v>140</v>
      </c>
      <c r="N124" s="20">
        <v>6556</v>
      </c>
      <c r="O124" s="34"/>
      <c r="P124" s="34"/>
      <c r="Q124" s="34">
        <v>21151</v>
      </c>
      <c r="R124" s="34">
        <v>20469</v>
      </c>
      <c r="S124" s="68">
        <f t="shared" si="45"/>
        <v>41620</v>
      </c>
      <c r="T124" s="15"/>
      <c r="U124" s="16"/>
      <c r="V124" s="34"/>
      <c r="W124" s="34"/>
      <c r="X124" s="34"/>
      <c r="Y124" s="15">
        <v>650</v>
      </c>
      <c r="Z124" s="34"/>
      <c r="AA124" s="34">
        <v>130</v>
      </c>
      <c r="AB124" s="34"/>
      <c r="AC124" s="117">
        <v>650</v>
      </c>
      <c r="AD124" s="16">
        <v>225</v>
      </c>
      <c r="AE124" s="24">
        <f>SUMIFS(инфо!$D$15:$D$28,инфо!$A$15:$A$28,F124)</f>
        <v>2.31</v>
      </c>
      <c r="AF124" s="35">
        <f t="shared" si="36"/>
        <v>2.5215384615384617</v>
      </c>
      <c r="AG124" s="12">
        <f t="shared" si="46"/>
        <v>0.21153846153846168</v>
      </c>
      <c r="AH124" s="24">
        <f>SUMIFS(инфо!$E$15:$E$28,инфо!$A$15:$A$28,F124)</f>
        <v>14.93</v>
      </c>
      <c r="AI124" s="32">
        <f t="shared" si="37"/>
        <v>16.007692307692309</v>
      </c>
      <c r="AJ124" s="12">
        <f t="shared" si="47"/>
        <v>1.0776923076923097</v>
      </c>
      <c r="AK124" s="24">
        <f>SUMIFS(инфо!$F$15:$F$28,инфо!$A$15:$A$28,F124)</f>
        <v>0.23100000000000001</v>
      </c>
      <c r="AL124" s="32">
        <f t="shared" si="38"/>
        <v>0.25</v>
      </c>
      <c r="AM124" s="12">
        <f t="shared" si="41"/>
        <v>1.8999999999999989E-2</v>
      </c>
      <c r="AN124" s="24">
        <f>SUMIFS(инфо!$G$15:$G$28,инфо!$A$15:$A$28,F124)</f>
        <v>4.5999999999999999E-2</v>
      </c>
      <c r="AO124" s="32">
        <f t="shared" si="39"/>
        <v>0.05</v>
      </c>
      <c r="AP124" s="12">
        <f t="shared" si="42"/>
        <v>4.0000000000000036E-3</v>
      </c>
      <c r="AQ124" s="24">
        <f>SUMIFS(инфо!$H$15:$H$28,инфо!$A$15:$A$28,F124)</f>
        <v>0</v>
      </c>
      <c r="AR124" s="35">
        <f t="shared" si="40"/>
        <v>0.27083333333333331</v>
      </c>
      <c r="AS124" s="12">
        <f t="shared" si="43"/>
        <v>0.27083333333333331</v>
      </c>
      <c r="AT124" s="24">
        <f>SUMIFS(инфо!$I$15:$I$28,инфо!$A$15:$A$28,F124)</f>
        <v>0.15</v>
      </c>
      <c r="AU124" s="35">
        <f t="shared" si="33"/>
        <v>8.6538461538461536E-2</v>
      </c>
      <c r="AV124" s="12">
        <f t="shared" si="44"/>
        <v>-6.3461538461538458E-2</v>
      </c>
      <c r="AX124" s="68">
        <f>SUMIFS(инфо!$C$15:$C$28,инфо!$A$15:$A$28,F124)*H123</f>
        <v>47040</v>
      </c>
    </row>
    <row r="125" spans="1:50" x14ac:dyDescent="0.25">
      <c r="A125" s="70">
        <f t="shared" si="35"/>
        <v>46129</v>
      </c>
      <c r="B125" s="79" t="s">
        <v>427</v>
      </c>
      <c r="C125" s="15" t="s">
        <v>771</v>
      </c>
      <c r="D125" s="16" t="s">
        <v>82</v>
      </c>
      <c r="E125" s="83" t="s">
        <v>113</v>
      </c>
      <c r="F125" s="28" t="s">
        <v>70</v>
      </c>
      <c r="G125" s="81">
        <v>52</v>
      </c>
      <c r="H125" s="81">
        <v>2100</v>
      </c>
      <c r="I125" s="118">
        <f>IFERROR(H125*VLOOKUP(F125,инфо!$A$15:$C$28,3,FALSE)/1000,0)</f>
        <v>41.16</v>
      </c>
      <c r="J125" s="81">
        <v>1750</v>
      </c>
      <c r="K125" s="81">
        <v>8</v>
      </c>
      <c r="L125" s="81">
        <v>7</v>
      </c>
      <c r="M125" s="20">
        <v>80</v>
      </c>
      <c r="N125" s="20">
        <v>5294</v>
      </c>
      <c r="O125" s="34"/>
      <c r="P125" s="34"/>
      <c r="Q125" s="34">
        <v>17282</v>
      </c>
      <c r="R125" s="34">
        <v>15991</v>
      </c>
      <c r="S125" s="68">
        <f t="shared" si="45"/>
        <v>33273</v>
      </c>
      <c r="T125" s="15"/>
      <c r="U125" s="16"/>
      <c r="V125" s="34"/>
      <c r="W125" s="34"/>
      <c r="X125" s="34"/>
      <c r="Y125" s="15">
        <v>520</v>
      </c>
      <c r="Z125" s="34"/>
      <c r="AA125" s="34">
        <v>104</v>
      </c>
      <c r="AB125" s="34"/>
      <c r="AC125" s="117">
        <v>520</v>
      </c>
      <c r="AD125" s="16">
        <v>260</v>
      </c>
      <c r="AE125" s="24">
        <f>SUMIFS(инфо!$D$15:$D$28,инфо!$A$15:$A$28,F125)</f>
        <v>2.31</v>
      </c>
      <c r="AF125" s="35">
        <f t="shared" si="36"/>
        <v>2.5209523809523811</v>
      </c>
      <c r="AG125" s="12">
        <f t="shared" si="46"/>
        <v>0.210952380952381</v>
      </c>
      <c r="AH125" s="24">
        <f>SUMIFS(инфо!$E$15:$E$28,инфо!$A$15:$A$28,F125)</f>
        <v>14.93</v>
      </c>
      <c r="AI125" s="32">
        <f t="shared" si="37"/>
        <v>15.844285714285714</v>
      </c>
      <c r="AJ125" s="12">
        <f t="shared" si="47"/>
        <v>0.91428571428571459</v>
      </c>
      <c r="AK125" s="24">
        <f>SUMIFS(инфо!$F$15:$F$28,инфо!$A$15:$A$28,F125)</f>
        <v>0.23100000000000001</v>
      </c>
      <c r="AL125" s="32">
        <f t="shared" si="38"/>
        <v>0.24761904761904763</v>
      </c>
      <c r="AM125" s="12">
        <f t="shared" si="41"/>
        <v>1.6619047619047617E-2</v>
      </c>
      <c r="AN125" s="24">
        <f>SUMIFS(инфо!$G$15:$G$28,инфо!$A$15:$A$28,F125)</f>
        <v>4.5999999999999999E-2</v>
      </c>
      <c r="AO125" s="32">
        <f t="shared" si="39"/>
        <v>4.9523809523809526E-2</v>
      </c>
      <c r="AP125" s="12">
        <f t="shared" si="42"/>
        <v>3.5238095238095263E-3</v>
      </c>
      <c r="AQ125" s="24">
        <f>SUMIFS(инфо!$H$15:$H$28,инфо!$A$15:$A$28,F125)</f>
        <v>0</v>
      </c>
      <c r="AR125" s="35">
        <f t="shared" si="40"/>
        <v>0.2</v>
      </c>
      <c r="AS125" s="12">
        <f t="shared" si="43"/>
        <v>0.2</v>
      </c>
      <c r="AT125" s="24">
        <f>SUMIFS(инфо!$I$15:$I$28,инфо!$A$15:$A$28,F125)</f>
        <v>0.15</v>
      </c>
      <c r="AU125" s="35">
        <f t="shared" si="33"/>
        <v>0.12380952380952381</v>
      </c>
      <c r="AV125" s="12">
        <f t="shared" si="44"/>
        <v>-2.6190476190476181E-2</v>
      </c>
      <c r="AX125" s="68">
        <f>SUMIFS(инфо!$C$15:$C$28,инфо!$A$15:$A$28,F125)*H124</f>
        <v>50960.000000000007</v>
      </c>
    </row>
    <row r="126" spans="1:50" x14ac:dyDescent="0.25">
      <c r="A126" s="70">
        <f t="shared" si="35"/>
        <v>46130</v>
      </c>
      <c r="B126" s="79" t="s">
        <v>435</v>
      </c>
      <c r="C126" s="17" t="s">
        <v>771</v>
      </c>
      <c r="D126" s="18" t="s">
        <v>83</v>
      </c>
      <c r="E126" s="83" t="s">
        <v>114</v>
      </c>
      <c r="F126" s="28" t="s">
        <v>70</v>
      </c>
      <c r="G126" s="81">
        <v>55</v>
      </c>
      <c r="H126" s="81">
        <v>2300</v>
      </c>
      <c r="I126" s="118">
        <f>IFERROR(H126*VLOOKUP(F126,инфо!$A$15:$C$28,3,FALSE)/1000,0)</f>
        <v>45.08</v>
      </c>
      <c r="J126" s="81">
        <v>2500</v>
      </c>
      <c r="K126" s="81">
        <v>4</v>
      </c>
      <c r="L126" s="81">
        <v>1</v>
      </c>
      <c r="M126" s="20">
        <v>97</v>
      </c>
      <c r="N126" s="23">
        <v>5691</v>
      </c>
      <c r="O126" s="19"/>
      <c r="P126" s="19"/>
      <c r="Q126" s="19">
        <v>17271</v>
      </c>
      <c r="R126" s="19">
        <v>18573</v>
      </c>
      <c r="S126" s="69">
        <f t="shared" si="45"/>
        <v>35844</v>
      </c>
      <c r="T126" s="17"/>
      <c r="U126" s="18"/>
      <c r="V126" s="19"/>
      <c r="W126" s="19"/>
      <c r="X126" s="19"/>
      <c r="Y126" s="17">
        <v>550</v>
      </c>
      <c r="Z126" s="19"/>
      <c r="AA126" s="19">
        <v>110</v>
      </c>
      <c r="AB126" s="19"/>
      <c r="AC126" s="117">
        <v>550</v>
      </c>
      <c r="AD126" s="18">
        <v>275</v>
      </c>
      <c r="AE126" s="25">
        <f>SUMIFS(инфо!$D$15:$D$28,инфо!$A$15:$A$28,F126)</f>
        <v>2.31</v>
      </c>
      <c r="AF126" s="35">
        <f t="shared" si="36"/>
        <v>2.4743478260869565</v>
      </c>
      <c r="AG126" s="14">
        <f t="shared" si="46"/>
        <v>0.16434782608695642</v>
      </c>
      <c r="AH126" s="25">
        <f>SUMIFS(инфо!$E$15:$E$28,инфо!$A$15:$A$28,F126)</f>
        <v>14.93</v>
      </c>
      <c r="AI126" s="32">
        <f t="shared" si="37"/>
        <v>15.584347826086956</v>
      </c>
      <c r="AJ126" s="14">
        <f t="shared" si="47"/>
        <v>0.65434782608695663</v>
      </c>
      <c r="AK126" s="25">
        <f>SUMIFS(инфо!$F$15:$F$28,инфо!$A$15:$A$28,F126)</f>
        <v>0.23100000000000001</v>
      </c>
      <c r="AL126" s="32">
        <f t="shared" si="38"/>
        <v>0.2391304347826087</v>
      </c>
      <c r="AM126" s="14">
        <f t="shared" si="41"/>
        <v>8.130434782608692E-3</v>
      </c>
      <c r="AN126" s="25">
        <f>SUMIFS(инфо!$G$15:$G$28,инфо!$A$15:$A$28,F126)</f>
        <v>4.5999999999999999E-2</v>
      </c>
      <c r="AO126" s="32">
        <f t="shared" si="39"/>
        <v>4.7826086956521741E-2</v>
      </c>
      <c r="AP126" s="14">
        <f t="shared" si="42"/>
        <v>1.8260869565217414E-3</v>
      </c>
      <c r="AQ126" s="25">
        <f>SUMIFS(инфо!$H$15:$H$28,инфо!$A$15:$A$28,F126)</f>
        <v>0</v>
      </c>
      <c r="AR126" s="26">
        <f t="shared" si="40"/>
        <v>0.26190476190476192</v>
      </c>
      <c r="AS126" s="14">
        <f t="shared" si="43"/>
        <v>0.26190476190476192</v>
      </c>
      <c r="AT126" s="25">
        <f>SUMIFS(инфо!$I$15:$I$28,инфо!$A$15:$A$28,F126)</f>
        <v>0.15</v>
      </c>
      <c r="AU126" s="35">
        <f t="shared" si="33"/>
        <v>0.11956521739130435</v>
      </c>
      <c r="AV126" s="14">
        <f t="shared" si="44"/>
        <v>-3.0434782608695643E-2</v>
      </c>
      <c r="AX126" s="69">
        <f>SUMIFS(инфо!$C$15:$C$28,инфо!$A$15:$A$28,F126)*H125</f>
        <v>41160</v>
      </c>
    </row>
    <row r="127" spans="1:50" x14ac:dyDescent="0.25">
      <c r="A127" s="70">
        <f t="shared" si="35"/>
        <v>46130</v>
      </c>
      <c r="B127" s="79" t="s">
        <v>440</v>
      </c>
      <c r="C127" s="29" t="s">
        <v>771</v>
      </c>
      <c r="D127" s="30" t="s">
        <v>82</v>
      </c>
      <c r="E127" s="83" t="s">
        <v>75</v>
      </c>
      <c r="F127" s="28" t="s">
        <v>70</v>
      </c>
      <c r="G127" s="81">
        <v>58</v>
      </c>
      <c r="H127" s="81">
        <v>2450</v>
      </c>
      <c r="I127" s="118">
        <f>IFERROR(H127*VLOOKUP(F127,инфо!$A$15:$C$28,3,FALSE)/1000,0)</f>
        <v>48.02</v>
      </c>
      <c r="J127" s="81">
        <v>2250</v>
      </c>
      <c r="K127" s="81">
        <v>8</v>
      </c>
      <c r="L127" s="81">
        <v>3</v>
      </c>
      <c r="M127" s="20">
        <v>75</v>
      </c>
      <c r="N127" s="28">
        <v>5904</v>
      </c>
      <c r="O127" s="27"/>
      <c r="P127" s="27"/>
      <c r="Q127" s="27">
        <v>20517</v>
      </c>
      <c r="R127" s="27">
        <v>16848</v>
      </c>
      <c r="S127" s="67">
        <f t="shared" si="45"/>
        <v>37365</v>
      </c>
      <c r="T127" s="29"/>
      <c r="U127" s="30"/>
      <c r="V127" s="27"/>
      <c r="W127" s="27"/>
      <c r="X127" s="27"/>
      <c r="Y127" s="29">
        <v>580</v>
      </c>
      <c r="Z127" s="27"/>
      <c r="AA127" s="27">
        <v>116</v>
      </c>
      <c r="AB127" s="27"/>
      <c r="AC127" s="117">
        <v>580</v>
      </c>
      <c r="AD127" s="30">
        <v>290</v>
      </c>
      <c r="AE127" s="31">
        <f>SUMIFS(инфо!$D$15:$D$28,инфо!$A$15:$A$28,F127)</f>
        <v>2.31</v>
      </c>
      <c r="AF127" s="35">
        <f t="shared" si="36"/>
        <v>2.409795918367347</v>
      </c>
      <c r="AG127" s="33">
        <f t="shared" si="46"/>
        <v>9.9795918367346914E-2</v>
      </c>
      <c r="AH127" s="31">
        <f>SUMIFS(инфо!$E$15:$E$28,инфо!$A$15:$A$28,F127)</f>
        <v>14.93</v>
      </c>
      <c r="AI127" s="32">
        <f t="shared" si="37"/>
        <v>15.251020408163265</v>
      </c>
      <c r="AJ127" s="33">
        <f t="shared" si="47"/>
        <v>0.32102040816326571</v>
      </c>
      <c r="AK127" s="31">
        <f>SUMIFS(инфо!$F$15:$F$28,инфо!$A$15:$A$28,F127)</f>
        <v>0.23100000000000001</v>
      </c>
      <c r="AL127" s="32">
        <f t="shared" si="38"/>
        <v>0.23673469387755103</v>
      </c>
      <c r="AM127" s="33">
        <f t="shared" si="41"/>
        <v>5.734693877551017E-3</v>
      </c>
      <c r="AN127" s="31">
        <f>SUMIFS(инфо!$G$15:$G$28,инфо!$A$15:$A$28,F127)</f>
        <v>4.5999999999999999E-2</v>
      </c>
      <c r="AO127" s="32">
        <f t="shared" si="39"/>
        <v>4.7346938775510203E-2</v>
      </c>
      <c r="AP127" s="33">
        <f t="shared" si="42"/>
        <v>1.3469387755102036E-3</v>
      </c>
      <c r="AQ127" s="31">
        <f>SUMIFS(инфо!$H$15:$H$28,инфо!$A$15:$A$28,F127)</f>
        <v>0</v>
      </c>
      <c r="AR127" s="32">
        <f t="shared" si="40"/>
        <v>0.25217391304347825</v>
      </c>
      <c r="AS127" s="33">
        <f t="shared" si="43"/>
        <v>0.25217391304347825</v>
      </c>
      <c r="AT127" s="31">
        <f>SUMIFS(инфо!$I$15:$I$28,инфо!$A$15:$A$28,F127)</f>
        <v>0.15</v>
      </c>
      <c r="AU127" s="35">
        <f t="shared" si="33"/>
        <v>0.11836734693877551</v>
      </c>
      <c r="AV127" s="33">
        <f t="shared" si="44"/>
        <v>-3.1632653061224481E-2</v>
      </c>
      <c r="AX127" s="67">
        <f>SUMIFS(инфо!$C$15:$C$28,инфо!$A$15:$A$28,F127)*H126</f>
        <v>45080</v>
      </c>
    </row>
    <row r="128" spans="1:50" x14ac:dyDescent="0.25">
      <c r="A128" s="70">
        <f t="shared" si="35"/>
        <v>46131</v>
      </c>
      <c r="B128" s="79" t="s">
        <v>445</v>
      </c>
      <c r="C128" s="15" t="s">
        <v>771</v>
      </c>
      <c r="D128" s="16" t="s">
        <v>83</v>
      </c>
      <c r="E128" s="83" t="s">
        <v>113</v>
      </c>
      <c r="F128" s="28" t="s">
        <v>70</v>
      </c>
      <c r="G128" s="81">
        <v>42</v>
      </c>
      <c r="H128" s="81">
        <v>1600</v>
      </c>
      <c r="I128" s="118">
        <f>IFERROR(H128*VLOOKUP(F128,инфо!$A$15:$C$28,3,FALSE)/1000,0)</f>
        <v>31.360000000000003</v>
      </c>
      <c r="J128" s="81">
        <v>2250</v>
      </c>
      <c r="K128" s="81">
        <v>12</v>
      </c>
      <c r="L128" s="81">
        <v>3</v>
      </c>
      <c r="M128" s="20">
        <v>64</v>
      </c>
      <c r="N128" s="20">
        <v>4248</v>
      </c>
      <c r="O128" s="34"/>
      <c r="P128" s="34"/>
      <c r="Q128" s="34">
        <v>8324</v>
      </c>
      <c r="R128" s="34">
        <v>18572</v>
      </c>
      <c r="S128" s="68">
        <f t="shared" si="45"/>
        <v>26896</v>
      </c>
      <c r="T128" s="15"/>
      <c r="U128" s="16"/>
      <c r="V128" s="34"/>
      <c r="W128" s="34"/>
      <c r="X128" s="34"/>
      <c r="Y128" s="15">
        <v>420</v>
      </c>
      <c r="Z128" s="34"/>
      <c r="AA128" s="34">
        <v>80</v>
      </c>
      <c r="AB128" s="34"/>
      <c r="AC128" s="117">
        <v>420</v>
      </c>
      <c r="AD128" s="16">
        <v>200</v>
      </c>
      <c r="AE128" s="24">
        <f>SUMIFS(инфо!$D$15:$D$28,инфо!$A$15:$A$28,F128)</f>
        <v>2.31</v>
      </c>
      <c r="AF128" s="35">
        <f t="shared" si="36"/>
        <v>2.6549999999999998</v>
      </c>
      <c r="AG128" s="12">
        <f t="shared" si="46"/>
        <v>0.34499999999999975</v>
      </c>
      <c r="AH128" s="24">
        <f>SUMIFS(инфо!$E$15:$E$28,инфо!$A$15:$A$28,F128)</f>
        <v>14.93</v>
      </c>
      <c r="AI128" s="32">
        <f t="shared" si="37"/>
        <v>16.809999999999999</v>
      </c>
      <c r="AJ128" s="12">
        <f t="shared" si="47"/>
        <v>1.879999999999999</v>
      </c>
      <c r="AK128" s="24">
        <f>SUMIFS(инфо!$F$15:$F$28,инфо!$A$15:$A$28,F128)</f>
        <v>0.23100000000000001</v>
      </c>
      <c r="AL128" s="32">
        <f t="shared" si="38"/>
        <v>0.26250000000000001</v>
      </c>
      <c r="AM128" s="12">
        <f t="shared" si="41"/>
        <v>3.15E-2</v>
      </c>
      <c r="AN128" s="24">
        <f>SUMIFS(инфо!$G$15:$G$28,инфо!$A$15:$A$28,F128)</f>
        <v>4.5999999999999999E-2</v>
      </c>
      <c r="AO128" s="32">
        <f t="shared" si="39"/>
        <v>0.05</v>
      </c>
      <c r="AP128" s="12">
        <f t="shared" si="42"/>
        <v>4.0000000000000036E-3</v>
      </c>
      <c r="AQ128" s="24">
        <f>SUMIFS(инфо!$H$15:$H$28,инфо!$A$15:$A$28,F128)</f>
        <v>0</v>
      </c>
      <c r="AR128" s="35">
        <f t="shared" si="40"/>
        <v>0.17142857142857143</v>
      </c>
      <c r="AS128" s="12">
        <f t="shared" si="43"/>
        <v>0.17142857142857143</v>
      </c>
      <c r="AT128" s="24">
        <f>SUMIFS(инфо!$I$15:$I$28,инфо!$A$15:$A$28,F128)</f>
        <v>0.15</v>
      </c>
      <c r="AU128" s="35">
        <f t="shared" si="33"/>
        <v>0.125</v>
      </c>
      <c r="AV128" s="12">
        <f t="shared" si="44"/>
        <v>-2.4999999999999994E-2</v>
      </c>
      <c r="AX128" s="68">
        <f>SUMIFS(инфо!$C$15:$C$28,инфо!$A$15:$A$28,F128)*H127</f>
        <v>48020</v>
      </c>
    </row>
    <row r="129" spans="1:50" x14ac:dyDescent="0.25">
      <c r="A129" s="70">
        <f t="shared" si="35"/>
        <v>46131</v>
      </c>
      <c r="B129" s="79"/>
      <c r="C129" s="15"/>
      <c r="D129" s="16"/>
      <c r="E129" s="83"/>
      <c r="F129" s="28"/>
      <c r="G129" s="81"/>
      <c r="H129" s="81"/>
      <c r="I129" s="118">
        <f>IFERROR(H129*VLOOKUP(F129,инфо!$A$15:$C$28,3,FALSE)/1000,0)</f>
        <v>0</v>
      </c>
      <c r="M129" s="20"/>
      <c r="N129" s="20"/>
      <c r="O129" s="34"/>
      <c r="P129" s="34"/>
      <c r="Q129" s="34"/>
      <c r="R129" s="34"/>
      <c r="S129" s="68">
        <f t="shared" si="45"/>
        <v>0</v>
      </c>
      <c r="T129" s="15"/>
      <c r="U129" s="16"/>
      <c r="V129" s="34"/>
      <c r="W129" s="34"/>
      <c r="X129" s="34"/>
      <c r="Y129" s="15"/>
      <c r="Z129" s="34"/>
      <c r="AA129" s="34"/>
      <c r="AB129" s="34"/>
      <c r="AC129" s="117"/>
      <c r="AD129" s="16"/>
      <c r="AE129" s="24">
        <f>SUMIFS(инфо!$D$15:$D$28,инфо!$A$15:$A$28,F129)</f>
        <v>0</v>
      </c>
      <c r="AF129" s="35">
        <f t="shared" si="36"/>
        <v>0</v>
      </c>
      <c r="AG129" s="12">
        <f t="shared" si="46"/>
        <v>0</v>
      </c>
      <c r="AH129" s="24">
        <f>SUMIFS(инфо!$E$15:$E$28,инфо!$A$15:$A$28,F129)</f>
        <v>0</v>
      </c>
      <c r="AI129" s="32">
        <f t="shared" si="37"/>
        <v>0</v>
      </c>
      <c r="AJ129" s="12">
        <f t="shared" si="47"/>
        <v>0</v>
      </c>
      <c r="AK129" s="24">
        <f>SUMIFS(инфо!$F$15:$F$28,инфо!$A$15:$A$28,F129)</f>
        <v>0</v>
      </c>
      <c r="AL129" s="32">
        <f t="shared" si="38"/>
        <v>0</v>
      </c>
      <c r="AM129" s="12">
        <f t="shared" si="41"/>
        <v>0</v>
      </c>
      <c r="AN129" s="24">
        <f>SUMIFS(инфо!$G$15:$G$28,инфо!$A$15:$A$28,F129)</f>
        <v>0</v>
      </c>
      <c r="AO129" s="32">
        <f t="shared" si="39"/>
        <v>0</v>
      </c>
      <c r="AP129" s="12">
        <f t="shared" si="42"/>
        <v>0</v>
      </c>
      <c r="AQ129" s="24">
        <f>SUMIFS(инфо!$H$15:$H$28,инфо!$A$15:$A$28,F129)</f>
        <v>0</v>
      </c>
      <c r="AR129" s="35">
        <f t="shared" si="40"/>
        <v>0</v>
      </c>
      <c r="AS129" s="12">
        <f t="shared" si="43"/>
        <v>0</v>
      </c>
      <c r="AT129" s="24">
        <f>SUMIFS(инфо!$I$15:$I$28,инфо!$A$15:$A$28,F129)</f>
        <v>0</v>
      </c>
      <c r="AU129" s="35">
        <f t="shared" si="33"/>
        <v>0</v>
      </c>
      <c r="AV129" s="12">
        <f t="shared" si="44"/>
        <v>0</v>
      </c>
      <c r="AX129" s="68">
        <f>SUMIFS(инфо!$C$15:$C$28,инфо!$A$15:$A$28,F129)*H128</f>
        <v>0</v>
      </c>
    </row>
    <row r="130" spans="1:50" x14ac:dyDescent="0.25">
      <c r="A130" s="70">
        <f t="shared" si="35"/>
        <v>46132</v>
      </c>
      <c r="B130" s="79"/>
      <c r="C130" s="17"/>
      <c r="D130" s="18"/>
      <c r="E130" s="83"/>
      <c r="F130" s="28"/>
      <c r="G130" s="81"/>
      <c r="H130" s="81"/>
      <c r="I130" s="118">
        <f>IFERROR(H130*VLOOKUP(F130,инфо!$A$15:$C$28,3,FALSE)/1000,0)</f>
        <v>0</v>
      </c>
      <c r="J130" s="20"/>
      <c r="K130" s="81"/>
      <c r="L130" s="81"/>
      <c r="M130" s="20"/>
      <c r="N130" s="23"/>
      <c r="O130" s="19"/>
      <c r="P130" s="19"/>
      <c r="Q130" s="19"/>
      <c r="R130" s="19"/>
      <c r="S130" s="69">
        <f t="shared" si="45"/>
        <v>0</v>
      </c>
      <c r="T130" s="17"/>
      <c r="U130" s="18"/>
      <c r="V130" s="19">
        <v>1000</v>
      </c>
      <c r="W130" s="19"/>
      <c r="X130" s="19"/>
      <c r="Y130" s="17"/>
      <c r="Z130" s="19"/>
      <c r="AA130" s="19"/>
      <c r="AB130" s="19"/>
      <c r="AC130" s="19"/>
      <c r="AD130" s="18"/>
      <c r="AE130" s="25">
        <f>SUMIFS(инфо!$D$15:$D$28,инфо!$A$15:$A$28,F130)</f>
        <v>0</v>
      </c>
      <c r="AF130" s="35">
        <f t="shared" si="36"/>
        <v>0</v>
      </c>
      <c r="AG130" s="14">
        <f t="shared" si="46"/>
        <v>0</v>
      </c>
      <c r="AH130" s="25">
        <f>SUMIFS(инфо!$E$15:$E$28,инфо!$A$15:$A$28,F130)</f>
        <v>0</v>
      </c>
      <c r="AI130" s="32">
        <f t="shared" si="37"/>
        <v>0</v>
      </c>
      <c r="AJ130" s="14">
        <f t="shared" si="47"/>
        <v>0</v>
      </c>
      <c r="AK130" s="25">
        <f>SUMIFS(инфо!$F$15:$F$28,инфо!$A$15:$A$28,F130)</f>
        <v>0</v>
      </c>
      <c r="AL130" s="32">
        <f t="shared" si="38"/>
        <v>0</v>
      </c>
      <c r="AM130" s="14">
        <f t="shared" si="41"/>
        <v>0</v>
      </c>
      <c r="AN130" s="25">
        <f>SUMIFS(инфо!$G$15:$G$28,инфо!$A$15:$A$28,F130)</f>
        <v>0</v>
      </c>
      <c r="AO130" s="32">
        <f t="shared" si="39"/>
        <v>0</v>
      </c>
      <c r="AP130" s="14">
        <f t="shared" si="42"/>
        <v>0</v>
      </c>
      <c r="AQ130" s="25">
        <f>SUMIFS(инфо!$H$15:$H$28,инфо!$A$15:$A$28,F130)</f>
        <v>0</v>
      </c>
      <c r="AR130" s="26">
        <f t="shared" si="40"/>
        <v>0</v>
      </c>
      <c r="AS130" s="14">
        <f t="shared" si="43"/>
        <v>0</v>
      </c>
      <c r="AT130" s="25">
        <f>SUMIFS(инфо!$I$15:$I$28,инфо!$A$15:$A$28,F130)</f>
        <v>0</v>
      </c>
      <c r="AU130" s="35">
        <f t="shared" si="33"/>
        <v>0</v>
      </c>
      <c r="AV130" s="14">
        <f t="shared" si="44"/>
        <v>0</v>
      </c>
      <c r="AX130" s="69">
        <f>SUMIFS(инфо!$C$15:$C$28,инфо!$A$15:$A$28,F130)*H129</f>
        <v>0</v>
      </c>
    </row>
    <row r="131" spans="1:50" x14ac:dyDescent="0.25">
      <c r="A131" s="70">
        <f t="shared" si="35"/>
        <v>46132</v>
      </c>
      <c r="B131" s="79"/>
      <c r="C131" s="29"/>
      <c r="D131" s="30"/>
      <c r="E131" s="83"/>
      <c r="F131" s="28"/>
      <c r="G131" s="81"/>
      <c r="H131" s="81"/>
      <c r="I131" s="118">
        <f>IFERROR(H131*VLOOKUP(F131,инфо!$A$15:$C$28,3,FALSE)/1000,0)</f>
        <v>0</v>
      </c>
      <c r="J131" s="20"/>
      <c r="K131" s="81"/>
      <c r="L131" s="81"/>
      <c r="M131" s="20"/>
      <c r="N131" s="28"/>
      <c r="O131" s="27"/>
      <c r="P131" s="27"/>
      <c r="Q131" s="27"/>
      <c r="R131" s="27"/>
      <c r="S131" s="67">
        <f t="shared" si="45"/>
        <v>0</v>
      </c>
      <c r="T131" s="29"/>
      <c r="U131" s="30"/>
      <c r="V131" s="27"/>
      <c r="W131" s="27"/>
      <c r="X131" s="27"/>
      <c r="Y131" s="29"/>
      <c r="Z131" s="27"/>
      <c r="AA131" s="27"/>
      <c r="AB131" s="27"/>
      <c r="AC131" s="27"/>
      <c r="AD131" s="30"/>
      <c r="AE131" s="31">
        <f>SUMIFS(инфо!$D$15:$D$28,инфо!$A$15:$A$28,F131)</f>
        <v>0</v>
      </c>
      <c r="AF131" s="35">
        <f t="shared" si="36"/>
        <v>0</v>
      </c>
      <c r="AG131" s="33">
        <f t="shared" si="46"/>
        <v>0</v>
      </c>
      <c r="AH131" s="31">
        <f>SUMIFS(инфо!$E$15:$E$28,инфо!$A$15:$A$28,F131)</f>
        <v>0</v>
      </c>
      <c r="AI131" s="32">
        <f t="shared" si="37"/>
        <v>0</v>
      </c>
      <c r="AJ131" s="33">
        <f t="shared" si="47"/>
        <v>0</v>
      </c>
      <c r="AK131" s="31">
        <f>SUMIFS(инфо!$F$15:$F$28,инфо!$A$15:$A$28,F131)</f>
        <v>0</v>
      </c>
      <c r="AL131" s="32">
        <f t="shared" si="38"/>
        <v>0</v>
      </c>
      <c r="AM131" s="33">
        <f t="shared" si="41"/>
        <v>0</v>
      </c>
      <c r="AN131" s="31">
        <f>SUMIFS(инфо!$G$15:$G$28,инфо!$A$15:$A$28,F131)</f>
        <v>0</v>
      </c>
      <c r="AO131" s="32">
        <f t="shared" si="39"/>
        <v>0</v>
      </c>
      <c r="AP131" s="33">
        <f t="shared" si="42"/>
        <v>0</v>
      </c>
      <c r="AQ131" s="31">
        <f>SUMIFS(инфо!$H$15:$H$28,инфо!$A$15:$A$28,F131)</f>
        <v>0</v>
      </c>
      <c r="AR131" s="32">
        <f t="shared" si="40"/>
        <v>0</v>
      </c>
      <c r="AS131" s="33">
        <f t="shared" si="43"/>
        <v>0</v>
      </c>
      <c r="AT131" s="31">
        <f>SUMIFS(инфо!$I$15:$I$28,инфо!$A$15:$A$28,F131)</f>
        <v>0</v>
      </c>
      <c r="AU131" s="35">
        <f t="shared" si="33"/>
        <v>0</v>
      </c>
      <c r="AV131" s="33">
        <f t="shared" si="44"/>
        <v>0</v>
      </c>
      <c r="AX131" s="67">
        <f>SUMIFS(инфо!$C$15:$C$28,инфо!$A$15:$A$28,F131)*H130</f>
        <v>0</v>
      </c>
    </row>
    <row r="132" spans="1:50" x14ac:dyDescent="0.25">
      <c r="A132" s="70">
        <f t="shared" si="35"/>
        <v>46133</v>
      </c>
      <c r="B132" s="79"/>
      <c r="C132" s="15"/>
      <c r="D132" s="16"/>
      <c r="E132" s="83"/>
      <c r="F132" s="28"/>
      <c r="G132" s="81"/>
      <c r="H132" s="81"/>
      <c r="I132" s="118">
        <f>IFERROR(H132*VLOOKUP(F132,инфо!$A$15:$C$28,3,FALSE)/1000,0)</f>
        <v>0</v>
      </c>
      <c r="J132" s="20"/>
      <c r="K132" s="81"/>
      <c r="L132" s="81"/>
      <c r="M132" s="20"/>
      <c r="N132" s="20"/>
      <c r="O132" s="34"/>
      <c r="P132" s="34"/>
      <c r="Q132" s="34"/>
      <c r="R132" s="34"/>
      <c r="S132" s="68">
        <f t="shared" si="45"/>
        <v>0</v>
      </c>
      <c r="T132" s="15"/>
      <c r="U132" s="16"/>
      <c r="V132" s="34"/>
      <c r="W132" s="34"/>
      <c r="X132" s="34"/>
      <c r="Y132" s="15"/>
      <c r="Z132" s="34"/>
      <c r="AA132" s="34"/>
      <c r="AB132" s="34"/>
      <c r="AC132" s="34"/>
      <c r="AD132" s="16"/>
      <c r="AE132" s="24">
        <f>SUMIFS(инфо!$D$15:$D$28,инфо!$A$15:$A$28,F132)</f>
        <v>0</v>
      </c>
      <c r="AF132" s="35">
        <f t="shared" si="36"/>
        <v>0</v>
      </c>
      <c r="AG132" s="12">
        <f t="shared" si="46"/>
        <v>0</v>
      </c>
      <c r="AH132" s="24">
        <f>SUMIFS(инфо!$E$15:$E$28,инфо!$A$15:$A$28,F132)</f>
        <v>0</v>
      </c>
      <c r="AI132" s="32">
        <f t="shared" si="37"/>
        <v>0</v>
      </c>
      <c r="AJ132" s="12">
        <f t="shared" si="47"/>
        <v>0</v>
      </c>
      <c r="AK132" s="24">
        <f>SUMIFS(инфо!$F$15:$F$28,инфо!$A$15:$A$28,F132)</f>
        <v>0</v>
      </c>
      <c r="AL132" s="32">
        <f t="shared" si="38"/>
        <v>0</v>
      </c>
      <c r="AM132" s="12">
        <f t="shared" si="41"/>
        <v>0</v>
      </c>
      <c r="AN132" s="24">
        <f>SUMIFS(инфо!$G$15:$G$28,инфо!$A$15:$A$28,F132)</f>
        <v>0</v>
      </c>
      <c r="AO132" s="32">
        <f t="shared" si="39"/>
        <v>0</v>
      </c>
      <c r="AP132" s="12">
        <f t="shared" si="42"/>
        <v>0</v>
      </c>
      <c r="AQ132" s="24">
        <f>SUMIFS(инфо!$H$15:$H$28,инфо!$A$15:$A$28,F132)</f>
        <v>0</v>
      </c>
      <c r="AR132" s="35">
        <f t="shared" si="40"/>
        <v>0</v>
      </c>
      <c r="AS132" s="12">
        <f t="shared" si="43"/>
        <v>0</v>
      </c>
      <c r="AT132" s="24">
        <f>SUMIFS(инфо!$I$15:$I$28,инфо!$A$15:$A$28,F132)</f>
        <v>0</v>
      </c>
      <c r="AU132" s="35">
        <f t="shared" si="33"/>
        <v>0</v>
      </c>
      <c r="AV132" s="12">
        <f t="shared" si="44"/>
        <v>0</v>
      </c>
      <c r="AX132" s="68">
        <f>SUMIFS(инфо!$C$15:$C$28,инфо!$A$15:$A$28,F132)*H131</f>
        <v>0</v>
      </c>
    </row>
    <row r="133" spans="1:50" x14ac:dyDescent="0.25">
      <c r="A133" s="70">
        <f t="shared" si="35"/>
        <v>46133</v>
      </c>
      <c r="B133" s="79"/>
      <c r="C133" s="15"/>
      <c r="D133" s="16"/>
      <c r="E133" s="83"/>
      <c r="F133" s="28"/>
      <c r="G133" s="81"/>
      <c r="H133" s="81"/>
      <c r="I133" s="118">
        <f>IFERROR(H133*VLOOKUP(F133,инфо!$A$15:$C$28,3,FALSE)/1000,0)</f>
        <v>0</v>
      </c>
      <c r="J133" s="20"/>
      <c r="K133" s="81"/>
      <c r="L133" s="81"/>
      <c r="M133" s="20"/>
      <c r="N133" s="20"/>
      <c r="O133" s="34"/>
      <c r="P133" s="34"/>
      <c r="Q133" s="34"/>
      <c r="R133" s="34"/>
      <c r="S133" s="68">
        <f t="shared" si="45"/>
        <v>0</v>
      </c>
      <c r="T133" s="15"/>
      <c r="U133" s="16"/>
      <c r="V133" s="34"/>
      <c r="W133" s="34"/>
      <c r="X133" s="34"/>
      <c r="Y133" s="15"/>
      <c r="Z133" s="34"/>
      <c r="AA133" s="34"/>
      <c r="AB133" s="34"/>
      <c r="AC133" s="34"/>
      <c r="AD133" s="16"/>
      <c r="AE133" s="24">
        <f>SUMIFS(инфо!$D$15:$D$28,инфо!$A$15:$A$28,F133)</f>
        <v>0</v>
      </c>
      <c r="AF133" s="35">
        <f t="shared" si="36"/>
        <v>0</v>
      </c>
      <c r="AG133" s="12">
        <f t="shared" si="46"/>
        <v>0</v>
      </c>
      <c r="AH133" s="24">
        <f>SUMIFS(инфо!$E$15:$E$28,инфо!$A$15:$A$28,F133)</f>
        <v>0</v>
      </c>
      <c r="AI133" s="32">
        <f t="shared" si="37"/>
        <v>0</v>
      </c>
      <c r="AJ133" s="12">
        <f t="shared" si="47"/>
        <v>0</v>
      </c>
      <c r="AK133" s="24">
        <f>SUMIFS(инфо!$F$15:$F$28,инфо!$A$15:$A$28,F133)</f>
        <v>0</v>
      </c>
      <c r="AL133" s="32">
        <f t="shared" si="38"/>
        <v>0</v>
      </c>
      <c r="AM133" s="12">
        <f t="shared" si="41"/>
        <v>0</v>
      </c>
      <c r="AN133" s="24">
        <f>SUMIFS(инфо!$G$15:$G$28,инфо!$A$15:$A$28,F133)</f>
        <v>0</v>
      </c>
      <c r="AO133" s="32">
        <f t="shared" si="39"/>
        <v>0</v>
      </c>
      <c r="AP133" s="12">
        <f t="shared" si="42"/>
        <v>0</v>
      </c>
      <c r="AQ133" s="24">
        <f>SUMIFS(инфо!$H$15:$H$28,инфо!$A$15:$A$28,F133)</f>
        <v>0</v>
      </c>
      <c r="AR133" s="35">
        <f t="shared" si="40"/>
        <v>0</v>
      </c>
      <c r="AS133" s="12">
        <f t="shared" si="43"/>
        <v>0</v>
      </c>
      <c r="AT133" s="24">
        <f>SUMIFS(инфо!$I$15:$I$28,инфо!$A$15:$A$28,F133)</f>
        <v>0</v>
      </c>
      <c r="AU133" s="35">
        <f t="shared" ref="AU133:AU196" si="48">IF(H133=0,0,AD133/H133)</f>
        <v>0</v>
      </c>
      <c r="AV133" s="12">
        <f t="shared" si="44"/>
        <v>0</v>
      </c>
      <c r="AX133" s="68">
        <f>SUMIFS(инфо!$C$15:$C$28,инфо!$A$15:$A$28,F133)*H132</f>
        <v>0</v>
      </c>
    </row>
    <row r="134" spans="1:50" x14ac:dyDescent="0.25">
      <c r="A134" s="70">
        <f t="shared" si="35"/>
        <v>46134</v>
      </c>
      <c r="B134" s="79"/>
      <c r="C134" s="17"/>
      <c r="D134" s="18"/>
      <c r="E134" s="83"/>
      <c r="F134" s="28"/>
      <c r="G134" s="81"/>
      <c r="H134" s="81"/>
      <c r="I134" s="118">
        <f>IFERROR(H134*VLOOKUP(F134,инфо!$A$15:$C$28,3,FALSE)/1000,0)</f>
        <v>0</v>
      </c>
      <c r="J134" s="20"/>
      <c r="K134" s="81"/>
      <c r="L134" s="81"/>
      <c r="M134" s="20"/>
      <c r="N134" s="23"/>
      <c r="O134" s="19"/>
      <c r="P134" s="19"/>
      <c r="Q134" s="19"/>
      <c r="R134" s="19"/>
      <c r="S134" s="69">
        <f t="shared" si="45"/>
        <v>0</v>
      </c>
      <c r="T134" s="17"/>
      <c r="U134" s="18"/>
      <c r="V134" s="19"/>
      <c r="W134" s="19"/>
      <c r="X134" s="19"/>
      <c r="Y134" s="17"/>
      <c r="Z134" s="19"/>
      <c r="AA134" s="19"/>
      <c r="AB134" s="19"/>
      <c r="AC134" s="19"/>
      <c r="AD134" s="18"/>
      <c r="AE134" s="25">
        <f>SUMIFS(инфо!$D$15:$D$28,инфо!$A$15:$A$28,F134)</f>
        <v>0</v>
      </c>
      <c r="AF134" s="35">
        <f t="shared" si="36"/>
        <v>0</v>
      </c>
      <c r="AG134" s="14">
        <f t="shared" si="46"/>
        <v>0</v>
      </c>
      <c r="AH134" s="25">
        <f>SUMIFS(инфо!$E$15:$E$28,инфо!$A$15:$A$28,F134)</f>
        <v>0</v>
      </c>
      <c r="AI134" s="32">
        <f t="shared" si="37"/>
        <v>0</v>
      </c>
      <c r="AJ134" s="14">
        <f t="shared" si="47"/>
        <v>0</v>
      </c>
      <c r="AK134" s="25">
        <f>SUMIFS(инфо!$F$15:$F$28,инфо!$A$15:$A$28,F134)</f>
        <v>0</v>
      </c>
      <c r="AL134" s="32">
        <f t="shared" si="38"/>
        <v>0</v>
      </c>
      <c r="AM134" s="14">
        <f t="shared" si="41"/>
        <v>0</v>
      </c>
      <c r="AN134" s="25">
        <f>SUMIFS(инфо!$G$15:$G$28,инфо!$A$15:$A$28,F134)</f>
        <v>0</v>
      </c>
      <c r="AO134" s="32">
        <f t="shared" si="39"/>
        <v>0</v>
      </c>
      <c r="AP134" s="14">
        <f t="shared" si="42"/>
        <v>0</v>
      </c>
      <c r="AQ134" s="25">
        <f>SUMIFS(инфо!$H$15:$H$28,инфо!$A$15:$A$28,F134)</f>
        <v>0</v>
      </c>
      <c r="AR134" s="26">
        <f t="shared" si="40"/>
        <v>0</v>
      </c>
      <c r="AS134" s="14">
        <f t="shared" si="43"/>
        <v>0</v>
      </c>
      <c r="AT134" s="25">
        <f>SUMIFS(инфо!$I$15:$I$28,инфо!$A$15:$A$28,F134)</f>
        <v>0</v>
      </c>
      <c r="AU134" s="35">
        <f t="shared" si="48"/>
        <v>0</v>
      </c>
      <c r="AV134" s="14">
        <f t="shared" si="44"/>
        <v>0</v>
      </c>
      <c r="AX134" s="69">
        <f>SUMIFS(инфо!$C$15:$C$28,инфо!$A$15:$A$28,F134)*H133</f>
        <v>0</v>
      </c>
    </row>
    <row r="135" spans="1:50" x14ac:dyDescent="0.25">
      <c r="A135" s="70">
        <f t="shared" si="35"/>
        <v>46134</v>
      </c>
      <c r="B135" s="79"/>
      <c r="C135" s="29"/>
      <c r="D135" s="30"/>
      <c r="E135" s="83"/>
      <c r="F135" s="28"/>
      <c r="G135" s="81"/>
      <c r="H135" s="81"/>
      <c r="I135" s="118">
        <f>IFERROR(H135*VLOOKUP(F135,инфо!$A$15:$C$28,3,FALSE)/1000,0)</f>
        <v>0</v>
      </c>
      <c r="J135" s="20"/>
      <c r="K135" s="81"/>
      <c r="L135" s="81"/>
      <c r="M135" s="20"/>
      <c r="N135" s="28"/>
      <c r="O135" s="27"/>
      <c r="P135" s="27"/>
      <c r="Q135" s="27"/>
      <c r="R135" s="27"/>
      <c r="S135" s="67">
        <f t="shared" si="45"/>
        <v>0</v>
      </c>
      <c r="T135" s="29"/>
      <c r="U135" s="30"/>
      <c r="V135" s="27"/>
      <c r="W135" s="27"/>
      <c r="X135" s="27"/>
      <c r="Y135" s="29"/>
      <c r="Z135" s="27"/>
      <c r="AA135" s="27"/>
      <c r="AB135" s="27"/>
      <c r="AC135" s="27"/>
      <c r="AD135" s="30"/>
      <c r="AE135" s="31">
        <f>SUMIFS(инфо!$D$15:$D$28,инфо!$A$15:$A$28,F135)</f>
        <v>0</v>
      </c>
      <c r="AF135" s="35">
        <f t="shared" si="36"/>
        <v>0</v>
      </c>
      <c r="AG135" s="33">
        <f t="shared" si="46"/>
        <v>0</v>
      </c>
      <c r="AH135" s="31">
        <f>SUMIFS(инфо!$E$15:$E$28,инфо!$A$15:$A$28,F135)</f>
        <v>0</v>
      </c>
      <c r="AI135" s="32">
        <f t="shared" si="37"/>
        <v>0</v>
      </c>
      <c r="AJ135" s="33">
        <f t="shared" si="47"/>
        <v>0</v>
      </c>
      <c r="AK135" s="31">
        <f>SUMIFS(инфо!$F$15:$F$28,инфо!$A$15:$A$28,F135)</f>
        <v>0</v>
      </c>
      <c r="AL135" s="32">
        <f t="shared" si="38"/>
        <v>0</v>
      </c>
      <c r="AM135" s="33">
        <f t="shared" si="41"/>
        <v>0</v>
      </c>
      <c r="AN135" s="31">
        <f>SUMIFS(инфо!$G$15:$G$28,инфо!$A$15:$A$28,F135)</f>
        <v>0</v>
      </c>
      <c r="AO135" s="32">
        <f t="shared" si="39"/>
        <v>0</v>
      </c>
      <c r="AP135" s="33">
        <f t="shared" si="42"/>
        <v>0</v>
      </c>
      <c r="AQ135" s="31">
        <f>SUMIFS(инфо!$H$15:$H$28,инфо!$A$15:$A$28,F135)</f>
        <v>0</v>
      </c>
      <c r="AR135" s="32">
        <f t="shared" si="40"/>
        <v>0</v>
      </c>
      <c r="AS135" s="33">
        <f t="shared" si="43"/>
        <v>0</v>
      </c>
      <c r="AT135" s="31">
        <f>SUMIFS(инфо!$I$15:$I$28,инфо!$A$15:$A$28,F135)</f>
        <v>0</v>
      </c>
      <c r="AU135" s="35">
        <f t="shared" si="48"/>
        <v>0</v>
      </c>
      <c r="AV135" s="33">
        <f t="shared" si="44"/>
        <v>0</v>
      </c>
      <c r="AX135" s="67">
        <f>SUMIFS(инфо!$C$15:$C$28,инфо!$A$15:$A$28,F135)*H134</f>
        <v>0</v>
      </c>
    </row>
    <row r="136" spans="1:50" x14ac:dyDescent="0.25">
      <c r="A136" s="70">
        <f t="shared" si="35"/>
        <v>46135</v>
      </c>
      <c r="B136" s="79"/>
      <c r="C136" s="15"/>
      <c r="D136" s="16"/>
      <c r="E136" s="83"/>
      <c r="F136" s="28"/>
      <c r="G136" s="81"/>
      <c r="H136" s="81"/>
      <c r="I136" s="118">
        <f>IFERROR(H136*VLOOKUP(F136,инфо!$A$15:$C$28,3,FALSE)/1000,0)</f>
        <v>0</v>
      </c>
      <c r="J136" s="20"/>
      <c r="K136" s="81"/>
      <c r="L136" s="81"/>
      <c r="M136" s="20"/>
      <c r="N136" s="20"/>
      <c r="O136" s="34"/>
      <c r="P136" s="34"/>
      <c r="Q136" s="34"/>
      <c r="R136" s="34"/>
      <c r="S136" s="68">
        <f t="shared" si="45"/>
        <v>0</v>
      </c>
      <c r="T136" s="15"/>
      <c r="U136" s="16"/>
      <c r="V136" s="34"/>
      <c r="W136" s="34"/>
      <c r="X136" s="34"/>
      <c r="Y136" s="15"/>
      <c r="Z136" s="34"/>
      <c r="AA136" s="34"/>
      <c r="AB136" s="34"/>
      <c r="AC136" s="34"/>
      <c r="AD136" s="16"/>
      <c r="AE136" s="24">
        <f>SUMIFS(инфо!$D$15:$D$28,инфо!$A$15:$A$28,F136)</f>
        <v>0</v>
      </c>
      <c r="AF136" s="35">
        <f t="shared" si="36"/>
        <v>0</v>
      </c>
      <c r="AG136" s="12">
        <f t="shared" si="46"/>
        <v>0</v>
      </c>
      <c r="AH136" s="24">
        <f>SUMIFS(инфо!$E$15:$E$28,инфо!$A$15:$A$28,F136)</f>
        <v>0</v>
      </c>
      <c r="AI136" s="32">
        <f t="shared" si="37"/>
        <v>0</v>
      </c>
      <c r="AJ136" s="12">
        <f t="shared" si="47"/>
        <v>0</v>
      </c>
      <c r="AK136" s="24">
        <f>SUMIFS(инфо!$F$15:$F$28,инфо!$A$15:$A$28,F136)</f>
        <v>0</v>
      </c>
      <c r="AL136" s="32">
        <f t="shared" si="38"/>
        <v>0</v>
      </c>
      <c r="AM136" s="12">
        <f t="shared" si="41"/>
        <v>0</v>
      </c>
      <c r="AN136" s="24">
        <f>SUMIFS(инфо!$G$15:$G$28,инфо!$A$15:$A$28,F136)</f>
        <v>0</v>
      </c>
      <c r="AO136" s="32">
        <f t="shared" si="39"/>
        <v>0</v>
      </c>
      <c r="AP136" s="12">
        <f t="shared" si="42"/>
        <v>0</v>
      </c>
      <c r="AQ136" s="24">
        <f>SUMIFS(инфо!$H$15:$H$28,инфо!$A$15:$A$28,F136)</f>
        <v>0</v>
      </c>
      <c r="AR136" s="35">
        <f t="shared" si="40"/>
        <v>0</v>
      </c>
      <c r="AS136" s="12">
        <f t="shared" si="43"/>
        <v>0</v>
      </c>
      <c r="AT136" s="24">
        <f>SUMIFS(инфо!$I$15:$I$28,инфо!$A$15:$A$28,F136)</f>
        <v>0</v>
      </c>
      <c r="AU136" s="35">
        <f t="shared" si="48"/>
        <v>0</v>
      </c>
      <c r="AV136" s="12">
        <f t="shared" si="44"/>
        <v>0</v>
      </c>
      <c r="AX136" s="68">
        <f>SUMIFS(инфо!$C$15:$C$28,инфо!$A$15:$A$28,F136)*H135</f>
        <v>0</v>
      </c>
    </row>
    <row r="137" spans="1:50" x14ac:dyDescent="0.25">
      <c r="A137" s="70">
        <f t="shared" si="35"/>
        <v>46135</v>
      </c>
      <c r="B137" s="79"/>
      <c r="C137" s="15"/>
      <c r="D137" s="16"/>
      <c r="E137" s="83"/>
      <c r="F137" s="28"/>
      <c r="G137" s="81"/>
      <c r="H137" s="81"/>
      <c r="I137" s="118">
        <f>IFERROR(H137*VLOOKUP(F137,инфо!$A$15:$C$28,3,FALSE)/1000,0)</f>
        <v>0</v>
      </c>
      <c r="J137" s="20"/>
      <c r="K137" s="81"/>
      <c r="L137" s="81"/>
      <c r="M137" s="20"/>
      <c r="N137" s="20"/>
      <c r="O137" s="34"/>
      <c r="P137" s="34"/>
      <c r="Q137" s="34"/>
      <c r="R137" s="34"/>
      <c r="S137" s="68">
        <f t="shared" si="45"/>
        <v>0</v>
      </c>
      <c r="T137" s="15"/>
      <c r="U137" s="16"/>
      <c r="V137" s="34"/>
      <c r="W137" s="34"/>
      <c r="X137" s="34"/>
      <c r="Y137" s="15"/>
      <c r="Z137" s="34"/>
      <c r="AA137" s="34"/>
      <c r="AB137" s="34"/>
      <c r="AC137" s="34"/>
      <c r="AD137" s="16"/>
      <c r="AE137" s="24">
        <f>SUMIFS(инфо!$D$15:$D$28,инфо!$A$15:$A$28,F137)</f>
        <v>0</v>
      </c>
      <c r="AF137" s="35">
        <f t="shared" si="36"/>
        <v>0</v>
      </c>
      <c r="AG137" s="12">
        <f t="shared" si="46"/>
        <v>0</v>
      </c>
      <c r="AH137" s="24">
        <f>SUMIFS(инфо!$E$15:$E$28,инфо!$A$15:$A$28,F137)</f>
        <v>0</v>
      </c>
      <c r="AI137" s="32">
        <f t="shared" si="37"/>
        <v>0</v>
      </c>
      <c r="AJ137" s="12">
        <f t="shared" si="47"/>
        <v>0</v>
      </c>
      <c r="AK137" s="24">
        <f>SUMIFS(инфо!$F$15:$F$28,инфо!$A$15:$A$28,F137)</f>
        <v>0</v>
      </c>
      <c r="AL137" s="32">
        <f t="shared" si="38"/>
        <v>0</v>
      </c>
      <c r="AM137" s="12">
        <f t="shared" si="41"/>
        <v>0</v>
      </c>
      <c r="AN137" s="24">
        <f>SUMIFS(инфо!$G$15:$G$28,инфо!$A$15:$A$28,F137)</f>
        <v>0</v>
      </c>
      <c r="AO137" s="32">
        <f t="shared" si="39"/>
        <v>0</v>
      </c>
      <c r="AP137" s="12">
        <f t="shared" si="42"/>
        <v>0</v>
      </c>
      <c r="AQ137" s="24">
        <f>SUMIFS(инфо!$H$15:$H$28,инфо!$A$15:$A$28,F137)</f>
        <v>0</v>
      </c>
      <c r="AR137" s="35">
        <f t="shared" si="40"/>
        <v>0</v>
      </c>
      <c r="AS137" s="12">
        <f t="shared" si="43"/>
        <v>0</v>
      </c>
      <c r="AT137" s="24">
        <f>SUMIFS(инфо!$I$15:$I$28,инфо!$A$15:$A$28,F137)</f>
        <v>0</v>
      </c>
      <c r="AU137" s="35">
        <f t="shared" si="48"/>
        <v>0</v>
      </c>
      <c r="AV137" s="12">
        <f t="shared" si="44"/>
        <v>0</v>
      </c>
      <c r="AX137" s="68">
        <f>SUMIFS(инфо!$C$15:$C$28,инфо!$A$15:$A$28,F137)*H136</f>
        <v>0</v>
      </c>
    </row>
    <row r="138" spans="1:50" x14ac:dyDescent="0.25">
      <c r="A138" s="70">
        <f t="shared" si="35"/>
        <v>46136</v>
      </c>
      <c r="B138" s="79"/>
      <c r="C138" s="17"/>
      <c r="D138" s="18"/>
      <c r="E138" s="83"/>
      <c r="F138" s="28"/>
      <c r="G138" s="81"/>
      <c r="H138" s="81"/>
      <c r="I138" s="118">
        <f>IFERROR(H138*VLOOKUP(F138,инфо!$A$15:$C$28,3,FALSE)/1000,0)</f>
        <v>0</v>
      </c>
      <c r="J138" s="20"/>
      <c r="K138" s="81"/>
      <c r="L138" s="81"/>
      <c r="M138" s="20"/>
      <c r="N138" s="23"/>
      <c r="O138" s="19"/>
      <c r="P138" s="19"/>
      <c r="Q138" s="19"/>
      <c r="R138" s="19"/>
      <c r="S138" s="69">
        <f t="shared" si="45"/>
        <v>0</v>
      </c>
      <c r="T138" s="17"/>
      <c r="U138" s="18"/>
      <c r="V138" s="19"/>
      <c r="W138" s="19"/>
      <c r="X138" s="19"/>
      <c r="Y138" s="17"/>
      <c r="Z138" s="19"/>
      <c r="AA138" s="19"/>
      <c r="AB138" s="19"/>
      <c r="AC138" s="19"/>
      <c r="AD138" s="18"/>
      <c r="AE138" s="25">
        <f>SUMIFS(инфо!$D$15:$D$28,инфо!$A$15:$A$28,F138)</f>
        <v>0</v>
      </c>
      <c r="AF138" s="35">
        <f t="shared" si="36"/>
        <v>0</v>
      </c>
      <c r="AG138" s="14">
        <f t="shared" si="46"/>
        <v>0</v>
      </c>
      <c r="AH138" s="25">
        <f>SUMIFS(инфо!$E$15:$E$28,инфо!$A$15:$A$28,F138)</f>
        <v>0</v>
      </c>
      <c r="AI138" s="32">
        <f t="shared" si="37"/>
        <v>0</v>
      </c>
      <c r="AJ138" s="14">
        <f t="shared" si="47"/>
        <v>0</v>
      </c>
      <c r="AK138" s="25">
        <f>SUMIFS(инфо!$F$15:$F$28,инфо!$A$15:$A$28,F138)</f>
        <v>0</v>
      </c>
      <c r="AL138" s="32">
        <f t="shared" si="38"/>
        <v>0</v>
      </c>
      <c r="AM138" s="14">
        <f t="shared" si="41"/>
        <v>0</v>
      </c>
      <c r="AN138" s="25">
        <f>SUMIFS(инфо!$G$15:$G$28,инфо!$A$15:$A$28,F138)</f>
        <v>0</v>
      </c>
      <c r="AO138" s="32">
        <f t="shared" si="39"/>
        <v>0</v>
      </c>
      <c r="AP138" s="14">
        <f t="shared" si="42"/>
        <v>0</v>
      </c>
      <c r="AQ138" s="25">
        <f>SUMIFS(инфо!$H$15:$H$28,инфо!$A$15:$A$28,F138)</f>
        <v>0</v>
      </c>
      <c r="AR138" s="26">
        <f t="shared" si="40"/>
        <v>0</v>
      </c>
      <c r="AS138" s="14">
        <f t="shared" si="43"/>
        <v>0</v>
      </c>
      <c r="AT138" s="25">
        <f>SUMIFS(инфо!$I$15:$I$28,инфо!$A$15:$A$28,F138)</f>
        <v>0</v>
      </c>
      <c r="AU138" s="35">
        <f t="shared" si="48"/>
        <v>0</v>
      </c>
      <c r="AV138" s="14">
        <f t="shared" si="44"/>
        <v>0</v>
      </c>
      <c r="AX138" s="69">
        <f>SUMIFS(инфо!$C$15:$C$28,инфо!$A$15:$A$28,F138)*H137</f>
        <v>0</v>
      </c>
    </row>
    <row r="139" spans="1:50" x14ac:dyDescent="0.25">
      <c r="A139" s="70">
        <f t="shared" si="35"/>
        <v>46136</v>
      </c>
      <c r="B139" s="79"/>
      <c r="C139" s="29"/>
      <c r="D139" s="30"/>
      <c r="E139" s="83"/>
      <c r="F139" s="28"/>
      <c r="G139" s="81"/>
      <c r="H139" s="81"/>
      <c r="I139" s="118">
        <f>IFERROR(H139*VLOOKUP(F139,инфо!$A$15:$C$28,3,FALSE)/1000,0)</f>
        <v>0</v>
      </c>
      <c r="J139" s="20"/>
      <c r="K139" s="81"/>
      <c r="L139" s="81"/>
      <c r="M139" s="20"/>
      <c r="N139" s="28"/>
      <c r="O139" s="27"/>
      <c r="P139" s="27"/>
      <c r="Q139" s="27"/>
      <c r="R139" s="27"/>
      <c r="S139" s="67">
        <f t="shared" si="45"/>
        <v>0</v>
      </c>
      <c r="T139" s="29"/>
      <c r="U139" s="30"/>
      <c r="V139" s="27"/>
      <c r="W139" s="27"/>
      <c r="X139" s="27"/>
      <c r="Y139" s="29"/>
      <c r="Z139" s="27"/>
      <c r="AA139" s="27"/>
      <c r="AB139" s="27"/>
      <c r="AC139" s="27"/>
      <c r="AD139" s="30"/>
      <c r="AE139" s="31">
        <f>SUMIFS(инфо!$D$15:$D$28,инфо!$A$15:$A$28,F139)</f>
        <v>0</v>
      </c>
      <c r="AF139" s="35">
        <f t="shared" si="36"/>
        <v>0</v>
      </c>
      <c r="AG139" s="33">
        <f t="shared" si="46"/>
        <v>0</v>
      </c>
      <c r="AH139" s="31">
        <f>SUMIFS(инфо!$E$15:$E$28,инфо!$A$15:$A$28,F139)</f>
        <v>0</v>
      </c>
      <c r="AI139" s="32">
        <f t="shared" si="37"/>
        <v>0</v>
      </c>
      <c r="AJ139" s="33">
        <f t="shared" si="47"/>
        <v>0</v>
      </c>
      <c r="AK139" s="31">
        <f>SUMIFS(инфо!$F$15:$F$28,инфо!$A$15:$A$28,F139)</f>
        <v>0</v>
      </c>
      <c r="AL139" s="32">
        <f t="shared" si="38"/>
        <v>0</v>
      </c>
      <c r="AM139" s="33">
        <f t="shared" si="41"/>
        <v>0</v>
      </c>
      <c r="AN139" s="31">
        <f>SUMIFS(инфо!$G$15:$G$28,инфо!$A$15:$A$28,F139)</f>
        <v>0</v>
      </c>
      <c r="AO139" s="32">
        <f t="shared" si="39"/>
        <v>0</v>
      </c>
      <c r="AP139" s="33">
        <f t="shared" si="42"/>
        <v>0</v>
      </c>
      <c r="AQ139" s="31">
        <f>SUMIFS(инфо!$H$15:$H$28,инфо!$A$15:$A$28,F139)</f>
        <v>0</v>
      </c>
      <c r="AR139" s="32">
        <f t="shared" si="40"/>
        <v>0</v>
      </c>
      <c r="AS139" s="33">
        <f t="shared" si="43"/>
        <v>0</v>
      </c>
      <c r="AT139" s="31">
        <f>SUMIFS(инфо!$I$15:$I$28,инфо!$A$15:$A$28,F139)</f>
        <v>0</v>
      </c>
      <c r="AU139" s="35">
        <f t="shared" si="48"/>
        <v>0</v>
      </c>
      <c r="AV139" s="33">
        <f t="shared" si="44"/>
        <v>0</v>
      </c>
      <c r="AX139" s="67">
        <f>SUMIFS(инфо!$C$15:$C$28,инфо!$A$15:$A$28,F139)*H138</f>
        <v>0</v>
      </c>
    </row>
    <row r="140" spans="1:50" x14ac:dyDescent="0.25">
      <c r="A140" s="70">
        <f t="shared" si="35"/>
        <v>46137</v>
      </c>
      <c r="B140" s="79"/>
      <c r="C140" s="15"/>
      <c r="D140" s="16"/>
      <c r="E140" s="83"/>
      <c r="F140" s="28"/>
      <c r="G140" s="81"/>
      <c r="H140" s="81"/>
      <c r="I140" s="118">
        <f>IFERROR(H140*VLOOKUP(F140,инфо!$A$15:$C$28,3,FALSE)/1000,0)</f>
        <v>0</v>
      </c>
      <c r="J140" s="20"/>
      <c r="K140" s="81"/>
      <c r="L140" s="81"/>
      <c r="M140" s="20"/>
      <c r="N140" s="20"/>
      <c r="O140" s="34"/>
      <c r="P140" s="34"/>
      <c r="Q140" s="34"/>
      <c r="R140" s="34"/>
      <c r="S140" s="68">
        <f t="shared" si="45"/>
        <v>0</v>
      </c>
      <c r="T140" s="15"/>
      <c r="U140" s="16"/>
      <c r="V140" s="34"/>
      <c r="W140" s="34"/>
      <c r="X140" s="34"/>
      <c r="Y140" s="15"/>
      <c r="Z140" s="34"/>
      <c r="AA140" s="34"/>
      <c r="AB140" s="34"/>
      <c r="AC140" s="34"/>
      <c r="AD140" s="16"/>
      <c r="AE140" s="24">
        <f>SUMIFS(инфо!$D$15:$D$28,инфо!$A$15:$A$28,F140)</f>
        <v>0</v>
      </c>
      <c r="AF140" s="35">
        <f t="shared" si="36"/>
        <v>0</v>
      </c>
      <c r="AG140" s="12">
        <f t="shared" si="46"/>
        <v>0</v>
      </c>
      <c r="AH140" s="24">
        <f>SUMIFS(инфо!$E$15:$E$28,инфо!$A$15:$A$28,F140)</f>
        <v>0</v>
      </c>
      <c r="AI140" s="32">
        <f t="shared" si="37"/>
        <v>0</v>
      </c>
      <c r="AJ140" s="12">
        <f t="shared" si="47"/>
        <v>0</v>
      </c>
      <c r="AK140" s="24">
        <f>SUMIFS(инфо!$F$15:$F$28,инфо!$A$15:$A$28,F140)</f>
        <v>0</v>
      </c>
      <c r="AL140" s="32">
        <f t="shared" si="38"/>
        <v>0</v>
      </c>
      <c r="AM140" s="12">
        <f t="shared" si="41"/>
        <v>0</v>
      </c>
      <c r="AN140" s="24">
        <f>SUMIFS(инфо!$G$15:$G$28,инфо!$A$15:$A$28,F140)</f>
        <v>0</v>
      </c>
      <c r="AO140" s="32">
        <f t="shared" si="39"/>
        <v>0</v>
      </c>
      <c r="AP140" s="12">
        <f t="shared" si="42"/>
        <v>0</v>
      </c>
      <c r="AQ140" s="24">
        <f>SUMIFS(инфо!$H$15:$H$28,инфо!$A$15:$A$28,F140)</f>
        <v>0</v>
      </c>
      <c r="AR140" s="35">
        <f t="shared" si="40"/>
        <v>0</v>
      </c>
      <c r="AS140" s="12">
        <f t="shared" si="43"/>
        <v>0</v>
      </c>
      <c r="AT140" s="24">
        <f>SUMIFS(инфо!$I$15:$I$28,инфо!$A$15:$A$28,F140)</f>
        <v>0</v>
      </c>
      <c r="AU140" s="35">
        <f t="shared" si="48"/>
        <v>0</v>
      </c>
      <c r="AV140" s="12">
        <f t="shared" si="44"/>
        <v>0</v>
      </c>
      <c r="AX140" s="68">
        <f>SUMIFS(инфо!$C$15:$C$28,инфо!$A$15:$A$28,F140)*H139</f>
        <v>0</v>
      </c>
    </row>
    <row r="141" spans="1:50" x14ac:dyDescent="0.25">
      <c r="A141" s="70">
        <f t="shared" si="35"/>
        <v>46137</v>
      </c>
      <c r="B141" s="79"/>
      <c r="C141" s="15"/>
      <c r="D141" s="16"/>
      <c r="E141" s="83"/>
      <c r="F141" s="28"/>
      <c r="G141" s="81"/>
      <c r="H141" s="81"/>
      <c r="I141" s="118">
        <f>IFERROR(H141*VLOOKUP(F141,инфо!$A$15:$C$28,3,FALSE)/1000,0)</f>
        <v>0</v>
      </c>
      <c r="J141" s="20"/>
      <c r="K141" s="81"/>
      <c r="L141" s="81"/>
      <c r="M141" s="20"/>
      <c r="N141" s="20"/>
      <c r="O141" s="34"/>
      <c r="P141" s="34"/>
      <c r="Q141" s="34"/>
      <c r="R141" s="34"/>
      <c r="S141" s="68">
        <f t="shared" si="45"/>
        <v>0</v>
      </c>
      <c r="T141" s="15"/>
      <c r="U141" s="16"/>
      <c r="V141" s="34"/>
      <c r="W141" s="34"/>
      <c r="X141" s="34"/>
      <c r="Y141" s="15"/>
      <c r="Z141" s="34"/>
      <c r="AA141" s="34"/>
      <c r="AB141" s="34"/>
      <c r="AC141" s="34"/>
      <c r="AD141" s="16"/>
      <c r="AE141" s="24">
        <f>SUMIFS(инфо!$D$15:$D$28,инфо!$A$15:$A$28,F141)</f>
        <v>0</v>
      </c>
      <c r="AF141" s="35">
        <f t="shared" si="36"/>
        <v>0</v>
      </c>
      <c r="AG141" s="12">
        <f t="shared" si="46"/>
        <v>0</v>
      </c>
      <c r="AH141" s="24">
        <f>SUMIFS(инфо!$E$15:$E$28,инфо!$A$15:$A$28,F141)</f>
        <v>0</v>
      </c>
      <c r="AI141" s="32">
        <f t="shared" si="37"/>
        <v>0</v>
      </c>
      <c r="AJ141" s="12">
        <f t="shared" si="47"/>
        <v>0</v>
      </c>
      <c r="AK141" s="24">
        <f>SUMIFS(инфо!$F$15:$F$28,инфо!$A$15:$A$28,F141)</f>
        <v>0</v>
      </c>
      <c r="AL141" s="32">
        <f t="shared" si="38"/>
        <v>0</v>
      </c>
      <c r="AM141" s="12">
        <f t="shared" si="41"/>
        <v>0</v>
      </c>
      <c r="AN141" s="24">
        <f>SUMIFS(инфо!$G$15:$G$28,инфо!$A$15:$A$28,F141)</f>
        <v>0</v>
      </c>
      <c r="AO141" s="32">
        <f t="shared" si="39"/>
        <v>0</v>
      </c>
      <c r="AP141" s="12">
        <f t="shared" si="42"/>
        <v>0</v>
      </c>
      <c r="AQ141" s="24">
        <f>SUMIFS(инфо!$H$15:$H$28,инфо!$A$15:$A$28,F141)</f>
        <v>0</v>
      </c>
      <c r="AR141" s="35">
        <f t="shared" si="40"/>
        <v>0</v>
      </c>
      <c r="AS141" s="12">
        <f t="shared" si="43"/>
        <v>0</v>
      </c>
      <c r="AT141" s="24">
        <f>SUMIFS(инфо!$I$15:$I$28,инфо!$A$15:$A$28,F141)</f>
        <v>0</v>
      </c>
      <c r="AU141" s="35">
        <f t="shared" si="48"/>
        <v>0</v>
      </c>
      <c r="AV141" s="12">
        <f t="shared" si="44"/>
        <v>0</v>
      </c>
      <c r="AX141" s="68">
        <f>SUMIFS(инфо!$C$15:$C$28,инфо!$A$15:$A$28,F141)*H140</f>
        <v>0</v>
      </c>
    </row>
    <row r="142" spans="1:50" x14ac:dyDescent="0.25">
      <c r="A142" s="70">
        <f t="shared" si="35"/>
        <v>46138</v>
      </c>
      <c r="B142" s="79"/>
      <c r="C142" s="17"/>
      <c r="D142" s="18"/>
      <c r="E142" s="83"/>
      <c r="F142" s="28"/>
      <c r="G142" s="81"/>
      <c r="H142" s="81"/>
      <c r="I142" s="118">
        <f>IFERROR(H142*VLOOKUP(F142,инфо!$A$15:$C$28,3,FALSE)/1000,0)</f>
        <v>0</v>
      </c>
      <c r="J142" s="20"/>
      <c r="K142" s="81"/>
      <c r="L142" s="81"/>
      <c r="M142" s="20"/>
      <c r="N142" s="23"/>
      <c r="O142" s="19"/>
      <c r="P142" s="19"/>
      <c r="Q142" s="19"/>
      <c r="R142" s="19"/>
      <c r="S142" s="69">
        <f t="shared" si="45"/>
        <v>0</v>
      </c>
      <c r="T142" s="17"/>
      <c r="U142" s="18"/>
      <c r="V142" s="19"/>
      <c r="W142" s="19"/>
      <c r="X142" s="19"/>
      <c r="Y142" s="17"/>
      <c r="Z142" s="19"/>
      <c r="AA142" s="19"/>
      <c r="AB142" s="19"/>
      <c r="AC142" s="19"/>
      <c r="AD142" s="18"/>
      <c r="AE142" s="25">
        <f>SUMIFS(инфо!$D$15:$D$28,инфо!$A$15:$A$28,F142)</f>
        <v>0</v>
      </c>
      <c r="AF142" s="35">
        <f t="shared" si="36"/>
        <v>0</v>
      </c>
      <c r="AG142" s="14">
        <f t="shared" si="46"/>
        <v>0</v>
      </c>
      <c r="AH142" s="25">
        <f>SUMIFS(инфо!$E$15:$E$28,инфо!$A$15:$A$28,F142)</f>
        <v>0</v>
      </c>
      <c r="AI142" s="32">
        <f t="shared" si="37"/>
        <v>0</v>
      </c>
      <c r="AJ142" s="14">
        <f t="shared" si="47"/>
        <v>0</v>
      </c>
      <c r="AK142" s="25">
        <f>SUMIFS(инфо!$F$15:$F$28,инфо!$A$15:$A$28,F142)</f>
        <v>0</v>
      </c>
      <c r="AL142" s="32">
        <f t="shared" si="38"/>
        <v>0</v>
      </c>
      <c r="AM142" s="14">
        <f t="shared" si="41"/>
        <v>0</v>
      </c>
      <c r="AN142" s="25">
        <f>SUMIFS(инфо!$G$15:$G$28,инфо!$A$15:$A$28,F142)</f>
        <v>0</v>
      </c>
      <c r="AO142" s="32">
        <f t="shared" si="39"/>
        <v>0</v>
      </c>
      <c r="AP142" s="14">
        <f t="shared" si="42"/>
        <v>0</v>
      </c>
      <c r="AQ142" s="25">
        <f>SUMIFS(инфо!$H$15:$H$28,инфо!$A$15:$A$28,F142)</f>
        <v>0</v>
      </c>
      <c r="AR142" s="26">
        <f t="shared" si="40"/>
        <v>0</v>
      </c>
      <c r="AS142" s="14">
        <f t="shared" si="43"/>
        <v>0</v>
      </c>
      <c r="AT142" s="25">
        <f>SUMIFS(инфо!$I$15:$I$28,инфо!$A$15:$A$28,F142)</f>
        <v>0</v>
      </c>
      <c r="AU142" s="35">
        <f t="shared" si="48"/>
        <v>0</v>
      </c>
      <c r="AV142" s="14">
        <f t="shared" si="44"/>
        <v>0</v>
      </c>
      <c r="AX142" s="69">
        <f>SUMIFS(инфо!$C$15:$C$28,инфо!$A$15:$A$28,F142)*H141</f>
        <v>0</v>
      </c>
    </row>
    <row r="143" spans="1:50" x14ac:dyDescent="0.25">
      <c r="A143" s="70">
        <f t="shared" si="35"/>
        <v>46138</v>
      </c>
      <c r="B143" s="79"/>
      <c r="C143" s="29"/>
      <c r="D143" s="30"/>
      <c r="E143" s="83"/>
      <c r="F143" s="28"/>
      <c r="G143" s="81"/>
      <c r="H143" s="81"/>
      <c r="I143" s="118">
        <f>IFERROR(H143*VLOOKUP(F143,инфо!$A$15:$C$28,3,FALSE)/1000,0)</f>
        <v>0</v>
      </c>
      <c r="J143" s="20"/>
      <c r="K143" s="81"/>
      <c r="L143" s="81"/>
      <c r="M143" s="20"/>
      <c r="N143" s="28"/>
      <c r="O143" s="27"/>
      <c r="P143" s="27"/>
      <c r="Q143" s="27"/>
      <c r="R143" s="27"/>
      <c r="S143" s="67">
        <f t="shared" si="45"/>
        <v>0</v>
      </c>
      <c r="T143" s="29"/>
      <c r="U143" s="30"/>
      <c r="V143" s="27"/>
      <c r="W143" s="27"/>
      <c r="X143" s="27"/>
      <c r="Y143" s="29"/>
      <c r="Z143" s="27"/>
      <c r="AA143" s="27"/>
      <c r="AB143" s="27"/>
      <c r="AC143" s="27"/>
      <c r="AD143" s="30"/>
      <c r="AE143" s="31">
        <f>SUMIFS(инфо!$D$15:$D$28,инфо!$A$15:$A$28,F143)</f>
        <v>0</v>
      </c>
      <c r="AF143" s="35">
        <f t="shared" si="36"/>
        <v>0</v>
      </c>
      <c r="AG143" s="33">
        <f t="shared" si="46"/>
        <v>0</v>
      </c>
      <c r="AH143" s="31">
        <f>SUMIFS(инфо!$E$15:$E$28,инфо!$A$15:$A$28,F143)</f>
        <v>0</v>
      </c>
      <c r="AI143" s="32">
        <f t="shared" si="37"/>
        <v>0</v>
      </c>
      <c r="AJ143" s="33">
        <f t="shared" si="47"/>
        <v>0</v>
      </c>
      <c r="AK143" s="31">
        <f>SUMIFS(инфо!$F$15:$F$28,инфо!$A$15:$A$28,F143)</f>
        <v>0</v>
      </c>
      <c r="AL143" s="32">
        <f t="shared" si="38"/>
        <v>0</v>
      </c>
      <c r="AM143" s="33">
        <f t="shared" si="41"/>
        <v>0</v>
      </c>
      <c r="AN143" s="31">
        <f>SUMIFS(инфо!$G$15:$G$28,инфо!$A$15:$A$28,F143)</f>
        <v>0</v>
      </c>
      <c r="AO143" s="32">
        <f t="shared" si="39"/>
        <v>0</v>
      </c>
      <c r="AP143" s="33">
        <f t="shared" si="42"/>
        <v>0</v>
      </c>
      <c r="AQ143" s="31">
        <f>SUMIFS(инфо!$H$15:$H$28,инфо!$A$15:$A$28,F143)</f>
        <v>0</v>
      </c>
      <c r="AR143" s="32">
        <f t="shared" si="40"/>
        <v>0</v>
      </c>
      <c r="AS143" s="33">
        <f t="shared" si="43"/>
        <v>0</v>
      </c>
      <c r="AT143" s="31">
        <f>SUMIFS(инфо!$I$15:$I$28,инфо!$A$15:$A$28,F143)</f>
        <v>0</v>
      </c>
      <c r="AU143" s="35">
        <f t="shared" si="48"/>
        <v>0</v>
      </c>
      <c r="AV143" s="33">
        <f t="shared" si="44"/>
        <v>0</v>
      </c>
      <c r="AX143" s="67">
        <f>SUMIFS(инфо!$C$15:$C$28,инфо!$A$15:$A$28,F143)*H142</f>
        <v>0</v>
      </c>
    </row>
    <row r="144" spans="1:50" x14ac:dyDescent="0.25">
      <c r="A144" s="70">
        <f t="shared" si="35"/>
        <v>46139</v>
      </c>
      <c r="B144" s="79"/>
      <c r="C144" s="15"/>
      <c r="D144" s="16"/>
      <c r="E144" s="83"/>
      <c r="F144" s="28"/>
      <c r="G144" s="81"/>
      <c r="H144" s="81"/>
      <c r="I144" s="118">
        <f>IFERROR(H144*VLOOKUP(F144,инфо!$A$15:$C$28,3,FALSE)/1000,0)</f>
        <v>0</v>
      </c>
      <c r="J144" s="20"/>
      <c r="K144" s="81"/>
      <c r="L144" s="81"/>
      <c r="M144" s="20"/>
      <c r="N144" s="20"/>
      <c r="O144" s="34"/>
      <c r="P144" s="34"/>
      <c r="Q144" s="34"/>
      <c r="R144" s="34"/>
      <c r="S144" s="68">
        <f t="shared" si="45"/>
        <v>0</v>
      </c>
      <c r="T144" s="15"/>
      <c r="U144" s="16"/>
      <c r="V144" s="34"/>
      <c r="W144" s="34"/>
      <c r="X144" s="34"/>
      <c r="Y144" s="15"/>
      <c r="Z144" s="34"/>
      <c r="AA144" s="34"/>
      <c r="AB144" s="34"/>
      <c r="AC144" s="34"/>
      <c r="AD144" s="16"/>
      <c r="AE144" s="24">
        <f>SUMIFS(инфо!$D$15:$D$28,инфо!$A$15:$A$28,F144)</f>
        <v>0</v>
      </c>
      <c r="AF144" s="35">
        <f t="shared" si="36"/>
        <v>0</v>
      </c>
      <c r="AG144" s="12">
        <f t="shared" si="46"/>
        <v>0</v>
      </c>
      <c r="AH144" s="24">
        <f>SUMIFS(инфо!$E$15:$E$28,инфо!$A$15:$A$28,F144)</f>
        <v>0</v>
      </c>
      <c r="AI144" s="32">
        <f t="shared" si="37"/>
        <v>0</v>
      </c>
      <c r="AJ144" s="12">
        <f t="shared" si="47"/>
        <v>0</v>
      </c>
      <c r="AK144" s="24">
        <f>SUMIFS(инфо!$F$15:$F$28,инфо!$A$15:$A$28,F144)</f>
        <v>0</v>
      </c>
      <c r="AL144" s="32">
        <f t="shared" si="38"/>
        <v>0</v>
      </c>
      <c r="AM144" s="12">
        <f t="shared" si="41"/>
        <v>0</v>
      </c>
      <c r="AN144" s="24">
        <f>SUMIFS(инфо!$G$15:$G$28,инфо!$A$15:$A$28,F144)</f>
        <v>0</v>
      </c>
      <c r="AO144" s="32">
        <f t="shared" si="39"/>
        <v>0</v>
      </c>
      <c r="AP144" s="12">
        <f t="shared" si="42"/>
        <v>0</v>
      </c>
      <c r="AQ144" s="24">
        <f>SUMIFS(инфо!$H$15:$H$28,инфо!$A$15:$A$28,F144)</f>
        <v>0</v>
      </c>
      <c r="AR144" s="35">
        <f t="shared" si="40"/>
        <v>0</v>
      </c>
      <c r="AS144" s="12">
        <f t="shared" si="43"/>
        <v>0</v>
      </c>
      <c r="AT144" s="24">
        <f>SUMIFS(инфо!$I$15:$I$28,инфо!$A$15:$A$28,F144)</f>
        <v>0</v>
      </c>
      <c r="AU144" s="35">
        <f t="shared" si="48"/>
        <v>0</v>
      </c>
      <c r="AV144" s="12">
        <f t="shared" si="44"/>
        <v>0</v>
      </c>
      <c r="AX144" s="68">
        <f>SUMIFS(инфо!$C$15:$C$28,инфо!$A$15:$A$28,F144)*H143</f>
        <v>0</v>
      </c>
    </row>
    <row r="145" spans="1:50" x14ac:dyDescent="0.25">
      <c r="A145" s="70">
        <f t="shared" si="35"/>
        <v>46139</v>
      </c>
      <c r="B145" s="79"/>
      <c r="C145" s="15"/>
      <c r="D145" s="16"/>
      <c r="E145" s="83"/>
      <c r="F145" s="28"/>
      <c r="G145" s="81"/>
      <c r="H145" s="81"/>
      <c r="I145" s="118">
        <f>IFERROR(H145*VLOOKUP(F145,инфо!$A$15:$C$28,3,FALSE)/1000,0)</f>
        <v>0</v>
      </c>
      <c r="J145" s="20"/>
      <c r="K145" s="81"/>
      <c r="L145" s="81"/>
      <c r="M145" s="20"/>
      <c r="N145" s="20"/>
      <c r="O145" s="34"/>
      <c r="P145" s="34"/>
      <c r="Q145" s="34"/>
      <c r="R145" s="34"/>
      <c r="S145" s="68">
        <f t="shared" si="45"/>
        <v>0</v>
      </c>
      <c r="T145" s="15"/>
      <c r="U145" s="16"/>
      <c r="V145" s="34"/>
      <c r="W145" s="34"/>
      <c r="X145" s="34"/>
      <c r="Y145" s="15"/>
      <c r="Z145" s="34"/>
      <c r="AA145" s="34"/>
      <c r="AB145" s="34"/>
      <c r="AC145" s="34"/>
      <c r="AD145" s="16"/>
      <c r="AE145" s="24">
        <f>SUMIFS(инфо!$D$15:$D$28,инфо!$A$15:$A$28,F145)</f>
        <v>0</v>
      </c>
      <c r="AF145" s="35">
        <f t="shared" si="36"/>
        <v>0</v>
      </c>
      <c r="AG145" s="12">
        <f t="shared" si="46"/>
        <v>0</v>
      </c>
      <c r="AH145" s="24">
        <f>SUMIFS(инфо!$E$15:$E$28,инфо!$A$15:$A$28,F145)</f>
        <v>0</v>
      </c>
      <c r="AI145" s="32">
        <f t="shared" si="37"/>
        <v>0</v>
      </c>
      <c r="AJ145" s="12">
        <f t="shared" si="47"/>
        <v>0</v>
      </c>
      <c r="AK145" s="24">
        <f>SUMIFS(инфо!$F$15:$F$28,инфо!$A$15:$A$28,F145)</f>
        <v>0</v>
      </c>
      <c r="AL145" s="32">
        <f t="shared" si="38"/>
        <v>0</v>
      </c>
      <c r="AM145" s="12">
        <f t="shared" si="41"/>
        <v>0</v>
      </c>
      <c r="AN145" s="24">
        <f>SUMIFS(инфо!$G$15:$G$28,инфо!$A$15:$A$28,F145)</f>
        <v>0</v>
      </c>
      <c r="AO145" s="32">
        <f t="shared" si="39"/>
        <v>0</v>
      </c>
      <c r="AP145" s="12">
        <f t="shared" si="42"/>
        <v>0</v>
      </c>
      <c r="AQ145" s="24">
        <f>SUMIFS(инфо!$H$15:$H$28,инфо!$A$15:$A$28,F145)</f>
        <v>0</v>
      </c>
      <c r="AR145" s="35">
        <f t="shared" si="40"/>
        <v>0</v>
      </c>
      <c r="AS145" s="12">
        <f t="shared" si="43"/>
        <v>0</v>
      </c>
      <c r="AT145" s="24">
        <f>SUMIFS(инфо!$I$15:$I$28,инфо!$A$15:$A$28,F145)</f>
        <v>0</v>
      </c>
      <c r="AU145" s="35">
        <f t="shared" si="48"/>
        <v>0</v>
      </c>
      <c r="AV145" s="12">
        <f t="shared" si="44"/>
        <v>0</v>
      </c>
      <c r="AX145" s="68">
        <f>SUMIFS(инфо!$C$15:$C$28,инфо!$A$15:$A$28,F145)*H144</f>
        <v>0</v>
      </c>
    </row>
    <row r="146" spans="1:50" x14ac:dyDescent="0.25">
      <c r="A146" s="70">
        <f t="shared" si="35"/>
        <v>46140</v>
      </c>
      <c r="B146" s="79"/>
      <c r="C146" s="17"/>
      <c r="D146" s="18"/>
      <c r="E146" s="83"/>
      <c r="F146" s="28"/>
      <c r="G146" s="81"/>
      <c r="H146" s="81"/>
      <c r="I146" s="118">
        <f>IFERROR(H146*VLOOKUP(F146,инфо!$A$15:$C$28,3,FALSE)/1000,0)</f>
        <v>0</v>
      </c>
      <c r="J146" s="20"/>
      <c r="K146" s="81"/>
      <c r="L146" s="81"/>
      <c r="M146" s="20"/>
      <c r="N146" s="23"/>
      <c r="O146" s="19"/>
      <c r="P146" s="19"/>
      <c r="Q146" s="19"/>
      <c r="R146" s="19"/>
      <c r="S146" s="69">
        <f t="shared" si="45"/>
        <v>0</v>
      </c>
      <c r="T146" s="17"/>
      <c r="U146" s="18"/>
      <c r="V146" s="19"/>
      <c r="W146" s="19"/>
      <c r="X146" s="19"/>
      <c r="Y146" s="17"/>
      <c r="Z146" s="19"/>
      <c r="AA146" s="19"/>
      <c r="AB146" s="19"/>
      <c r="AC146" s="19"/>
      <c r="AD146" s="18"/>
      <c r="AE146" s="25">
        <f>SUMIFS(инфо!$D$15:$D$28,инфо!$A$15:$A$28,F146)</f>
        <v>0</v>
      </c>
      <c r="AF146" s="35">
        <f t="shared" si="36"/>
        <v>0</v>
      </c>
      <c r="AG146" s="14">
        <f t="shared" si="46"/>
        <v>0</v>
      </c>
      <c r="AH146" s="25">
        <f>SUMIFS(инфо!$E$15:$E$28,инфо!$A$15:$A$28,F146)</f>
        <v>0</v>
      </c>
      <c r="AI146" s="32">
        <f t="shared" si="37"/>
        <v>0</v>
      </c>
      <c r="AJ146" s="14">
        <f t="shared" si="47"/>
        <v>0</v>
      </c>
      <c r="AK146" s="25">
        <f>SUMIFS(инфо!$F$15:$F$28,инфо!$A$15:$A$28,F146)</f>
        <v>0</v>
      </c>
      <c r="AL146" s="32">
        <f t="shared" si="38"/>
        <v>0</v>
      </c>
      <c r="AM146" s="14">
        <f t="shared" si="41"/>
        <v>0</v>
      </c>
      <c r="AN146" s="25">
        <f>SUMIFS(инфо!$G$15:$G$28,инфо!$A$15:$A$28,F146)</f>
        <v>0</v>
      </c>
      <c r="AO146" s="32">
        <f t="shared" si="39"/>
        <v>0</v>
      </c>
      <c r="AP146" s="14">
        <f t="shared" si="42"/>
        <v>0</v>
      </c>
      <c r="AQ146" s="25">
        <f>SUMIFS(инфо!$H$15:$H$28,инфо!$A$15:$A$28,F146)</f>
        <v>0</v>
      </c>
      <c r="AR146" s="26">
        <f t="shared" si="40"/>
        <v>0</v>
      </c>
      <c r="AS146" s="14">
        <f t="shared" si="43"/>
        <v>0</v>
      </c>
      <c r="AT146" s="25">
        <f>SUMIFS(инфо!$I$15:$I$28,инфо!$A$15:$A$28,F146)</f>
        <v>0</v>
      </c>
      <c r="AU146" s="35">
        <f t="shared" si="48"/>
        <v>0</v>
      </c>
      <c r="AV146" s="14">
        <f t="shared" si="44"/>
        <v>0</v>
      </c>
      <c r="AX146" s="69">
        <f>SUMIFS(инфо!$C$15:$C$28,инфо!$A$15:$A$28,F146)*H145</f>
        <v>0</v>
      </c>
    </row>
    <row r="147" spans="1:50" x14ac:dyDescent="0.25">
      <c r="A147" s="70">
        <f t="shared" si="35"/>
        <v>46140</v>
      </c>
      <c r="B147" s="79"/>
      <c r="C147" s="29"/>
      <c r="D147" s="30"/>
      <c r="E147" s="83"/>
      <c r="F147" s="28"/>
      <c r="G147" s="81"/>
      <c r="H147" s="81"/>
      <c r="I147" s="118">
        <f>IFERROR(H147*VLOOKUP(F147,инфо!$A$15:$C$28,3,FALSE)/1000,0)</f>
        <v>0</v>
      </c>
      <c r="J147" s="20"/>
      <c r="K147" s="81"/>
      <c r="L147" s="81"/>
      <c r="M147" s="20"/>
      <c r="N147" s="28"/>
      <c r="O147" s="27"/>
      <c r="P147" s="27"/>
      <c r="Q147" s="27"/>
      <c r="R147" s="27"/>
      <c r="S147" s="67">
        <f t="shared" si="45"/>
        <v>0</v>
      </c>
      <c r="T147" s="29"/>
      <c r="U147" s="30"/>
      <c r="V147" s="27"/>
      <c r="W147" s="27"/>
      <c r="X147" s="27"/>
      <c r="Y147" s="29"/>
      <c r="Z147" s="27"/>
      <c r="AA147" s="27"/>
      <c r="AB147" s="27"/>
      <c r="AC147" s="27"/>
      <c r="AD147" s="30"/>
      <c r="AE147" s="31">
        <f>SUMIFS(инфо!$D$15:$D$28,инфо!$A$15:$A$28,F147)</f>
        <v>0</v>
      </c>
      <c r="AF147" s="35">
        <f t="shared" si="36"/>
        <v>0</v>
      </c>
      <c r="AG147" s="33">
        <f t="shared" si="46"/>
        <v>0</v>
      </c>
      <c r="AH147" s="31">
        <f>SUMIFS(инфо!$E$15:$E$28,инфо!$A$15:$A$28,F147)</f>
        <v>0</v>
      </c>
      <c r="AI147" s="32">
        <f t="shared" si="37"/>
        <v>0</v>
      </c>
      <c r="AJ147" s="33">
        <f t="shared" si="47"/>
        <v>0</v>
      </c>
      <c r="AK147" s="31">
        <f>SUMIFS(инфо!$F$15:$F$28,инфо!$A$15:$A$28,F147)</f>
        <v>0</v>
      </c>
      <c r="AL147" s="32">
        <f t="shared" si="38"/>
        <v>0</v>
      </c>
      <c r="AM147" s="33">
        <f t="shared" si="41"/>
        <v>0</v>
      </c>
      <c r="AN147" s="31">
        <f>SUMIFS(инфо!$G$15:$G$28,инфо!$A$15:$A$28,F147)</f>
        <v>0</v>
      </c>
      <c r="AO147" s="32">
        <f t="shared" si="39"/>
        <v>0</v>
      </c>
      <c r="AP147" s="33">
        <f t="shared" si="42"/>
        <v>0</v>
      </c>
      <c r="AQ147" s="31">
        <f>SUMIFS(инфо!$H$15:$H$28,инфо!$A$15:$A$28,F147)</f>
        <v>0</v>
      </c>
      <c r="AR147" s="32">
        <f t="shared" si="40"/>
        <v>0</v>
      </c>
      <c r="AS147" s="33">
        <f t="shared" si="43"/>
        <v>0</v>
      </c>
      <c r="AT147" s="31">
        <f>SUMIFS(инфо!$I$15:$I$28,инфо!$A$15:$A$28,F147)</f>
        <v>0</v>
      </c>
      <c r="AU147" s="35">
        <f t="shared" si="48"/>
        <v>0</v>
      </c>
      <c r="AV147" s="33">
        <f t="shared" si="44"/>
        <v>0</v>
      </c>
      <c r="AX147" s="67">
        <f>SUMIFS(инфо!$C$15:$C$28,инфо!$A$15:$A$28,F147)*H146</f>
        <v>0</v>
      </c>
    </row>
    <row r="148" spans="1:50" x14ac:dyDescent="0.25">
      <c r="A148" s="70">
        <f t="shared" si="35"/>
        <v>46141</v>
      </c>
      <c r="B148" s="79"/>
      <c r="C148" s="15"/>
      <c r="D148" s="16"/>
      <c r="E148" s="83"/>
      <c r="F148" s="28"/>
      <c r="G148" s="81"/>
      <c r="H148" s="81"/>
      <c r="I148" s="118">
        <f>IFERROR(H148*VLOOKUP(F148,инфо!$A$15:$C$28,3,FALSE)/1000,0)</f>
        <v>0</v>
      </c>
      <c r="J148" s="20"/>
      <c r="K148" s="81"/>
      <c r="L148" s="81"/>
      <c r="M148" s="20"/>
      <c r="N148" s="20"/>
      <c r="O148" s="34"/>
      <c r="P148" s="34"/>
      <c r="Q148" s="34"/>
      <c r="R148" s="34"/>
      <c r="S148" s="68">
        <f t="shared" si="45"/>
        <v>0</v>
      </c>
      <c r="T148" s="15"/>
      <c r="U148" s="16"/>
      <c r="V148" s="34"/>
      <c r="W148" s="34"/>
      <c r="X148" s="34"/>
      <c r="Y148" s="15"/>
      <c r="Z148" s="34"/>
      <c r="AA148" s="34"/>
      <c r="AB148" s="34"/>
      <c r="AC148" s="34"/>
      <c r="AD148" s="16"/>
      <c r="AE148" s="24">
        <f>SUMIFS(инфо!$D$15:$D$28,инфо!$A$15:$A$28,F148)</f>
        <v>0</v>
      </c>
      <c r="AF148" s="35">
        <f t="shared" si="36"/>
        <v>0</v>
      </c>
      <c r="AG148" s="12">
        <f t="shared" si="46"/>
        <v>0</v>
      </c>
      <c r="AH148" s="24">
        <f>SUMIFS(инфо!$E$15:$E$28,инфо!$A$15:$A$28,F148)</f>
        <v>0</v>
      </c>
      <c r="AI148" s="32">
        <f t="shared" si="37"/>
        <v>0</v>
      </c>
      <c r="AJ148" s="12">
        <f t="shared" si="47"/>
        <v>0</v>
      </c>
      <c r="AK148" s="24">
        <f>SUMIFS(инфо!$F$15:$F$28,инфо!$A$15:$A$28,F148)</f>
        <v>0</v>
      </c>
      <c r="AL148" s="32">
        <f t="shared" si="38"/>
        <v>0</v>
      </c>
      <c r="AM148" s="12">
        <f t="shared" si="41"/>
        <v>0</v>
      </c>
      <c r="AN148" s="24">
        <f>SUMIFS(инфо!$G$15:$G$28,инфо!$A$15:$A$28,F148)</f>
        <v>0</v>
      </c>
      <c r="AO148" s="32">
        <f t="shared" si="39"/>
        <v>0</v>
      </c>
      <c r="AP148" s="12">
        <f t="shared" si="42"/>
        <v>0</v>
      </c>
      <c r="AQ148" s="24">
        <f>SUMIFS(инфо!$H$15:$H$28,инфо!$A$15:$A$28,F148)</f>
        <v>0</v>
      </c>
      <c r="AR148" s="35">
        <f t="shared" si="40"/>
        <v>0</v>
      </c>
      <c r="AS148" s="12">
        <f t="shared" si="43"/>
        <v>0</v>
      </c>
      <c r="AT148" s="24">
        <f>SUMIFS(инфо!$I$15:$I$28,инфо!$A$15:$A$28,F148)</f>
        <v>0</v>
      </c>
      <c r="AU148" s="35">
        <f t="shared" si="48"/>
        <v>0</v>
      </c>
      <c r="AV148" s="12">
        <f t="shared" si="44"/>
        <v>0</v>
      </c>
      <c r="AX148" s="68">
        <f>SUMIFS(инфо!$C$15:$C$28,инфо!$A$15:$A$28,F148)*H147</f>
        <v>0</v>
      </c>
    </row>
    <row r="149" spans="1:50" x14ac:dyDescent="0.25">
      <c r="A149" s="70">
        <f t="shared" si="35"/>
        <v>46141</v>
      </c>
      <c r="B149" s="79"/>
      <c r="C149" s="15"/>
      <c r="D149" s="16"/>
      <c r="E149" s="83"/>
      <c r="F149" s="28"/>
      <c r="G149" s="81"/>
      <c r="H149" s="81"/>
      <c r="I149" s="118">
        <f>IFERROR(H149*VLOOKUP(F149,инфо!$A$15:$C$28,3,FALSE)/1000,0)</f>
        <v>0</v>
      </c>
      <c r="J149" s="20"/>
      <c r="K149" s="81"/>
      <c r="L149" s="81"/>
      <c r="M149" s="20"/>
      <c r="N149" s="20"/>
      <c r="O149" s="34"/>
      <c r="P149" s="34"/>
      <c r="Q149" s="34"/>
      <c r="R149" s="34"/>
      <c r="S149" s="68">
        <f t="shared" si="45"/>
        <v>0</v>
      </c>
      <c r="T149" s="15"/>
      <c r="U149" s="16"/>
      <c r="V149" s="34"/>
      <c r="W149" s="34"/>
      <c r="X149" s="34"/>
      <c r="Y149" s="15"/>
      <c r="Z149" s="34"/>
      <c r="AA149" s="34"/>
      <c r="AB149" s="34"/>
      <c r="AC149" s="34"/>
      <c r="AD149" s="16"/>
      <c r="AE149" s="24">
        <f>SUMIFS(инфо!$D$15:$D$28,инфо!$A$15:$A$28,F149)</f>
        <v>0</v>
      </c>
      <c r="AF149" s="35">
        <f t="shared" si="36"/>
        <v>0</v>
      </c>
      <c r="AG149" s="12">
        <f t="shared" si="46"/>
        <v>0</v>
      </c>
      <c r="AH149" s="24">
        <f>SUMIFS(инфо!$E$15:$E$28,инфо!$A$15:$A$28,F149)</f>
        <v>0</v>
      </c>
      <c r="AI149" s="32">
        <f t="shared" si="37"/>
        <v>0</v>
      </c>
      <c r="AJ149" s="12">
        <f t="shared" si="47"/>
        <v>0</v>
      </c>
      <c r="AK149" s="24">
        <f>SUMIFS(инфо!$F$15:$F$28,инфо!$A$15:$A$28,F149)</f>
        <v>0</v>
      </c>
      <c r="AL149" s="32">
        <f t="shared" si="38"/>
        <v>0</v>
      </c>
      <c r="AM149" s="12">
        <f t="shared" si="41"/>
        <v>0</v>
      </c>
      <c r="AN149" s="24">
        <f>SUMIFS(инфо!$G$15:$G$28,инфо!$A$15:$A$28,F149)</f>
        <v>0</v>
      </c>
      <c r="AO149" s="32">
        <f t="shared" si="39"/>
        <v>0</v>
      </c>
      <c r="AP149" s="12">
        <f t="shared" si="42"/>
        <v>0</v>
      </c>
      <c r="AQ149" s="24">
        <f>SUMIFS(инфо!$H$15:$H$28,инфо!$A$15:$A$28,F149)</f>
        <v>0</v>
      </c>
      <c r="AR149" s="35">
        <f t="shared" si="40"/>
        <v>0</v>
      </c>
      <c r="AS149" s="12">
        <f t="shared" si="43"/>
        <v>0</v>
      </c>
      <c r="AT149" s="24">
        <f>SUMIFS(инфо!$I$15:$I$28,инфо!$A$15:$A$28,F149)</f>
        <v>0</v>
      </c>
      <c r="AU149" s="35">
        <f t="shared" si="48"/>
        <v>0</v>
      </c>
      <c r="AV149" s="12">
        <f t="shared" si="44"/>
        <v>0</v>
      </c>
      <c r="AX149" s="68">
        <f>SUMIFS(инфо!$C$15:$C$28,инфо!$A$15:$A$28,F149)*H148</f>
        <v>0</v>
      </c>
    </row>
    <row r="150" spans="1:50" x14ac:dyDescent="0.25">
      <c r="A150" s="70">
        <f t="shared" si="35"/>
        <v>46142</v>
      </c>
      <c r="B150" s="79"/>
      <c r="C150" s="17"/>
      <c r="D150" s="18"/>
      <c r="E150" s="83"/>
      <c r="F150" s="28"/>
      <c r="G150" s="81"/>
      <c r="H150" s="81"/>
      <c r="I150" s="118">
        <f>IFERROR(H150*VLOOKUP(F150,инфо!$A$15:$C$28,3,FALSE)/1000,0)</f>
        <v>0</v>
      </c>
      <c r="J150" s="20"/>
      <c r="K150" s="81"/>
      <c r="L150" s="81"/>
      <c r="M150" s="20"/>
      <c r="N150" s="23"/>
      <c r="O150" s="19"/>
      <c r="P150" s="19"/>
      <c r="Q150" s="19"/>
      <c r="R150" s="19"/>
      <c r="S150" s="69">
        <f t="shared" si="45"/>
        <v>0</v>
      </c>
      <c r="T150" s="17"/>
      <c r="U150" s="18"/>
      <c r="V150" s="19"/>
      <c r="W150" s="19"/>
      <c r="X150" s="19"/>
      <c r="Y150" s="17"/>
      <c r="Z150" s="19"/>
      <c r="AA150" s="19"/>
      <c r="AB150" s="19"/>
      <c r="AC150" s="19"/>
      <c r="AD150" s="18"/>
      <c r="AE150" s="25">
        <f>SUMIFS(инфо!$D$15:$D$28,инфо!$A$15:$A$28,F150)</f>
        <v>0</v>
      </c>
      <c r="AF150" s="35">
        <f t="shared" si="36"/>
        <v>0</v>
      </c>
      <c r="AG150" s="14">
        <f t="shared" si="46"/>
        <v>0</v>
      </c>
      <c r="AH150" s="25">
        <f>SUMIFS(инфо!$E$15:$E$28,инфо!$A$15:$A$28,F150)</f>
        <v>0</v>
      </c>
      <c r="AI150" s="32">
        <f t="shared" si="37"/>
        <v>0</v>
      </c>
      <c r="AJ150" s="14">
        <f t="shared" si="47"/>
        <v>0</v>
      </c>
      <c r="AK150" s="25">
        <f>SUMIFS(инфо!$F$15:$F$28,инфо!$A$15:$A$28,F150)</f>
        <v>0</v>
      </c>
      <c r="AL150" s="32">
        <f t="shared" si="38"/>
        <v>0</v>
      </c>
      <c r="AM150" s="14">
        <f t="shared" si="41"/>
        <v>0</v>
      </c>
      <c r="AN150" s="25">
        <f>SUMIFS(инфо!$G$15:$G$28,инфо!$A$15:$A$28,F150)</f>
        <v>0</v>
      </c>
      <c r="AO150" s="32">
        <f t="shared" si="39"/>
        <v>0</v>
      </c>
      <c r="AP150" s="14">
        <f t="shared" si="42"/>
        <v>0</v>
      </c>
      <c r="AQ150" s="25">
        <f>SUMIFS(инфо!$H$15:$H$28,инфо!$A$15:$A$28,F150)</f>
        <v>0</v>
      </c>
      <c r="AR150" s="26">
        <f t="shared" si="40"/>
        <v>0</v>
      </c>
      <c r="AS150" s="14">
        <f t="shared" si="43"/>
        <v>0</v>
      </c>
      <c r="AT150" s="25">
        <f>SUMIFS(инфо!$I$15:$I$28,инфо!$A$15:$A$28,F150)</f>
        <v>0</v>
      </c>
      <c r="AU150" s="35">
        <f t="shared" si="48"/>
        <v>0</v>
      </c>
      <c r="AV150" s="14">
        <f t="shared" si="44"/>
        <v>0</v>
      </c>
      <c r="AX150" s="69">
        <f>SUMIFS(инфо!$C$15:$C$28,инфо!$A$15:$A$28,F150)*H149</f>
        <v>0</v>
      </c>
    </row>
    <row r="151" spans="1:50" x14ac:dyDescent="0.25">
      <c r="A151" s="70">
        <f t="shared" si="35"/>
        <v>46142</v>
      </c>
      <c r="B151" s="79"/>
      <c r="C151" s="29"/>
      <c r="D151" s="30"/>
      <c r="E151" s="83"/>
      <c r="F151" s="28"/>
      <c r="G151" s="81"/>
      <c r="H151" s="81"/>
      <c r="I151" s="118">
        <f>IFERROR(H151*VLOOKUP(F151,инфо!$A$15:$C$28,3,FALSE)/1000,0)</f>
        <v>0</v>
      </c>
      <c r="J151" s="20"/>
      <c r="K151" s="81"/>
      <c r="L151" s="81"/>
      <c r="M151" s="20"/>
      <c r="N151" s="28"/>
      <c r="O151" s="27"/>
      <c r="P151" s="27"/>
      <c r="Q151" s="27"/>
      <c r="R151" s="27"/>
      <c r="S151" s="67">
        <f t="shared" si="45"/>
        <v>0</v>
      </c>
      <c r="T151" s="29"/>
      <c r="U151" s="30"/>
      <c r="V151" s="27"/>
      <c r="W151" s="27"/>
      <c r="X151" s="27"/>
      <c r="Y151" s="29"/>
      <c r="Z151" s="27"/>
      <c r="AA151" s="27"/>
      <c r="AB151" s="27"/>
      <c r="AC151" s="27"/>
      <c r="AD151" s="30"/>
      <c r="AE151" s="31">
        <f>SUMIFS(инфо!$D$15:$D$28,инфо!$A$15:$A$28,F151)</f>
        <v>0</v>
      </c>
      <c r="AF151" s="35">
        <f t="shared" si="36"/>
        <v>0</v>
      </c>
      <c r="AG151" s="33">
        <f t="shared" si="46"/>
        <v>0</v>
      </c>
      <c r="AH151" s="31">
        <f>SUMIFS(инфо!$E$15:$E$28,инфо!$A$15:$A$28,F151)</f>
        <v>0</v>
      </c>
      <c r="AI151" s="32">
        <f t="shared" si="37"/>
        <v>0</v>
      </c>
      <c r="AJ151" s="33">
        <f t="shared" si="47"/>
        <v>0</v>
      </c>
      <c r="AK151" s="31">
        <f>SUMIFS(инфо!$F$15:$F$28,инфо!$A$15:$A$28,F151)</f>
        <v>0</v>
      </c>
      <c r="AL151" s="32">
        <f t="shared" si="38"/>
        <v>0</v>
      </c>
      <c r="AM151" s="33">
        <f t="shared" si="41"/>
        <v>0</v>
      </c>
      <c r="AN151" s="31">
        <f>SUMIFS(инфо!$G$15:$G$28,инфо!$A$15:$A$28,F151)</f>
        <v>0</v>
      </c>
      <c r="AO151" s="32">
        <f t="shared" si="39"/>
        <v>0</v>
      </c>
      <c r="AP151" s="33">
        <f t="shared" si="42"/>
        <v>0</v>
      </c>
      <c r="AQ151" s="31">
        <f>SUMIFS(инфо!$H$15:$H$28,инфо!$A$15:$A$28,F151)</f>
        <v>0</v>
      </c>
      <c r="AR151" s="32">
        <f t="shared" si="40"/>
        <v>0</v>
      </c>
      <c r="AS151" s="33">
        <f t="shared" si="43"/>
        <v>0</v>
      </c>
      <c r="AT151" s="31">
        <f>SUMIFS(инфо!$I$15:$I$28,инфо!$A$15:$A$28,F151)</f>
        <v>0</v>
      </c>
      <c r="AU151" s="35">
        <f t="shared" si="48"/>
        <v>0</v>
      </c>
      <c r="AV151" s="33">
        <f t="shared" si="44"/>
        <v>0</v>
      </c>
      <c r="AX151" s="67">
        <f>SUMIFS(инфо!$C$15:$C$28,инфо!$A$15:$A$28,F151)*H150</f>
        <v>0</v>
      </c>
    </row>
    <row r="152" spans="1:50" x14ac:dyDescent="0.25">
      <c r="A152" s="70">
        <f t="shared" ref="A152:A216" si="49">A150+1</f>
        <v>46143</v>
      </c>
      <c r="B152" s="79"/>
      <c r="C152" s="15"/>
      <c r="D152" s="16"/>
      <c r="E152" s="83"/>
      <c r="F152" s="28"/>
      <c r="G152" s="81"/>
      <c r="H152" s="81"/>
      <c r="I152" s="118">
        <f>IFERROR(H152*VLOOKUP(F152,инфо!$A$15:$C$28,3,FALSE)/1000,0)</f>
        <v>0</v>
      </c>
      <c r="J152" s="20"/>
      <c r="K152" s="81"/>
      <c r="L152" s="81"/>
      <c r="M152" s="20"/>
      <c r="N152" s="20"/>
      <c r="O152" s="34"/>
      <c r="P152" s="34"/>
      <c r="Q152" s="34"/>
      <c r="R152" s="34"/>
      <c r="S152" s="68">
        <f t="shared" si="45"/>
        <v>0</v>
      </c>
      <c r="T152" s="15"/>
      <c r="U152" s="16"/>
      <c r="V152" s="34"/>
      <c r="W152" s="34"/>
      <c r="X152" s="34"/>
      <c r="Y152" s="15"/>
      <c r="Z152" s="34"/>
      <c r="AA152" s="34"/>
      <c r="AB152" s="34"/>
      <c r="AC152" s="34"/>
      <c r="AD152" s="16"/>
      <c r="AE152" s="24">
        <f>SUMIFS(инфо!$D$15:$D$28,инфо!$A$15:$A$28,F152)</f>
        <v>0</v>
      </c>
      <c r="AF152" s="35">
        <f t="shared" si="36"/>
        <v>0</v>
      </c>
      <c r="AG152" s="12">
        <f t="shared" si="46"/>
        <v>0</v>
      </c>
      <c r="AH152" s="24">
        <f>SUMIFS(инфо!$E$15:$E$28,инфо!$A$15:$A$28,F152)</f>
        <v>0</v>
      </c>
      <c r="AI152" s="32">
        <f t="shared" si="37"/>
        <v>0</v>
      </c>
      <c r="AJ152" s="12">
        <f t="shared" si="47"/>
        <v>0</v>
      </c>
      <c r="AK152" s="24">
        <f>SUMIFS(инфо!$F$15:$F$28,инфо!$A$15:$A$28,F152)</f>
        <v>0</v>
      </c>
      <c r="AL152" s="32">
        <f t="shared" si="38"/>
        <v>0</v>
      </c>
      <c r="AM152" s="12">
        <f t="shared" si="41"/>
        <v>0</v>
      </c>
      <c r="AN152" s="24">
        <f>SUMIFS(инфо!$G$15:$G$28,инфо!$A$15:$A$28,F152)</f>
        <v>0</v>
      </c>
      <c r="AO152" s="32">
        <f t="shared" si="39"/>
        <v>0</v>
      </c>
      <c r="AP152" s="12">
        <f t="shared" si="42"/>
        <v>0</v>
      </c>
      <c r="AQ152" s="24">
        <f>SUMIFS(инфо!$H$15:$H$28,инфо!$A$15:$A$28,F152)</f>
        <v>0</v>
      </c>
      <c r="AR152" s="35">
        <f t="shared" si="40"/>
        <v>0</v>
      </c>
      <c r="AS152" s="12">
        <f t="shared" si="43"/>
        <v>0</v>
      </c>
      <c r="AT152" s="24">
        <f>SUMIFS(инфо!$I$15:$I$28,инфо!$A$15:$A$28,F152)</f>
        <v>0</v>
      </c>
      <c r="AU152" s="35">
        <f t="shared" si="48"/>
        <v>0</v>
      </c>
      <c r="AV152" s="12">
        <f t="shared" si="44"/>
        <v>0</v>
      </c>
      <c r="AX152" s="68">
        <f>SUMIFS(инфо!$C$15:$C$28,инфо!$A$15:$A$28,F152)*H151</f>
        <v>0</v>
      </c>
    </row>
    <row r="153" spans="1:50" x14ac:dyDescent="0.25">
      <c r="A153" s="70">
        <f t="shared" si="49"/>
        <v>46143</v>
      </c>
      <c r="B153" s="79"/>
      <c r="C153" s="15"/>
      <c r="D153" s="16"/>
      <c r="E153" s="83"/>
      <c r="F153" s="28"/>
      <c r="G153" s="81"/>
      <c r="H153" s="81"/>
      <c r="I153" s="118">
        <f>IFERROR(H153*VLOOKUP(F153,инфо!$A$15:$C$28,3,FALSE)/1000,0)</f>
        <v>0</v>
      </c>
      <c r="J153" s="20"/>
      <c r="K153" s="81"/>
      <c r="L153" s="81"/>
      <c r="M153" s="20"/>
      <c r="N153" s="20"/>
      <c r="O153" s="34"/>
      <c r="P153" s="34"/>
      <c r="Q153" s="34"/>
      <c r="R153" s="34"/>
      <c r="S153" s="68">
        <f t="shared" si="45"/>
        <v>0</v>
      </c>
      <c r="T153" s="15"/>
      <c r="U153" s="16"/>
      <c r="V153" s="34"/>
      <c r="W153" s="34"/>
      <c r="X153" s="34"/>
      <c r="Y153" s="15"/>
      <c r="Z153" s="34"/>
      <c r="AA153" s="34"/>
      <c r="AB153" s="34"/>
      <c r="AC153" s="34"/>
      <c r="AD153" s="16"/>
      <c r="AE153" s="24">
        <f>SUMIFS(инфо!$D$15:$D$28,инфо!$A$15:$A$28,F153)</f>
        <v>0</v>
      </c>
      <c r="AF153" s="35">
        <f t="shared" si="36"/>
        <v>0</v>
      </c>
      <c r="AG153" s="12">
        <f t="shared" si="46"/>
        <v>0</v>
      </c>
      <c r="AH153" s="24">
        <f>SUMIFS(инфо!$E$15:$E$28,инфо!$A$15:$A$28,F153)</f>
        <v>0</v>
      </c>
      <c r="AI153" s="32">
        <f t="shared" si="37"/>
        <v>0</v>
      </c>
      <c r="AJ153" s="12">
        <f t="shared" si="47"/>
        <v>0</v>
      </c>
      <c r="AK153" s="24">
        <f>SUMIFS(инфо!$F$15:$F$28,инфо!$A$15:$A$28,F153)</f>
        <v>0</v>
      </c>
      <c r="AL153" s="32">
        <f t="shared" si="38"/>
        <v>0</v>
      </c>
      <c r="AM153" s="12">
        <f t="shared" si="41"/>
        <v>0</v>
      </c>
      <c r="AN153" s="24">
        <f>SUMIFS(инфо!$G$15:$G$28,инфо!$A$15:$A$28,F153)</f>
        <v>0</v>
      </c>
      <c r="AO153" s="32">
        <f t="shared" si="39"/>
        <v>0</v>
      </c>
      <c r="AP153" s="12">
        <f t="shared" si="42"/>
        <v>0</v>
      </c>
      <c r="AQ153" s="24">
        <f>SUMIFS(инфо!$H$15:$H$28,инфо!$A$15:$A$28,F153)</f>
        <v>0</v>
      </c>
      <c r="AR153" s="35">
        <f t="shared" si="40"/>
        <v>0</v>
      </c>
      <c r="AS153" s="12">
        <f t="shared" si="43"/>
        <v>0</v>
      </c>
      <c r="AT153" s="24">
        <f>SUMIFS(инфо!$I$15:$I$28,инфо!$A$15:$A$28,F153)</f>
        <v>0</v>
      </c>
      <c r="AU153" s="35">
        <f t="shared" si="48"/>
        <v>0</v>
      </c>
      <c r="AV153" s="12">
        <f t="shared" si="44"/>
        <v>0</v>
      </c>
      <c r="AX153" s="68">
        <f>SUMIFS(инфо!$C$15:$C$28,инфо!$A$15:$A$28,F153)*H152</f>
        <v>0</v>
      </c>
    </row>
    <row r="154" spans="1:50" x14ac:dyDescent="0.25">
      <c r="A154" s="70">
        <f t="shared" si="49"/>
        <v>46144</v>
      </c>
      <c r="B154" s="79"/>
      <c r="C154" s="17"/>
      <c r="D154" s="18"/>
      <c r="E154" s="83"/>
      <c r="F154" s="28"/>
      <c r="G154" s="81"/>
      <c r="H154" s="81"/>
      <c r="I154" s="118">
        <f>IFERROR(H154*VLOOKUP(F154,инфо!$A$15:$C$28,3,FALSE)/1000,0)</f>
        <v>0</v>
      </c>
      <c r="J154" s="20"/>
      <c r="K154" s="81"/>
      <c r="L154" s="81"/>
      <c r="M154" s="20"/>
      <c r="N154" s="23"/>
      <c r="O154" s="19"/>
      <c r="P154" s="19"/>
      <c r="Q154" s="19"/>
      <c r="R154" s="19"/>
      <c r="S154" s="69">
        <f t="shared" si="45"/>
        <v>0</v>
      </c>
      <c r="T154" s="17"/>
      <c r="U154" s="18"/>
      <c r="V154" s="19"/>
      <c r="W154" s="19"/>
      <c r="X154" s="19"/>
      <c r="Y154" s="17"/>
      <c r="Z154" s="19"/>
      <c r="AA154" s="19"/>
      <c r="AB154" s="19"/>
      <c r="AC154" s="19"/>
      <c r="AD154" s="18"/>
      <c r="AE154" s="25">
        <f>SUMIFS(инфо!$D$15:$D$28,инфо!$A$15:$A$28,F154)</f>
        <v>0</v>
      </c>
      <c r="AF154" s="35">
        <f t="shared" si="36"/>
        <v>0</v>
      </c>
      <c r="AG154" s="14">
        <f t="shared" si="46"/>
        <v>0</v>
      </c>
      <c r="AH154" s="25">
        <f>SUMIFS(инфо!$E$15:$E$28,инфо!$A$15:$A$28,F154)</f>
        <v>0</v>
      </c>
      <c r="AI154" s="32">
        <f t="shared" si="37"/>
        <v>0</v>
      </c>
      <c r="AJ154" s="14">
        <f t="shared" si="47"/>
        <v>0</v>
      </c>
      <c r="AK154" s="25">
        <f>SUMIFS(инфо!$F$15:$F$28,инфо!$A$15:$A$28,F154)</f>
        <v>0</v>
      </c>
      <c r="AL154" s="32">
        <f t="shared" si="38"/>
        <v>0</v>
      </c>
      <c r="AM154" s="14">
        <f t="shared" si="41"/>
        <v>0</v>
      </c>
      <c r="AN154" s="25">
        <f>SUMIFS(инфо!$G$15:$G$28,инфо!$A$15:$A$28,F154)</f>
        <v>0</v>
      </c>
      <c r="AO154" s="32">
        <f t="shared" si="39"/>
        <v>0</v>
      </c>
      <c r="AP154" s="14">
        <f t="shared" si="42"/>
        <v>0</v>
      </c>
      <c r="AQ154" s="25">
        <f>SUMIFS(инфо!$H$15:$H$28,инфо!$A$15:$A$28,F154)</f>
        <v>0</v>
      </c>
      <c r="AR154" s="26">
        <f t="shared" si="40"/>
        <v>0</v>
      </c>
      <c r="AS154" s="14">
        <f t="shared" si="43"/>
        <v>0</v>
      </c>
      <c r="AT154" s="25">
        <f>SUMIFS(инфо!$I$15:$I$28,инфо!$A$15:$A$28,F154)</f>
        <v>0</v>
      </c>
      <c r="AU154" s="35">
        <f t="shared" si="48"/>
        <v>0</v>
      </c>
      <c r="AV154" s="14">
        <f t="shared" si="44"/>
        <v>0</v>
      </c>
      <c r="AX154" s="69">
        <f>SUMIFS(инфо!$C$15:$C$28,инфо!$A$15:$A$28,F154)*H153</f>
        <v>0</v>
      </c>
    </row>
    <row r="155" spans="1:50" x14ac:dyDescent="0.25">
      <c r="A155" s="70">
        <f t="shared" si="49"/>
        <v>46144</v>
      </c>
      <c r="B155" s="79"/>
      <c r="C155" s="29"/>
      <c r="D155" s="30"/>
      <c r="E155" s="83"/>
      <c r="F155" s="28"/>
      <c r="G155" s="81"/>
      <c r="H155" s="81"/>
      <c r="I155" s="118">
        <f>IFERROR(H155*VLOOKUP(F155,инфо!$A$15:$C$28,3,FALSE)/1000,0)</f>
        <v>0</v>
      </c>
      <c r="J155" s="20"/>
      <c r="K155" s="81"/>
      <c r="L155" s="81"/>
      <c r="M155" s="20"/>
      <c r="N155" s="28"/>
      <c r="O155" s="27"/>
      <c r="P155" s="27"/>
      <c r="Q155" s="27"/>
      <c r="R155" s="27"/>
      <c r="S155" s="67">
        <f t="shared" si="45"/>
        <v>0</v>
      </c>
      <c r="T155" s="29"/>
      <c r="U155" s="30"/>
      <c r="V155" s="27"/>
      <c r="W155" s="27"/>
      <c r="X155" s="27"/>
      <c r="Y155" s="29"/>
      <c r="Z155" s="27"/>
      <c r="AA155" s="27"/>
      <c r="AB155" s="27"/>
      <c r="AC155" s="27"/>
      <c r="AD155" s="30"/>
      <c r="AE155" s="31">
        <f>SUMIFS(инфо!$D$15:$D$28,инфо!$A$15:$A$28,F155)</f>
        <v>0</v>
      </c>
      <c r="AF155" s="35">
        <f t="shared" si="36"/>
        <v>0</v>
      </c>
      <c r="AG155" s="33">
        <f t="shared" si="46"/>
        <v>0</v>
      </c>
      <c r="AH155" s="31">
        <f>SUMIFS(инфо!$E$15:$E$28,инфо!$A$15:$A$28,F155)</f>
        <v>0</v>
      </c>
      <c r="AI155" s="32">
        <f t="shared" si="37"/>
        <v>0</v>
      </c>
      <c r="AJ155" s="33">
        <f t="shared" si="47"/>
        <v>0</v>
      </c>
      <c r="AK155" s="31">
        <f>SUMIFS(инфо!$F$15:$F$28,инфо!$A$15:$A$28,F155)</f>
        <v>0</v>
      </c>
      <c r="AL155" s="32">
        <f t="shared" si="38"/>
        <v>0</v>
      </c>
      <c r="AM155" s="33">
        <f t="shared" si="41"/>
        <v>0</v>
      </c>
      <c r="AN155" s="31">
        <f>SUMIFS(инфо!$G$15:$G$28,инфо!$A$15:$A$28,F155)</f>
        <v>0</v>
      </c>
      <c r="AO155" s="32">
        <f t="shared" si="39"/>
        <v>0</v>
      </c>
      <c r="AP155" s="33">
        <f t="shared" si="42"/>
        <v>0</v>
      </c>
      <c r="AQ155" s="31">
        <f>SUMIFS(инфо!$H$15:$H$28,инфо!$A$15:$A$28,F155)</f>
        <v>0</v>
      </c>
      <c r="AR155" s="32">
        <f t="shared" si="40"/>
        <v>0</v>
      </c>
      <c r="AS155" s="33">
        <f t="shared" si="43"/>
        <v>0</v>
      </c>
      <c r="AT155" s="31">
        <f>SUMIFS(инфо!$I$15:$I$28,инфо!$A$15:$A$28,F155)</f>
        <v>0</v>
      </c>
      <c r="AU155" s="35">
        <f t="shared" si="48"/>
        <v>0</v>
      </c>
      <c r="AV155" s="33">
        <f t="shared" si="44"/>
        <v>0</v>
      </c>
      <c r="AX155" s="67">
        <f>SUMIFS(инфо!$C$15:$C$28,инфо!$A$15:$A$28,F155)*H154</f>
        <v>0</v>
      </c>
    </row>
    <row r="156" spans="1:50" x14ac:dyDescent="0.25">
      <c r="A156" s="70">
        <f t="shared" si="49"/>
        <v>46145</v>
      </c>
      <c r="B156" s="79"/>
      <c r="C156" s="15"/>
      <c r="D156" s="16"/>
      <c r="E156" s="83"/>
      <c r="F156" s="28"/>
      <c r="G156" s="81"/>
      <c r="H156" s="81"/>
      <c r="I156" s="118">
        <f>IFERROR(H156*VLOOKUP(F156,инфо!$A$15:$C$28,3,FALSE)/1000,0)</f>
        <v>0</v>
      </c>
      <c r="J156" s="20"/>
      <c r="K156" s="81"/>
      <c r="L156" s="81"/>
      <c r="M156" s="20"/>
      <c r="N156" s="20"/>
      <c r="O156" s="34"/>
      <c r="P156" s="34"/>
      <c r="Q156" s="34"/>
      <c r="R156" s="34"/>
      <c r="S156" s="68">
        <f t="shared" si="45"/>
        <v>0</v>
      </c>
      <c r="T156" s="15"/>
      <c r="U156" s="16"/>
      <c r="V156" s="34"/>
      <c r="W156" s="34"/>
      <c r="X156" s="34"/>
      <c r="Y156" s="15"/>
      <c r="Z156" s="34"/>
      <c r="AA156" s="34"/>
      <c r="AB156" s="34"/>
      <c r="AC156" s="34"/>
      <c r="AD156" s="16"/>
      <c r="AE156" s="24">
        <f>SUMIFS(инфо!$D$15:$D$28,инфо!$A$15:$A$28,F156)</f>
        <v>0</v>
      </c>
      <c r="AF156" s="35">
        <f t="shared" si="36"/>
        <v>0</v>
      </c>
      <c r="AG156" s="12">
        <f t="shared" si="46"/>
        <v>0</v>
      </c>
      <c r="AH156" s="24">
        <f>SUMIFS(инфо!$E$15:$E$28,инфо!$A$15:$A$28,F156)</f>
        <v>0</v>
      </c>
      <c r="AI156" s="32">
        <f t="shared" si="37"/>
        <v>0</v>
      </c>
      <c r="AJ156" s="12">
        <f t="shared" si="47"/>
        <v>0</v>
      </c>
      <c r="AK156" s="24">
        <f>SUMIFS(инфо!$F$15:$F$28,инфо!$A$15:$A$28,F156)</f>
        <v>0</v>
      </c>
      <c r="AL156" s="32">
        <f t="shared" si="38"/>
        <v>0</v>
      </c>
      <c r="AM156" s="12">
        <f t="shared" si="41"/>
        <v>0</v>
      </c>
      <c r="AN156" s="24">
        <f>SUMIFS(инфо!$G$15:$G$28,инфо!$A$15:$A$28,F156)</f>
        <v>0</v>
      </c>
      <c r="AO156" s="32">
        <f t="shared" si="39"/>
        <v>0</v>
      </c>
      <c r="AP156" s="12">
        <f t="shared" si="42"/>
        <v>0</v>
      </c>
      <c r="AQ156" s="24">
        <f>SUMIFS(инфо!$H$15:$H$28,инфо!$A$15:$A$28,F156)</f>
        <v>0</v>
      </c>
      <c r="AR156" s="35">
        <f t="shared" si="40"/>
        <v>0</v>
      </c>
      <c r="AS156" s="12">
        <f t="shared" si="43"/>
        <v>0</v>
      </c>
      <c r="AT156" s="24">
        <f>SUMIFS(инфо!$I$15:$I$28,инфо!$A$15:$A$28,F156)</f>
        <v>0</v>
      </c>
      <c r="AU156" s="35">
        <f t="shared" si="48"/>
        <v>0</v>
      </c>
      <c r="AV156" s="12">
        <f t="shared" si="44"/>
        <v>0</v>
      </c>
      <c r="AX156" s="68">
        <f>SUMIFS(инфо!$C$15:$C$28,инфо!$A$15:$A$28,F156)*H155</f>
        <v>0</v>
      </c>
    </row>
    <row r="157" spans="1:50" x14ac:dyDescent="0.25">
      <c r="A157" s="70">
        <f t="shared" si="49"/>
        <v>46145</v>
      </c>
      <c r="B157" s="79"/>
      <c r="C157" s="15"/>
      <c r="D157" s="16"/>
      <c r="E157" s="83"/>
      <c r="F157" s="28"/>
      <c r="G157" s="81"/>
      <c r="H157" s="81"/>
      <c r="I157" s="118">
        <f>IFERROR(H157*VLOOKUP(F157,инфо!$A$15:$C$28,3,FALSE)/1000,0)</f>
        <v>0</v>
      </c>
      <c r="J157" s="20"/>
      <c r="K157" s="81"/>
      <c r="L157" s="81"/>
      <c r="M157" s="20"/>
      <c r="N157" s="20"/>
      <c r="O157" s="34"/>
      <c r="P157" s="34"/>
      <c r="Q157" s="34"/>
      <c r="R157" s="34"/>
      <c r="S157" s="68">
        <f t="shared" si="45"/>
        <v>0</v>
      </c>
      <c r="T157" s="15"/>
      <c r="U157" s="16"/>
      <c r="V157" s="34"/>
      <c r="W157" s="34"/>
      <c r="X157" s="34"/>
      <c r="Y157" s="15"/>
      <c r="Z157" s="34"/>
      <c r="AA157" s="34"/>
      <c r="AB157" s="34"/>
      <c r="AC157" s="34"/>
      <c r="AD157" s="16"/>
      <c r="AE157" s="24">
        <f>SUMIFS(инфо!$D$15:$D$28,инфо!$A$15:$A$28,F157)</f>
        <v>0</v>
      </c>
      <c r="AF157" s="35">
        <f t="shared" si="36"/>
        <v>0</v>
      </c>
      <c r="AG157" s="12">
        <f t="shared" si="46"/>
        <v>0</v>
      </c>
      <c r="AH157" s="24">
        <f>SUMIFS(инфо!$E$15:$E$28,инфо!$A$15:$A$28,F157)</f>
        <v>0</v>
      </c>
      <c r="AI157" s="32">
        <f t="shared" si="37"/>
        <v>0</v>
      </c>
      <c r="AJ157" s="12">
        <f t="shared" si="47"/>
        <v>0</v>
      </c>
      <c r="AK157" s="24">
        <f>SUMIFS(инфо!$F$15:$F$28,инфо!$A$15:$A$28,F157)</f>
        <v>0</v>
      </c>
      <c r="AL157" s="32">
        <f t="shared" si="38"/>
        <v>0</v>
      </c>
      <c r="AM157" s="12">
        <f t="shared" si="41"/>
        <v>0</v>
      </c>
      <c r="AN157" s="24">
        <f>SUMIFS(инфо!$G$15:$G$28,инфо!$A$15:$A$28,F157)</f>
        <v>0</v>
      </c>
      <c r="AO157" s="32">
        <f t="shared" si="39"/>
        <v>0</v>
      </c>
      <c r="AP157" s="12">
        <f t="shared" si="42"/>
        <v>0</v>
      </c>
      <c r="AQ157" s="24">
        <f>SUMIFS(инфо!$H$15:$H$28,инфо!$A$15:$A$28,F157)</f>
        <v>0</v>
      </c>
      <c r="AR157" s="35">
        <f t="shared" si="40"/>
        <v>0</v>
      </c>
      <c r="AS157" s="12">
        <f t="shared" si="43"/>
        <v>0</v>
      </c>
      <c r="AT157" s="24">
        <f>SUMIFS(инфо!$I$15:$I$28,инфо!$A$15:$A$28,F157)</f>
        <v>0</v>
      </c>
      <c r="AU157" s="35">
        <f t="shared" si="48"/>
        <v>0</v>
      </c>
      <c r="AV157" s="12">
        <f t="shared" si="44"/>
        <v>0</v>
      </c>
      <c r="AX157" s="68">
        <f>SUMIFS(инфо!$C$15:$C$28,инфо!$A$15:$A$28,F157)*H156</f>
        <v>0</v>
      </c>
    </row>
    <row r="158" spans="1:50" x14ac:dyDescent="0.25">
      <c r="A158" s="70">
        <f t="shared" si="49"/>
        <v>46146</v>
      </c>
      <c r="B158" s="79"/>
      <c r="C158" s="17"/>
      <c r="D158" s="18"/>
      <c r="E158" s="83"/>
      <c r="F158" s="28"/>
      <c r="G158" s="81"/>
      <c r="H158" s="81"/>
      <c r="I158" s="118">
        <f>IFERROR(H158*VLOOKUP(F158,инфо!$A$15:$C$28,3,FALSE)/1000,0)</f>
        <v>0</v>
      </c>
      <c r="J158" s="20"/>
      <c r="K158" s="81"/>
      <c r="L158" s="81"/>
      <c r="M158" s="20"/>
      <c r="N158" s="23"/>
      <c r="O158" s="19"/>
      <c r="P158" s="19"/>
      <c r="Q158" s="19"/>
      <c r="R158" s="19"/>
      <c r="S158" s="69">
        <f t="shared" si="45"/>
        <v>0</v>
      </c>
      <c r="T158" s="17"/>
      <c r="U158" s="18"/>
      <c r="V158" s="19"/>
      <c r="W158" s="19"/>
      <c r="X158" s="19"/>
      <c r="Y158" s="17"/>
      <c r="Z158" s="19"/>
      <c r="AA158" s="19"/>
      <c r="AB158" s="19"/>
      <c r="AC158" s="19"/>
      <c r="AD158" s="18"/>
      <c r="AE158" s="25">
        <f>SUMIFS(инфо!$D$15:$D$28,инфо!$A$15:$A$28,F158)</f>
        <v>0</v>
      </c>
      <c r="AF158" s="35">
        <f t="shared" si="36"/>
        <v>0</v>
      </c>
      <c r="AG158" s="14">
        <f t="shared" si="46"/>
        <v>0</v>
      </c>
      <c r="AH158" s="25">
        <f>SUMIFS(инфо!$E$15:$E$28,инфо!$A$15:$A$28,F158)</f>
        <v>0</v>
      </c>
      <c r="AI158" s="32">
        <f t="shared" si="37"/>
        <v>0</v>
      </c>
      <c r="AJ158" s="14">
        <f t="shared" si="47"/>
        <v>0</v>
      </c>
      <c r="AK158" s="25">
        <f>SUMIFS(инфо!$F$15:$F$28,инфо!$A$15:$A$28,F158)</f>
        <v>0</v>
      </c>
      <c r="AL158" s="32">
        <f t="shared" si="38"/>
        <v>0</v>
      </c>
      <c r="AM158" s="14">
        <f t="shared" si="41"/>
        <v>0</v>
      </c>
      <c r="AN158" s="25">
        <f>SUMIFS(инфо!$G$15:$G$28,инфо!$A$15:$A$28,F158)</f>
        <v>0</v>
      </c>
      <c r="AO158" s="32">
        <f t="shared" si="39"/>
        <v>0</v>
      </c>
      <c r="AP158" s="14">
        <f t="shared" si="42"/>
        <v>0</v>
      </c>
      <c r="AQ158" s="25">
        <f>SUMIFS(инфо!$H$15:$H$28,инфо!$A$15:$A$28,F158)</f>
        <v>0</v>
      </c>
      <c r="AR158" s="26">
        <f t="shared" si="40"/>
        <v>0</v>
      </c>
      <c r="AS158" s="14">
        <f t="shared" si="43"/>
        <v>0</v>
      </c>
      <c r="AT158" s="25">
        <f>SUMIFS(инфо!$I$15:$I$28,инфо!$A$15:$A$28,F158)</f>
        <v>0</v>
      </c>
      <c r="AU158" s="35">
        <f t="shared" si="48"/>
        <v>0</v>
      </c>
      <c r="AV158" s="14">
        <f t="shared" si="44"/>
        <v>0</v>
      </c>
      <c r="AX158" s="69">
        <f>SUMIFS(инфо!$C$15:$C$28,инфо!$A$15:$A$28,F158)*H157</f>
        <v>0</v>
      </c>
    </row>
    <row r="159" spans="1:50" x14ac:dyDescent="0.25">
      <c r="A159" s="70">
        <f t="shared" si="49"/>
        <v>46146</v>
      </c>
      <c r="B159" s="79"/>
      <c r="C159" s="29"/>
      <c r="D159" s="30"/>
      <c r="E159" s="83"/>
      <c r="F159" s="28"/>
      <c r="G159" s="81"/>
      <c r="H159" s="81"/>
      <c r="I159" s="118">
        <f>IFERROR(H159*VLOOKUP(F159,инфо!$A$15:$C$28,3,FALSE)/1000,0)</f>
        <v>0</v>
      </c>
      <c r="J159" s="20"/>
      <c r="K159" s="81"/>
      <c r="L159" s="81"/>
      <c r="M159" s="20"/>
      <c r="N159" s="28"/>
      <c r="O159" s="27"/>
      <c r="P159" s="27"/>
      <c r="Q159" s="27"/>
      <c r="R159" s="27"/>
      <c r="S159" s="67">
        <f t="shared" si="45"/>
        <v>0</v>
      </c>
      <c r="T159" s="29"/>
      <c r="U159" s="30"/>
      <c r="V159" s="27"/>
      <c r="W159" s="27"/>
      <c r="X159" s="27"/>
      <c r="Y159" s="29"/>
      <c r="Z159" s="27"/>
      <c r="AA159" s="27"/>
      <c r="AB159" s="27"/>
      <c r="AC159" s="27"/>
      <c r="AD159" s="30"/>
      <c r="AE159" s="31">
        <f>SUMIFS(инфо!$D$15:$D$28,инфо!$A$15:$A$28,F159)</f>
        <v>0</v>
      </c>
      <c r="AF159" s="35">
        <f t="shared" si="36"/>
        <v>0</v>
      </c>
      <c r="AG159" s="33">
        <f t="shared" si="46"/>
        <v>0</v>
      </c>
      <c r="AH159" s="31">
        <f>SUMIFS(инфо!$E$15:$E$28,инфо!$A$15:$A$28,F159)</f>
        <v>0</v>
      </c>
      <c r="AI159" s="32">
        <f t="shared" si="37"/>
        <v>0</v>
      </c>
      <c r="AJ159" s="33">
        <f t="shared" si="47"/>
        <v>0</v>
      </c>
      <c r="AK159" s="31">
        <f>SUMIFS(инфо!$F$15:$F$28,инфо!$A$15:$A$28,F159)</f>
        <v>0</v>
      </c>
      <c r="AL159" s="32">
        <f t="shared" si="38"/>
        <v>0</v>
      </c>
      <c r="AM159" s="33">
        <f t="shared" si="41"/>
        <v>0</v>
      </c>
      <c r="AN159" s="31">
        <f>SUMIFS(инфо!$G$15:$G$28,инфо!$A$15:$A$28,F159)</f>
        <v>0</v>
      </c>
      <c r="AO159" s="32">
        <f t="shared" si="39"/>
        <v>0</v>
      </c>
      <c r="AP159" s="33">
        <f t="shared" si="42"/>
        <v>0</v>
      </c>
      <c r="AQ159" s="31">
        <f>SUMIFS(инфо!$H$15:$H$28,инфо!$A$15:$A$28,F159)</f>
        <v>0</v>
      </c>
      <c r="AR159" s="32">
        <f t="shared" si="40"/>
        <v>0</v>
      </c>
      <c r="AS159" s="33">
        <f t="shared" si="43"/>
        <v>0</v>
      </c>
      <c r="AT159" s="31">
        <f>SUMIFS(инфо!$I$15:$I$28,инфо!$A$15:$A$28,F159)</f>
        <v>0</v>
      </c>
      <c r="AU159" s="35">
        <f t="shared" si="48"/>
        <v>0</v>
      </c>
      <c r="AV159" s="33">
        <f t="shared" si="44"/>
        <v>0</v>
      </c>
      <c r="AX159" s="67">
        <f>SUMIFS(инфо!$C$15:$C$28,инфо!$A$15:$A$28,F159)*H158</f>
        <v>0</v>
      </c>
    </row>
    <row r="160" spans="1:50" x14ac:dyDescent="0.25">
      <c r="A160" s="70">
        <f t="shared" si="49"/>
        <v>46147</v>
      </c>
      <c r="B160" s="79"/>
      <c r="C160" s="15"/>
      <c r="D160" s="16"/>
      <c r="E160" s="83"/>
      <c r="F160" s="28"/>
      <c r="G160" s="81"/>
      <c r="H160" s="81"/>
      <c r="I160" s="118">
        <f>IFERROR(H160*VLOOKUP(F160,инфо!$A$15:$C$28,3,FALSE)/1000,0)</f>
        <v>0</v>
      </c>
      <c r="J160" s="20"/>
      <c r="K160" s="81"/>
      <c r="L160" s="81"/>
      <c r="M160" s="20"/>
      <c r="N160" s="20"/>
      <c r="O160" s="34"/>
      <c r="P160" s="34"/>
      <c r="Q160" s="34"/>
      <c r="R160" s="34"/>
      <c r="S160" s="68">
        <f t="shared" si="45"/>
        <v>0</v>
      </c>
      <c r="T160" s="15"/>
      <c r="U160" s="16"/>
      <c r="V160" s="34"/>
      <c r="W160" s="34"/>
      <c r="X160" s="34"/>
      <c r="Y160" s="15"/>
      <c r="Z160" s="34"/>
      <c r="AA160" s="34"/>
      <c r="AB160" s="34"/>
      <c r="AC160" s="34"/>
      <c r="AD160" s="16"/>
      <c r="AE160" s="24">
        <f>SUMIFS(инфо!$D$15:$D$28,инфо!$A$15:$A$28,F160)</f>
        <v>0</v>
      </c>
      <c r="AF160" s="35">
        <f t="shared" si="36"/>
        <v>0</v>
      </c>
      <c r="AG160" s="12">
        <f t="shared" si="46"/>
        <v>0</v>
      </c>
      <c r="AH160" s="24">
        <f>SUMIFS(инфо!$E$15:$E$28,инфо!$A$15:$A$28,F160)</f>
        <v>0</v>
      </c>
      <c r="AI160" s="32">
        <f t="shared" si="37"/>
        <v>0</v>
      </c>
      <c r="AJ160" s="12">
        <f t="shared" si="47"/>
        <v>0</v>
      </c>
      <c r="AK160" s="24">
        <f>SUMIFS(инфо!$F$15:$F$28,инфо!$A$15:$A$28,F160)</f>
        <v>0</v>
      </c>
      <c r="AL160" s="32">
        <f t="shared" si="38"/>
        <v>0</v>
      </c>
      <c r="AM160" s="12">
        <f t="shared" si="41"/>
        <v>0</v>
      </c>
      <c r="AN160" s="24">
        <f>SUMIFS(инфо!$G$15:$G$28,инфо!$A$15:$A$28,F160)</f>
        <v>0</v>
      </c>
      <c r="AO160" s="32">
        <f t="shared" si="39"/>
        <v>0</v>
      </c>
      <c r="AP160" s="12">
        <f t="shared" si="42"/>
        <v>0</v>
      </c>
      <c r="AQ160" s="24">
        <f>SUMIFS(инфо!$H$15:$H$28,инфо!$A$15:$A$28,F160)</f>
        <v>0</v>
      </c>
      <c r="AR160" s="35">
        <f t="shared" si="40"/>
        <v>0</v>
      </c>
      <c r="AS160" s="12">
        <f t="shared" si="43"/>
        <v>0</v>
      </c>
      <c r="AT160" s="24">
        <f>SUMIFS(инфо!$I$15:$I$28,инфо!$A$15:$A$28,F160)</f>
        <v>0</v>
      </c>
      <c r="AU160" s="35">
        <f t="shared" si="48"/>
        <v>0</v>
      </c>
      <c r="AV160" s="12">
        <f t="shared" si="44"/>
        <v>0</v>
      </c>
      <c r="AX160" s="68">
        <f>SUMIFS(инфо!$C$15:$C$28,инфо!$A$15:$A$28,F160)*H159</f>
        <v>0</v>
      </c>
    </row>
    <row r="161" spans="1:50" x14ac:dyDescent="0.25">
      <c r="A161" s="70">
        <f t="shared" si="49"/>
        <v>46147</v>
      </c>
      <c r="B161" s="79"/>
      <c r="C161" s="15"/>
      <c r="D161" s="16"/>
      <c r="E161" s="83"/>
      <c r="F161" s="28"/>
      <c r="G161" s="81"/>
      <c r="H161" s="81"/>
      <c r="I161" s="118">
        <f>IFERROR(H161*VLOOKUP(F161,инфо!$A$15:$C$28,3,FALSE)/1000,0)</f>
        <v>0</v>
      </c>
      <c r="J161" s="20"/>
      <c r="K161" s="81"/>
      <c r="L161" s="81"/>
      <c r="M161" s="20"/>
      <c r="N161" s="20"/>
      <c r="O161" s="34"/>
      <c r="P161" s="34"/>
      <c r="Q161" s="34"/>
      <c r="R161" s="34"/>
      <c r="S161" s="68">
        <f t="shared" si="45"/>
        <v>0</v>
      </c>
      <c r="T161" s="15"/>
      <c r="U161" s="16"/>
      <c r="V161" s="34"/>
      <c r="W161" s="34"/>
      <c r="X161" s="34"/>
      <c r="Y161" s="15"/>
      <c r="Z161" s="34"/>
      <c r="AA161" s="34"/>
      <c r="AB161" s="34"/>
      <c r="AC161" s="34"/>
      <c r="AD161" s="16"/>
      <c r="AE161" s="24">
        <f>SUMIFS(инфо!$D$15:$D$28,инфо!$A$15:$A$28,F161)</f>
        <v>0</v>
      </c>
      <c r="AF161" s="35">
        <f t="shared" si="36"/>
        <v>0</v>
      </c>
      <c r="AG161" s="12">
        <f t="shared" si="46"/>
        <v>0</v>
      </c>
      <c r="AH161" s="24">
        <f>SUMIFS(инфо!$E$15:$E$28,инфо!$A$15:$A$28,F161)</f>
        <v>0</v>
      </c>
      <c r="AI161" s="32">
        <f t="shared" si="37"/>
        <v>0</v>
      </c>
      <c r="AJ161" s="12">
        <f t="shared" si="47"/>
        <v>0</v>
      </c>
      <c r="AK161" s="24">
        <f>SUMIFS(инфо!$F$15:$F$28,инфо!$A$15:$A$28,F161)</f>
        <v>0</v>
      </c>
      <c r="AL161" s="32">
        <f t="shared" si="38"/>
        <v>0</v>
      </c>
      <c r="AM161" s="12">
        <f t="shared" si="41"/>
        <v>0</v>
      </c>
      <c r="AN161" s="24">
        <f>SUMIFS(инфо!$G$15:$G$28,инфо!$A$15:$A$28,F161)</f>
        <v>0</v>
      </c>
      <c r="AO161" s="32">
        <f t="shared" si="39"/>
        <v>0</v>
      </c>
      <c r="AP161" s="12">
        <f t="shared" si="42"/>
        <v>0</v>
      </c>
      <c r="AQ161" s="24">
        <f>SUMIFS(инфо!$H$15:$H$28,инфо!$A$15:$A$28,F161)</f>
        <v>0</v>
      </c>
      <c r="AR161" s="35">
        <f t="shared" si="40"/>
        <v>0</v>
      </c>
      <c r="AS161" s="12">
        <f t="shared" si="43"/>
        <v>0</v>
      </c>
      <c r="AT161" s="24">
        <f>SUMIFS(инфо!$I$15:$I$28,инфо!$A$15:$A$28,F161)</f>
        <v>0</v>
      </c>
      <c r="AU161" s="35">
        <f t="shared" si="48"/>
        <v>0</v>
      </c>
      <c r="AV161" s="12">
        <f t="shared" si="44"/>
        <v>0</v>
      </c>
      <c r="AX161" s="68">
        <f>SUMIFS(инфо!$C$15:$C$28,инфо!$A$15:$A$28,F161)*H160</f>
        <v>0</v>
      </c>
    </row>
    <row r="162" spans="1:50" x14ac:dyDescent="0.25">
      <c r="A162" s="70">
        <f t="shared" si="49"/>
        <v>46148</v>
      </c>
      <c r="B162" s="79"/>
      <c r="C162" s="17"/>
      <c r="D162" s="18"/>
      <c r="E162" s="83"/>
      <c r="F162" s="28"/>
      <c r="G162" s="81"/>
      <c r="H162" s="81"/>
      <c r="I162" s="118">
        <f>IFERROR(H162*VLOOKUP(F162,инфо!$A$15:$C$28,3,FALSE)/1000,0)</f>
        <v>0</v>
      </c>
      <c r="J162" s="20"/>
      <c r="K162" s="81"/>
      <c r="L162" s="81"/>
      <c r="M162" s="20"/>
      <c r="N162" s="23"/>
      <c r="O162" s="19"/>
      <c r="P162" s="19"/>
      <c r="Q162" s="19"/>
      <c r="R162" s="19"/>
      <c r="S162" s="69">
        <f t="shared" si="45"/>
        <v>0</v>
      </c>
      <c r="T162" s="17"/>
      <c r="U162" s="18"/>
      <c r="V162" s="19"/>
      <c r="W162" s="19"/>
      <c r="X162" s="19"/>
      <c r="Y162" s="17"/>
      <c r="Z162" s="19"/>
      <c r="AA162" s="19"/>
      <c r="AB162" s="19"/>
      <c r="AC162" s="19"/>
      <c r="AD162" s="18"/>
      <c r="AE162" s="25">
        <f>SUMIFS(инфо!$D$15:$D$28,инфо!$A$15:$A$28,F162)</f>
        <v>0</v>
      </c>
      <c r="AF162" s="35">
        <f t="shared" si="36"/>
        <v>0</v>
      </c>
      <c r="AG162" s="14">
        <f t="shared" si="46"/>
        <v>0</v>
      </c>
      <c r="AH162" s="25">
        <f>SUMIFS(инфо!$E$15:$E$28,инфо!$A$15:$A$28,F162)</f>
        <v>0</v>
      </c>
      <c r="AI162" s="32">
        <f t="shared" si="37"/>
        <v>0</v>
      </c>
      <c r="AJ162" s="14">
        <f t="shared" si="47"/>
        <v>0</v>
      </c>
      <c r="AK162" s="25">
        <f>SUMIFS(инфо!$F$15:$F$28,инфо!$A$15:$A$28,F162)</f>
        <v>0</v>
      </c>
      <c r="AL162" s="32">
        <f t="shared" si="38"/>
        <v>0</v>
      </c>
      <c r="AM162" s="14">
        <f t="shared" si="41"/>
        <v>0</v>
      </c>
      <c r="AN162" s="25">
        <f>SUMIFS(инфо!$G$15:$G$28,инфо!$A$15:$A$28,F162)</f>
        <v>0</v>
      </c>
      <c r="AO162" s="32">
        <f t="shared" si="39"/>
        <v>0</v>
      </c>
      <c r="AP162" s="14">
        <f t="shared" si="42"/>
        <v>0</v>
      </c>
      <c r="AQ162" s="25">
        <f>SUMIFS(инфо!$H$15:$H$28,инфо!$A$15:$A$28,F162)</f>
        <v>0</v>
      </c>
      <c r="AR162" s="26">
        <f t="shared" si="40"/>
        <v>0</v>
      </c>
      <c r="AS162" s="14">
        <f t="shared" si="43"/>
        <v>0</v>
      </c>
      <c r="AT162" s="25">
        <f>SUMIFS(инфо!$I$15:$I$28,инфо!$A$15:$A$28,F162)</f>
        <v>0</v>
      </c>
      <c r="AU162" s="35">
        <f t="shared" si="48"/>
        <v>0</v>
      </c>
      <c r="AV162" s="14">
        <f t="shared" si="44"/>
        <v>0</v>
      </c>
      <c r="AX162" s="69">
        <f>SUMIFS(инфо!$C$15:$C$28,инфо!$A$15:$A$28,F162)*H161</f>
        <v>0</v>
      </c>
    </row>
    <row r="163" spans="1:50" x14ac:dyDescent="0.25">
      <c r="A163" s="70">
        <f t="shared" si="49"/>
        <v>46148</v>
      </c>
      <c r="B163" s="79"/>
      <c r="C163" s="29"/>
      <c r="D163" s="30"/>
      <c r="E163" s="83"/>
      <c r="F163" s="28"/>
      <c r="G163" s="81"/>
      <c r="H163" s="81"/>
      <c r="I163" s="118">
        <f>IFERROR(H163*VLOOKUP(F163,инфо!$A$15:$C$28,3,FALSE)/1000,0)</f>
        <v>0</v>
      </c>
      <c r="J163" s="20"/>
      <c r="K163" s="81"/>
      <c r="L163" s="81"/>
      <c r="M163" s="20"/>
      <c r="N163" s="28"/>
      <c r="O163" s="27"/>
      <c r="P163" s="27"/>
      <c r="Q163" s="27"/>
      <c r="R163" s="27"/>
      <c r="S163" s="67">
        <f t="shared" si="45"/>
        <v>0</v>
      </c>
      <c r="T163" s="29"/>
      <c r="U163" s="30"/>
      <c r="V163" s="27"/>
      <c r="W163" s="27"/>
      <c r="X163" s="27"/>
      <c r="Y163" s="29"/>
      <c r="Z163" s="27"/>
      <c r="AA163" s="27"/>
      <c r="AB163" s="27"/>
      <c r="AC163" s="27"/>
      <c r="AD163" s="30"/>
      <c r="AE163" s="31">
        <f>SUMIFS(инфо!$D$15:$D$28,инфо!$A$15:$A$28,F163)</f>
        <v>0</v>
      </c>
      <c r="AF163" s="35">
        <f t="shared" si="36"/>
        <v>0</v>
      </c>
      <c r="AG163" s="33">
        <f t="shared" si="46"/>
        <v>0</v>
      </c>
      <c r="AH163" s="31">
        <f>SUMIFS(инфо!$E$15:$E$28,инфо!$A$15:$A$28,F163)</f>
        <v>0</v>
      </c>
      <c r="AI163" s="32">
        <f t="shared" si="37"/>
        <v>0</v>
      </c>
      <c r="AJ163" s="33">
        <f t="shared" si="47"/>
        <v>0</v>
      </c>
      <c r="AK163" s="31">
        <f>SUMIFS(инфо!$F$15:$F$28,инфо!$A$15:$A$28,F163)</f>
        <v>0</v>
      </c>
      <c r="AL163" s="32">
        <f t="shared" si="38"/>
        <v>0</v>
      </c>
      <c r="AM163" s="33">
        <f t="shared" si="41"/>
        <v>0</v>
      </c>
      <c r="AN163" s="31">
        <f>SUMIFS(инфо!$G$15:$G$28,инфо!$A$15:$A$28,F163)</f>
        <v>0</v>
      </c>
      <c r="AO163" s="32">
        <f t="shared" si="39"/>
        <v>0</v>
      </c>
      <c r="AP163" s="33">
        <f t="shared" si="42"/>
        <v>0</v>
      </c>
      <c r="AQ163" s="31">
        <f>SUMIFS(инфо!$H$15:$H$28,инфо!$A$15:$A$28,F163)</f>
        <v>0</v>
      </c>
      <c r="AR163" s="32">
        <f t="shared" si="40"/>
        <v>0</v>
      </c>
      <c r="AS163" s="33">
        <f t="shared" si="43"/>
        <v>0</v>
      </c>
      <c r="AT163" s="31">
        <f>SUMIFS(инфо!$I$15:$I$28,инфо!$A$15:$A$28,F163)</f>
        <v>0</v>
      </c>
      <c r="AU163" s="35">
        <f t="shared" si="48"/>
        <v>0</v>
      </c>
      <c r="AV163" s="33">
        <f t="shared" si="44"/>
        <v>0</v>
      </c>
      <c r="AX163" s="67">
        <f>SUMIFS(инфо!$C$15:$C$28,инфо!$A$15:$A$28,F163)*H162</f>
        <v>0</v>
      </c>
    </row>
    <row r="164" spans="1:50" x14ac:dyDescent="0.25">
      <c r="A164" s="70">
        <f t="shared" si="49"/>
        <v>46149</v>
      </c>
      <c r="B164" s="79"/>
      <c r="C164" s="15"/>
      <c r="D164" s="16"/>
      <c r="E164" s="83"/>
      <c r="F164" s="28"/>
      <c r="G164" s="81"/>
      <c r="H164" s="81"/>
      <c r="I164" s="118">
        <f>IFERROR(H164*VLOOKUP(F164,инфо!$A$15:$C$28,3,FALSE)/1000,0)</f>
        <v>0</v>
      </c>
      <c r="J164" s="20"/>
      <c r="K164" s="81"/>
      <c r="L164" s="81"/>
      <c r="M164" s="20"/>
      <c r="N164" s="20"/>
      <c r="O164" s="34"/>
      <c r="P164" s="34"/>
      <c r="Q164" s="34"/>
      <c r="R164" s="34"/>
      <c r="S164" s="68">
        <f t="shared" si="45"/>
        <v>0</v>
      </c>
      <c r="T164" s="15"/>
      <c r="U164" s="16"/>
      <c r="V164" s="34"/>
      <c r="W164" s="34"/>
      <c r="X164" s="34"/>
      <c r="Y164" s="15"/>
      <c r="Z164" s="34"/>
      <c r="AA164" s="34"/>
      <c r="AB164" s="34"/>
      <c r="AC164" s="34"/>
      <c r="AD164" s="16"/>
      <c r="AE164" s="24">
        <f>SUMIFS(инфо!$D$15:$D$28,инфо!$A$15:$A$28,F164)</f>
        <v>0</v>
      </c>
      <c r="AF164" s="35">
        <f t="shared" si="36"/>
        <v>0</v>
      </c>
      <c r="AG164" s="12">
        <f t="shared" si="46"/>
        <v>0</v>
      </c>
      <c r="AH164" s="24">
        <f>SUMIFS(инфо!$E$15:$E$28,инфо!$A$15:$A$28,F164)</f>
        <v>0</v>
      </c>
      <c r="AI164" s="32">
        <f t="shared" si="37"/>
        <v>0</v>
      </c>
      <c r="AJ164" s="12">
        <f t="shared" si="47"/>
        <v>0</v>
      </c>
      <c r="AK164" s="24">
        <f>SUMIFS(инфо!$F$15:$F$28,инфо!$A$15:$A$28,F164)</f>
        <v>0</v>
      </c>
      <c r="AL164" s="32">
        <f t="shared" si="38"/>
        <v>0</v>
      </c>
      <c r="AM164" s="12">
        <f t="shared" si="41"/>
        <v>0</v>
      </c>
      <c r="AN164" s="24">
        <f>SUMIFS(инфо!$G$15:$G$28,инфо!$A$15:$A$28,F164)</f>
        <v>0</v>
      </c>
      <c r="AO164" s="32">
        <f t="shared" si="39"/>
        <v>0</v>
      </c>
      <c r="AP164" s="12">
        <f t="shared" si="42"/>
        <v>0</v>
      </c>
      <c r="AQ164" s="24">
        <f>SUMIFS(инфо!$H$15:$H$28,инфо!$A$15:$A$28,F164)</f>
        <v>0</v>
      </c>
      <c r="AR164" s="35">
        <f t="shared" si="40"/>
        <v>0</v>
      </c>
      <c r="AS164" s="12">
        <f t="shared" si="43"/>
        <v>0</v>
      </c>
      <c r="AT164" s="24">
        <f>SUMIFS(инфо!$I$15:$I$28,инфо!$A$15:$A$28,F164)</f>
        <v>0</v>
      </c>
      <c r="AU164" s="35">
        <f t="shared" si="48"/>
        <v>0</v>
      </c>
      <c r="AV164" s="12">
        <f t="shared" si="44"/>
        <v>0</v>
      </c>
      <c r="AX164" s="68">
        <f>SUMIFS(инфо!$C$15:$C$28,инфо!$A$15:$A$28,F164)*H163</f>
        <v>0</v>
      </c>
    </row>
    <row r="165" spans="1:50" x14ac:dyDescent="0.25">
      <c r="A165" s="70">
        <f t="shared" si="49"/>
        <v>46149</v>
      </c>
      <c r="B165" s="79"/>
      <c r="C165" s="15"/>
      <c r="D165" s="16"/>
      <c r="E165" s="83"/>
      <c r="F165" s="28"/>
      <c r="G165" s="81"/>
      <c r="H165" s="81"/>
      <c r="I165" s="118">
        <f>IFERROR(H165*VLOOKUP(F165,инфо!$A$15:$C$28,3,FALSE)/1000,0)</f>
        <v>0</v>
      </c>
      <c r="J165" s="20"/>
      <c r="K165" s="81"/>
      <c r="L165" s="81"/>
      <c r="M165" s="20"/>
      <c r="N165" s="20"/>
      <c r="O165" s="34"/>
      <c r="P165" s="34"/>
      <c r="Q165" s="34"/>
      <c r="R165" s="34"/>
      <c r="S165" s="68">
        <f t="shared" si="45"/>
        <v>0</v>
      </c>
      <c r="T165" s="15"/>
      <c r="U165" s="16"/>
      <c r="V165" s="34"/>
      <c r="W165" s="34"/>
      <c r="X165" s="34"/>
      <c r="Y165" s="15"/>
      <c r="Z165" s="34"/>
      <c r="AA165" s="34"/>
      <c r="AB165" s="34"/>
      <c r="AC165" s="34"/>
      <c r="AD165" s="16"/>
      <c r="AE165" s="24">
        <f>SUMIFS(инфо!$D$15:$D$28,инфо!$A$15:$A$28,F165)</f>
        <v>0</v>
      </c>
      <c r="AF165" s="35">
        <f t="shared" si="36"/>
        <v>0</v>
      </c>
      <c r="AG165" s="12">
        <f t="shared" si="46"/>
        <v>0</v>
      </c>
      <c r="AH165" s="24">
        <f>SUMIFS(инфо!$E$15:$E$28,инфо!$A$15:$A$28,F165)</f>
        <v>0</v>
      </c>
      <c r="AI165" s="32">
        <f t="shared" si="37"/>
        <v>0</v>
      </c>
      <c r="AJ165" s="12">
        <f t="shared" si="47"/>
        <v>0</v>
      </c>
      <c r="AK165" s="24">
        <f>SUMIFS(инфо!$F$15:$F$28,инфо!$A$15:$A$28,F165)</f>
        <v>0</v>
      </c>
      <c r="AL165" s="32">
        <f t="shared" si="38"/>
        <v>0</v>
      </c>
      <c r="AM165" s="12">
        <f t="shared" si="41"/>
        <v>0</v>
      </c>
      <c r="AN165" s="24">
        <f>SUMIFS(инфо!$G$15:$G$28,инфо!$A$15:$A$28,F165)</f>
        <v>0</v>
      </c>
      <c r="AO165" s="32">
        <f t="shared" si="39"/>
        <v>0</v>
      </c>
      <c r="AP165" s="12">
        <f t="shared" si="42"/>
        <v>0</v>
      </c>
      <c r="AQ165" s="24">
        <f>SUMIFS(инфо!$H$15:$H$28,инфо!$A$15:$A$28,F165)</f>
        <v>0</v>
      </c>
      <c r="AR165" s="35">
        <f t="shared" si="40"/>
        <v>0</v>
      </c>
      <c r="AS165" s="12">
        <f t="shared" si="43"/>
        <v>0</v>
      </c>
      <c r="AT165" s="24">
        <f>SUMIFS(инфо!$I$15:$I$28,инфо!$A$15:$A$28,F165)</f>
        <v>0</v>
      </c>
      <c r="AU165" s="35">
        <f t="shared" si="48"/>
        <v>0</v>
      </c>
      <c r="AV165" s="12">
        <f t="shared" si="44"/>
        <v>0</v>
      </c>
      <c r="AX165" s="68">
        <f>SUMIFS(инфо!$C$15:$C$28,инфо!$A$15:$A$28,F165)*H164</f>
        <v>0</v>
      </c>
    </row>
    <row r="166" spans="1:50" x14ac:dyDescent="0.25">
      <c r="A166" s="70">
        <f t="shared" si="49"/>
        <v>46150</v>
      </c>
      <c r="B166" s="79"/>
      <c r="C166" s="17"/>
      <c r="D166" s="18"/>
      <c r="E166" s="83"/>
      <c r="F166" s="28"/>
      <c r="G166" s="81"/>
      <c r="H166" s="81"/>
      <c r="I166" s="118">
        <f>IFERROR(H166*VLOOKUP(F166,инфо!$A$15:$C$28,3,FALSE)/1000,0)</f>
        <v>0</v>
      </c>
      <c r="J166" s="20"/>
      <c r="K166" s="81"/>
      <c r="L166" s="81"/>
      <c r="M166" s="20"/>
      <c r="N166" s="23"/>
      <c r="O166" s="19"/>
      <c r="P166" s="19"/>
      <c r="Q166" s="19"/>
      <c r="R166" s="19"/>
      <c r="S166" s="69">
        <f t="shared" si="45"/>
        <v>0</v>
      </c>
      <c r="T166" s="17"/>
      <c r="U166" s="18"/>
      <c r="V166" s="19"/>
      <c r="W166" s="19"/>
      <c r="X166" s="19"/>
      <c r="Y166" s="17"/>
      <c r="Z166" s="19"/>
      <c r="AA166" s="19"/>
      <c r="AB166" s="19"/>
      <c r="AC166" s="19"/>
      <c r="AD166" s="18"/>
      <c r="AE166" s="25">
        <f>SUMIFS(инфо!$D$15:$D$28,инфо!$A$15:$A$28,F166)</f>
        <v>0</v>
      </c>
      <c r="AF166" s="35">
        <f t="shared" si="36"/>
        <v>0</v>
      </c>
      <c r="AG166" s="14">
        <f t="shared" si="46"/>
        <v>0</v>
      </c>
      <c r="AH166" s="25">
        <f>SUMIFS(инфо!$E$15:$E$28,инфо!$A$15:$A$28,F166)</f>
        <v>0</v>
      </c>
      <c r="AI166" s="32">
        <f t="shared" si="37"/>
        <v>0</v>
      </c>
      <c r="AJ166" s="14">
        <f t="shared" si="47"/>
        <v>0</v>
      </c>
      <c r="AK166" s="25">
        <f>SUMIFS(инфо!$F$15:$F$28,инфо!$A$15:$A$28,F166)</f>
        <v>0</v>
      </c>
      <c r="AL166" s="32">
        <f t="shared" si="38"/>
        <v>0</v>
      </c>
      <c r="AM166" s="14">
        <f t="shared" si="41"/>
        <v>0</v>
      </c>
      <c r="AN166" s="25">
        <f>SUMIFS(инфо!$G$15:$G$28,инфо!$A$15:$A$28,F166)</f>
        <v>0</v>
      </c>
      <c r="AO166" s="32">
        <f t="shared" si="39"/>
        <v>0</v>
      </c>
      <c r="AP166" s="14">
        <f t="shared" si="42"/>
        <v>0</v>
      </c>
      <c r="AQ166" s="25">
        <f>SUMIFS(инфо!$H$15:$H$28,инфо!$A$15:$A$28,F166)</f>
        <v>0</v>
      </c>
      <c r="AR166" s="26">
        <f t="shared" si="40"/>
        <v>0</v>
      </c>
      <c r="AS166" s="14">
        <f t="shared" si="43"/>
        <v>0</v>
      </c>
      <c r="AT166" s="25">
        <f>SUMIFS(инфо!$I$15:$I$28,инфо!$A$15:$A$28,F166)</f>
        <v>0</v>
      </c>
      <c r="AU166" s="35">
        <f t="shared" si="48"/>
        <v>0</v>
      </c>
      <c r="AV166" s="14">
        <f t="shared" si="44"/>
        <v>0</v>
      </c>
      <c r="AX166" s="69">
        <f>SUMIFS(инфо!$C$15:$C$28,инфо!$A$15:$A$28,F166)*H165</f>
        <v>0</v>
      </c>
    </row>
    <row r="167" spans="1:50" x14ac:dyDescent="0.25">
      <c r="A167" s="70">
        <f t="shared" si="49"/>
        <v>46150</v>
      </c>
      <c r="B167" s="79"/>
      <c r="C167" s="29"/>
      <c r="D167" s="30"/>
      <c r="E167" s="83"/>
      <c r="F167" s="28"/>
      <c r="G167" s="81"/>
      <c r="H167" s="81"/>
      <c r="I167" s="118">
        <f>IFERROR(H167*VLOOKUP(F167,инфо!$A$15:$C$28,3,FALSE)/1000,0)</f>
        <v>0</v>
      </c>
      <c r="J167" s="20"/>
      <c r="K167" s="81"/>
      <c r="L167" s="81"/>
      <c r="M167" s="20"/>
      <c r="N167" s="28"/>
      <c r="O167" s="27"/>
      <c r="P167" s="27"/>
      <c r="Q167" s="27"/>
      <c r="R167" s="27"/>
      <c r="S167" s="67">
        <f t="shared" si="45"/>
        <v>0</v>
      </c>
      <c r="T167" s="29"/>
      <c r="U167" s="30"/>
      <c r="V167" s="27"/>
      <c r="W167" s="27"/>
      <c r="X167" s="27"/>
      <c r="Y167" s="29"/>
      <c r="Z167" s="27"/>
      <c r="AA167" s="27"/>
      <c r="AB167" s="27"/>
      <c r="AC167" s="27"/>
      <c r="AD167" s="30"/>
      <c r="AE167" s="31">
        <f>SUMIFS(инфо!$D$15:$D$28,инфо!$A$15:$A$28,F167)</f>
        <v>0</v>
      </c>
      <c r="AF167" s="35">
        <f t="shared" si="36"/>
        <v>0</v>
      </c>
      <c r="AG167" s="33">
        <f t="shared" si="46"/>
        <v>0</v>
      </c>
      <c r="AH167" s="31">
        <f>SUMIFS(инфо!$E$15:$E$28,инфо!$A$15:$A$28,F167)</f>
        <v>0</v>
      </c>
      <c r="AI167" s="32">
        <f t="shared" si="37"/>
        <v>0</v>
      </c>
      <c r="AJ167" s="33">
        <f t="shared" si="47"/>
        <v>0</v>
      </c>
      <c r="AK167" s="31">
        <f>SUMIFS(инфо!$F$15:$F$28,инфо!$A$15:$A$28,F167)</f>
        <v>0</v>
      </c>
      <c r="AL167" s="32">
        <f t="shared" si="38"/>
        <v>0</v>
      </c>
      <c r="AM167" s="33">
        <f t="shared" si="41"/>
        <v>0</v>
      </c>
      <c r="AN167" s="31">
        <f>SUMIFS(инфо!$G$15:$G$28,инфо!$A$15:$A$28,F167)</f>
        <v>0</v>
      </c>
      <c r="AO167" s="32">
        <f t="shared" si="39"/>
        <v>0</v>
      </c>
      <c r="AP167" s="33">
        <f t="shared" si="42"/>
        <v>0</v>
      </c>
      <c r="AQ167" s="31">
        <f>SUMIFS(инфо!$H$15:$H$28,инфо!$A$15:$A$28,F167)</f>
        <v>0</v>
      </c>
      <c r="AR167" s="32">
        <f t="shared" si="40"/>
        <v>0</v>
      </c>
      <c r="AS167" s="33">
        <f t="shared" si="43"/>
        <v>0</v>
      </c>
      <c r="AT167" s="31">
        <f>SUMIFS(инфо!$I$15:$I$28,инфо!$A$15:$A$28,F167)</f>
        <v>0</v>
      </c>
      <c r="AU167" s="35">
        <f t="shared" si="48"/>
        <v>0</v>
      </c>
      <c r="AV167" s="33">
        <f t="shared" si="44"/>
        <v>0</v>
      </c>
      <c r="AX167" s="67">
        <f>SUMIFS(инфо!$C$15:$C$28,инфо!$A$15:$A$28,F167)*H166</f>
        <v>0</v>
      </c>
    </row>
    <row r="168" spans="1:50" x14ac:dyDescent="0.25">
      <c r="A168" s="70">
        <f t="shared" si="49"/>
        <v>46151</v>
      </c>
      <c r="B168" s="79"/>
      <c r="C168" s="15"/>
      <c r="D168" s="16"/>
      <c r="E168" s="83"/>
      <c r="F168" s="28"/>
      <c r="G168" s="81"/>
      <c r="H168" s="81"/>
      <c r="I168" s="118">
        <f>IFERROR(H168*VLOOKUP(F168,инфо!$A$15:$C$28,3,FALSE)/1000,0)</f>
        <v>0</v>
      </c>
      <c r="J168" s="20"/>
      <c r="K168" s="81"/>
      <c r="L168" s="81"/>
      <c r="M168" s="20"/>
      <c r="N168" s="20"/>
      <c r="O168" s="34"/>
      <c r="P168" s="34"/>
      <c r="Q168" s="34"/>
      <c r="R168" s="34"/>
      <c r="S168" s="68">
        <f t="shared" si="45"/>
        <v>0</v>
      </c>
      <c r="T168" s="15"/>
      <c r="U168" s="16"/>
      <c r="V168" s="34"/>
      <c r="W168" s="34"/>
      <c r="X168" s="34"/>
      <c r="Y168" s="15"/>
      <c r="Z168" s="34"/>
      <c r="AA168" s="34"/>
      <c r="AB168" s="34"/>
      <c r="AC168" s="34"/>
      <c r="AD168" s="16"/>
      <c r="AE168" s="24">
        <f>SUMIFS(инфо!$D$15:$D$28,инфо!$A$15:$A$28,F168)</f>
        <v>0</v>
      </c>
      <c r="AF168" s="35">
        <f t="shared" si="36"/>
        <v>0</v>
      </c>
      <c r="AG168" s="12">
        <f t="shared" si="46"/>
        <v>0</v>
      </c>
      <c r="AH168" s="24">
        <f>SUMIFS(инфо!$E$15:$E$28,инфо!$A$15:$A$28,F168)</f>
        <v>0</v>
      </c>
      <c r="AI168" s="32">
        <f t="shared" si="37"/>
        <v>0</v>
      </c>
      <c r="AJ168" s="12">
        <f t="shared" si="47"/>
        <v>0</v>
      </c>
      <c r="AK168" s="24">
        <f>SUMIFS(инфо!$F$15:$F$28,инфо!$A$15:$A$28,F168)</f>
        <v>0</v>
      </c>
      <c r="AL168" s="32">
        <f t="shared" si="38"/>
        <v>0</v>
      </c>
      <c r="AM168" s="12">
        <f t="shared" si="41"/>
        <v>0</v>
      </c>
      <c r="AN168" s="24">
        <f>SUMIFS(инфо!$G$15:$G$28,инфо!$A$15:$A$28,F168)</f>
        <v>0</v>
      </c>
      <c r="AO168" s="32">
        <f t="shared" si="39"/>
        <v>0</v>
      </c>
      <c r="AP168" s="12">
        <f t="shared" si="42"/>
        <v>0</v>
      </c>
      <c r="AQ168" s="24">
        <f>SUMIFS(инфо!$H$15:$H$28,инфо!$A$15:$A$28,F168)</f>
        <v>0</v>
      </c>
      <c r="AR168" s="35">
        <f t="shared" si="40"/>
        <v>0</v>
      </c>
      <c r="AS168" s="12">
        <f t="shared" si="43"/>
        <v>0</v>
      </c>
      <c r="AT168" s="24">
        <f>SUMIFS(инфо!$I$15:$I$28,инфо!$A$15:$A$28,F168)</f>
        <v>0</v>
      </c>
      <c r="AU168" s="35">
        <f t="shared" si="48"/>
        <v>0</v>
      </c>
      <c r="AV168" s="12">
        <f t="shared" si="44"/>
        <v>0</v>
      </c>
      <c r="AX168" s="68">
        <f>SUMIFS(инфо!$C$15:$C$28,инфо!$A$15:$A$28,F168)*H167</f>
        <v>0</v>
      </c>
    </row>
    <row r="169" spans="1:50" x14ac:dyDescent="0.25">
      <c r="A169" s="70">
        <f t="shared" si="49"/>
        <v>46151</v>
      </c>
      <c r="B169" s="79"/>
      <c r="C169" s="15"/>
      <c r="D169" s="16"/>
      <c r="E169" s="83"/>
      <c r="F169" s="28"/>
      <c r="G169" s="81"/>
      <c r="H169" s="81"/>
      <c r="I169" s="118">
        <f>IFERROR(H169*VLOOKUP(F169,инфо!$A$15:$C$28,3,FALSE)/1000,0)</f>
        <v>0</v>
      </c>
      <c r="J169" s="20"/>
      <c r="K169" s="81"/>
      <c r="L169" s="81"/>
      <c r="M169" s="20"/>
      <c r="N169" s="20"/>
      <c r="O169" s="34"/>
      <c r="P169" s="34"/>
      <c r="Q169" s="34"/>
      <c r="R169" s="34"/>
      <c r="S169" s="68">
        <f t="shared" si="45"/>
        <v>0</v>
      </c>
      <c r="T169" s="15"/>
      <c r="U169" s="16"/>
      <c r="V169" s="34"/>
      <c r="W169" s="34"/>
      <c r="X169" s="34"/>
      <c r="Y169" s="15"/>
      <c r="Z169" s="34"/>
      <c r="AA169" s="34"/>
      <c r="AB169" s="34"/>
      <c r="AC169" s="34"/>
      <c r="AD169" s="16"/>
      <c r="AE169" s="24">
        <f>SUMIFS(инфо!$D$15:$D$28,инфо!$A$15:$A$28,F169)</f>
        <v>0</v>
      </c>
      <c r="AF169" s="35">
        <f t="shared" ref="AF169:AF234" si="50">IF(H169=0,0,N169/H169)</f>
        <v>0</v>
      </c>
      <c r="AG169" s="12">
        <f t="shared" si="46"/>
        <v>0</v>
      </c>
      <c r="AH169" s="24">
        <f>SUMIFS(инфо!$E$15:$E$28,инфо!$A$15:$A$28,F169)</f>
        <v>0</v>
      </c>
      <c r="AI169" s="32">
        <f t="shared" ref="AI169:AI234" si="51">IF(H169=0,0,S169/H169)</f>
        <v>0</v>
      </c>
      <c r="AJ169" s="12">
        <f t="shared" si="47"/>
        <v>0</v>
      </c>
      <c r="AK169" s="24">
        <f>SUMIFS(инфо!$F$15:$F$28,инфо!$A$15:$A$28,F169)</f>
        <v>0</v>
      </c>
      <c r="AL169" s="32">
        <f t="shared" ref="AL169:AL234" si="52">IF(H169=0,0,Y169/H169)</f>
        <v>0</v>
      </c>
      <c r="AM169" s="12">
        <f t="shared" si="41"/>
        <v>0</v>
      </c>
      <c r="AN169" s="24">
        <f>SUMIFS(инфо!$G$15:$G$28,инфо!$A$15:$A$28,F169)</f>
        <v>0</v>
      </c>
      <c r="AO169" s="32">
        <f t="shared" ref="AO169:AO234" si="53">IF(H169=0,0,AA169/H169)</f>
        <v>0</v>
      </c>
      <c r="AP169" s="12">
        <f t="shared" si="42"/>
        <v>0</v>
      </c>
      <c r="AQ169" s="24">
        <f>SUMIFS(инфо!$H$15:$H$28,инфо!$A$15:$A$28,F169)</f>
        <v>0</v>
      </c>
      <c r="AR169" s="35">
        <f t="shared" si="40"/>
        <v>0</v>
      </c>
      <c r="AS169" s="12">
        <f t="shared" si="43"/>
        <v>0</v>
      </c>
      <c r="AT169" s="24">
        <f>SUMIFS(инфо!$I$15:$I$28,инфо!$A$15:$A$28,F169)</f>
        <v>0</v>
      </c>
      <c r="AU169" s="35">
        <f t="shared" si="48"/>
        <v>0</v>
      </c>
      <c r="AV169" s="12">
        <f t="shared" si="44"/>
        <v>0</v>
      </c>
      <c r="AX169" s="68">
        <f>SUMIFS(инфо!$C$15:$C$28,инфо!$A$15:$A$28,F169)*H168</f>
        <v>0</v>
      </c>
    </row>
    <row r="170" spans="1:50" x14ac:dyDescent="0.25">
      <c r="A170" s="70">
        <f t="shared" si="49"/>
        <v>46152</v>
      </c>
      <c r="B170" s="79"/>
      <c r="C170" s="17"/>
      <c r="D170" s="18"/>
      <c r="E170" s="83"/>
      <c r="F170" s="28"/>
      <c r="G170" s="81"/>
      <c r="H170" s="81"/>
      <c r="I170" s="118">
        <f>IFERROR(H170*VLOOKUP(F170,инфо!$A$15:$C$28,3,FALSE)/1000,0)</f>
        <v>0</v>
      </c>
      <c r="J170" s="20"/>
      <c r="K170" s="81"/>
      <c r="L170" s="81"/>
      <c r="M170" s="20"/>
      <c r="N170" s="23"/>
      <c r="O170" s="19"/>
      <c r="P170" s="19"/>
      <c r="Q170" s="19"/>
      <c r="R170" s="19"/>
      <c r="S170" s="69">
        <f t="shared" si="45"/>
        <v>0</v>
      </c>
      <c r="T170" s="17"/>
      <c r="U170" s="18"/>
      <c r="V170" s="19"/>
      <c r="W170" s="19"/>
      <c r="X170" s="19"/>
      <c r="Y170" s="17"/>
      <c r="Z170" s="19"/>
      <c r="AA170" s="19"/>
      <c r="AB170" s="19"/>
      <c r="AC170" s="19"/>
      <c r="AD170" s="18"/>
      <c r="AE170" s="25">
        <f>SUMIFS(инфо!$D$15:$D$28,инфо!$A$15:$A$28,F170)</f>
        <v>0</v>
      </c>
      <c r="AF170" s="35">
        <f t="shared" si="50"/>
        <v>0</v>
      </c>
      <c r="AG170" s="14">
        <f t="shared" si="46"/>
        <v>0</v>
      </c>
      <c r="AH170" s="25">
        <f>SUMIFS(инфо!$E$15:$E$28,инфо!$A$15:$A$28,F170)</f>
        <v>0</v>
      </c>
      <c r="AI170" s="32">
        <f t="shared" si="51"/>
        <v>0</v>
      </c>
      <c r="AJ170" s="14">
        <f t="shared" si="47"/>
        <v>0</v>
      </c>
      <c r="AK170" s="25">
        <f>SUMIFS(инфо!$F$15:$F$28,инфо!$A$15:$A$28,F170)</f>
        <v>0</v>
      </c>
      <c r="AL170" s="32">
        <f t="shared" si="52"/>
        <v>0</v>
      </c>
      <c r="AM170" s="14">
        <f t="shared" si="41"/>
        <v>0</v>
      </c>
      <c r="AN170" s="25">
        <f>SUMIFS(инфо!$G$15:$G$28,инфо!$A$15:$A$28,F170)</f>
        <v>0</v>
      </c>
      <c r="AO170" s="32">
        <f t="shared" si="53"/>
        <v>0</v>
      </c>
      <c r="AP170" s="14">
        <f t="shared" si="42"/>
        <v>0</v>
      </c>
      <c r="AQ170" s="25">
        <f>SUMIFS(инфо!$H$15:$H$28,инфо!$A$15:$A$28,F170)</f>
        <v>0</v>
      </c>
      <c r="AR170" s="26">
        <f t="shared" ref="AR170:AR235" si="54">IF(H169=0,0,AC170/H169)</f>
        <v>0</v>
      </c>
      <c r="AS170" s="14">
        <f t="shared" si="43"/>
        <v>0</v>
      </c>
      <c r="AT170" s="25">
        <f>SUMIFS(инфо!$I$15:$I$28,инфо!$A$15:$A$28,F170)</f>
        <v>0</v>
      </c>
      <c r="AU170" s="35">
        <f t="shared" si="48"/>
        <v>0</v>
      </c>
      <c r="AV170" s="14">
        <f t="shared" si="44"/>
        <v>0</v>
      </c>
      <c r="AX170" s="69">
        <f>SUMIFS(инфо!$C$15:$C$28,инфо!$A$15:$A$28,F170)*H169</f>
        <v>0</v>
      </c>
    </row>
    <row r="171" spans="1:50" x14ac:dyDescent="0.25">
      <c r="A171" s="70">
        <f t="shared" si="49"/>
        <v>46152</v>
      </c>
      <c r="B171" s="79"/>
      <c r="C171" s="29"/>
      <c r="D171" s="30"/>
      <c r="E171" s="83"/>
      <c r="F171" s="28"/>
      <c r="G171" s="81"/>
      <c r="H171" s="81"/>
      <c r="I171" s="118">
        <f>IFERROR(H171*VLOOKUP(F171,инфо!$A$15:$C$28,3,FALSE)/1000,0)</f>
        <v>0</v>
      </c>
      <c r="J171" s="20"/>
      <c r="K171" s="81"/>
      <c r="L171" s="81"/>
      <c r="M171" s="20"/>
      <c r="N171" s="28"/>
      <c r="O171" s="27"/>
      <c r="P171" s="27"/>
      <c r="Q171" s="27"/>
      <c r="R171" s="27"/>
      <c r="S171" s="67">
        <f t="shared" si="45"/>
        <v>0</v>
      </c>
      <c r="T171" s="29"/>
      <c r="U171" s="30"/>
      <c r="V171" s="27"/>
      <c r="W171" s="27"/>
      <c r="X171" s="27"/>
      <c r="Y171" s="29"/>
      <c r="Z171" s="27"/>
      <c r="AA171" s="27"/>
      <c r="AB171" s="27"/>
      <c r="AC171" s="27"/>
      <c r="AD171" s="30"/>
      <c r="AE171" s="31">
        <f>SUMIFS(инфо!$D$15:$D$28,инфо!$A$15:$A$28,F171)</f>
        <v>0</v>
      </c>
      <c r="AF171" s="35">
        <f t="shared" si="50"/>
        <v>0</v>
      </c>
      <c r="AG171" s="33">
        <f t="shared" si="46"/>
        <v>0</v>
      </c>
      <c r="AH171" s="31">
        <f>SUMIFS(инфо!$E$15:$E$28,инфо!$A$15:$A$28,F171)</f>
        <v>0</v>
      </c>
      <c r="AI171" s="32">
        <f t="shared" si="51"/>
        <v>0</v>
      </c>
      <c r="AJ171" s="33">
        <f t="shared" si="47"/>
        <v>0</v>
      </c>
      <c r="AK171" s="31">
        <f>SUMIFS(инфо!$F$15:$F$28,инфо!$A$15:$A$28,F171)</f>
        <v>0</v>
      </c>
      <c r="AL171" s="32">
        <f t="shared" si="52"/>
        <v>0</v>
      </c>
      <c r="AM171" s="33">
        <f t="shared" ref="AM171:AM236" si="55">AL171-AK171</f>
        <v>0</v>
      </c>
      <c r="AN171" s="31">
        <f>SUMIFS(инфо!$G$15:$G$28,инфо!$A$15:$A$28,F171)</f>
        <v>0</v>
      </c>
      <c r="AO171" s="32">
        <f t="shared" si="53"/>
        <v>0</v>
      </c>
      <c r="AP171" s="33">
        <f t="shared" ref="AP171:AP236" si="56">AO171-AN171</f>
        <v>0</v>
      </c>
      <c r="AQ171" s="31">
        <f>SUMIFS(инфо!$H$15:$H$28,инфо!$A$15:$A$28,F171)</f>
        <v>0</v>
      </c>
      <c r="AR171" s="32">
        <f t="shared" si="54"/>
        <v>0</v>
      </c>
      <c r="AS171" s="33">
        <f t="shared" ref="AS171:AS236" si="57">AR171-AQ171</f>
        <v>0</v>
      </c>
      <c r="AT171" s="31">
        <f>SUMIFS(инфо!$I$15:$I$28,инфо!$A$15:$A$28,F171)</f>
        <v>0</v>
      </c>
      <c r="AU171" s="35">
        <f t="shared" si="48"/>
        <v>0</v>
      </c>
      <c r="AV171" s="33">
        <f t="shared" ref="AV171:AV236" si="58">AU171-AT171</f>
        <v>0</v>
      </c>
      <c r="AX171" s="67">
        <f>SUMIFS(инфо!$C$15:$C$28,инфо!$A$15:$A$28,F171)*H170</f>
        <v>0</v>
      </c>
    </row>
    <row r="172" spans="1:50" x14ac:dyDescent="0.25">
      <c r="A172" s="70">
        <f t="shared" si="49"/>
        <v>46153</v>
      </c>
      <c r="B172" s="79"/>
      <c r="C172" s="15"/>
      <c r="D172" s="16"/>
      <c r="E172" s="83"/>
      <c r="F172" s="28"/>
      <c r="G172" s="81"/>
      <c r="H172" s="81"/>
      <c r="I172" s="118">
        <f>IFERROR(H172*VLOOKUP(F172,инфо!$A$15:$C$28,3,FALSE)/1000,0)</f>
        <v>0</v>
      </c>
      <c r="J172" s="20"/>
      <c r="K172" s="81"/>
      <c r="L172" s="81"/>
      <c r="M172" s="20"/>
      <c r="N172" s="20"/>
      <c r="O172" s="34"/>
      <c r="P172" s="34"/>
      <c r="Q172" s="34"/>
      <c r="R172" s="34"/>
      <c r="S172" s="68">
        <f t="shared" ref="S172:S238" si="59">SUM(O172:R172)</f>
        <v>0</v>
      </c>
      <c r="T172" s="15"/>
      <c r="U172" s="16"/>
      <c r="V172" s="34"/>
      <c r="W172" s="34"/>
      <c r="X172" s="34"/>
      <c r="Y172" s="15"/>
      <c r="Z172" s="34"/>
      <c r="AA172" s="34"/>
      <c r="AB172" s="34"/>
      <c r="AC172" s="34"/>
      <c r="AD172" s="16"/>
      <c r="AE172" s="24">
        <f>SUMIFS(инфо!$D$15:$D$28,инфо!$A$15:$A$28,F172)</f>
        <v>0</v>
      </c>
      <c r="AF172" s="35">
        <f t="shared" si="50"/>
        <v>0</v>
      </c>
      <c r="AG172" s="12">
        <f t="shared" si="46"/>
        <v>0</v>
      </c>
      <c r="AH172" s="24">
        <f>SUMIFS(инфо!$E$15:$E$28,инфо!$A$15:$A$28,F172)</f>
        <v>0</v>
      </c>
      <c r="AI172" s="32">
        <f t="shared" si="51"/>
        <v>0</v>
      </c>
      <c r="AJ172" s="12">
        <f t="shared" si="47"/>
        <v>0</v>
      </c>
      <c r="AK172" s="24">
        <f>SUMIFS(инфо!$F$15:$F$28,инфо!$A$15:$A$28,F172)</f>
        <v>0</v>
      </c>
      <c r="AL172" s="32">
        <f t="shared" si="52"/>
        <v>0</v>
      </c>
      <c r="AM172" s="12">
        <f t="shared" si="55"/>
        <v>0</v>
      </c>
      <c r="AN172" s="24">
        <f>SUMIFS(инфо!$G$15:$G$28,инфо!$A$15:$A$28,F172)</f>
        <v>0</v>
      </c>
      <c r="AO172" s="32">
        <f t="shared" si="53"/>
        <v>0</v>
      </c>
      <c r="AP172" s="12">
        <f t="shared" si="56"/>
        <v>0</v>
      </c>
      <c r="AQ172" s="24">
        <f>SUMIFS(инфо!$H$15:$H$28,инфо!$A$15:$A$28,F172)</f>
        <v>0</v>
      </c>
      <c r="AR172" s="35">
        <f t="shared" si="54"/>
        <v>0</v>
      </c>
      <c r="AS172" s="12">
        <f t="shared" si="57"/>
        <v>0</v>
      </c>
      <c r="AT172" s="24">
        <f>SUMIFS(инфо!$I$15:$I$28,инфо!$A$15:$A$28,F172)</f>
        <v>0</v>
      </c>
      <c r="AU172" s="35">
        <f t="shared" si="48"/>
        <v>0</v>
      </c>
      <c r="AV172" s="12">
        <f t="shared" si="58"/>
        <v>0</v>
      </c>
      <c r="AX172" s="68">
        <f>SUMIFS(инфо!$C$15:$C$28,инфо!$A$15:$A$28,F172)*H171</f>
        <v>0</v>
      </c>
    </row>
    <row r="173" spans="1:50" x14ac:dyDescent="0.25">
      <c r="A173" s="70">
        <f t="shared" si="49"/>
        <v>46153</v>
      </c>
      <c r="B173" s="111"/>
      <c r="C173" s="15"/>
      <c r="D173" s="16"/>
      <c r="E173" s="83"/>
      <c r="F173" s="28"/>
      <c r="G173" s="81"/>
      <c r="H173" s="81"/>
      <c r="I173" s="118">
        <f>IFERROR(H173*VLOOKUP(F173,инфо!$A$15:$C$28,3,FALSE)/1000,0)</f>
        <v>0</v>
      </c>
      <c r="J173" s="20"/>
      <c r="K173" s="81"/>
      <c r="L173" s="81"/>
      <c r="M173" s="20"/>
      <c r="N173" s="20"/>
      <c r="O173" s="34"/>
      <c r="P173" s="34"/>
      <c r="Q173" s="34"/>
      <c r="R173" s="34"/>
      <c r="S173" s="68">
        <f t="shared" si="59"/>
        <v>0</v>
      </c>
      <c r="T173" s="15"/>
      <c r="U173" s="16"/>
      <c r="V173" s="34"/>
      <c r="W173" s="34"/>
      <c r="X173" s="34"/>
      <c r="Y173" s="15"/>
      <c r="Z173" s="34"/>
      <c r="AA173" s="34"/>
      <c r="AB173" s="34"/>
      <c r="AC173" s="34"/>
      <c r="AD173" s="16"/>
      <c r="AE173" s="24">
        <f>SUMIFS(инфо!$D$15:$D$28,инфо!$A$15:$A$28,F173)</f>
        <v>0</v>
      </c>
      <c r="AF173" s="35">
        <f t="shared" si="50"/>
        <v>0</v>
      </c>
      <c r="AG173" s="12">
        <f t="shared" si="46"/>
        <v>0</v>
      </c>
      <c r="AH173" s="24">
        <f>SUMIFS(инфо!$E$15:$E$28,инфо!$A$15:$A$28,F173)</f>
        <v>0</v>
      </c>
      <c r="AI173" s="32">
        <f t="shared" si="51"/>
        <v>0</v>
      </c>
      <c r="AJ173" s="12">
        <f t="shared" si="47"/>
        <v>0</v>
      </c>
      <c r="AK173" s="24">
        <f>SUMIFS(инфо!$F$15:$F$28,инфо!$A$15:$A$28,F173)</f>
        <v>0</v>
      </c>
      <c r="AL173" s="32">
        <f t="shared" si="52"/>
        <v>0</v>
      </c>
      <c r="AM173" s="12">
        <f t="shared" si="55"/>
        <v>0</v>
      </c>
      <c r="AN173" s="24">
        <f>SUMIFS(инфо!$G$15:$G$28,инфо!$A$15:$A$28,F173)</f>
        <v>0</v>
      </c>
      <c r="AO173" s="32">
        <f t="shared" si="53"/>
        <v>0</v>
      </c>
      <c r="AP173" s="12">
        <f t="shared" si="56"/>
        <v>0</v>
      </c>
      <c r="AQ173" s="24">
        <f>SUMIFS(инфо!$H$15:$H$28,инфо!$A$15:$A$28,F173)</f>
        <v>0</v>
      </c>
      <c r="AR173" s="35">
        <f t="shared" si="54"/>
        <v>0</v>
      </c>
      <c r="AS173" s="12">
        <f t="shared" si="57"/>
        <v>0</v>
      </c>
      <c r="AT173" s="24">
        <f>SUMIFS(инфо!$I$15:$I$28,инфо!$A$15:$A$28,F173)</f>
        <v>0</v>
      </c>
      <c r="AU173" s="35">
        <f t="shared" si="48"/>
        <v>0</v>
      </c>
      <c r="AV173" s="12">
        <f t="shared" si="58"/>
        <v>0</v>
      </c>
      <c r="AX173" s="68">
        <f>SUMIFS(инфо!$C$15:$C$28,инфо!$A$15:$A$28,F173)*H172</f>
        <v>0</v>
      </c>
    </row>
    <row r="174" spans="1:50" x14ac:dyDescent="0.25">
      <c r="A174" s="70">
        <f t="shared" si="49"/>
        <v>46154</v>
      </c>
      <c r="B174" s="111"/>
      <c r="C174" s="17"/>
      <c r="D174" s="18"/>
      <c r="E174" s="83"/>
      <c r="F174" s="28"/>
      <c r="G174" s="81"/>
      <c r="H174" s="81"/>
      <c r="I174" s="118">
        <f>IFERROR(H174*VLOOKUP(F174,инфо!$A$15:$C$28,3,FALSE)/1000,0)</f>
        <v>0</v>
      </c>
      <c r="J174" s="20"/>
      <c r="K174" s="81"/>
      <c r="L174" s="81"/>
      <c r="M174" s="20"/>
      <c r="N174" s="23"/>
      <c r="O174" s="19"/>
      <c r="P174" s="19"/>
      <c r="Q174" s="19"/>
      <c r="R174" s="19"/>
      <c r="S174" s="69">
        <f t="shared" si="59"/>
        <v>0</v>
      </c>
      <c r="T174" s="17"/>
      <c r="U174" s="18"/>
      <c r="V174" s="19"/>
      <c r="W174" s="19"/>
      <c r="X174" s="19"/>
      <c r="Y174" s="17"/>
      <c r="Z174" s="19"/>
      <c r="AA174" s="19"/>
      <c r="AB174" s="19"/>
      <c r="AC174" s="19"/>
      <c r="AD174" s="18"/>
      <c r="AE174" s="25">
        <f>SUMIFS(инфо!$D$15:$D$28,инфо!$A$15:$A$28,F174)</f>
        <v>0</v>
      </c>
      <c r="AF174" s="35">
        <f t="shared" si="50"/>
        <v>0</v>
      </c>
      <c r="AG174" s="14">
        <f t="shared" si="46"/>
        <v>0</v>
      </c>
      <c r="AH174" s="25">
        <f>SUMIFS(инфо!$E$15:$E$28,инфо!$A$15:$A$28,F174)</f>
        <v>0</v>
      </c>
      <c r="AI174" s="32">
        <f t="shared" si="51"/>
        <v>0</v>
      </c>
      <c r="AJ174" s="14">
        <f t="shared" si="47"/>
        <v>0</v>
      </c>
      <c r="AK174" s="25">
        <f>SUMIFS(инфо!$F$15:$F$28,инфо!$A$15:$A$28,F174)</f>
        <v>0</v>
      </c>
      <c r="AL174" s="32">
        <f t="shared" si="52"/>
        <v>0</v>
      </c>
      <c r="AM174" s="14">
        <f t="shared" si="55"/>
        <v>0</v>
      </c>
      <c r="AN174" s="25">
        <f>SUMIFS(инфо!$G$15:$G$28,инфо!$A$15:$A$28,F174)</f>
        <v>0</v>
      </c>
      <c r="AO174" s="32">
        <f t="shared" si="53"/>
        <v>0</v>
      </c>
      <c r="AP174" s="14">
        <f t="shared" si="56"/>
        <v>0</v>
      </c>
      <c r="AQ174" s="25">
        <f>SUMIFS(инфо!$H$15:$H$28,инфо!$A$15:$A$28,F174)</f>
        <v>0</v>
      </c>
      <c r="AR174" s="26">
        <f t="shared" si="54"/>
        <v>0</v>
      </c>
      <c r="AS174" s="14">
        <f t="shared" si="57"/>
        <v>0</v>
      </c>
      <c r="AT174" s="25">
        <f>SUMIFS(инфо!$I$15:$I$28,инфо!$A$15:$A$28,F174)</f>
        <v>0</v>
      </c>
      <c r="AU174" s="35">
        <f t="shared" si="48"/>
        <v>0</v>
      </c>
      <c r="AV174" s="14">
        <f t="shared" si="58"/>
        <v>0</v>
      </c>
      <c r="AX174" s="69">
        <f>SUMIFS(инфо!$C$15:$C$28,инфо!$A$15:$A$28,F174)*H173</f>
        <v>0</v>
      </c>
    </row>
    <row r="175" spans="1:50" x14ac:dyDescent="0.25">
      <c r="A175" s="70">
        <f t="shared" si="49"/>
        <v>46154</v>
      </c>
      <c r="B175" s="111"/>
      <c r="C175" s="29"/>
      <c r="D175" s="30"/>
      <c r="E175" s="83"/>
      <c r="F175" s="28"/>
      <c r="G175" s="81"/>
      <c r="H175" s="81"/>
      <c r="I175" s="118">
        <f>IFERROR(H175*VLOOKUP(F175,инфо!$A$15:$C$28,3,FALSE)/1000,0)</f>
        <v>0</v>
      </c>
      <c r="J175" s="20"/>
      <c r="K175" s="81"/>
      <c r="L175" s="81"/>
      <c r="M175" s="20"/>
      <c r="N175" s="28"/>
      <c r="O175" s="27"/>
      <c r="P175" s="27"/>
      <c r="Q175" s="27"/>
      <c r="R175" s="27"/>
      <c r="S175" s="67">
        <f t="shared" si="59"/>
        <v>0</v>
      </c>
      <c r="T175" s="29"/>
      <c r="U175" s="30"/>
      <c r="V175" s="27"/>
      <c r="W175" s="81"/>
      <c r="X175" s="27"/>
      <c r="Y175" s="29"/>
      <c r="Z175" s="27"/>
      <c r="AA175" s="27"/>
      <c r="AB175" s="27"/>
      <c r="AC175" s="27"/>
      <c r="AD175" s="30"/>
      <c r="AE175" s="31">
        <f>SUMIFS(инфо!$D$15:$D$28,инфо!$A$15:$A$28,F175)</f>
        <v>0</v>
      </c>
      <c r="AF175" s="35">
        <f t="shared" si="50"/>
        <v>0</v>
      </c>
      <c r="AG175" s="33">
        <f t="shared" si="46"/>
        <v>0</v>
      </c>
      <c r="AH175" s="31">
        <f>SUMIFS(инфо!$E$15:$E$28,инфо!$A$15:$A$28,F175)</f>
        <v>0</v>
      </c>
      <c r="AI175" s="32">
        <f t="shared" si="51"/>
        <v>0</v>
      </c>
      <c r="AJ175" s="33">
        <f t="shared" si="47"/>
        <v>0</v>
      </c>
      <c r="AK175" s="31">
        <f>SUMIFS(инфо!$F$15:$F$28,инфо!$A$15:$A$28,F175)</f>
        <v>0</v>
      </c>
      <c r="AL175" s="32">
        <f t="shared" si="52"/>
        <v>0</v>
      </c>
      <c r="AM175" s="33">
        <f t="shared" si="55"/>
        <v>0</v>
      </c>
      <c r="AN175" s="31">
        <f>SUMIFS(инфо!$G$15:$G$28,инфо!$A$15:$A$28,F175)</f>
        <v>0</v>
      </c>
      <c r="AO175" s="32">
        <f t="shared" si="53"/>
        <v>0</v>
      </c>
      <c r="AP175" s="33">
        <f t="shared" si="56"/>
        <v>0</v>
      </c>
      <c r="AQ175" s="31">
        <f>SUMIFS(инфо!$H$15:$H$28,инфо!$A$15:$A$28,F175)</f>
        <v>0</v>
      </c>
      <c r="AR175" s="32">
        <f t="shared" si="54"/>
        <v>0</v>
      </c>
      <c r="AS175" s="33">
        <f t="shared" si="57"/>
        <v>0</v>
      </c>
      <c r="AT175" s="31">
        <f>SUMIFS(инфо!$I$15:$I$28,инфо!$A$15:$A$28,F175)</f>
        <v>0</v>
      </c>
      <c r="AU175" s="35">
        <f t="shared" si="48"/>
        <v>0</v>
      </c>
      <c r="AV175" s="33">
        <f t="shared" si="58"/>
        <v>0</v>
      </c>
      <c r="AX175" s="67">
        <f>SUMIFS(инфо!$C$15:$C$28,инфо!$A$15:$A$28,F175)*H174</f>
        <v>0</v>
      </c>
    </row>
    <row r="176" spans="1:50" x14ac:dyDescent="0.25">
      <c r="A176" s="70">
        <f t="shared" si="49"/>
        <v>46155</v>
      </c>
      <c r="B176" s="111" t="s">
        <v>461</v>
      </c>
      <c r="C176" s="15" t="s">
        <v>772</v>
      </c>
      <c r="D176" s="16" t="s">
        <v>82</v>
      </c>
      <c r="E176" s="83" t="s">
        <v>75</v>
      </c>
      <c r="F176" s="28" t="s">
        <v>60</v>
      </c>
      <c r="G176" s="81">
        <v>6</v>
      </c>
      <c r="H176" s="81">
        <v>100</v>
      </c>
      <c r="I176" s="118">
        <f>IFERROR(H176*VLOOKUP(F176,инфо!$A$15:$C$28,3,FALSE)/1000,0)</f>
        <v>3.4990000000000001</v>
      </c>
      <c r="J176" s="20"/>
      <c r="K176" s="81"/>
      <c r="L176" s="81"/>
      <c r="M176" s="20"/>
      <c r="N176" s="20">
        <v>604</v>
      </c>
      <c r="O176" s="34">
        <v>1283</v>
      </c>
      <c r="P176" s="34">
        <v>2509</v>
      </c>
      <c r="Q176" s="34"/>
      <c r="R176" s="34"/>
      <c r="S176" s="68">
        <f t="shared" si="59"/>
        <v>3792</v>
      </c>
      <c r="T176" s="15"/>
      <c r="U176" s="16"/>
      <c r="V176" s="34"/>
      <c r="W176" s="81"/>
      <c r="X176" s="34">
        <v>10170</v>
      </c>
      <c r="Y176" s="15"/>
      <c r="Z176" s="34"/>
      <c r="AA176" s="34"/>
      <c r="AB176" s="34"/>
      <c r="AC176" s="117">
        <v>20</v>
      </c>
      <c r="AD176" s="16">
        <v>170</v>
      </c>
      <c r="AE176" s="24">
        <f>SUMIFS(инфо!$D$15:$D$28,инфо!$A$15:$A$28,F176)</f>
        <v>414</v>
      </c>
      <c r="AF176" s="35">
        <f t="shared" si="50"/>
        <v>6.04</v>
      </c>
      <c r="AG176" s="12">
        <f t="shared" si="46"/>
        <v>-407.96</v>
      </c>
      <c r="AH176" s="24">
        <f>SUMIFS(инфо!$E$15:$E$28,инфо!$A$15:$A$28,F176)</f>
        <v>26.73</v>
      </c>
      <c r="AI176" s="32">
        <f t="shared" si="51"/>
        <v>37.92</v>
      </c>
      <c r="AJ176" s="12">
        <f t="shared" si="47"/>
        <v>11.190000000000001</v>
      </c>
      <c r="AK176" s="24">
        <f>SUMIFS(инфо!$F$15:$F$28,инфо!$A$15:$A$28,F176)</f>
        <v>0.41299999999999998</v>
      </c>
      <c r="AL176" s="32">
        <f t="shared" si="52"/>
        <v>0</v>
      </c>
      <c r="AM176" s="12">
        <f t="shared" si="55"/>
        <v>-0.41299999999999998</v>
      </c>
      <c r="AN176" s="24">
        <f>SUMIFS(инфо!$G$15:$G$28,инфо!$A$15:$A$28,F176)</f>
        <v>0</v>
      </c>
      <c r="AO176" s="32">
        <f t="shared" si="53"/>
        <v>0</v>
      </c>
      <c r="AP176" s="12">
        <f t="shared" si="56"/>
        <v>0</v>
      </c>
      <c r="AQ176" s="24">
        <f>SUMIFS(инфо!$H$15:$H$28,инфо!$A$15:$A$28,F176)</f>
        <v>0</v>
      </c>
      <c r="AR176" s="35">
        <f t="shared" si="54"/>
        <v>0</v>
      </c>
      <c r="AS176" s="12">
        <f t="shared" si="57"/>
        <v>0</v>
      </c>
      <c r="AT176" s="24">
        <f>SUMIFS(инфо!$I$15:$I$28,инфо!$A$15:$A$28,F176)</f>
        <v>0.20699999999999999</v>
      </c>
      <c r="AU176" s="35">
        <f t="shared" si="48"/>
        <v>1.7</v>
      </c>
      <c r="AV176" s="12">
        <f t="shared" si="58"/>
        <v>1.4929999999999999</v>
      </c>
      <c r="AX176" s="68">
        <f>SUMIFS(инфо!$C$15:$C$28,инфо!$A$15:$A$28,F176)*H175</f>
        <v>0</v>
      </c>
    </row>
    <row r="177" spans="1:50" x14ac:dyDescent="0.25">
      <c r="A177" s="70">
        <f t="shared" si="49"/>
        <v>46155</v>
      </c>
      <c r="B177" s="111" t="s">
        <v>463</v>
      </c>
      <c r="C177" s="15" t="s">
        <v>772</v>
      </c>
      <c r="D177" s="16" t="s">
        <v>83</v>
      </c>
      <c r="E177" s="83" t="s">
        <v>113</v>
      </c>
      <c r="F177" s="28" t="s">
        <v>60</v>
      </c>
      <c r="G177" s="81">
        <v>37</v>
      </c>
      <c r="H177" s="81">
        <v>920</v>
      </c>
      <c r="I177" s="118">
        <f>IFERROR(H177*VLOOKUP(F177,инфо!$A$15:$C$28,3,FALSE)/1000,0)</f>
        <v>32.190800000000003</v>
      </c>
      <c r="J177" s="20">
        <v>500</v>
      </c>
      <c r="K177" s="81">
        <v>7</v>
      </c>
      <c r="L177" s="81">
        <v>6</v>
      </c>
      <c r="M177" s="20"/>
      <c r="N177" s="20">
        <v>3716</v>
      </c>
      <c r="O177" s="34">
        <v>12797</v>
      </c>
      <c r="P177" s="34">
        <v>10779</v>
      </c>
      <c r="Q177" s="34"/>
      <c r="R177" s="34"/>
      <c r="S177" s="68">
        <f t="shared" si="59"/>
        <v>23576</v>
      </c>
      <c r="T177" s="15"/>
      <c r="U177" s="16"/>
      <c r="V177" s="34"/>
      <c r="W177" s="81">
        <v>1110</v>
      </c>
      <c r="X177" s="34"/>
      <c r="Y177" s="15">
        <v>370</v>
      </c>
      <c r="Z177" s="34"/>
      <c r="AA177" s="34"/>
      <c r="AB177" s="34"/>
      <c r="AC177" s="117">
        <v>370</v>
      </c>
      <c r="AD177" s="16"/>
      <c r="AE177" s="24">
        <f>SUMIFS(инфо!$D$15:$D$28,инфо!$A$15:$A$28,F177)</f>
        <v>414</v>
      </c>
      <c r="AF177" s="35">
        <f t="shared" si="50"/>
        <v>4.0391304347826091</v>
      </c>
      <c r="AG177" s="12">
        <f t="shared" si="46"/>
        <v>-409.96086956521737</v>
      </c>
      <c r="AH177" s="24">
        <f>SUMIFS(инфо!$E$15:$E$28,инфо!$A$15:$A$28,F177)</f>
        <v>26.73</v>
      </c>
      <c r="AI177" s="32">
        <f t="shared" si="51"/>
        <v>25.626086956521739</v>
      </c>
      <c r="AJ177" s="12">
        <f t="shared" si="47"/>
        <v>-1.1039130434782614</v>
      </c>
      <c r="AK177" s="24">
        <f>SUMIFS(инфо!$F$15:$F$28,инфо!$A$15:$A$28,F177)</f>
        <v>0.41299999999999998</v>
      </c>
      <c r="AL177" s="32">
        <f t="shared" si="52"/>
        <v>0.40217391304347827</v>
      </c>
      <c r="AM177" s="12">
        <f t="shared" si="55"/>
        <v>-1.0826086956521708E-2</v>
      </c>
      <c r="AN177" s="24">
        <f>SUMIFS(инфо!$G$15:$G$28,инфо!$A$15:$A$28,F177)</f>
        <v>0</v>
      </c>
      <c r="AO177" s="32">
        <f t="shared" si="53"/>
        <v>0</v>
      </c>
      <c r="AP177" s="12">
        <f t="shared" si="56"/>
        <v>0</v>
      </c>
      <c r="AQ177" s="24">
        <f>SUMIFS(инфо!$H$15:$H$28,инфо!$A$15:$A$28,F177)</f>
        <v>0</v>
      </c>
      <c r="AR177" s="35">
        <f t="shared" si="54"/>
        <v>3.7</v>
      </c>
      <c r="AS177" s="12">
        <f t="shared" si="57"/>
        <v>3.7</v>
      </c>
      <c r="AT177" s="24">
        <f>SUMIFS(инфо!$I$15:$I$28,инфо!$A$15:$A$28,F177)</f>
        <v>0.20699999999999999</v>
      </c>
      <c r="AU177" s="35">
        <f t="shared" si="48"/>
        <v>0</v>
      </c>
      <c r="AV177" s="12">
        <f t="shared" si="58"/>
        <v>-0.20699999999999999</v>
      </c>
      <c r="AX177" s="68">
        <f>SUMIFS(инфо!$C$15:$C$28,инфо!$A$15:$A$28,F177)*H176</f>
        <v>3499</v>
      </c>
    </row>
    <row r="178" spans="1:50" x14ac:dyDescent="0.25">
      <c r="A178" s="70">
        <f t="shared" si="49"/>
        <v>46156</v>
      </c>
      <c r="B178" s="111" t="s">
        <v>469</v>
      </c>
      <c r="C178" s="17" t="s">
        <v>772</v>
      </c>
      <c r="D178" s="18" t="s">
        <v>82</v>
      </c>
      <c r="E178" s="83" t="s">
        <v>77</v>
      </c>
      <c r="F178" s="28" t="s">
        <v>60</v>
      </c>
      <c r="G178" s="81">
        <v>18</v>
      </c>
      <c r="H178" s="81">
        <v>400</v>
      </c>
      <c r="I178" s="118">
        <f>IFERROR(H178*VLOOKUP(F178,инфо!$A$15:$C$28,3,FALSE)/1000,0)</f>
        <v>13.996</v>
      </c>
      <c r="J178" s="20">
        <v>500</v>
      </c>
      <c r="K178" s="81">
        <v>3</v>
      </c>
      <c r="L178" s="81"/>
      <c r="M178" s="20"/>
      <c r="N178" s="23">
        <v>1810</v>
      </c>
      <c r="O178" s="19">
        <v>5759</v>
      </c>
      <c r="P178" s="19">
        <v>5812</v>
      </c>
      <c r="Q178" s="19"/>
      <c r="R178" s="19"/>
      <c r="S178" s="69">
        <f t="shared" si="59"/>
        <v>11571</v>
      </c>
      <c r="T178" s="17">
        <v>200</v>
      </c>
      <c r="U178" s="18">
        <v>1280</v>
      </c>
      <c r="V178" s="19"/>
      <c r="W178" s="81">
        <v>540</v>
      </c>
      <c r="X178" s="19"/>
      <c r="Y178" s="17">
        <v>180</v>
      </c>
      <c r="Z178" s="19"/>
      <c r="AA178" s="19"/>
      <c r="AB178" s="19"/>
      <c r="AC178" s="117">
        <v>180</v>
      </c>
      <c r="AD178" s="18">
        <v>90</v>
      </c>
      <c r="AE178" s="25">
        <f>SUMIFS(инфо!$D$15:$D$28,инфо!$A$15:$A$28,F178)</f>
        <v>414</v>
      </c>
      <c r="AF178" s="35">
        <f t="shared" si="50"/>
        <v>4.5250000000000004</v>
      </c>
      <c r="AG178" s="14">
        <f t="shared" si="46"/>
        <v>-409.47500000000002</v>
      </c>
      <c r="AH178" s="25">
        <f>SUMIFS(инфо!$E$15:$E$28,инфо!$A$15:$A$28,F178)</f>
        <v>26.73</v>
      </c>
      <c r="AI178" s="32">
        <f t="shared" si="51"/>
        <v>28.927499999999998</v>
      </c>
      <c r="AJ178" s="14">
        <f t="shared" si="47"/>
        <v>2.197499999999998</v>
      </c>
      <c r="AK178" s="25">
        <f>SUMIFS(инфо!$F$15:$F$28,инфо!$A$15:$A$28,F178)</f>
        <v>0.41299999999999998</v>
      </c>
      <c r="AL178" s="32">
        <f t="shared" si="52"/>
        <v>0.45</v>
      </c>
      <c r="AM178" s="14">
        <f t="shared" si="55"/>
        <v>3.7000000000000033E-2</v>
      </c>
      <c r="AN178" s="25">
        <f>SUMIFS(инфо!$G$15:$G$28,инфо!$A$15:$A$28,F178)</f>
        <v>0</v>
      </c>
      <c r="AO178" s="32">
        <f t="shared" si="53"/>
        <v>0</v>
      </c>
      <c r="AP178" s="14">
        <f t="shared" si="56"/>
        <v>0</v>
      </c>
      <c r="AQ178" s="25">
        <f>SUMIFS(инфо!$H$15:$H$28,инфо!$A$15:$A$28,F178)</f>
        <v>0</v>
      </c>
      <c r="AR178" s="26">
        <f t="shared" si="54"/>
        <v>0.19565217391304349</v>
      </c>
      <c r="AS178" s="14">
        <f t="shared" si="57"/>
        <v>0.19565217391304349</v>
      </c>
      <c r="AT178" s="25">
        <f>SUMIFS(инфо!$I$15:$I$28,инфо!$A$15:$A$28,F178)</f>
        <v>0.20699999999999999</v>
      </c>
      <c r="AU178" s="35">
        <f t="shared" si="48"/>
        <v>0.22500000000000001</v>
      </c>
      <c r="AV178" s="14">
        <f t="shared" si="58"/>
        <v>1.8000000000000016E-2</v>
      </c>
      <c r="AX178" s="69">
        <f>SUMIFS(инфо!$C$15:$C$28,инфо!$A$15:$A$28,F178)*H177</f>
        <v>32190.800000000003</v>
      </c>
    </row>
    <row r="179" spans="1:50" x14ac:dyDescent="0.25">
      <c r="A179" s="70">
        <f t="shared" si="49"/>
        <v>46156</v>
      </c>
      <c r="B179" s="111" t="s">
        <v>479</v>
      </c>
      <c r="C179" s="29" t="s">
        <v>772</v>
      </c>
      <c r="D179" s="30" t="s">
        <v>83</v>
      </c>
      <c r="E179" s="83" t="s">
        <v>75</v>
      </c>
      <c r="F179" s="28" t="s">
        <v>60</v>
      </c>
      <c r="G179" s="81">
        <v>31</v>
      </c>
      <c r="H179" s="81">
        <v>600</v>
      </c>
      <c r="I179" s="118">
        <f>IFERROR(H179*VLOOKUP(F179,инфо!$A$15:$C$28,3,FALSE)/1000,0)</f>
        <v>20.994</v>
      </c>
      <c r="J179" s="20">
        <v>750</v>
      </c>
      <c r="K179" s="81"/>
      <c r="L179" s="81"/>
      <c r="M179" s="20"/>
      <c r="N179" s="28">
        <v>3132</v>
      </c>
      <c r="O179" s="27">
        <v>8964</v>
      </c>
      <c r="P179" s="27">
        <v>10917</v>
      </c>
      <c r="Q179" s="27"/>
      <c r="R179" s="27"/>
      <c r="S179" s="67">
        <f t="shared" si="59"/>
        <v>19881</v>
      </c>
      <c r="T179" s="29">
        <v>100</v>
      </c>
      <c r="U179" s="30">
        <v>640</v>
      </c>
      <c r="V179" s="27"/>
      <c r="W179" s="81">
        <v>930</v>
      </c>
      <c r="X179" s="27"/>
      <c r="Y179" s="29">
        <v>310</v>
      </c>
      <c r="Z179" s="27"/>
      <c r="AA179" s="27"/>
      <c r="AB179" s="27"/>
      <c r="AC179" s="117">
        <v>310</v>
      </c>
      <c r="AD179" s="30">
        <v>155</v>
      </c>
      <c r="AE179" s="31">
        <f>SUMIFS(инфо!$D$15:$D$28,инфо!$A$15:$A$28,F179)</f>
        <v>414</v>
      </c>
      <c r="AF179" s="35">
        <f t="shared" si="50"/>
        <v>5.22</v>
      </c>
      <c r="AG179" s="33">
        <f t="shared" si="46"/>
        <v>-408.78</v>
      </c>
      <c r="AH179" s="31">
        <f>SUMIFS(инфо!$E$15:$E$28,инфо!$A$15:$A$28,F179)</f>
        <v>26.73</v>
      </c>
      <c r="AI179" s="32">
        <f t="shared" si="51"/>
        <v>33.134999999999998</v>
      </c>
      <c r="AJ179" s="33">
        <f t="shared" si="47"/>
        <v>6.4049999999999976</v>
      </c>
      <c r="AK179" s="31">
        <f>SUMIFS(инфо!$F$15:$F$28,инфо!$A$15:$A$28,F179)</f>
        <v>0.41299999999999998</v>
      </c>
      <c r="AL179" s="32">
        <f t="shared" si="52"/>
        <v>0.51666666666666672</v>
      </c>
      <c r="AM179" s="33">
        <f t="shared" si="55"/>
        <v>0.10366666666666674</v>
      </c>
      <c r="AN179" s="31">
        <f>SUMIFS(инфо!$G$15:$G$28,инфо!$A$15:$A$28,F179)</f>
        <v>0</v>
      </c>
      <c r="AO179" s="32">
        <f t="shared" si="53"/>
        <v>0</v>
      </c>
      <c r="AP179" s="33">
        <f t="shared" si="56"/>
        <v>0</v>
      </c>
      <c r="AQ179" s="31">
        <f>SUMIFS(инфо!$H$15:$H$28,инфо!$A$15:$A$28,F179)</f>
        <v>0</v>
      </c>
      <c r="AR179" s="32">
        <f t="shared" si="54"/>
        <v>0.77500000000000002</v>
      </c>
      <c r="AS179" s="33">
        <f t="shared" si="57"/>
        <v>0.77500000000000002</v>
      </c>
      <c r="AT179" s="31">
        <f>SUMIFS(инфо!$I$15:$I$28,инфо!$A$15:$A$28,F179)</f>
        <v>0.20699999999999999</v>
      </c>
      <c r="AU179" s="35">
        <f t="shared" si="48"/>
        <v>0.25833333333333336</v>
      </c>
      <c r="AV179" s="33">
        <f t="shared" si="58"/>
        <v>5.133333333333337E-2</v>
      </c>
      <c r="AX179" s="67">
        <f>SUMIFS(инфо!$C$15:$C$28,инфо!$A$15:$A$28,F179)*H178</f>
        <v>13996</v>
      </c>
    </row>
    <row r="180" spans="1:50" x14ac:dyDescent="0.25">
      <c r="A180" s="70">
        <f t="shared" si="49"/>
        <v>46157</v>
      </c>
      <c r="B180" s="111" t="s">
        <v>480</v>
      </c>
      <c r="C180" s="15" t="s">
        <v>772</v>
      </c>
      <c r="D180" s="16" t="s">
        <v>82</v>
      </c>
      <c r="E180" s="83" t="s">
        <v>114</v>
      </c>
      <c r="F180" s="28" t="s">
        <v>60</v>
      </c>
      <c r="G180" s="81">
        <v>18</v>
      </c>
      <c r="H180" s="81">
        <v>450</v>
      </c>
      <c r="I180" s="118">
        <f>IFERROR(H180*VLOOKUP(F180,инфо!$A$15:$C$28,3,FALSE)/1000,0)</f>
        <v>15.7455</v>
      </c>
      <c r="J180" s="20">
        <v>250</v>
      </c>
      <c r="K180" s="81"/>
      <c r="L180" s="81"/>
      <c r="M180" s="20">
        <v>64</v>
      </c>
      <c r="N180" s="20">
        <v>1810</v>
      </c>
      <c r="O180" s="34">
        <v>5125</v>
      </c>
      <c r="P180" s="34">
        <v>6418</v>
      </c>
      <c r="Q180" s="34"/>
      <c r="R180" s="34"/>
      <c r="S180" s="68">
        <f t="shared" si="59"/>
        <v>11543</v>
      </c>
      <c r="T180" s="15"/>
      <c r="U180" s="16"/>
      <c r="V180" s="34"/>
      <c r="W180" s="81">
        <v>540</v>
      </c>
      <c r="X180" s="34"/>
      <c r="Y180" s="15">
        <v>180</v>
      </c>
      <c r="Z180" s="34"/>
      <c r="AA180" s="34"/>
      <c r="AB180" s="34"/>
      <c r="AC180" s="117">
        <v>180</v>
      </c>
      <c r="AD180" s="16">
        <v>90</v>
      </c>
      <c r="AE180" s="24">
        <f>SUMIFS(инфо!$D$15:$D$28,инфо!$A$15:$A$28,F180)</f>
        <v>414</v>
      </c>
      <c r="AF180" s="35">
        <f t="shared" si="50"/>
        <v>4.0222222222222221</v>
      </c>
      <c r="AG180" s="12">
        <f t="shared" si="46"/>
        <v>-409.97777777777776</v>
      </c>
      <c r="AH180" s="24">
        <f>SUMIFS(инфо!$E$15:$E$28,инфо!$A$15:$A$28,F180)</f>
        <v>26.73</v>
      </c>
      <c r="AI180" s="32">
        <f t="shared" si="51"/>
        <v>25.65111111111111</v>
      </c>
      <c r="AJ180" s="12">
        <f t="shared" si="47"/>
        <v>-1.0788888888888906</v>
      </c>
      <c r="AK180" s="24">
        <f>SUMIFS(инфо!$F$15:$F$28,инфо!$A$15:$A$28,F180)</f>
        <v>0.41299999999999998</v>
      </c>
      <c r="AL180" s="32">
        <f t="shared" si="52"/>
        <v>0.4</v>
      </c>
      <c r="AM180" s="12">
        <f t="shared" si="55"/>
        <v>-1.2999999999999956E-2</v>
      </c>
      <c r="AN180" s="24">
        <f>SUMIFS(инфо!$G$15:$G$28,инфо!$A$15:$A$28,F180)</f>
        <v>0</v>
      </c>
      <c r="AO180" s="32">
        <f t="shared" si="53"/>
        <v>0</v>
      </c>
      <c r="AP180" s="12">
        <f t="shared" si="56"/>
        <v>0</v>
      </c>
      <c r="AQ180" s="24">
        <f>SUMIFS(инфо!$H$15:$H$28,инфо!$A$15:$A$28,F180)</f>
        <v>0</v>
      </c>
      <c r="AR180" s="35">
        <f t="shared" si="54"/>
        <v>0.3</v>
      </c>
      <c r="AS180" s="12">
        <f t="shared" si="57"/>
        <v>0.3</v>
      </c>
      <c r="AT180" s="24">
        <f>SUMIFS(инфо!$I$15:$I$28,инфо!$A$15:$A$28,F180)</f>
        <v>0.20699999999999999</v>
      </c>
      <c r="AU180" s="35">
        <f t="shared" si="48"/>
        <v>0.2</v>
      </c>
      <c r="AV180" s="12">
        <f t="shared" si="58"/>
        <v>-6.9999999999999785E-3</v>
      </c>
      <c r="AX180" s="68">
        <f>SUMIFS(инфо!$C$15:$C$28,инфо!$A$15:$A$28,F180)*H179</f>
        <v>20994</v>
      </c>
    </row>
    <row r="181" spans="1:50" x14ac:dyDescent="0.25">
      <c r="A181" s="70">
        <f t="shared" si="49"/>
        <v>46157</v>
      </c>
      <c r="B181" s="111" t="s">
        <v>482</v>
      </c>
      <c r="C181" s="15" t="s">
        <v>772</v>
      </c>
      <c r="D181" s="16" t="s">
        <v>83</v>
      </c>
      <c r="E181" s="83" t="s">
        <v>77</v>
      </c>
      <c r="F181" s="28" t="s">
        <v>60</v>
      </c>
      <c r="G181" s="81">
        <v>43</v>
      </c>
      <c r="H181" s="81">
        <v>1050</v>
      </c>
      <c r="I181" s="118">
        <f>IFERROR(H181*VLOOKUP(F181,инфо!$A$15:$C$28,3,FALSE)/1000,0)</f>
        <v>36.7395</v>
      </c>
      <c r="J181" s="20">
        <v>950</v>
      </c>
      <c r="K181" s="81">
        <v>2</v>
      </c>
      <c r="L181" s="81">
        <v>2</v>
      </c>
      <c r="M181" s="20">
        <v>75</v>
      </c>
      <c r="N181" s="20">
        <v>4323</v>
      </c>
      <c r="O181" s="34">
        <v>13443</v>
      </c>
      <c r="P181" s="34">
        <v>14088</v>
      </c>
      <c r="Q181" s="34"/>
      <c r="R181" s="34"/>
      <c r="S181" s="68">
        <f t="shared" si="59"/>
        <v>27531</v>
      </c>
      <c r="T181" s="15"/>
      <c r="U181" s="16"/>
      <c r="V181" s="34"/>
      <c r="W181" s="81">
        <v>1230</v>
      </c>
      <c r="X181" s="34"/>
      <c r="Y181" s="15">
        <v>430</v>
      </c>
      <c r="Z181" s="34"/>
      <c r="AA181" s="34"/>
      <c r="AB181" s="34"/>
      <c r="AC181" s="117">
        <v>430</v>
      </c>
      <c r="AD181" s="16">
        <v>215</v>
      </c>
      <c r="AE181" s="24">
        <f>SUMIFS(инфо!$D$15:$D$28,инфо!$A$15:$A$28,F181)</f>
        <v>414</v>
      </c>
      <c r="AF181" s="35">
        <f t="shared" si="50"/>
        <v>4.1171428571428574</v>
      </c>
      <c r="AG181" s="12">
        <f t="shared" si="46"/>
        <v>-409.88285714285712</v>
      </c>
      <c r="AH181" s="24">
        <f>SUMIFS(инфо!$E$15:$E$28,инфо!$A$15:$A$28,F181)</f>
        <v>26.73</v>
      </c>
      <c r="AI181" s="32">
        <f t="shared" si="51"/>
        <v>26.22</v>
      </c>
      <c r="AJ181" s="12">
        <f t="shared" si="47"/>
        <v>-0.51000000000000156</v>
      </c>
      <c r="AK181" s="24">
        <f>SUMIFS(инфо!$F$15:$F$28,инфо!$A$15:$A$28,F181)</f>
        <v>0.41299999999999998</v>
      </c>
      <c r="AL181" s="32">
        <f t="shared" si="52"/>
        <v>0.40952380952380951</v>
      </c>
      <c r="AM181" s="12">
        <f t="shared" si="55"/>
        <v>-3.4761904761904661E-3</v>
      </c>
      <c r="AN181" s="24">
        <f>SUMIFS(инфо!$G$15:$G$28,инфо!$A$15:$A$28,F181)</f>
        <v>0</v>
      </c>
      <c r="AO181" s="32">
        <f t="shared" si="53"/>
        <v>0</v>
      </c>
      <c r="AP181" s="12">
        <f t="shared" si="56"/>
        <v>0</v>
      </c>
      <c r="AQ181" s="24">
        <f>SUMIFS(инфо!$H$15:$H$28,инфо!$A$15:$A$28,F181)</f>
        <v>0</v>
      </c>
      <c r="AR181" s="35">
        <f t="shared" si="54"/>
        <v>0.9555555555555556</v>
      </c>
      <c r="AS181" s="12">
        <f t="shared" si="57"/>
        <v>0.9555555555555556</v>
      </c>
      <c r="AT181" s="24">
        <f>SUMIFS(инфо!$I$15:$I$28,инфо!$A$15:$A$28,F181)</f>
        <v>0.20699999999999999</v>
      </c>
      <c r="AU181" s="35">
        <f t="shared" si="48"/>
        <v>0.20476190476190476</v>
      </c>
      <c r="AV181" s="12">
        <f t="shared" si="58"/>
        <v>-2.2380952380952335E-3</v>
      </c>
      <c r="AX181" s="68">
        <f>SUMIFS(инфо!$C$15:$C$28,инфо!$A$15:$A$28,F181)*H180</f>
        <v>15745.5</v>
      </c>
    </row>
    <row r="182" spans="1:50" x14ac:dyDescent="0.25">
      <c r="A182" s="70">
        <f t="shared" si="49"/>
        <v>46158</v>
      </c>
      <c r="B182" s="111" t="s">
        <v>486</v>
      </c>
      <c r="C182" s="17" t="s">
        <v>772</v>
      </c>
      <c r="D182" s="18" t="s">
        <v>82</v>
      </c>
      <c r="E182" s="83" t="s">
        <v>113</v>
      </c>
      <c r="F182" s="28" t="s">
        <v>60</v>
      </c>
      <c r="G182" s="81">
        <v>30</v>
      </c>
      <c r="H182" s="81">
        <v>800</v>
      </c>
      <c r="I182" s="118">
        <f>IFERROR(H182*VLOOKUP(F182,инфо!$A$15:$C$28,3,FALSE)/1000,0)</f>
        <v>27.992000000000001</v>
      </c>
      <c r="J182" s="20">
        <v>900</v>
      </c>
      <c r="K182" s="81">
        <v>1</v>
      </c>
      <c r="L182" s="81"/>
      <c r="M182" s="20"/>
      <c r="N182" s="23">
        <v>3019</v>
      </c>
      <c r="O182" s="19">
        <v>9605</v>
      </c>
      <c r="P182" s="19">
        <v>9581</v>
      </c>
      <c r="Q182" s="19"/>
      <c r="R182" s="19"/>
      <c r="S182" s="69">
        <f t="shared" si="59"/>
        <v>19186</v>
      </c>
      <c r="T182" s="17"/>
      <c r="U182" s="18"/>
      <c r="V182" s="19"/>
      <c r="W182" s="81">
        <v>900</v>
      </c>
      <c r="X182" s="19"/>
      <c r="Y182" s="17">
        <v>300</v>
      </c>
      <c r="Z182" s="19"/>
      <c r="AA182" s="19"/>
      <c r="AB182" s="19"/>
      <c r="AC182" s="117">
        <v>300</v>
      </c>
      <c r="AD182" s="18">
        <v>150</v>
      </c>
      <c r="AE182" s="25">
        <f>SUMIFS(инфо!$D$15:$D$28,инфо!$A$15:$A$28,F182)</f>
        <v>414</v>
      </c>
      <c r="AF182" s="35">
        <f t="shared" si="50"/>
        <v>3.7737500000000002</v>
      </c>
      <c r="AG182" s="14">
        <f t="shared" si="46"/>
        <v>-410.22624999999999</v>
      </c>
      <c r="AH182" s="25">
        <f>SUMIFS(инфо!$E$15:$E$28,инфо!$A$15:$A$28,F182)</f>
        <v>26.73</v>
      </c>
      <c r="AI182" s="32">
        <f t="shared" si="51"/>
        <v>23.982500000000002</v>
      </c>
      <c r="AJ182" s="14">
        <f t="shared" si="47"/>
        <v>-2.7474999999999987</v>
      </c>
      <c r="AK182" s="25">
        <f>SUMIFS(инфо!$F$15:$F$28,инфо!$A$15:$A$28,F182)</f>
        <v>0.41299999999999998</v>
      </c>
      <c r="AL182" s="32">
        <f t="shared" si="52"/>
        <v>0.375</v>
      </c>
      <c r="AM182" s="14">
        <f t="shared" si="55"/>
        <v>-3.7999999999999978E-2</v>
      </c>
      <c r="AN182" s="25">
        <f>SUMIFS(инфо!$G$15:$G$28,инфо!$A$15:$A$28,F182)</f>
        <v>0</v>
      </c>
      <c r="AO182" s="32">
        <f t="shared" si="53"/>
        <v>0</v>
      </c>
      <c r="AP182" s="14">
        <f t="shared" si="56"/>
        <v>0</v>
      </c>
      <c r="AQ182" s="25">
        <f>SUMIFS(инфо!$H$15:$H$28,инфо!$A$15:$A$28,F182)</f>
        <v>0</v>
      </c>
      <c r="AR182" s="26">
        <f t="shared" si="54"/>
        <v>0.2857142857142857</v>
      </c>
      <c r="AS182" s="14">
        <f t="shared" si="57"/>
        <v>0.2857142857142857</v>
      </c>
      <c r="AT182" s="25">
        <f>SUMIFS(инфо!$I$15:$I$28,инфо!$A$15:$A$28,F182)</f>
        <v>0.20699999999999999</v>
      </c>
      <c r="AU182" s="35">
        <f t="shared" si="48"/>
        <v>0.1875</v>
      </c>
      <c r="AV182" s="14">
        <f t="shared" si="58"/>
        <v>-1.949999999999999E-2</v>
      </c>
      <c r="AX182" s="69">
        <f>SUMIFS(инфо!$C$15:$C$28,инфо!$A$15:$A$28,F182)*H181</f>
        <v>36739.5</v>
      </c>
    </row>
    <row r="183" spans="1:50" x14ac:dyDescent="0.25">
      <c r="A183" s="70">
        <f t="shared" si="49"/>
        <v>46158</v>
      </c>
      <c r="B183" s="111" t="s">
        <v>491</v>
      </c>
      <c r="C183" s="29" t="s">
        <v>772</v>
      </c>
      <c r="D183" s="30" t="s">
        <v>83</v>
      </c>
      <c r="E183" s="83" t="s">
        <v>114</v>
      </c>
      <c r="F183" s="28" t="s">
        <v>60</v>
      </c>
      <c r="G183" s="81">
        <v>48</v>
      </c>
      <c r="H183" s="81">
        <v>1200</v>
      </c>
      <c r="I183" s="118">
        <f>IFERROR(H183*VLOOKUP(F183,инфо!$A$15:$C$28,3,FALSE)/1000,0)</f>
        <v>41.988</v>
      </c>
      <c r="J183" s="20">
        <v>1000</v>
      </c>
      <c r="K183" s="81">
        <v>2</v>
      </c>
      <c r="L183" s="81"/>
      <c r="M183" s="20">
        <v>35</v>
      </c>
      <c r="N183" s="28">
        <v>4856</v>
      </c>
      <c r="O183" s="27">
        <v>15379</v>
      </c>
      <c r="P183" s="27">
        <v>15404</v>
      </c>
      <c r="Q183" s="27"/>
      <c r="R183" s="27"/>
      <c r="S183" s="67">
        <f t="shared" si="59"/>
        <v>30783</v>
      </c>
      <c r="T183" s="29"/>
      <c r="U183" s="30"/>
      <c r="V183" s="27"/>
      <c r="W183" s="81">
        <v>1440</v>
      </c>
      <c r="X183" s="27"/>
      <c r="Y183" s="29">
        <v>480</v>
      </c>
      <c r="Z183" s="27"/>
      <c r="AA183" s="27"/>
      <c r="AB183" s="27"/>
      <c r="AC183" s="117">
        <v>480</v>
      </c>
      <c r="AD183" s="30">
        <v>240</v>
      </c>
      <c r="AE183" s="31">
        <f>SUMIFS(инфо!$D$15:$D$28,инфо!$A$15:$A$28,F183)</f>
        <v>414</v>
      </c>
      <c r="AF183" s="35">
        <f t="shared" si="50"/>
        <v>4.0466666666666669</v>
      </c>
      <c r="AG183" s="33">
        <f t="shared" si="46"/>
        <v>-409.95333333333332</v>
      </c>
      <c r="AH183" s="31">
        <f>SUMIFS(инфо!$E$15:$E$28,инфо!$A$15:$A$28,F183)</f>
        <v>26.73</v>
      </c>
      <c r="AI183" s="32">
        <f t="shared" si="51"/>
        <v>25.6525</v>
      </c>
      <c r="AJ183" s="33">
        <f t="shared" si="47"/>
        <v>-1.0775000000000006</v>
      </c>
      <c r="AK183" s="31">
        <f>SUMIFS(инфо!$F$15:$F$28,инфо!$A$15:$A$28,F183)</f>
        <v>0.41299999999999998</v>
      </c>
      <c r="AL183" s="32">
        <f t="shared" si="52"/>
        <v>0.4</v>
      </c>
      <c r="AM183" s="33">
        <f t="shared" si="55"/>
        <v>-1.2999999999999956E-2</v>
      </c>
      <c r="AN183" s="31">
        <f>SUMIFS(инфо!$G$15:$G$28,инфо!$A$15:$A$28,F183)</f>
        <v>0</v>
      </c>
      <c r="AO183" s="32">
        <f t="shared" si="53"/>
        <v>0</v>
      </c>
      <c r="AP183" s="33">
        <f t="shared" si="56"/>
        <v>0</v>
      </c>
      <c r="AQ183" s="31">
        <f>SUMIFS(инфо!$H$15:$H$28,инфо!$A$15:$A$28,F183)</f>
        <v>0</v>
      </c>
      <c r="AR183" s="32">
        <f t="shared" si="54"/>
        <v>0.6</v>
      </c>
      <c r="AS183" s="33">
        <f t="shared" si="57"/>
        <v>0.6</v>
      </c>
      <c r="AT183" s="31">
        <f>SUMIFS(инфо!$I$15:$I$28,инфо!$A$15:$A$28,F183)</f>
        <v>0.20699999999999999</v>
      </c>
      <c r="AU183" s="35">
        <f t="shared" si="48"/>
        <v>0.2</v>
      </c>
      <c r="AV183" s="33">
        <f t="shared" si="58"/>
        <v>-6.9999999999999785E-3</v>
      </c>
      <c r="AX183" s="67">
        <f>SUMIFS(инфо!$C$15:$C$28,инфо!$A$15:$A$28,F183)*H182</f>
        <v>27992</v>
      </c>
    </row>
    <row r="184" spans="1:50" x14ac:dyDescent="0.25">
      <c r="A184" s="70">
        <f t="shared" si="49"/>
        <v>46159</v>
      </c>
      <c r="B184" s="111" t="s">
        <v>493</v>
      </c>
      <c r="C184" s="15" t="s">
        <v>772</v>
      </c>
      <c r="D184" s="16" t="s">
        <v>82</v>
      </c>
      <c r="E184" s="83" t="s">
        <v>75</v>
      </c>
      <c r="F184" s="28" t="s">
        <v>60</v>
      </c>
      <c r="G184" s="81">
        <v>42</v>
      </c>
      <c r="H184" s="81">
        <v>1040</v>
      </c>
      <c r="I184" s="118">
        <f>IFERROR(H184*VLOOKUP(F184,инфо!$A$15:$C$28,3,FALSE)/1000,0)</f>
        <v>36.389600000000002</v>
      </c>
      <c r="J184" s="20">
        <v>1050</v>
      </c>
      <c r="K184" s="81">
        <v>1</v>
      </c>
      <c r="L184" s="81"/>
      <c r="M184" s="20">
        <v>72</v>
      </c>
      <c r="N184" s="20">
        <v>4241</v>
      </c>
      <c r="O184" s="34">
        <v>13453</v>
      </c>
      <c r="P184" s="34">
        <v>13512</v>
      </c>
      <c r="Q184" s="34"/>
      <c r="R184" s="34"/>
      <c r="S184" s="68">
        <f t="shared" si="59"/>
        <v>26965</v>
      </c>
      <c r="T184" s="15"/>
      <c r="U184" s="16"/>
      <c r="V184" s="34"/>
      <c r="W184" s="81">
        <v>1230</v>
      </c>
      <c r="X184" s="34"/>
      <c r="Y184" s="15">
        <v>420</v>
      </c>
      <c r="Z184" s="34"/>
      <c r="AA184" s="34"/>
      <c r="AB184" s="34"/>
      <c r="AC184" s="117">
        <v>420</v>
      </c>
      <c r="AD184" s="16"/>
      <c r="AE184" s="24">
        <f>SUMIFS(инфо!$D$15:$D$28,инфо!$A$15:$A$28,F184)</f>
        <v>414</v>
      </c>
      <c r="AF184" s="35">
        <f t="shared" si="50"/>
        <v>4.0778846153846153</v>
      </c>
      <c r="AG184" s="12">
        <f t="shared" si="46"/>
        <v>-409.92211538461538</v>
      </c>
      <c r="AH184" s="24">
        <f>SUMIFS(инфо!$E$15:$E$28,инфо!$A$15:$A$28,F184)</f>
        <v>26.73</v>
      </c>
      <c r="AI184" s="32">
        <f t="shared" si="51"/>
        <v>25.927884615384617</v>
      </c>
      <c r="AJ184" s="12">
        <f t="shared" si="47"/>
        <v>-0.80211538461538368</v>
      </c>
      <c r="AK184" s="24">
        <f>SUMIFS(инфо!$F$15:$F$28,инфо!$A$15:$A$28,F184)</f>
        <v>0.41299999999999998</v>
      </c>
      <c r="AL184" s="32">
        <f t="shared" si="52"/>
        <v>0.40384615384615385</v>
      </c>
      <c r="AM184" s="12">
        <f t="shared" si="55"/>
        <v>-9.1538461538461235E-3</v>
      </c>
      <c r="AN184" s="24">
        <f>SUMIFS(инфо!$G$15:$G$28,инфо!$A$15:$A$28,F184)</f>
        <v>0</v>
      </c>
      <c r="AO184" s="32">
        <f t="shared" si="53"/>
        <v>0</v>
      </c>
      <c r="AP184" s="12">
        <f t="shared" si="56"/>
        <v>0</v>
      </c>
      <c r="AQ184" s="24">
        <f>SUMIFS(инфо!$H$15:$H$28,инфо!$A$15:$A$28,F184)</f>
        <v>0</v>
      </c>
      <c r="AR184" s="35">
        <f t="shared" si="54"/>
        <v>0.35</v>
      </c>
      <c r="AS184" s="12">
        <f t="shared" si="57"/>
        <v>0.35</v>
      </c>
      <c r="AT184" s="24">
        <f>SUMIFS(инфо!$I$15:$I$28,инфо!$A$15:$A$28,F184)</f>
        <v>0.20699999999999999</v>
      </c>
      <c r="AU184" s="35">
        <f t="shared" si="48"/>
        <v>0</v>
      </c>
      <c r="AV184" s="12">
        <f t="shared" si="58"/>
        <v>-0.20699999999999999</v>
      </c>
      <c r="AX184" s="68">
        <f>SUMIFS(инфо!$C$15:$C$28,инфо!$A$15:$A$28,F184)*H183</f>
        <v>41988</v>
      </c>
    </row>
    <row r="185" spans="1:50" x14ac:dyDescent="0.25">
      <c r="A185" s="70">
        <f t="shared" si="49"/>
        <v>46159</v>
      </c>
      <c r="B185" s="111" t="s">
        <v>496</v>
      </c>
      <c r="C185" s="15" t="s">
        <v>772</v>
      </c>
      <c r="D185" s="16" t="s">
        <v>83</v>
      </c>
      <c r="E185" s="83" t="s">
        <v>113</v>
      </c>
      <c r="F185" s="28" t="s">
        <v>60</v>
      </c>
      <c r="G185" s="81">
        <v>51</v>
      </c>
      <c r="H185" s="81">
        <v>1200</v>
      </c>
      <c r="I185" s="118">
        <f>IFERROR(H185*VLOOKUP(F185,инфо!$A$15:$C$28,3,FALSE)/1000,0)</f>
        <v>41.988</v>
      </c>
      <c r="J185" s="20">
        <v>1300</v>
      </c>
      <c r="K185" s="81">
        <v>2</v>
      </c>
      <c r="L185" s="81">
        <v>1</v>
      </c>
      <c r="M185" s="20">
        <v>30</v>
      </c>
      <c r="N185" s="20">
        <v>5125</v>
      </c>
      <c r="O185" s="34">
        <v>16657</v>
      </c>
      <c r="P185" s="34">
        <v>16048</v>
      </c>
      <c r="Q185" s="34"/>
      <c r="R185" s="34"/>
      <c r="S185" s="68">
        <f t="shared" si="59"/>
        <v>32705</v>
      </c>
      <c r="T185" s="15"/>
      <c r="U185" s="16"/>
      <c r="V185" s="34"/>
      <c r="W185" s="81">
        <v>1530</v>
      </c>
      <c r="X185" s="34"/>
      <c r="Y185" s="15">
        <v>510</v>
      </c>
      <c r="Z185" s="34"/>
      <c r="AA185" s="34"/>
      <c r="AB185" s="34"/>
      <c r="AC185" s="117">
        <v>510</v>
      </c>
      <c r="AD185" s="16"/>
      <c r="AE185" s="24">
        <f>SUMIFS(инфо!$D$15:$D$28,инфо!$A$15:$A$28,F185)</f>
        <v>414</v>
      </c>
      <c r="AF185" s="35">
        <f t="shared" si="50"/>
        <v>4.270833333333333</v>
      </c>
      <c r="AG185" s="12">
        <f t="shared" ref="AG185:AG252" si="60">AF185-AE185</f>
        <v>-409.72916666666669</v>
      </c>
      <c r="AH185" s="24">
        <f>SUMIFS(инфо!$E$15:$E$28,инфо!$A$15:$A$28,F185)</f>
        <v>26.73</v>
      </c>
      <c r="AI185" s="32">
        <f t="shared" si="51"/>
        <v>27.254166666666666</v>
      </c>
      <c r="AJ185" s="12">
        <f t="shared" ref="AJ185:AJ252" si="61">AI185-AH185</f>
        <v>0.524166666666666</v>
      </c>
      <c r="AK185" s="24">
        <f>SUMIFS(инфо!$F$15:$F$28,инфо!$A$15:$A$28,F185)</f>
        <v>0.41299999999999998</v>
      </c>
      <c r="AL185" s="32">
        <f t="shared" si="52"/>
        <v>0.42499999999999999</v>
      </c>
      <c r="AM185" s="12">
        <f t="shared" si="55"/>
        <v>1.2000000000000011E-2</v>
      </c>
      <c r="AN185" s="24">
        <f>SUMIFS(инфо!$G$15:$G$28,инфо!$A$15:$A$28,F185)</f>
        <v>0</v>
      </c>
      <c r="AO185" s="32">
        <f t="shared" si="53"/>
        <v>0</v>
      </c>
      <c r="AP185" s="12">
        <f t="shared" si="56"/>
        <v>0</v>
      </c>
      <c r="AQ185" s="24">
        <f>SUMIFS(инфо!$H$15:$H$28,инфо!$A$15:$A$28,F185)</f>
        <v>0</v>
      </c>
      <c r="AR185" s="35">
        <f t="shared" si="54"/>
        <v>0.49038461538461536</v>
      </c>
      <c r="AS185" s="12">
        <f t="shared" si="57"/>
        <v>0.49038461538461536</v>
      </c>
      <c r="AT185" s="24">
        <f>SUMIFS(инфо!$I$15:$I$28,инфо!$A$15:$A$28,F185)</f>
        <v>0.20699999999999999</v>
      </c>
      <c r="AU185" s="35">
        <f t="shared" si="48"/>
        <v>0</v>
      </c>
      <c r="AV185" s="12">
        <f t="shared" si="58"/>
        <v>-0.20699999999999999</v>
      </c>
      <c r="AX185" s="68">
        <f>SUMIFS(инфо!$C$15:$C$28,инфо!$A$15:$A$28,F185)*H184</f>
        <v>36389.599999999999</v>
      </c>
    </row>
    <row r="186" spans="1:50" x14ac:dyDescent="0.25">
      <c r="A186" s="70">
        <f t="shared" si="49"/>
        <v>46160</v>
      </c>
      <c r="B186" s="111" t="s">
        <v>502</v>
      </c>
      <c r="C186" s="17" t="s">
        <v>772</v>
      </c>
      <c r="D186" s="18" t="s">
        <v>82</v>
      </c>
      <c r="E186" s="83" t="s">
        <v>77</v>
      </c>
      <c r="F186" s="28" t="s">
        <v>60</v>
      </c>
      <c r="G186" s="81">
        <v>38</v>
      </c>
      <c r="H186" s="81">
        <v>950</v>
      </c>
      <c r="I186" s="118">
        <f>IFERROR(H186*VLOOKUP(F186,инфо!$A$15:$C$28,3,FALSE)/1000,0)</f>
        <v>33.240499999999997</v>
      </c>
      <c r="J186" s="20">
        <v>950</v>
      </c>
      <c r="K186" s="81">
        <v>3</v>
      </c>
      <c r="L186" s="81"/>
      <c r="M186" s="20">
        <v>50</v>
      </c>
      <c r="N186" s="23">
        <v>3848</v>
      </c>
      <c r="O186" s="19">
        <v>10258</v>
      </c>
      <c r="P186" s="19">
        <v>14133</v>
      </c>
      <c r="Q186" s="19"/>
      <c r="R186" s="19"/>
      <c r="S186" s="69">
        <f t="shared" si="59"/>
        <v>24391</v>
      </c>
      <c r="T186" s="17"/>
      <c r="U186" s="18"/>
      <c r="V186" s="19"/>
      <c r="W186" s="81">
        <v>1140</v>
      </c>
      <c r="X186" s="19"/>
      <c r="Y186" s="17">
        <v>380</v>
      </c>
      <c r="Z186" s="19"/>
      <c r="AA186" s="19"/>
      <c r="AB186" s="19"/>
      <c r="AC186" s="117">
        <v>380</v>
      </c>
      <c r="AD186" s="18"/>
      <c r="AE186" s="25">
        <f>SUMIFS(инфо!$D$15:$D$28,инфо!$A$15:$A$28,F186)</f>
        <v>414</v>
      </c>
      <c r="AF186" s="35">
        <f t="shared" si="50"/>
        <v>4.0505263157894733</v>
      </c>
      <c r="AG186" s="14">
        <f t="shared" si="60"/>
        <v>-409.94947368421055</v>
      </c>
      <c r="AH186" s="25">
        <f>SUMIFS(инфо!$E$15:$E$28,инфо!$A$15:$A$28,F186)</f>
        <v>26.73</v>
      </c>
      <c r="AI186" s="32">
        <f t="shared" si="51"/>
        <v>25.674736842105265</v>
      </c>
      <c r="AJ186" s="14">
        <f t="shared" si="61"/>
        <v>-1.0552631578947356</v>
      </c>
      <c r="AK186" s="25">
        <f>SUMIFS(инфо!$F$15:$F$28,инфо!$A$15:$A$28,F186)</f>
        <v>0.41299999999999998</v>
      </c>
      <c r="AL186" s="32">
        <f t="shared" si="52"/>
        <v>0.4</v>
      </c>
      <c r="AM186" s="14">
        <f t="shared" si="55"/>
        <v>-1.2999999999999956E-2</v>
      </c>
      <c r="AN186" s="25">
        <f>SUMIFS(инфо!$G$15:$G$28,инфо!$A$15:$A$28,F186)</f>
        <v>0</v>
      </c>
      <c r="AO186" s="32">
        <f t="shared" si="53"/>
        <v>0</v>
      </c>
      <c r="AP186" s="14">
        <f t="shared" si="56"/>
        <v>0</v>
      </c>
      <c r="AQ186" s="25">
        <f>SUMIFS(инфо!$H$15:$H$28,инфо!$A$15:$A$28,F186)</f>
        <v>0</v>
      </c>
      <c r="AR186" s="26">
        <f t="shared" si="54"/>
        <v>0.31666666666666665</v>
      </c>
      <c r="AS186" s="14">
        <f t="shared" si="57"/>
        <v>0.31666666666666665</v>
      </c>
      <c r="AT186" s="25">
        <f>SUMIFS(инфо!$I$15:$I$28,инфо!$A$15:$A$28,F186)</f>
        <v>0.20699999999999999</v>
      </c>
      <c r="AU186" s="35">
        <f t="shared" si="48"/>
        <v>0</v>
      </c>
      <c r="AV186" s="14">
        <f t="shared" si="58"/>
        <v>-0.20699999999999999</v>
      </c>
      <c r="AX186" s="69">
        <f>SUMIFS(инфо!$C$15:$C$28,инфо!$A$15:$A$28,F186)*H185</f>
        <v>41988</v>
      </c>
    </row>
    <row r="187" spans="1:50" x14ac:dyDescent="0.25">
      <c r="A187" s="70">
        <f t="shared" si="49"/>
        <v>46160</v>
      </c>
      <c r="B187" s="111" t="s">
        <v>503</v>
      </c>
      <c r="C187" s="29" t="s">
        <v>772</v>
      </c>
      <c r="D187" s="30" t="s">
        <v>83</v>
      </c>
      <c r="E187" s="83" t="s">
        <v>75</v>
      </c>
      <c r="F187" s="28" t="s">
        <v>60</v>
      </c>
      <c r="G187" s="81">
        <v>42</v>
      </c>
      <c r="H187" s="81">
        <v>1050</v>
      </c>
      <c r="I187" s="118">
        <f>IFERROR(H187*VLOOKUP(F187,инфо!$A$15:$C$28,3,FALSE)/1000,0)</f>
        <v>36.7395</v>
      </c>
      <c r="J187" s="20">
        <v>1050</v>
      </c>
      <c r="K187" s="81">
        <v>2</v>
      </c>
      <c r="L187" s="81"/>
      <c r="M187" s="20">
        <v>155</v>
      </c>
      <c r="N187" s="28">
        <v>4379</v>
      </c>
      <c r="O187" s="27">
        <v>13470</v>
      </c>
      <c r="P187" s="27">
        <v>14170</v>
      </c>
      <c r="Q187" s="27"/>
      <c r="R187" s="27"/>
      <c r="S187" s="67">
        <f t="shared" si="59"/>
        <v>27640</v>
      </c>
      <c r="T187" s="29"/>
      <c r="U187" s="30"/>
      <c r="V187" s="27"/>
      <c r="W187" s="81">
        <v>1260</v>
      </c>
      <c r="X187" s="27"/>
      <c r="Y187" s="29">
        <v>430</v>
      </c>
      <c r="Z187" s="27"/>
      <c r="AA187" s="27"/>
      <c r="AB187" s="27"/>
      <c r="AC187" s="117">
        <v>420</v>
      </c>
      <c r="AD187" s="30"/>
      <c r="AE187" s="31">
        <f>SUMIFS(инфо!$D$15:$D$28,инфо!$A$15:$A$28,F187)</f>
        <v>414</v>
      </c>
      <c r="AF187" s="35">
        <f t="shared" si="50"/>
        <v>4.1704761904761902</v>
      </c>
      <c r="AG187" s="33">
        <f t="shared" si="60"/>
        <v>-409.82952380952383</v>
      </c>
      <c r="AH187" s="31">
        <f>SUMIFS(инфо!$E$15:$E$28,инфо!$A$15:$A$28,F187)</f>
        <v>26.73</v>
      </c>
      <c r="AI187" s="32">
        <f t="shared" si="51"/>
        <v>26.323809523809523</v>
      </c>
      <c r="AJ187" s="33">
        <f t="shared" si="61"/>
        <v>-0.40619047619047777</v>
      </c>
      <c r="AK187" s="31">
        <f>SUMIFS(инфо!$F$15:$F$28,инфо!$A$15:$A$28,F187)</f>
        <v>0.41299999999999998</v>
      </c>
      <c r="AL187" s="32">
        <f t="shared" si="52"/>
        <v>0.40952380952380951</v>
      </c>
      <c r="AM187" s="33">
        <f t="shared" si="55"/>
        <v>-3.4761904761904661E-3</v>
      </c>
      <c r="AN187" s="31">
        <f>SUMIFS(инфо!$G$15:$G$28,инфо!$A$15:$A$28,F187)</f>
        <v>0</v>
      </c>
      <c r="AO187" s="32">
        <f t="shared" si="53"/>
        <v>0</v>
      </c>
      <c r="AP187" s="33">
        <f t="shared" si="56"/>
        <v>0</v>
      </c>
      <c r="AQ187" s="31">
        <f>SUMIFS(инфо!$H$15:$H$28,инфо!$A$15:$A$28,F187)</f>
        <v>0</v>
      </c>
      <c r="AR187" s="32">
        <f t="shared" si="54"/>
        <v>0.44210526315789472</v>
      </c>
      <c r="AS187" s="33">
        <f t="shared" si="57"/>
        <v>0.44210526315789472</v>
      </c>
      <c r="AT187" s="31">
        <f>SUMIFS(инфо!$I$15:$I$28,инфо!$A$15:$A$28,F187)</f>
        <v>0.20699999999999999</v>
      </c>
      <c r="AU187" s="35">
        <f t="shared" si="48"/>
        <v>0</v>
      </c>
      <c r="AV187" s="33">
        <f t="shared" si="58"/>
        <v>-0.20699999999999999</v>
      </c>
      <c r="AX187" s="67">
        <f>SUMIFS(инфо!$C$15:$C$28,инфо!$A$15:$A$28,F187)*H186</f>
        <v>33240.5</v>
      </c>
    </row>
    <row r="188" spans="1:50" x14ac:dyDescent="0.25">
      <c r="A188" s="70">
        <f t="shared" si="49"/>
        <v>46161</v>
      </c>
      <c r="B188" s="111" t="s">
        <v>504</v>
      </c>
      <c r="C188" s="15" t="s">
        <v>772</v>
      </c>
      <c r="D188" s="16" t="s">
        <v>82</v>
      </c>
      <c r="E188" s="83" t="s">
        <v>114</v>
      </c>
      <c r="F188" s="28" t="s">
        <v>60</v>
      </c>
      <c r="G188" s="81">
        <v>7</v>
      </c>
      <c r="H188" s="81">
        <v>150</v>
      </c>
      <c r="I188" s="118">
        <f>IFERROR(H188*VLOOKUP(F188,инфо!$A$15:$C$28,3,FALSE)/1000,0)</f>
        <v>5.2484999999999999</v>
      </c>
      <c r="J188" s="20">
        <v>250</v>
      </c>
      <c r="K188" s="81"/>
      <c r="L188" s="81"/>
      <c r="M188" s="20">
        <v>27</v>
      </c>
      <c r="N188" s="20">
        <v>709</v>
      </c>
      <c r="O188" s="34">
        <v>2579</v>
      </c>
      <c r="P188" s="34">
        <v>1927</v>
      </c>
      <c r="Q188" s="34"/>
      <c r="R188" s="34"/>
      <c r="S188" s="68">
        <f t="shared" si="59"/>
        <v>4506</v>
      </c>
      <c r="T188" s="15"/>
      <c r="U188" s="16"/>
      <c r="V188" s="34"/>
      <c r="W188" s="81">
        <v>210</v>
      </c>
      <c r="X188" s="34"/>
      <c r="Y188" s="15">
        <v>70</v>
      </c>
      <c r="Z188" s="34"/>
      <c r="AA188" s="34"/>
      <c r="AB188" s="34"/>
      <c r="AC188" s="117">
        <v>70</v>
      </c>
      <c r="AD188" s="16">
        <v>5</v>
      </c>
      <c r="AE188" s="24">
        <f>SUMIFS(инфо!$D$15:$D$28,инфо!$A$15:$A$28,F188)</f>
        <v>414</v>
      </c>
      <c r="AF188" s="35">
        <f t="shared" si="50"/>
        <v>4.7266666666666666</v>
      </c>
      <c r="AG188" s="12">
        <f t="shared" si="60"/>
        <v>-409.27333333333331</v>
      </c>
      <c r="AH188" s="24">
        <f>SUMIFS(инфо!$E$15:$E$28,инфо!$A$15:$A$28,F188)</f>
        <v>26.73</v>
      </c>
      <c r="AI188" s="32">
        <f t="shared" si="51"/>
        <v>30.04</v>
      </c>
      <c r="AJ188" s="12">
        <f t="shared" si="61"/>
        <v>3.3099999999999987</v>
      </c>
      <c r="AK188" s="24">
        <f>SUMIFS(инфо!$F$15:$F$28,инфо!$A$15:$A$28,F188)</f>
        <v>0.41299999999999998</v>
      </c>
      <c r="AL188" s="32">
        <f t="shared" si="52"/>
        <v>0.46666666666666667</v>
      </c>
      <c r="AM188" s="12">
        <f t="shared" si="55"/>
        <v>5.3666666666666696E-2</v>
      </c>
      <c r="AN188" s="24">
        <f>SUMIFS(инфо!$G$15:$G$28,инфо!$A$15:$A$28,F188)</f>
        <v>0</v>
      </c>
      <c r="AO188" s="32">
        <f t="shared" si="53"/>
        <v>0</v>
      </c>
      <c r="AP188" s="12">
        <f t="shared" si="56"/>
        <v>0</v>
      </c>
      <c r="AQ188" s="24">
        <f>SUMIFS(инфо!$H$15:$H$28,инфо!$A$15:$A$28,F188)</f>
        <v>0</v>
      </c>
      <c r="AR188" s="35">
        <f t="shared" si="54"/>
        <v>6.6666666666666666E-2</v>
      </c>
      <c r="AS188" s="12">
        <f t="shared" si="57"/>
        <v>6.6666666666666666E-2</v>
      </c>
      <c r="AT188" s="24">
        <f>SUMIFS(инфо!$I$15:$I$28,инфо!$A$15:$A$28,F188)</f>
        <v>0.20699999999999999</v>
      </c>
      <c r="AU188" s="35">
        <f t="shared" si="48"/>
        <v>3.3333333333333333E-2</v>
      </c>
      <c r="AV188" s="12">
        <f t="shared" si="58"/>
        <v>-0.17366666666666666</v>
      </c>
      <c r="AX188" s="68">
        <f>SUMIFS(инфо!$C$15:$C$28,инфо!$A$15:$A$28,F188)*H187</f>
        <v>36739.5</v>
      </c>
    </row>
    <row r="189" spans="1:50" x14ac:dyDescent="0.25">
      <c r="A189" s="70">
        <f t="shared" si="49"/>
        <v>46161</v>
      </c>
      <c r="B189" s="111" t="s">
        <v>521</v>
      </c>
      <c r="C189" s="15" t="s">
        <v>772</v>
      </c>
      <c r="D189" s="16" t="s">
        <v>83</v>
      </c>
      <c r="E189" s="83" t="s">
        <v>77</v>
      </c>
      <c r="F189" s="28" t="s">
        <v>60</v>
      </c>
      <c r="G189" s="81">
        <v>27</v>
      </c>
      <c r="H189" s="81">
        <v>750</v>
      </c>
      <c r="I189" s="118">
        <f>IFERROR(H189*VLOOKUP(F189,инфо!$A$15:$C$28,3,FALSE)/1000,0)</f>
        <v>26.2425</v>
      </c>
      <c r="J189" s="20">
        <v>650</v>
      </c>
      <c r="K189" s="81"/>
      <c r="L189" s="81"/>
      <c r="M189" s="20">
        <v>134</v>
      </c>
      <c r="N189" s="20">
        <v>2734</v>
      </c>
      <c r="O189" s="34">
        <v>6410</v>
      </c>
      <c r="P189" s="34">
        <v>10933</v>
      </c>
      <c r="Q189" s="34"/>
      <c r="R189" s="34"/>
      <c r="S189" s="68">
        <f t="shared" si="59"/>
        <v>17343</v>
      </c>
      <c r="T189" s="15"/>
      <c r="U189" s="16"/>
      <c r="V189" s="34"/>
      <c r="W189" s="81">
        <v>810</v>
      </c>
      <c r="X189" s="34"/>
      <c r="Y189" s="15">
        <v>270</v>
      </c>
      <c r="Z189" s="34"/>
      <c r="AA189" s="34"/>
      <c r="AB189" s="34"/>
      <c r="AC189" s="117">
        <v>270</v>
      </c>
      <c r="AD189" s="16"/>
      <c r="AE189" s="24">
        <f>SUMIFS(инфо!$D$15:$D$28,инфо!$A$15:$A$28,F189)</f>
        <v>414</v>
      </c>
      <c r="AF189" s="35">
        <f t="shared" si="50"/>
        <v>3.6453333333333333</v>
      </c>
      <c r="AG189" s="12">
        <f t="shared" si="60"/>
        <v>-410.35466666666667</v>
      </c>
      <c r="AH189" s="24">
        <f>SUMIFS(инфо!$E$15:$E$28,инфо!$A$15:$A$28,F189)</f>
        <v>26.73</v>
      </c>
      <c r="AI189" s="32">
        <f t="shared" si="51"/>
        <v>23.123999999999999</v>
      </c>
      <c r="AJ189" s="12">
        <f t="shared" si="61"/>
        <v>-3.6060000000000016</v>
      </c>
      <c r="AK189" s="24">
        <f>SUMIFS(инфо!$F$15:$F$28,инфо!$A$15:$A$28,F189)</f>
        <v>0.41299999999999998</v>
      </c>
      <c r="AL189" s="32">
        <f t="shared" si="52"/>
        <v>0.36</v>
      </c>
      <c r="AM189" s="12">
        <f t="shared" si="55"/>
        <v>-5.2999999999999992E-2</v>
      </c>
      <c r="AN189" s="24">
        <f>SUMIFS(инфо!$G$15:$G$28,инфо!$A$15:$A$28,F189)</f>
        <v>0</v>
      </c>
      <c r="AO189" s="32">
        <f t="shared" si="53"/>
        <v>0</v>
      </c>
      <c r="AP189" s="12">
        <f t="shared" si="56"/>
        <v>0</v>
      </c>
      <c r="AQ189" s="24">
        <f>SUMIFS(инфо!$H$15:$H$28,инфо!$A$15:$A$28,F189)</f>
        <v>0</v>
      </c>
      <c r="AR189" s="35">
        <f t="shared" si="54"/>
        <v>1.8</v>
      </c>
      <c r="AS189" s="12">
        <f t="shared" si="57"/>
        <v>1.8</v>
      </c>
      <c r="AT189" s="24">
        <f>SUMIFS(инфо!$I$15:$I$28,инфо!$A$15:$A$28,F189)</f>
        <v>0.20699999999999999</v>
      </c>
      <c r="AU189" s="35">
        <f t="shared" si="48"/>
        <v>0</v>
      </c>
      <c r="AV189" s="12">
        <f t="shared" si="58"/>
        <v>-0.20699999999999999</v>
      </c>
      <c r="AX189" s="68">
        <f>SUMIFS(инфо!$C$15:$C$28,инфо!$A$15:$A$28,F189)*H188</f>
        <v>5248.5</v>
      </c>
    </row>
    <row r="190" spans="1:50" x14ac:dyDescent="0.25">
      <c r="A190" s="70">
        <f t="shared" si="49"/>
        <v>46162</v>
      </c>
      <c r="B190" s="111" t="s">
        <v>520</v>
      </c>
      <c r="C190" s="17" t="s">
        <v>772</v>
      </c>
      <c r="D190" s="18" t="s">
        <v>82</v>
      </c>
      <c r="E190" s="83" t="s">
        <v>113</v>
      </c>
      <c r="F190" s="28" t="s">
        <v>60</v>
      </c>
      <c r="G190" s="81">
        <v>10</v>
      </c>
      <c r="H190" s="81">
        <v>150</v>
      </c>
      <c r="I190" s="118">
        <f>IFERROR(H190*VLOOKUP(F190,инфо!$A$15:$C$28,3,FALSE)/1000,0)</f>
        <v>5.2484999999999999</v>
      </c>
      <c r="J190" s="20">
        <v>450</v>
      </c>
      <c r="K190" s="81"/>
      <c r="L190" s="81"/>
      <c r="M190" s="20">
        <v>22</v>
      </c>
      <c r="N190" s="23">
        <v>1008</v>
      </c>
      <c r="O190" s="19">
        <v>3204</v>
      </c>
      <c r="P190" s="19">
        <v>3210</v>
      </c>
      <c r="Q190" s="19"/>
      <c r="R190" s="19"/>
      <c r="S190" s="69">
        <f t="shared" si="59"/>
        <v>6414</v>
      </c>
      <c r="T190" s="17"/>
      <c r="U190" s="18">
        <v>2</v>
      </c>
      <c r="V190" s="19"/>
      <c r="W190" s="81">
        <v>300</v>
      </c>
      <c r="X190" s="19"/>
      <c r="Y190" s="17">
        <v>100</v>
      </c>
      <c r="Z190" s="19"/>
      <c r="AA190" s="19"/>
      <c r="AB190" s="19"/>
      <c r="AC190" s="117">
        <v>100</v>
      </c>
      <c r="AD190" s="18">
        <v>45</v>
      </c>
      <c r="AE190" s="25">
        <f>SUMIFS(инфо!$D$15:$D$28,инфо!$A$15:$A$28,F190)</f>
        <v>414</v>
      </c>
      <c r="AF190" s="35">
        <f t="shared" si="50"/>
        <v>6.72</v>
      </c>
      <c r="AG190" s="14">
        <f t="shared" si="60"/>
        <v>-407.28</v>
      </c>
      <c r="AH190" s="25">
        <f>SUMIFS(инфо!$E$15:$E$28,инфо!$A$15:$A$28,F190)</f>
        <v>26.73</v>
      </c>
      <c r="AI190" s="32">
        <f t="shared" si="51"/>
        <v>42.76</v>
      </c>
      <c r="AJ190" s="14">
        <f t="shared" si="61"/>
        <v>16.029999999999998</v>
      </c>
      <c r="AK190" s="25">
        <f>SUMIFS(инфо!$F$15:$F$28,инфо!$A$15:$A$28,F190)</f>
        <v>0.41299999999999998</v>
      </c>
      <c r="AL190" s="32">
        <f t="shared" si="52"/>
        <v>0.66666666666666663</v>
      </c>
      <c r="AM190" s="14">
        <f t="shared" si="55"/>
        <v>0.25366666666666665</v>
      </c>
      <c r="AN190" s="25">
        <f>SUMIFS(инфо!$G$15:$G$28,инфо!$A$15:$A$28,F190)</f>
        <v>0</v>
      </c>
      <c r="AO190" s="32">
        <f t="shared" si="53"/>
        <v>0</v>
      </c>
      <c r="AP190" s="14">
        <f t="shared" si="56"/>
        <v>0</v>
      </c>
      <c r="AQ190" s="25">
        <f>SUMIFS(инфо!$H$15:$H$28,инфо!$A$15:$A$28,F190)</f>
        <v>0</v>
      </c>
      <c r="AR190" s="26">
        <f t="shared" si="54"/>
        <v>0.13333333333333333</v>
      </c>
      <c r="AS190" s="14">
        <f t="shared" si="57"/>
        <v>0.13333333333333333</v>
      </c>
      <c r="AT190" s="25">
        <f>SUMIFS(инфо!$I$15:$I$28,инфо!$A$15:$A$28,F190)</f>
        <v>0.20699999999999999</v>
      </c>
      <c r="AU190" s="35">
        <f t="shared" si="48"/>
        <v>0.3</v>
      </c>
      <c r="AV190" s="14">
        <f t="shared" si="58"/>
        <v>9.2999999999999999E-2</v>
      </c>
      <c r="AX190" s="69">
        <f>SUMIFS(инфо!$C$15:$C$28,инфо!$A$15:$A$28,F190)*H189</f>
        <v>26242.5</v>
      </c>
    </row>
    <row r="191" spans="1:50" x14ac:dyDescent="0.25">
      <c r="A191" s="70">
        <f t="shared" si="49"/>
        <v>46162</v>
      </c>
      <c r="B191" s="111" t="s">
        <v>522</v>
      </c>
      <c r="C191" s="29" t="s">
        <v>772</v>
      </c>
      <c r="D191" s="30" t="s">
        <v>83</v>
      </c>
      <c r="E191" s="83" t="s">
        <v>114</v>
      </c>
      <c r="F191" s="28" t="s">
        <v>60</v>
      </c>
      <c r="G191" s="81">
        <v>43</v>
      </c>
      <c r="H191" s="81">
        <v>1150</v>
      </c>
      <c r="I191" s="118">
        <f>IFERROR(H191*VLOOKUP(F191,инфо!$A$15:$C$28,3,FALSE)/1000,0)</f>
        <v>40.238500000000002</v>
      </c>
      <c r="J191" s="20">
        <v>850</v>
      </c>
      <c r="K191" s="81"/>
      <c r="L191" s="81"/>
      <c r="M191" s="20">
        <v>46</v>
      </c>
      <c r="N191" s="28">
        <v>4452</v>
      </c>
      <c r="O191" s="27">
        <v>13455</v>
      </c>
      <c r="P191" s="27">
        <v>14787</v>
      </c>
      <c r="Q191" s="27"/>
      <c r="R191" s="27"/>
      <c r="S191" s="67">
        <f t="shared" si="59"/>
        <v>28242</v>
      </c>
      <c r="T191" s="29"/>
      <c r="U191" s="30"/>
      <c r="V191" s="27"/>
      <c r="W191" s="112">
        <v>1.29</v>
      </c>
      <c r="X191" s="27"/>
      <c r="Y191" s="29">
        <v>232</v>
      </c>
      <c r="Z191" s="27"/>
      <c r="AA191" s="27"/>
      <c r="AB191" s="27"/>
      <c r="AC191" s="117">
        <v>430</v>
      </c>
      <c r="AD191" s="30">
        <v>190</v>
      </c>
      <c r="AE191" s="31">
        <f>SUMIFS(инфо!$D$15:$D$28,инфо!$A$15:$A$28,F191)</f>
        <v>414</v>
      </c>
      <c r="AF191" s="35">
        <f t="shared" si="50"/>
        <v>3.8713043478260869</v>
      </c>
      <c r="AG191" s="33">
        <f t="shared" si="60"/>
        <v>-410.12869565217392</v>
      </c>
      <c r="AH191" s="31">
        <f>SUMIFS(инфо!$E$15:$E$28,инфо!$A$15:$A$28,F191)</f>
        <v>26.73</v>
      </c>
      <c r="AI191" s="32">
        <f t="shared" si="51"/>
        <v>24.558260869565217</v>
      </c>
      <c r="AJ191" s="33">
        <f t="shared" si="61"/>
        <v>-2.1717391304347835</v>
      </c>
      <c r="AK191" s="31">
        <f>SUMIFS(инфо!$F$15:$F$28,инфо!$A$15:$A$28,F191)</f>
        <v>0.41299999999999998</v>
      </c>
      <c r="AL191" s="32">
        <f t="shared" si="52"/>
        <v>0.20173913043478262</v>
      </c>
      <c r="AM191" s="33">
        <f t="shared" si="55"/>
        <v>-0.21126086956521736</v>
      </c>
      <c r="AN191" s="31">
        <f>SUMIFS(инфо!$G$15:$G$28,инфо!$A$15:$A$28,F191)</f>
        <v>0</v>
      </c>
      <c r="AO191" s="32">
        <f t="shared" si="53"/>
        <v>0</v>
      </c>
      <c r="AP191" s="33">
        <f t="shared" si="56"/>
        <v>0</v>
      </c>
      <c r="AQ191" s="31">
        <f>SUMIFS(инфо!$H$15:$H$28,инфо!$A$15:$A$28,F191)</f>
        <v>0</v>
      </c>
      <c r="AR191" s="32">
        <f t="shared" si="54"/>
        <v>2.8666666666666667</v>
      </c>
      <c r="AS191" s="33">
        <f t="shared" si="57"/>
        <v>2.8666666666666667</v>
      </c>
      <c r="AT191" s="31">
        <f>SUMIFS(инфо!$I$15:$I$28,инфо!$A$15:$A$28,F191)</f>
        <v>0.20699999999999999</v>
      </c>
      <c r="AU191" s="35">
        <f t="shared" si="48"/>
        <v>0.16521739130434782</v>
      </c>
      <c r="AV191" s="33">
        <f t="shared" si="58"/>
        <v>-4.1782608695652174E-2</v>
      </c>
      <c r="AX191" s="67">
        <f>SUMIFS(инфо!$C$15:$C$28,инфо!$A$15:$A$28,F191)*H190</f>
        <v>5248.5</v>
      </c>
    </row>
    <row r="192" spans="1:50" x14ac:dyDescent="0.25">
      <c r="A192" s="70">
        <f t="shared" si="49"/>
        <v>46163</v>
      </c>
      <c r="B192" s="111" t="s">
        <v>524</v>
      </c>
      <c r="C192" s="15" t="s">
        <v>772</v>
      </c>
      <c r="D192" s="16" t="s">
        <v>82</v>
      </c>
      <c r="E192" s="83" t="s">
        <v>75</v>
      </c>
      <c r="F192" s="28" t="s">
        <v>60</v>
      </c>
      <c r="G192" s="81">
        <v>37</v>
      </c>
      <c r="H192" s="81">
        <v>850</v>
      </c>
      <c r="I192" s="118">
        <f>IFERROR(H192*VLOOKUP(F192,инфо!$A$15:$C$28,3,FALSE)/1000,0)</f>
        <v>29.741499999999998</v>
      </c>
      <c r="J192" s="20">
        <v>900</v>
      </c>
      <c r="K192" s="81">
        <v>1</v>
      </c>
      <c r="L192" s="81"/>
      <c r="M192" s="20">
        <v>78</v>
      </c>
      <c r="N192" s="20">
        <v>3754</v>
      </c>
      <c r="O192" s="34">
        <v>12233</v>
      </c>
      <c r="P192" s="34">
        <v>11535</v>
      </c>
      <c r="Q192" s="34"/>
      <c r="R192" s="34"/>
      <c r="S192" s="68">
        <f t="shared" si="59"/>
        <v>23768</v>
      </c>
      <c r="T192" s="15"/>
      <c r="U192" s="16"/>
      <c r="V192" s="34"/>
      <c r="W192" s="112">
        <v>1.1100000000000001</v>
      </c>
      <c r="X192" s="34"/>
      <c r="Y192" s="15">
        <v>370</v>
      </c>
      <c r="Z192" s="34"/>
      <c r="AA192" s="34"/>
      <c r="AB192" s="34"/>
      <c r="AC192" s="117">
        <v>370</v>
      </c>
      <c r="AD192" s="16">
        <v>185</v>
      </c>
      <c r="AE192" s="24">
        <f>SUMIFS(инфо!$D$15:$D$28,инфо!$A$15:$A$28,F192)</f>
        <v>414</v>
      </c>
      <c r="AF192" s="35">
        <f t="shared" si="50"/>
        <v>4.4164705882352937</v>
      </c>
      <c r="AG192" s="12">
        <f t="shared" si="60"/>
        <v>-409.58352941176469</v>
      </c>
      <c r="AH192" s="24">
        <f>SUMIFS(инфо!$E$15:$E$28,инфо!$A$15:$A$28,F192)</f>
        <v>26.73</v>
      </c>
      <c r="AI192" s="32">
        <f t="shared" si="51"/>
        <v>27.962352941176469</v>
      </c>
      <c r="AJ192" s="12">
        <f t="shared" si="61"/>
        <v>1.2323529411764689</v>
      </c>
      <c r="AK192" s="24">
        <f>SUMIFS(инфо!$F$15:$F$28,инфо!$A$15:$A$28,F192)</f>
        <v>0.41299999999999998</v>
      </c>
      <c r="AL192" s="32">
        <f t="shared" si="52"/>
        <v>0.43529411764705883</v>
      </c>
      <c r="AM192" s="12">
        <f t="shared" si="55"/>
        <v>2.2294117647058853E-2</v>
      </c>
      <c r="AN192" s="24">
        <f>SUMIFS(инфо!$G$15:$G$28,инфо!$A$15:$A$28,F192)</f>
        <v>0</v>
      </c>
      <c r="AO192" s="32">
        <f t="shared" si="53"/>
        <v>0</v>
      </c>
      <c r="AP192" s="12">
        <f t="shared" si="56"/>
        <v>0</v>
      </c>
      <c r="AQ192" s="24">
        <f>SUMIFS(инфо!$H$15:$H$28,инфо!$A$15:$A$28,F192)</f>
        <v>0</v>
      </c>
      <c r="AR192" s="35">
        <f t="shared" si="54"/>
        <v>0.32173913043478258</v>
      </c>
      <c r="AS192" s="12">
        <f t="shared" si="57"/>
        <v>0.32173913043478258</v>
      </c>
      <c r="AT192" s="24">
        <f>SUMIFS(инфо!$I$15:$I$28,инфо!$A$15:$A$28,F192)</f>
        <v>0.20699999999999999</v>
      </c>
      <c r="AU192" s="35">
        <f t="shared" si="48"/>
        <v>0.21764705882352942</v>
      </c>
      <c r="AV192" s="12">
        <f t="shared" si="58"/>
        <v>1.0647058823529426E-2</v>
      </c>
      <c r="AX192" s="68">
        <f>SUMIFS(инфо!$C$15:$C$28,инфо!$A$15:$A$28,F192)*H191</f>
        <v>40238.5</v>
      </c>
    </row>
    <row r="193" spans="1:50" x14ac:dyDescent="0.25">
      <c r="A193" s="70">
        <f t="shared" si="49"/>
        <v>46163</v>
      </c>
      <c r="B193" s="111" t="s">
        <v>525</v>
      </c>
      <c r="C193" s="15" t="s">
        <v>772</v>
      </c>
      <c r="D193" s="16" t="s">
        <v>83</v>
      </c>
      <c r="E193" s="83" t="s">
        <v>113</v>
      </c>
      <c r="F193" s="28" t="s">
        <v>60</v>
      </c>
      <c r="G193" s="81">
        <v>48</v>
      </c>
      <c r="H193" s="81">
        <v>1150</v>
      </c>
      <c r="I193" s="118">
        <f>IFERROR(H193*VLOOKUP(F193,инфо!$A$15:$C$28,3,FALSE)/1000,0)</f>
        <v>40.238500000000002</v>
      </c>
      <c r="J193" s="20">
        <v>1150</v>
      </c>
      <c r="K193" s="81"/>
      <c r="L193" s="81"/>
      <c r="M193" s="20">
        <v>48</v>
      </c>
      <c r="N193" s="20">
        <v>4829</v>
      </c>
      <c r="O193" s="34">
        <v>16003</v>
      </c>
      <c r="P193" s="34">
        <v>14756</v>
      </c>
      <c r="Q193" s="34"/>
      <c r="R193" s="34"/>
      <c r="S193" s="68">
        <f t="shared" si="59"/>
        <v>30759</v>
      </c>
      <c r="T193" s="15"/>
      <c r="U193" s="16"/>
      <c r="V193" s="34"/>
      <c r="W193" s="81">
        <v>1440</v>
      </c>
      <c r="X193" s="34"/>
      <c r="Y193" s="15">
        <v>480</v>
      </c>
      <c r="Z193" s="34"/>
      <c r="AA193" s="34"/>
      <c r="AB193" s="34"/>
      <c r="AC193" s="117">
        <v>480</v>
      </c>
      <c r="AD193" s="16">
        <v>240</v>
      </c>
      <c r="AE193" s="24">
        <f>SUMIFS(инфо!$D$15:$D$28,инфо!$A$15:$A$28,F193)</f>
        <v>414</v>
      </c>
      <c r="AF193" s="35">
        <f t="shared" si="50"/>
        <v>4.1991304347826084</v>
      </c>
      <c r="AG193" s="12">
        <f t="shared" si="60"/>
        <v>-409.8008695652174</v>
      </c>
      <c r="AH193" s="24">
        <f>SUMIFS(инфо!$E$15:$E$28,инфо!$A$15:$A$28,F193)</f>
        <v>26.73</v>
      </c>
      <c r="AI193" s="32">
        <f t="shared" si="51"/>
        <v>26.746956521739129</v>
      </c>
      <c r="AJ193" s="12">
        <f t="shared" si="61"/>
        <v>1.695652173912876E-2</v>
      </c>
      <c r="AK193" s="24">
        <f>SUMIFS(инфо!$F$15:$F$28,инфо!$A$15:$A$28,F193)</f>
        <v>0.41299999999999998</v>
      </c>
      <c r="AL193" s="32">
        <f t="shared" si="52"/>
        <v>0.41739130434782606</v>
      </c>
      <c r="AM193" s="12">
        <f t="shared" si="55"/>
        <v>4.391304347826086E-3</v>
      </c>
      <c r="AN193" s="24">
        <f>SUMIFS(инфо!$G$15:$G$28,инфо!$A$15:$A$28,F193)</f>
        <v>0</v>
      </c>
      <c r="AO193" s="32">
        <f t="shared" si="53"/>
        <v>0</v>
      </c>
      <c r="AP193" s="12">
        <f t="shared" si="56"/>
        <v>0</v>
      </c>
      <c r="AQ193" s="24">
        <f>SUMIFS(инфо!$H$15:$H$28,инфо!$A$15:$A$28,F193)</f>
        <v>0</v>
      </c>
      <c r="AR193" s="35">
        <f t="shared" si="54"/>
        <v>0.56470588235294117</v>
      </c>
      <c r="AS193" s="12">
        <f t="shared" si="57"/>
        <v>0.56470588235294117</v>
      </c>
      <c r="AT193" s="24">
        <f>SUMIFS(инфо!$I$15:$I$28,инфо!$A$15:$A$28,F193)</f>
        <v>0.20699999999999999</v>
      </c>
      <c r="AU193" s="35">
        <f t="shared" si="48"/>
        <v>0.20869565217391303</v>
      </c>
      <c r="AV193" s="12">
        <f t="shared" si="58"/>
        <v>1.6956521739130426E-3</v>
      </c>
      <c r="AX193" s="68">
        <f>SUMIFS(инфо!$C$15:$C$28,инфо!$A$15:$A$28,F193)*H192</f>
        <v>29741.5</v>
      </c>
    </row>
    <row r="194" spans="1:50" x14ac:dyDescent="0.25">
      <c r="A194" s="70">
        <f t="shared" si="49"/>
        <v>46164</v>
      </c>
      <c r="B194" s="111" t="s">
        <v>528</v>
      </c>
      <c r="C194" s="17" t="s">
        <v>772</v>
      </c>
      <c r="D194" s="18" t="s">
        <v>82</v>
      </c>
      <c r="E194" s="83" t="s">
        <v>77</v>
      </c>
      <c r="F194" s="28" t="s">
        <v>60</v>
      </c>
      <c r="G194" s="81">
        <v>33</v>
      </c>
      <c r="H194" s="81">
        <v>900</v>
      </c>
      <c r="I194" s="118">
        <f>IFERROR(H194*VLOOKUP(F194,инфо!$A$15:$C$28,3,FALSE)/1000,0)</f>
        <v>31.491</v>
      </c>
      <c r="J194" s="20">
        <v>900</v>
      </c>
      <c r="K194" s="20">
        <v>2</v>
      </c>
      <c r="L194" s="81"/>
      <c r="M194" s="20">
        <v>95</v>
      </c>
      <c r="N194" s="23">
        <v>3328</v>
      </c>
      <c r="O194" s="19">
        <v>10893</v>
      </c>
      <c r="P194" s="19">
        <v>10301</v>
      </c>
      <c r="Q194" s="19"/>
      <c r="R194" s="19"/>
      <c r="S194" s="69">
        <f t="shared" si="59"/>
        <v>21194</v>
      </c>
      <c r="T194" s="17"/>
      <c r="U194" s="18"/>
      <c r="V194" s="19"/>
      <c r="W194" s="81">
        <v>990</v>
      </c>
      <c r="X194" s="19"/>
      <c r="Y194" s="17">
        <v>330</v>
      </c>
      <c r="Z194" s="19"/>
      <c r="AA194" s="19"/>
      <c r="AB194" s="19"/>
      <c r="AC194" s="117">
        <v>330</v>
      </c>
      <c r="AD194" s="18">
        <v>110</v>
      </c>
      <c r="AE194" s="25">
        <f>SUMIFS(инфо!$D$15:$D$28,инфо!$A$15:$A$28,F194)</f>
        <v>414</v>
      </c>
      <c r="AF194" s="35">
        <f t="shared" si="50"/>
        <v>3.6977777777777776</v>
      </c>
      <c r="AG194" s="14">
        <f t="shared" si="60"/>
        <v>-410.30222222222221</v>
      </c>
      <c r="AH194" s="25">
        <f>SUMIFS(инфо!$E$15:$E$28,инфо!$A$15:$A$28,F194)</f>
        <v>26.73</v>
      </c>
      <c r="AI194" s="32">
        <f t="shared" si="51"/>
        <v>23.548888888888889</v>
      </c>
      <c r="AJ194" s="14">
        <f t="shared" si="61"/>
        <v>-3.181111111111111</v>
      </c>
      <c r="AK194" s="25">
        <f>SUMIFS(инфо!$F$15:$F$28,инфо!$A$15:$A$28,F194)</f>
        <v>0.41299999999999998</v>
      </c>
      <c r="AL194" s="32">
        <f t="shared" si="52"/>
        <v>0.36666666666666664</v>
      </c>
      <c r="AM194" s="14">
        <f t="shared" si="55"/>
        <v>-4.6333333333333337E-2</v>
      </c>
      <c r="AN194" s="25">
        <f>SUMIFS(инфо!$G$15:$G$28,инфо!$A$15:$A$28,F194)</f>
        <v>0</v>
      </c>
      <c r="AO194" s="32">
        <f t="shared" si="53"/>
        <v>0</v>
      </c>
      <c r="AP194" s="14">
        <f t="shared" si="56"/>
        <v>0</v>
      </c>
      <c r="AQ194" s="25">
        <f>SUMIFS(инфо!$H$15:$H$28,инфо!$A$15:$A$28,F194)</f>
        <v>0</v>
      </c>
      <c r="AR194" s="26">
        <f t="shared" si="54"/>
        <v>0.28695652173913044</v>
      </c>
      <c r="AS194" s="14">
        <f t="shared" si="57"/>
        <v>0.28695652173913044</v>
      </c>
      <c r="AT194" s="25">
        <f>SUMIFS(инфо!$I$15:$I$28,инфо!$A$15:$A$28,F194)</f>
        <v>0.20699999999999999</v>
      </c>
      <c r="AU194" s="35">
        <f t="shared" si="48"/>
        <v>0.12222222222222222</v>
      </c>
      <c r="AV194" s="14">
        <f t="shared" si="58"/>
        <v>-8.4777777777777771E-2</v>
      </c>
      <c r="AX194" s="69">
        <f>SUMIFS(инфо!$C$15:$C$28,инфо!$A$15:$A$28,F194)*H193</f>
        <v>40238.5</v>
      </c>
    </row>
    <row r="195" spans="1:50" x14ac:dyDescent="0.25">
      <c r="A195" s="70">
        <f t="shared" si="49"/>
        <v>46164</v>
      </c>
      <c r="B195" s="111" t="s">
        <v>529</v>
      </c>
      <c r="C195" s="29" t="s">
        <v>772</v>
      </c>
      <c r="D195" s="30" t="s">
        <v>83</v>
      </c>
      <c r="E195" s="83" t="s">
        <v>113</v>
      </c>
      <c r="F195" s="28" t="s">
        <v>60</v>
      </c>
      <c r="G195" s="81">
        <v>38</v>
      </c>
      <c r="H195" s="81">
        <v>1000</v>
      </c>
      <c r="I195" s="118">
        <f>IFERROR(H195*VLOOKUP(F195,инфо!$A$15:$C$28,3,FALSE)/1000,0)</f>
        <v>34.99</v>
      </c>
      <c r="J195" s="20">
        <v>950</v>
      </c>
      <c r="K195" s="20"/>
      <c r="L195" s="81"/>
      <c r="M195" s="20">
        <v>173</v>
      </c>
      <c r="N195" s="28">
        <v>3841</v>
      </c>
      <c r="O195" s="27">
        <v>13463</v>
      </c>
      <c r="P195" s="27">
        <v>10926</v>
      </c>
      <c r="Q195" s="27"/>
      <c r="R195" s="27"/>
      <c r="S195" s="67">
        <f t="shared" si="59"/>
        <v>24389</v>
      </c>
      <c r="T195" s="29"/>
      <c r="U195" s="30"/>
      <c r="V195" s="27"/>
      <c r="W195" s="81">
        <v>1140</v>
      </c>
      <c r="X195" s="27"/>
      <c r="Y195" s="29">
        <v>380</v>
      </c>
      <c r="Z195" s="27"/>
      <c r="AA195" s="27"/>
      <c r="AB195" s="27"/>
      <c r="AC195" s="117">
        <v>380</v>
      </c>
      <c r="AD195" s="30">
        <v>190</v>
      </c>
      <c r="AE195" s="31">
        <f>SUMIFS(инфо!$D$15:$D$28,инфо!$A$15:$A$28,F195)</f>
        <v>414</v>
      </c>
      <c r="AF195" s="35">
        <f t="shared" si="50"/>
        <v>3.8410000000000002</v>
      </c>
      <c r="AG195" s="33">
        <f t="shared" si="60"/>
        <v>-410.15899999999999</v>
      </c>
      <c r="AH195" s="31">
        <f>SUMIFS(инфо!$E$15:$E$28,инфо!$A$15:$A$28,F195)</f>
        <v>26.73</v>
      </c>
      <c r="AI195" s="32">
        <f t="shared" si="51"/>
        <v>24.388999999999999</v>
      </c>
      <c r="AJ195" s="33">
        <f t="shared" si="61"/>
        <v>-2.3410000000000011</v>
      </c>
      <c r="AK195" s="31">
        <f>SUMIFS(инфо!$F$15:$F$28,инфо!$A$15:$A$28,F195)</f>
        <v>0.41299999999999998</v>
      </c>
      <c r="AL195" s="32">
        <f t="shared" si="52"/>
        <v>0.38</v>
      </c>
      <c r="AM195" s="33">
        <f t="shared" si="55"/>
        <v>-3.2999999999999974E-2</v>
      </c>
      <c r="AN195" s="31">
        <f>SUMIFS(инфо!$G$15:$G$28,инфо!$A$15:$A$28,F195)</f>
        <v>0</v>
      </c>
      <c r="AO195" s="32">
        <f t="shared" si="53"/>
        <v>0</v>
      </c>
      <c r="AP195" s="33">
        <f t="shared" si="56"/>
        <v>0</v>
      </c>
      <c r="AQ195" s="31">
        <f>SUMIFS(инфо!$H$15:$H$28,инфо!$A$15:$A$28,F195)</f>
        <v>0</v>
      </c>
      <c r="AR195" s="32">
        <f t="shared" si="54"/>
        <v>0.42222222222222222</v>
      </c>
      <c r="AS195" s="33">
        <f t="shared" si="57"/>
        <v>0.42222222222222222</v>
      </c>
      <c r="AT195" s="31">
        <f>SUMIFS(инфо!$I$15:$I$28,инфо!$A$15:$A$28,F195)</f>
        <v>0.20699999999999999</v>
      </c>
      <c r="AU195" s="35">
        <f t="shared" si="48"/>
        <v>0.19</v>
      </c>
      <c r="AV195" s="33">
        <f t="shared" si="58"/>
        <v>-1.6999999999999987E-2</v>
      </c>
      <c r="AX195" s="67">
        <f>SUMIFS(инфо!$C$15:$C$28,инфо!$A$15:$A$28,F195)*H194</f>
        <v>31491</v>
      </c>
    </row>
    <row r="196" spans="1:50" x14ac:dyDescent="0.25">
      <c r="A196" s="70">
        <f t="shared" si="49"/>
        <v>46165</v>
      </c>
      <c r="B196" s="111" t="s">
        <v>537</v>
      </c>
      <c r="C196" s="15" t="s">
        <v>772</v>
      </c>
      <c r="D196" s="16" t="s">
        <v>82</v>
      </c>
      <c r="E196" s="83" t="s">
        <v>114</v>
      </c>
      <c r="F196" s="28" t="s">
        <v>60</v>
      </c>
      <c r="G196" s="81">
        <v>32</v>
      </c>
      <c r="H196" s="81">
        <v>770</v>
      </c>
      <c r="I196" s="118">
        <f>IFERROR(H196*VLOOKUP(F196,инфо!$A$15:$C$28,3,FALSE)/1000,0)</f>
        <v>26.942300000000003</v>
      </c>
      <c r="J196" s="20">
        <v>1000</v>
      </c>
      <c r="K196" s="20"/>
      <c r="L196" s="81"/>
      <c r="M196" s="20">
        <v>54</v>
      </c>
      <c r="N196" s="20">
        <v>3235</v>
      </c>
      <c r="O196" s="34">
        <v>9650</v>
      </c>
      <c r="P196" s="34">
        <v>10885</v>
      </c>
      <c r="Q196" s="34"/>
      <c r="R196" s="34"/>
      <c r="S196" s="68">
        <f t="shared" si="59"/>
        <v>20535</v>
      </c>
      <c r="T196" s="15"/>
      <c r="U196" s="16"/>
      <c r="V196" s="34"/>
      <c r="W196" s="81">
        <v>960</v>
      </c>
      <c r="X196" s="34"/>
      <c r="Y196" s="15">
        <v>320</v>
      </c>
      <c r="Z196" s="34"/>
      <c r="AA196" s="34"/>
      <c r="AB196" s="34"/>
      <c r="AC196" s="117">
        <v>320</v>
      </c>
      <c r="AD196" s="16">
        <v>160</v>
      </c>
      <c r="AE196" s="24">
        <f>SUMIFS(инфо!$D$15:$D$28,инфо!$A$15:$A$28,F196)</f>
        <v>414</v>
      </c>
      <c r="AF196" s="35">
        <f t="shared" si="50"/>
        <v>4.2012987012987013</v>
      </c>
      <c r="AG196" s="12">
        <f t="shared" si="60"/>
        <v>-409.7987012987013</v>
      </c>
      <c r="AH196" s="24">
        <f>SUMIFS(инфо!$E$15:$E$28,инфо!$A$15:$A$28,F196)</f>
        <v>26.73</v>
      </c>
      <c r="AI196" s="32">
        <f t="shared" si="51"/>
        <v>26.668831168831169</v>
      </c>
      <c r="AJ196" s="12">
        <f t="shared" si="61"/>
        <v>-6.1168831168831872E-2</v>
      </c>
      <c r="AK196" s="24">
        <f>SUMIFS(инфо!$F$15:$F$28,инфо!$A$15:$A$28,F196)</f>
        <v>0.41299999999999998</v>
      </c>
      <c r="AL196" s="32">
        <f t="shared" si="52"/>
        <v>0.41558441558441561</v>
      </c>
      <c r="AM196" s="12">
        <f t="shared" si="55"/>
        <v>2.5844155844156336E-3</v>
      </c>
      <c r="AN196" s="24">
        <f>SUMIFS(инфо!$G$15:$G$28,инфо!$A$15:$A$28,F196)</f>
        <v>0</v>
      </c>
      <c r="AO196" s="32">
        <f t="shared" si="53"/>
        <v>0</v>
      </c>
      <c r="AP196" s="12">
        <f t="shared" si="56"/>
        <v>0</v>
      </c>
      <c r="AQ196" s="24">
        <f>SUMIFS(инфо!$H$15:$H$28,инфо!$A$15:$A$28,F196)</f>
        <v>0</v>
      </c>
      <c r="AR196" s="35">
        <f t="shared" si="54"/>
        <v>0.32</v>
      </c>
      <c r="AS196" s="12">
        <f t="shared" si="57"/>
        <v>0.32</v>
      </c>
      <c r="AT196" s="24">
        <f>SUMIFS(инфо!$I$15:$I$28,инфо!$A$15:$A$28,F196)</f>
        <v>0.20699999999999999</v>
      </c>
      <c r="AU196" s="35">
        <f t="shared" si="48"/>
        <v>0.20779220779220781</v>
      </c>
      <c r="AV196" s="12">
        <f t="shared" si="58"/>
        <v>7.9220779220781634E-4</v>
      </c>
      <c r="AX196" s="68">
        <f>SUMIFS(инфо!$C$15:$C$28,инфо!$A$15:$A$28,F196)*H195</f>
        <v>34990</v>
      </c>
    </row>
    <row r="197" spans="1:50" x14ac:dyDescent="0.25">
      <c r="A197" s="70">
        <f t="shared" si="49"/>
        <v>46165</v>
      </c>
      <c r="B197" s="111" t="s">
        <v>538</v>
      </c>
      <c r="C197" s="15" t="s">
        <v>772</v>
      </c>
      <c r="D197" s="16" t="s">
        <v>83</v>
      </c>
      <c r="E197" s="83" t="s">
        <v>77</v>
      </c>
      <c r="F197" s="28" t="s">
        <v>60</v>
      </c>
      <c r="G197" s="81">
        <v>32</v>
      </c>
      <c r="H197" s="81">
        <v>950</v>
      </c>
      <c r="I197" s="118">
        <f>IFERROR(H197*VLOOKUP(F197,инфо!$A$15:$C$28,3,FALSE)/1000,0)</f>
        <v>33.240499999999997</v>
      </c>
      <c r="J197" s="20">
        <v>750</v>
      </c>
      <c r="K197" s="20"/>
      <c r="L197" s="81"/>
      <c r="M197" s="20">
        <v>60</v>
      </c>
      <c r="N197" s="20">
        <v>3230</v>
      </c>
      <c r="O197" s="34">
        <v>10883</v>
      </c>
      <c r="P197" s="34">
        <v>9656</v>
      </c>
      <c r="Q197" s="34"/>
      <c r="R197" s="34"/>
      <c r="S197" s="68">
        <f t="shared" si="59"/>
        <v>20539</v>
      </c>
      <c r="T197" s="15"/>
      <c r="U197" s="16"/>
      <c r="V197" s="34"/>
      <c r="W197" s="81">
        <v>960</v>
      </c>
      <c r="X197" s="34"/>
      <c r="Y197" s="15">
        <v>320</v>
      </c>
      <c r="Z197" s="34"/>
      <c r="AA197" s="34"/>
      <c r="AB197" s="34"/>
      <c r="AC197" s="117">
        <v>320</v>
      </c>
      <c r="AD197" s="16">
        <v>160</v>
      </c>
      <c r="AE197" s="24">
        <f>SUMIFS(инфо!$D$15:$D$28,инфо!$A$15:$A$28,F197)</f>
        <v>414</v>
      </c>
      <c r="AF197" s="35">
        <f t="shared" si="50"/>
        <v>3.4</v>
      </c>
      <c r="AG197" s="12">
        <f t="shared" si="60"/>
        <v>-410.6</v>
      </c>
      <c r="AH197" s="24">
        <f>SUMIFS(инфо!$E$15:$E$28,инфо!$A$15:$A$28,F197)</f>
        <v>26.73</v>
      </c>
      <c r="AI197" s="32">
        <f t="shared" si="51"/>
        <v>21.62</v>
      </c>
      <c r="AJ197" s="12">
        <f t="shared" si="61"/>
        <v>-5.1099999999999994</v>
      </c>
      <c r="AK197" s="24">
        <f>SUMIFS(инфо!$F$15:$F$28,инфо!$A$15:$A$28,F197)</f>
        <v>0.41299999999999998</v>
      </c>
      <c r="AL197" s="32">
        <f t="shared" si="52"/>
        <v>0.33684210526315789</v>
      </c>
      <c r="AM197" s="12">
        <f t="shared" si="55"/>
        <v>-7.6157894736842091E-2</v>
      </c>
      <c r="AN197" s="24">
        <f>SUMIFS(инфо!$G$15:$G$28,инфо!$A$15:$A$28,F197)</f>
        <v>0</v>
      </c>
      <c r="AO197" s="32">
        <f t="shared" si="53"/>
        <v>0</v>
      </c>
      <c r="AP197" s="12">
        <f t="shared" si="56"/>
        <v>0</v>
      </c>
      <c r="AQ197" s="24">
        <f>SUMIFS(инфо!$H$15:$H$28,инфо!$A$15:$A$28,F197)</f>
        <v>0</v>
      </c>
      <c r="AR197" s="35">
        <f t="shared" si="54"/>
        <v>0.41558441558441561</v>
      </c>
      <c r="AS197" s="12">
        <f t="shared" si="57"/>
        <v>0.41558441558441561</v>
      </c>
      <c r="AT197" s="24">
        <f>SUMIFS(инфо!$I$15:$I$28,инфо!$A$15:$A$28,F197)</f>
        <v>0.20699999999999999</v>
      </c>
      <c r="AU197" s="35">
        <f t="shared" ref="AU197:AU264" si="62">IF(H197=0,0,AD197/H197)</f>
        <v>0.16842105263157894</v>
      </c>
      <c r="AV197" s="12">
        <f t="shared" si="58"/>
        <v>-3.8578947368421046E-2</v>
      </c>
      <c r="AX197" s="68">
        <f>SUMIFS(инфо!$C$15:$C$28,инфо!$A$15:$A$28,F197)*H196</f>
        <v>26942.300000000003</v>
      </c>
    </row>
    <row r="198" spans="1:50" x14ac:dyDescent="0.25">
      <c r="A198" s="70">
        <f t="shared" si="49"/>
        <v>46166</v>
      </c>
      <c r="B198" s="111" t="s">
        <v>545</v>
      </c>
      <c r="C198" s="17" t="s">
        <v>772</v>
      </c>
      <c r="D198" s="18" t="s">
        <v>82</v>
      </c>
      <c r="E198" s="83" t="s">
        <v>113</v>
      </c>
      <c r="F198" s="28" t="s">
        <v>60</v>
      </c>
      <c r="G198" s="81">
        <v>36</v>
      </c>
      <c r="H198" s="81">
        <v>950</v>
      </c>
      <c r="I198" s="118">
        <f>IFERROR(H198*VLOOKUP(F198,инфо!$A$15:$C$28,3,FALSE)/1000,0)</f>
        <v>33.240499999999997</v>
      </c>
      <c r="J198" s="20">
        <v>900</v>
      </c>
      <c r="K198" s="20"/>
      <c r="L198" s="81"/>
      <c r="M198" s="20">
        <v>54</v>
      </c>
      <c r="N198" s="23">
        <v>4626</v>
      </c>
      <c r="O198" s="19">
        <v>12806</v>
      </c>
      <c r="P198" s="19">
        <v>10292</v>
      </c>
      <c r="Q198" s="19"/>
      <c r="R198" s="19"/>
      <c r="S198" s="69">
        <f t="shared" si="59"/>
        <v>23098</v>
      </c>
      <c r="T198" s="17"/>
      <c r="U198" s="18"/>
      <c r="V198" s="19"/>
      <c r="W198" s="81">
        <v>1080</v>
      </c>
      <c r="X198" s="19"/>
      <c r="Y198" s="17">
        <v>360</v>
      </c>
      <c r="Z198" s="19"/>
      <c r="AA198" s="19"/>
      <c r="AB198" s="19"/>
      <c r="AC198" s="117"/>
      <c r="AD198" s="18">
        <v>180</v>
      </c>
      <c r="AE198" s="25">
        <f>SUMIFS(инфо!$D$15:$D$28,инфо!$A$15:$A$28,F198)</f>
        <v>414</v>
      </c>
      <c r="AF198" s="35">
        <f t="shared" si="50"/>
        <v>4.8694736842105266</v>
      </c>
      <c r="AG198" s="14">
        <f t="shared" si="60"/>
        <v>-409.1305263157895</v>
      </c>
      <c r="AH198" s="25">
        <f>SUMIFS(инфо!$E$15:$E$28,инфо!$A$15:$A$28,F198)</f>
        <v>26.73</v>
      </c>
      <c r="AI198" s="32">
        <f t="shared" si="51"/>
        <v>24.313684210526315</v>
      </c>
      <c r="AJ198" s="14">
        <f t="shared" si="61"/>
        <v>-2.4163157894736855</v>
      </c>
      <c r="AK198" s="25">
        <f>SUMIFS(инфо!$F$15:$F$28,инфо!$A$15:$A$28,F198)</f>
        <v>0.41299999999999998</v>
      </c>
      <c r="AL198" s="32">
        <f t="shared" si="52"/>
        <v>0.37894736842105264</v>
      </c>
      <c r="AM198" s="14">
        <f t="shared" si="55"/>
        <v>-3.4052631578947334E-2</v>
      </c>
      <c r="AN198" s="25">
        <f>SUMIFS(инфо!$G$15:$G$28,инфо!$A$15:$A$28,F198)</f>
        <v>0</v>
      </c>
      <c r="AO198" s="32">
        <f t="shared" si="53"/>
        <v>0</v>
      </c>
      <c r="AP198" s="14">
        <f t="shared" si="56"/>
        <v>0</v>
      </c>
      <c r="AQ198" s="25">
        <f>SUMIFS(инфо!$H$15:$H$28,инфо!$A$15:$A$28,F198)</f>
        <v>0</v>
      </c>
      <c r="AR198" s="26">
        <f t="shared" si="54"/>
        <v>0</v>
      </c>
      <c r="AS198" s="14">
        <f t="shared" si="57"/>
        <v>0</v>
      </c>
      <c r="AT198" s="25">
        <f>SUMIFS(инфо!$I$15:$I$28,инфо!$A$15:$A$28,F198)</f>
        <v>0.20699999999999999</v>
      </c>
      <c r="AU198" s="35">
        <f t="shared" si="62"/>
        <v>0.18947368421052632</v>
      </c>
      <c r="AV198" s="14">
        <f t="shared" si="58"/>
        <v>-1.7526315789473668E-2</v>
      </c>
      <c r="AX198" s="69">
        <f>SUMIFS(инфо!$C$15:$C$28,инфо!$A$15:$A$28,F198)*H197</f>
        <v>33240.5</v>
      </c>
    </row>
    <row r="199" spans="1:50" x14ac:dyDescent="0.25">
      <c r="A199" s="70">
        <f t="shared" si="49"/>
        <v>46166</v>
      </c>
      <c r="B199" s="111" t="s">
        <v>547</v>
      </c>
      <c r="C199" s="29" t="s">
        <v>772</v>
      </c>
      <c r="D199" s="16" t="s">
        <v>83</v>
      </c>
      <c r="E199" s="83" t="s">
        <v>114</v>
      </c>
      <c r="F199" s="28" t="s">
        <v>60</v>
      </c>
      <c r="G199" s="81">
        <v>43</v>
      </c>
      <c r="H199" s="81">
        <v>1100</v>
      </c>
      <c r="I199" s="118">
        <f>IFERROR(H199*VLOOKUP(F199,инфо!$A$15:$C$28,3,FALSE)/1000,0)</f>
        <v>38.488999999999997</v>
      </c>
      <c r="J199" s="20">
        <v>1200</v>
      </c>
      <c r="K199" s="20"/>
      <c r="L199" s="81"/>
      <c r="M199" s="20">
        <v>122</v>
      </c>
      <c r="N199" s="28">
        <v>4352</v>
      </c>
      <c r="O199" s="27">
        <v>14058</v>
      </c>
      <c r="P199" s="27">
        <v>14157</v>
      </c>
      <c r="Q199" s="27"/>
      <c r="R199" s="27"/>
      <c r="S199" s="67">
        <f t="shared" si="59"/>
        <v>28215</v>
      </c>
      <c r="T199" s="29"/>
      <c r="U199" s="30"/>
      <c r="V199" s="27"/>
      <c r="W199" s="81">
        <v>1290</v>
      </c>
      <c r="X199" s="27"/>
      <c r="Y199" s="29">
        <v>430</v>
      </c>
      <c r="Z199" s="27"/>
      <c r="AA199" s="27"/>
      <c r="AB199" s="27"/>
      <c r="AC199" s="117">
        <v>430</v>
      </c>
      <c r="AD199" s="30">
        <v>215</v>
      </c>
      <c r="AE199" s="31">
        <f>SUMIFS(инфо!$D$15:$D$28,инфо!$A$15:$A$28,F199)</f>
        <v>414</v>
      </c>
      <c r="AF199" s="35">
        <f t="shared" si="50"/>
        <v>3.9563636363636365</v>
      </c>
      <c r="AG199" s="33">
        <f t="shared" si="60"/>
        <v>-410.04363636363638</v>
      </c>
      <c r="AH199" s="31">
        <f>SUMIFS(инфо!$E$15:$E$28,инфо!$A$15:$A$28,F199)</f>
        <v>26.73</v>
      </c>
      <c r="AI199" s="32">
        <f t="shared" si="51"/>
        <v>25.65</v>
      </c>
      <c r="AJ199" s="33">
        <f t="shared" si="61"/>
        <v>-1.0800000000000018</v>
      </c>
      <c r="AK199" s="31">
        <f>SUMIFS(инфо!$F$15:$F$28,инфо!$A$15:$A$28,F199)</f>
        <v>0.41299999999999998</v>
      </c>
      <c r="AL199" s="32">
        <f t="shared" si="52"/>
        <v>0.39090909090909093</v>
      </c>
      <c r="AM199" s="33">
        <f t="shared" si="55"/>
        <v>-2.209090909090905E-2</v>
      </c>
      <c r="AN199" s="31">
        <f>SUMIFS(инфо!$G$15:$G$28,инфо!$A$15:$A$28,F199)</f>
        <v>0</v>
      </c>
      <c r="AO199" s="32">
        <f t="shared" si="53"/>
        <v>0</v>
      </c>
      <c r="AP199" s="33">
        <f t="shared" si="56"/>
        <v>0</v>
      </c>
      <c r="AQ199" s="31">
        <f>SUMIFS(инфо!$H$15:$H$28,инфо!$A$15:$A$28,F199)</f>
        <v>0</v>
      </c>
      <c r="AR199" s="32">
        <f t="shared" si="54"/>
        <v>0.45263157894736844</v>
      </c>
      <c r="AS199" s="33">
        <f t="shared" si="57"/>
        <v>0.45263157894736844</v>
      </c>
      <c r="AT199" s="31">
        <f>SUMIFS(инфо!$I$15:$I$28,инфо!$A$15:$A$28,F199)</f>
        <v>0.20699999999999999</v>
      </c>
      <c r="AU199" s="35">
        <f t="shared" si="62"/>
        <v>0.19545454545454546</v>
      </c>
      <c r="AV199" s="33">
        <f t="shared" si="58"/>
        <v>-1.1545454545454525E-2</v>
      </c>
      <c r="AX199" s="67">
        <f>SUMIFS(инфо!$C$15:$C$28,инфо!$A$15:$A$28,F199)*H198</f>
        <v>33240.5</v>
      </c>
    </row>
    <row r="200" spans="1:50" x14ac:dyDescent="0.25">
      <c r="A200" s="70">
        <f t="shared" si="49"/>
        <v>46167</v>
      </c>
      <c r="B200" s="111" t="s">
        <v>555</v>
      </c>
      <c r="C200" s="15" t="s">
        <v>772</v>
      </c>
      <c r="D200" s="16" t="s">
        <v>82</v>
      </c>
      <c r="E200" s="83" t="s">
        <v>75</v>
      </c>
      <c r="F200" s="28" t="s">
        <v>60</v>
      </c>
      <c r="G200" s="81">
        <v>2</v>
      </c>
      <c r="H200" s="81">
        <v>150</v>
      </c>
      <c r="I200" s="118">
        <f>IFERROR(H200*VLOOKUP(F200,инфо!$A$15:$C$28,3,FALSE)/1000,0)</f>
        <v>5.2484999999999999</v>
      </c>
      <c r="J200" s="20">
        <v>500</v>
      </c>
      <c r="K200" s="20"/>
      <c r="L200" s="81"/>
      <c r="M200" s="20"/>
      <c r="N200" s="20">
        <v>201</v>
      </c>
      <c r="O200" s="34">
        <v>640</v>
      </c>
      <c r="P200" s="34">
        <v>643</v>
      </c>
      <c r="Q200" s="34"/>
      <c r="R200" s="34"/>
      <c r="S200" s="68">
        <f t="shared" si="59"/>
        <v>1283</v>
      </c>
      <c r="T200" s="15"/>
      <c r="U200" s="16"/>
      <c r="V200" s="34"/>
      <c r="W200" s="81"/>
      <c r="X200" s="34"/>
      <c r="Y200" s="15">
        <v>20</v>
      </c>
      <c r="Z200" s="34"/>
      <c r="AA200" s="34"/>
      <c r="AB200" s="34"/>
      <c r="AC200" s="117"/>
      <c r="AD200" s="16">
        <v>10</v>
      </c>
      <c r="AE200" s="24">
        <f>SUMIFS(инфо!$D$15:$D$28,инфо!$A$15:$A$28,F200)</f>
        <v>414</v>
      </c>
      <c r="AF200" s="35">
        <f t="shared" si="50"/>
        <v>1.34</v>
      </c>
      <c r="AG200" s="12">
        <f t="shared" si="60"/>
        <v>-412.66</v>
      </c>
      <c r="AH200" s="24">
        <f>SUMIFS(инфо!$E$15:$E$28,инфо!$A$15:$A$28,F200)</f>
        <v>26.73</v>
      </c>
      <c r="AI200" s="32">
        <f t="shared" si="51"/>
        <v>8.5533333333333328</v>
      </c>
      <c r="AJ200" s="12">
        <f t="shared" si="61"/>
        <v>-18.176666666666669</v>
      </c>
      <c r="AK200" s="24">
        <f>SUMIFS(инфо!$F$15:$F$28,инфо!$A$15:$A$28,F200)</f>
        <v>0.41299999999999998</v>
      </c>
      <c r="AL200" s="32">
        <f t="shared" si="52"/>
        <v>0.13333333333333333</v>
      </c>
      <c r="AM200" s="12">
        <f t="shared" si="55"/>
        <v>-0.27966666666666662</v>
      </c>
      <c r="AN200" s="24">
        <f>SUMIFS(инфо!$G$15:$G$28,инфо!$A$15:$A$28,F200)</f>
        <v>0</v>
      </c>
      <c r="AO200" s="32">
        <f t="shared" si="53"/>
        <v>0</v>
      </c>
      <c r="AP200" s="12">
        <f t="shared" si="56"/>
        <v>0</v>
      </c>
      <c r="AQ200" s="24">
        <f>SUMIFS(инфо!$H$15:$H$28,инфо!$A$15:$A$28,F200)</f>
        <v>0</v>
      </c>
      <c r="AR200" s="35">
        <f t="shared" si="54"/>
        <v>0</v>
      </c>
      <c r="AS200" s="12">
        <f t="shared" si="57"/>
        <v>0</v>
      </c>
      <c r="AT200" s="24">
        <f>SUMIFS(инфо!$I$15:$I$28,инфо!$A$15:$A$28,F200)</f>
        <v>0.20699999999999999</v>
      </c>
      <c r="AU200" s="35">
        <f t="shared" si="62"/>
        <v>6.6666666666666666E-2</v>
      </c>
      <c r="AV200" s="12">
        <f t="shared" si="58"/>
        <v>-0.14033333333333331</v>
      </c>
      <c r="AX200" s="68">
        <f>SUMIFS(инфо!$C$15:$C$28,инфо!$A$15:$A$28,F200)*H199</f>
        <v>38489</v>
      </c>
    </row>
    <row r="201" spans="1:50" x14ac:dyDescent="0.25">
      <c r="A201" s="70">
        <f t="shared" si="49"/>
        <v>46167</v>
      </c>
      <c r="B201" s="111"/>
      <c r="C201" s="15" t="s">
        <v>772</v>
      </c>
      <c r="D201" s="16" t="s">
        <v>82</v>
      </c>
      <c r="E201" s="83" t="s">
        <v>75</v>
      </c>
      <c r="F201" s="28" t="s">
        <v>59</v>
      </c>
      <c r="G201" s="81">
        <v>16</v>
      </c>
      <c r="H201" s="81">
        <v>450</v>
      </c>
      <c r="I201" s="118">
        <f>IFERROR(H201*VLOOKUP(F201,инфо!$A$15:$C$28,3,FALSE)/1000,0)</f>
        <v>12.595499999999999</v>
      </c>
      <c r="J201" s="20"/>
      <c r="K201" s="20"/>
      <c r="L201" s="81">
        <v>3</v>
      </c>
      <c r="M201" s="20">
        <v>77</v>
      </c>
      <c r="N201" s="20">
        <v>1613</v>
      </c>
      <c r="O201" s="34">
        <v>5129</v>
      </c>
      <c r="P201" s="34">
        <v>5150</v>
      </c>
      <c r="Q201" s="34"/>
      <c r="R201" s="34"/>
      <c r="S201" s="68">
        <f t="shared" si="59"/>
        <v>10279</v>
      </c>
      <c r="T201" s="15"/>
      <c r="U201" s="16"/>
      <c r="V201" s="34"/>
      <c r="W201" s="81">
        <v>540</v>
      </c>
      <c r="X201" s="34"/>
      <c r="Y201" s="15">
        <v>160</v>
      </c>
      <c r="Z201" s="34"/>
      <c r="AA201" s="34"/>
      <c r="AB201" s="34"/>
      <c r="AC201" s="117"/>
      <c r="AD201" s="16">
        <v>80</v>
      </c>
      <c r="AE201" s="24"/>
      <c r="AF201" s="35">
        <f t="shared" si="50"/>
        <v>3.5844444444444443</v>
      </c>
      <c r="AG201" s="12"/>
      <c r="AH201" s="24"/>
      <c r="AI201" s="32">
        <f t="shared" si="51"/>
        <v>22.842222222222222</v>
      </c>
      <c r="AJ201" s="12"/>
      <c r="AK201" s="24"/>
      <c r="AL201" s="32">
        <f t="shared" si="52"/>
        <v>0.35555555555555557</v>
      </c>
      <c r="AM201" s="12"/>
      <c r="AN201" s="24"/>
      <c r="AO201" s="32">
        <f t="shared" si="53"/>
        <v>0</v>
      </c>
      <c r="AP201" s="12"/>
      <c r="AQ201" s="24"/>
      <c r="AR201" s="35"/>
      <c r="AS201" s="12"/>
      <c r="AT201" s="24"/>
      <c r="AU201" s="35">
        <f t="shared" si="62"/>
        <v>0.17777777777777778</v>
      </c>
      <c r="AV201" s="12"/>
      <c r="AX201" s="68"/>
    </row>
    <row r="202" spans="1:50" x14ac:dyDescent="0.25">
      <c r="A202" s="70">
        <f>A199+1</f>
        <v>46167</v>
      </c>
      <c r="B202" s="111" t="s">
        <v>557</v>
      </c>
      <c r="C202" s="15" t="s">
        <v>772</v>
      </c>
      <c r="D202" s="16" t="s">
        <v>83</v>
      </c>
      <c r="E202" s="83" t="s">
        <v>114</v>
      </c>
      <c r="F202" s="28" t="s">
        <v>59</v>
      </c>
      <c r="G202" s="81">
        <v>42</v>
      </c>
      <c r="H202" s="81">
        <v>1250</v>
      </c>
      <c r="I202" s="118">
        <f>IFERROR(H202*VLOOKUP(F202,инфо!$A$15:$C$28,3,FALSE)/1000,0)</f>
        <v>34.987499999999997</v>
      </c>
      <c r="J202" s="20">
        <v>1250</v>
      </c>
      <c r="K202" s="20"/>
      <c r="L202" s="81">
        <v>3</v>
      </c>
      <c r="M202" s="20">
        <v>98</v>
      </c>
      <c r="N202" s="20">
        <v>4237</v>
      </c>
      <c r="O202" s="19">
        <v>1283</v>
      </c>
      <c r="P202" s="34">
        <v>14151</v>
      </c>
      <c r="Q202" s="34"/>
      <c r="R202" s="34"/>
      <c r="S202" s="68">
        <f t="shared" si="59"/>
        <v>15434</v>
      </c>
      <c r="T202" s="15"/>
      <c r="U202" s="16"/>
      <c r="V202" s="34"/>
      <c r="W202" s="81">
        <v>1260</v>
      </c>
      <c r="X202" s="34"/>
      <c r="Y202" s="15">
        <v>420</v>
      </c>
      <c r="Z202" s="34"/>
      <c r="AA202" s="34"/>
      <c r="AB202" s="34"/>
      <c r="AC202" s="117">
        <v>420</v>
      </c>
      <c r="AD202" s="16">
        <v>210</v>
      </c>
      <c r="AE202" s="24">
        <f>SUMIFS(инфо!$D$15:$D$28,инфо!$A$15:$A$28,F202)</f>
        <v>3.31</v>
      </c>
      <c r="AF202" s="35">
        <f t="shared" si="50"/>
        <v>3.3896000000000002</v>
      </c>
      <c r="AG202" s="12">
        <f t="shared" si="60"/>
        <v>7.9600000000000115E-2</v>
      </c>
      <c r="AH202" s="24">
        <f>SUMIFS(инфо!$E$15:$E$28,инфо!$A$15:$A$28,F202)</f>
        <v>2138</v>
      </c>
      <c r="AI202" s="32">
        <f t="shared" si="51"/>
        <v>12.347200000000001</v>
      </c>
      <c r="AJ202" s="12">
        <f t="shared" si="61"/>
        <v>-2125.6527999999998</v>
      </c>
      <c r="AK202" s="24">
        <f>SUMIFS(инфо!$F$15:$F$28,инфо!$A$15:$A$28,F202)</f>
        <v>0.33100000000000002</v>
      </c>
      <c r="AL202" s="32">
        <f t="shared" si="52"/>
        <v>0.33600000000000002</v>
      </c>
      <c r="AM202" s="12">
        <f t="shared" si="55"/>
        <v>5.0000000000000044E-3</v>
      </c>
      <c r="AN202" s="24">
        <f>SUMIFS(инфо!$G$15:$G$28,инфо!$A$15:$A$28,F202)</f>
        <v>0</v>
      </c>
      <c r="AO202" s="32">
        <f t="shared" si="53"/>
        <v>0</v>
      </c>
      <c r="AP202" s="12">
        <f t="shared" si="56"/>
        <v>0</v>
      </c>
      <c r="AQ202" s="24">
        <f>SUMIFS(инфо!$H$15:$H$28,инфо!$A$15:$A$28,F202)</f>
        <v>0</v>
      </c>
      <c r="AR202" s="35">
        <f>IF(H200=0,0,AC202/H200)</f>
        <v>2.8</v>
      </c>
      <c r="AS202" s="12">
        <f t="shared" si="57"/>
        <v>2.8</v>
      </c>
      <c r="AT202" s="24">
        <f>SUMIFS(инфо!$I$15:$I$28,инфо!$A$15:$A$28,F202)</f>
        <v>0.16500000000000001</v>
      </c>
      <c r="AU202" s="35">
        <f t="shared" si="62"/>
        <v>0.16800000000000001</v>
      </c>
      <c r="AV202" s="12">
        <f t="shared" si="58"/>
        <v>3.0000000000000027E-3</v>
      </c>
      <c r="AX202" s="68">
        <f>SUMIFS(инфо!$C$15:$C$28,инфо!$A$15:$A$28,F202)*H200</f>
        <v>4198.5</v>
      </c>
    </row>
    <row r="203" spans="1:50" x14ac:dyDescent="0.25">
      <c r="A203" s="70">
        <f>A200+1</f>
        <v>46168</v>
      </c>
      <c r="B203" s="111" t="s">
        <v>564</v>
      </c>
      <c r="C203" s="17" t="s">
        <v>772</v>
      </c>
      <c r="D203" s="18" t="s">
        <v>82</v>
      </c>
      <c r="E203" s="83" t="s">
        <v>77</v>
      </c>
      <c r="F203" s="28" t="s">
        <v>59</v>
      </c>
      <c r="G203" s="81">
        <v>23</v>
      </c>
      <c r="H203" s="81">
        <v>800</v>
      </c>
      <c r="I203" s="118">
        <f>IFERROR(H203*VLOOKUP(F203,инфо!$A$15:$C$28,3,FALSE)/1000,0)</f>
        <v>22.391999999999999</v>
      </c>
      <c r="J203" s="20">
        <v>750</v>
      </c>
      <c r="K203" s="20"/>
      <c r="L203" s="81"/>
      <c r="M203" s="20">
        <v>98</v>
      </c>
      <c r="N203" s="23">
        <v>2318</v>
      </c>
      <c r="O203" s="19">
        <v>6408</v>
      </c>
      <c r="P203" s="19">
        <v>8322</v>
      </c>
      <c r="Q203" s="19"/>
      <c r="R203" s="19"/>
      <c r="S203" s="69">
        <f t="shared" si="59"/>
        <v>14730</v>
      </c>
      <c r="T203" s="17"/>
      <c r="U203" s="18"/>
      <c r="V203" s="19"/>
      <c r="W203" s="81">
        <v>690</v>
      </c>
      <c r="X203" s="19"/>
      <c r="Y203" s="17">
        <v>230</v>
      </c>
      <c r="Z203" s="19"/>
      <c r="AA203" s="19"/>
      <c r="AB203" s="19"/>
      <c r="AC203" s="117">
        <v>230</v>
      </c>
      <c r="AD203" s="18">
        <v>115</v>
      </c>
      <c r="AE203" s="25">
        <f>SUMIFS(инфо!$D$15:$D$28,инфо!$A$15:$A$28,F203)</f>
        <v>3.31</v>
      </c>
      <c r="AF203" s="35">
        <f t="shared" si="50"/>
        <v>2.8975</v>
      </c>
      <c r="AG203" s="14">
        <f t="shared" si="60"/>
        <v>-0.41250000000000009</v>
      </c>
      <c r="AH203" s="25">
        <f>SUMIFS(инфо!$E$15:$E$28,инфо!$A$15:$A$28,F203)</f>
        <v>2138</v>
      </c>
      <c r="AI203" s="32">
        <f t="shared" si="51"/>
        <v>18.412500000000001</v>
      </c>
      <c r="AJ203" s="14">
        <f t="shared" si="61"/>
        <v>-2119.5875000000001</v>
      </c>
      <c r="AK203" s="25">
        <f>SUMIFS(инфо!$F$15:$F$28,инфо!$A$15:$A$28,F203)</f>
        <v>0.33100000000000002</v>
      </c>
      <c r="AL203" s="32">
        <f t="shared" si="52"/>
        <v>0.28749999999999998</v>
      </c>
      <c r="AM203" s="14">
        <f t="shared" si="55"/>
        <v>-4.3500000000000039E-2</v>
      </c>
      <c r="AN203" s="25">
        <f>SUMIFS(инфо!$G$15:$G$28,инфо!$A$15:$A$28,F203)</f>
        <v>0</v>
      </c>
      <c r="AO203" s="32">
        <f t="shared" si="53"/>
        <v>0</v>
      </c>
      <c r="AP203" s="14">
        <f t="shared" si="56"/>
        <v>0</v>
      </c>
      <c r="AQ203" s="25">
        <f>SUMIFS(инфо!$H$15:$H$28,инфо!$A$15:$A$28,F203)</f>
        <v>0</v>
      </c>
      <c r="AR203" s="26">
        <f t="shared" si="54"/>
        <v>0.184</v>
      </c>
      <c r="AS203" s="14">
        <f t="shared" si="57"/>
        <v>0.184</v>
      </c>
      <c r="AT203" s="25">
        <f>SUMIFS(инфо!$I$15:$I$28,инфо!$A$15:$A$28,F203)</f>
        <v>0.16500000000000001</v>
      </c>
      <c r="AU203" s="35">
        <f t="shared" si="62"/>
        <v>0.14374999999999999</v>
      </c>
      <c r="AV203" s="14">
        <f t="shared" si="58"/>
        <v>-2.1250000000000019E-2</v>
      </c>
      <c r="AX203" s="69">
        <f>SUMIFS(инфо!$C$15:$C$28,инфо!$A$15:$A$28,F203)*H202</f>
        <v>34987.5</v>
      </c>
    </row>
    <row r="204" spans="1:50" x14ac:dyDescent="0.25">
      <c r="A204" s="70">
        <f t="shared" si="49"/>
        <v>46168</v>
      </c>
      <c r="B204" s="111" t="s">
        <v>569</v>
      </c>
      <c r="C204" s="29" t="s">
        <v>772</v>
      </c>
      <c r="D204" s="30" t="s">
        <v>83</v>
      </c>
      <c r="E204" s="83" t="s">
        <v>75</v>
      </c>
      <c r="F204" s="28" t="s">
        <v>59</v>
      </c>
      <c r="G204" s="81">
        <v>43</v>
      </c>
      <c r="H204" s="81">
        <v>1200</v>
      </c>
      <c r="I204" s="118">
        <f>IFERROR(H204*VLOOKUP(F204,инфо!$A$15:$C$28,3,FALSE)/1000,0)</f>
        <v>33.588000000000001</v>
      </c>
      <c r="J204" s="20">
        <v>1150</v>
      </c>
      <c r="K204" s="20"/>
      <c r="L204" s="81"/>
      <c r="M204" s="20">
        <v>275</v>
      </c>
      <c r="N204" s="28">
        <v>4358</v>
      </c>
      <c r="O204" s="27">
        <v>13452</v>
      </c>
      <c r="P204" s="27">
        <v>14064</v>
      </c>
      <c r="Q204" s="27"/>
      <c r="R204" s="27"/>
      <c r="S204" s="67">
        <f t="shared" si="59"/>
        <v>27516</v>
      </c>
      <c r="T204" s="29"/>
      <c r="U204" s="30"/>
      <c r="V204" s="27"/>
      <c r="W204" s="81">
        <v>1290</v>
      </c>
      <c r="X204" s="27"/>
      <c r="Y204" s="29">
        <v>430</v>
      </c>
      <c r="Z204" s="27"/>
      <c r="AA204" s="27"/>
      <c r="AB204" s="27"/>
      <c r="AC204" s="117">
        <v>430</v>
      </c>
      <c r="AD204" s="30">
        <v>215</v>
      </c>
      <c r="AE204" s="31">
        <f>SUMIFS(инфо!$D$15:$D$28,инфо!$A$15:$A$28,F204)</f>
        <v>3.31</v>
      </c>
      <c r="AF204" s="35">
        <f t="shared" si="50"/>
        <v>3.6316666666666668</v>
      </c>
      <c r="AG204" s="33">
        <f t="shared" si="60"/>
        <v>0.32166666666666677</v>
      </c>
      <c r="AH204" s="31">
        <f>SUMIFS(инфо!$E$15:$E$28,инфо!$A$15:$A$28,F204)</f>
        <v>2138</v>
      </c>
      <c r="AI204" s="32">
        <f t="shared" si="51"/>
        <v>22.93</v>
      </c>
      <c r="AJ204" s="33">
        <f t="shared" si="61"/>
        <v>-2115.0700000000002</v>
      </c>
      <c r="AK204" s="31">
        <f>SUMIFS(инфо!$F$15:$F$28,инфо!$A$15:$A$28,F204)</f>
        <v>0.33100000000000002</v>
      </c>
      <c r="AL204" s="32">
        <f t="shared" si="52"/>
        <v>0.35833333333333334</v>
      </c>
      <c r="AM204" s="33">
        <f t="shared" si="55"/>
        <v>2.7333333333333321E-2</v>
      </c>
      <c r="AN204" s="31">
        <f>SUMIFS(инфо!$G$15:$G$28,инфо!$A$15:$A$28,F204)</f>
        <v>0</v>
      </c>
      <c r="AO204" s="32">
        <f t="shared" si="53"/>
        <v>0</v>
      </c>
      <c r="AP204" s="33">
        <f t="shared" si="56"/>
        <v>0</v>
      </c>
      <c r="AQ204" s="31">
        <f>SUMIFS(инфо!$H$15:$H$28,инфо!$A$15:$A$28,F204)</f>
        <v>0</v>
      </c>
      <c r="AR204" s="32">
        <f t="shared" si="54"/>
        <v>0.53749999999999998</v>
      </c>
      <c r="AS204" s="33">
        <f t="shared" si="57"/>
        <v>0.53749999999999998</v>
      </c>
      <c r="AT204" s="31">
        <f>SUMIFS(инфо!$I$15:$I$28,инфо!$A$15:$A$28,F204)</f>
        <v>0.16500000000000001</v>
      </c>
      <c r="AU204" s="35">
        <f t="shared" si="62"/>
        <v>0.17916666666666667</v>
      </c>
      <c r="AV204" s="33">
        <f t="shared" si="58"/>
        <v>1.4166666666666661E-2</v>
      </c>
      <c r="AX204" s="67">
        <f>SUMIFS(инфо!$C$15:$C$28,инфо!$A$15:$A$28,F204)*H203</f>
        <v>22392</v>
      </c>
    </row>
    <row r="205" spans="1:50" x14ac:dyDescent="0.25">
      <c r="A205" s="70">
        <f t="shared" si="49"/>
        <v>46169</v>
      </c>
      <c r="B205" s="111" t="s">
        <v>572</v>
      </c>
      <c r="C205" s="15" t="s">
        <v>772</v>
      </c>
      <c r="D205" s="16" t="s">
        <v>82</v>
      </c>
      <c r="E205" s="83" t="s">
        <v>114</v>
      </c>
      <c r="F205" s="28" t="s">
        <v>59</v>
      </c>
      <c r="G205" s="81">
        <v>19</v>
      </c>
      <c r="H205" s="81">
        <v>550</v>
      </c>
      <c r="I205" s="118">
        <f>IFERROR(H205*VLOOKUP(F205,инфо!$A$15:$C$28,3,FALSE)/1000,0)</f>
        <v>15.394500000000001</v>
      </c>
      <c r="J205" s="20">
        <v>850</v>
      </c>
      <c r="K205" s="20"/>
      <c r="L205" s="81"/>
      <c r="M205" s="20">
        <v>100</v>
      </c>
      <c r="N205" s="20">
        <v>1926</v>
      </c>
      <c r="O205" s="34">
        <v>5767</v>
      </c>
      <c r="P205" s="34">
        <v>6401</v>
      </c>
      <c r="Q205" s="34"/>
      <c r="R205" s="34"/>
      <c r="S205" s="68">
        <f t="shared" si="59"/>
        <v>12168</v>
      </c>
      <c r="T205" s="15"/>
      <c r="U205" s="16"/>
      <c r="V205" s="34"/>
      <c r="W205" s="81">
        <v>570</v>
      </c>
      <c r="X205" s="34"/>
      <c r="Y205" s="15">
        <v>190</v>
      </c>
      <c r="Z205" s="34"/>
      <c r="AA205" s="34"/>
      <c r="AB205" s="34"/>
      <c r="AC205" s="117">
        <v>190</v>
      </c>
      <c r="AD205" s="16">
        <v>95</v>
      </c>
      <c r="AE205" s="24">
        <f>SUMIFS(инфо!$D$15:$D$28,инфо!$A$15:$A$28,F205)</f>
        <v>3.31</v>
      </c>
      <c r="AF205" s="35">
        <f t="shared" si="50"/>
        <v>3.5018181818181819</v>
      </c>
      <c r="AG205" s="12">
        <f t="shared" si="60"/>
        <v>0.19181818181818189</v>
      </c>
      <c r="AH205" s="24">
        <f>SUMIFS(инфо!$E$15:$E$28,инфо!$A$15:$A$28,F205)</f>
        <v>2138</v>
      </c>
      <c r="AI205" s="32">
        <f t="shared" si="51"/>
        <v>22.123636363636365</v>
      </c>
      <c r="AJ205" s="12">
        <f t="shared" si="61"/>
        <v>-2115.8763636363637</v>
      </c>
      <c r="AK205" s="24">
        <f>SUMIFS(инфо!$F$15:$F$28,инфо!$A$15:$A$28,F205)</f>
        <v>0.33100000000000002</v>
      </c>
      <c r="AL205" s="32">
        <f t="shared" si="52"/>
        <v>0.34545454545454546</v>
      </c>
      <c r="AM205" s="12">
        <f t="shared" si="55"/>
        <v>1.4454545454545442E-2</v>
      </c>
      <c r="AN205" s="24">
        <f>SUMIFS(инфо!$G$15:$G$28,инфо!$A$15:$A$28,F205)</f>
        <v>0</v>
      </c>
      <c r="AO205" s="32">
        <f t="shared" si="53"/>
        <v>0</v>
      </c>
      <c r="AP205" s="12">
        <f t="shared" si="56"/>
        <v>0</v>
      </c>
      <c r="AQ205" s="24">
        <f>SUMIFS(инфо!$H$15:$H$28,инфо!$A$15:$A$28,F205)</f>
        <v>0</v>
      </c>
      <c r="AR205" s="35">
        <f t="shared" si="54"/>
        <v>0.15833333333333333</v>
      </c>
      <c r="AS205" s="12">
        <f t="shared" si="57"/>
        <v>0.15833333333333333</v>
      </c>
      <c r="AT205" s="24">
        <f>SUMIFS(инфо!$I$15:$I$28,инфо!$A$15:$A$28,F205)</f>
        <v>0.16500000000000001</v>
      </c>
      <c r="AU205" s="35">
        <f t="shared" si="62"/>
        <v>0.17272727272727273</v>
      </c>
      <c r="AV205" s="12">
        <f t="shared" si="58"/>
        <v>7.7272727272727215E-3</v>
      </c>
      <c r="AX205" s="68">
        <f>SUMIFS(инфо!$C$15:$C$28,инфо!$A$15:$A$28,F205)*H204</f>
        <v>33588</v>
      </c>
    </row>
    <row r="206" spans="1:50" x14ac:dyDescent="0.25">
      <c r="A206" s="70">
        <f t="shared" si="49"/>
        <v>46169</v>
      </c>
      <c r="B206" s="111" t="s">
        <v>577</v>
      </c>
      <c r="C206" s="15" t="s">
        <v>772</v>
      </c>
      <c r="D206" s="16" t="s">
        <v>83</v>
      </c>
      <c r="E206" s="83" t="s">
        <v>77</v>
      </c>
      <c r="F206" s="28" t="s">
        <v>59</v>
      </c>
      <c r="G206" s="81">
        <v>40</v>
      </c>
      <c r="H206" s="81">
        <v>1200</v>
      </c>
      <c r="I206" s="118">
        <f>IFERROR(H206*VLOOKUP(F206,инфо!$A$15:$C$28,3,FALSE)/1000,0)</f>
        <v>33.588000000000001</v>
      </c>
      <c r="J206" s="20">
        <v>850</v>
      </c>
      <c r="K206" s="20"/>
      <c r="L206" s="81"/>
      <c r="M206" s="20">
        <v>46</v>
      </c>
      <c r="N206" s="20">
        <v>4037</v>
      </c>
      <c r="O206" s="34">
        <v>12157</v>
      </c>
      <c r="P206" s="34">
        <v>13413</v>
      </c>
      <c r="Q206" s="34"/>
      <c r="R206" s="34"/>
      <c r="S206" s="68">
        <f t="shared" si="59"/>
        <v>25570</v>
      </c>
      <c r="T206" s="15">
        <v>150</v>
      </c>
      <c r="U206" s="16">
        <v>960</v>
      </c>
      <c r="V206" s="34"/>
      <c r="W206" s="81">
        <v>1200</v>
      </c>
      <c r="X206" s="34"/>
      <c r="Y206" s="15">
        <v>295</v>
      </c>
      <c r="Z206" s="34"/>
      <c r="AA206" s="34"/>
      <c r="AB206" s="34"/>
      <c r="AC206" s="117">
        <v>400</v>
      </c>
      <c r="AD206" s="16">
        <v>305</v>
      </c>
      <c r="AE206" s="24">
        <f>SUMIFS(инфо!$D$15:$D$28,инфо!$A$15:$A$28,F206)</f>
        <v>3.31</v>
      </c>
      <c r="AF206" s="35">
        <f t="shared" si="50"/>
        <v>3.3641666666666667</v>
      </c>
      <c r="AG206" s="12">
        <f t="shared" si="60"/>
        <v>5.4166666666666696E-2</v>
      </c>
      <c r="AH206" s="24">
        <f>SUMIFS(инфо!$E$15:$E$28,инфо!$A$15:$A$28,F206)</f>
        <v>2138</v>
      </c>
      <c r="AI206" s="32">
        <f t="shared" si="51"/>
        <v>21.308333333333334</v>
      </c>
      <c r="AJ206" s="12">
        <f t="shared" si="61"/>
        <v>-2116.6916666666666</v>
      </c>
      <c r="AK206" s="24">
        <f>SUMIFS(инфо!$F$15:$F$28,инфо!$A$15:$A$28,F206)</f>
        <v>0.33100000000000002</v>
      </c>
      <c r="AL206" s="32">
        <f t="shared" si="52"/>
        <v>0.24583333333333332</v>
      </c>
      <c r="AM206" s="12">
        <f t="shared" si="55"/>
        <v>-8.5166666666666696E-2</v>
      </c>
      <c r="AN206" s="24">
        <f>SUMIFS(инфо!$G$15:$G$28,инфо!$A$15:$A$28,F206)</f>
        <v>0</v>
      </c>
      <c r="AO206" s="32">
        <f t="shared" si="53"/>
        <v>0</v>
      </c>
      <c r="AP206" s="12">
        <f t="shared" si="56"/>
        <v>0</v>
      </c>
      <c r="AQ206" s="24">
        <f>SUMIFS(инфо!$H$15:$H$28,инфо!$A$15:$A$28,F206)</f>
        <v>0</v>
      </c>
      <c r="AR206" s="35">
        <f t="shared" si="54"/>
        <v>0.72727272727272729</v>
      </c>
      <c r="AS206" s="12">
        <f t="shared" si="57"/>
        <v>0.72727272727272729</v>
      </c>
      <c r="AT206" s="24">
        <f>SUMIFS(инфо!$I$15:$I$28,инфо!$A$15:$A$28,F206)</f>
        <v>0.16500000000000001</v>
      </c>
      <c r="AU206" s="35">
        <f t="shared" si="62"/>
        <v>0.25416666666666665</v>
      </c>
      <c r="AV206" s="12">
        <f t="shared" si="58"/>
        <v>8.9166666666666644E-2</v>
      </c>
      <c r="AX206" s="68">
        <f>SUMIFS(инфо!$C$15:$C$28,инфо!$A$15:$A$28,F206)*H205</f>
        <v>15394.5</v>
      </c>
    </row>
    <row r="207" spans="1:50" x14ac:dyDescent="0.25">
      <c r="A207" s="70">
        <f t="shared" si="49"/>
        <v>46170</v>
      </c>
      <c r="B207" s="111" t="s">
        <v>578</v>
      </c>
      <c r="C207" s="17" t="s">
        <v>772</v>
      </c>
      <c r="D207" s="18" t="s">
        <v>82</v>
      </c>
      <c r="E207" s="83" t="s">
        <v>113</v>
      </c>
      <c r="F207" s="28" t="s">
        <v>59</v>
      </c>
      <c r="G207" s="81">
        <v>40</v>
      </c>
      <c r="H207" s="81">
        <v>1220</v>
      </c>
      <c r="I207" s="118">
        <f>IFERROR(H207*VLOOKUP(F207,инфо!$A$15:$C$28,3,FALSE)/1000,0)</f>
        <v>34.147799999999997</v>
      </c>
      <c r="J207" s="20">
        <v>1100</v>
      </c>
      <c r="K207" s="20">
        <v>1</v>
      </c>
      <c r="L207" s="81">
        <v>1</v>
      </c>
      <c r="M207" s="20">
        <v>78</v>
      </c>
      <c r="N207" s="23">
        <v>4036</v>
      </c>
      <c r="O207" s="19">
        <v>18562</v>
      </c>
      <c r="P207" s="19">
        <v>7034</v>
      </c>
      <c r="Q207" s="19"/>
      <c r="R207" s="19"/>
      <c r="S207" s="69">
        <f t="shared" si="59"/>
        <v>25596</v>
      </c>
      <c r="T207" s="17"/>
      <c r="U207" s="18"/>
      <c r="V207" s="19"/>
      <c r="W207" s="81">
        <v>1200</v>
      </c>
      <c r="X207" s="19"/>
      <c r="Y207" s="17">
        <v>287</v>
      </c>
      <c r="Z207" s="19"/>
      <c r="AA207" s="19"/>
      <c r="AB207" s="19"/>
      <c r="AC207" s="117">
        <v>400</v>
      </c>
      <c r="AD207" s="18">
        <v>200</v>
      </c>
      <c r="AE207" s="25">
        <f>SUMIFS(инфо!$D$15:$D$28,инфо!$A$15:$A$28,F207)</f>
        <v>3.31</v>
      </c>
      <c r="AF207" s="35">
        <f t="shared" si="50"/>
        <v>3.3081967213114756</v>
      </c>
      <c r="AG207" s="14">
        <f t="shared" si="60"/>
        <v>-1.8032786885244789E-3</v>
      </c>
      <c r="AH207" s="25">
        <f>SUMIFS(инфо!$E$15:$E$28,инфо!$A$15:$A$28,F207)</f>
        <v>2138</v>
      </c>
      <c r="AI207" s="32">
        <f t="shared" si="51"/>
        <v>20.980327868852459</v>
      </c>
      <c r="AJ207" s="14">
        <f t="shared" si="61"/>
        <v>-2117.0196721311477</v>
      </c>
      <c r="AK207" s="25">
        <f>SUMIFS(инфо!$F$15:$F$28,инфо!$A$15:$A$28,F207)</f>
        <v>0.33100000000000002</v>
      </c>
      <c r="AL207" s="32">
        <f t="shared" si="52"/>
        <v>0.23524590163934425</v>
      </c>
      <c r="AM207" s="14">
        <f t="shared" si="55"/>
        <v>-9.5754098360655765E-2</v>
      </c>
      <c r="AN207" s="25">
        <f>SUMIFS(инфо!$G$15:$G$28,инфо!$A$15:$A$28,F207)</f>
        <v>0</v>
      </c>
      <c r="AO207" s="32">
        <f t="shared" si="53"/>
        <v>0</v>
      </c>
      <c r="AP207" s="14">
        <f t="shared" si="56"/>
        <v>0</v>
      </c>
      <c r="AQ207" s="25">
        <f>SUMIFS(инфо!$H$15:$H$28,инфо!$A$15:$A$28,F207)</f>
        <v>0</v>
      </c>
      <c r="AR207" s="26">
        <f t="shared" si="54"/>
        <v>0.33333333333333331</v>
      </c>
      <c r="AS207" s="14">
        <f t="shared" si="57"/>
        <v>0.33333333333333331</v>
      </c>
      <c r="AT207" s="25">
        <f>SUMIFS(инфо!$I$15:$I$28,инфо!$A$15:$A$28,F207)</f>
        <v>0.16500000000000001</v>
      </c>
      <c r="AU207" s="35">
        <f t="shared" si="62"/>
        <v>0.16393442622950818</v>
      </c>
      <c r="AV207" s="14">
        <f t="shared" si="58"/>
        <v>-1.0655737704918233E-3</v>
      </c>
      <c r="AX207" s="69">
        <f>SUMIFS(инфо!$C$15:$C$28,инфо!$A$15:$A$28,F207)*H206</f>
        <v>33588</v>
      </c>
    </row>
    <row r="208" spans="1:50" x14ac:dyDescent="0.25">
      <c r="A208" s="70">
        <f t="shared" si="49"/>
        <v>46170</v>
      </c>
      <c r="B208" s="111" t="s">
        <v>582</v>
      </c>
      <c r="C208" s="29" t="s">
        <v>772</v>
      </c>
      <c r="D208" s="30" t="s">
        <v>83</v>
      </c>
      <c r="E208" s="83" t="s">
        <v>114</v>
      </c>
      <c r="F208" s="28" t="s">
        <v>59</v>
      </c>
      <c r="G208" s="81">
        <v>40</v>
      </c>
      <c r="H208" s="81">
        <v>1200</v>
      </c>
      <c r="I208" s="118">
        <f>IFERROR(H208*VLOOKUP(F208,инфо!$A$15:$C$28,3,FALSE)/1000,0)</f>
        <v>33.588000000000001</v>
      </c>
      <c r="J208" s="20">
        <v>1300</v>
      </c>
      <c r="K208" s="20">
        <v>1</v>
      </c>
      <c r="L208" s="81"/>
      <c r="M208" s="20">
        <v>81</v>
      </c>
      <c r="N208" s="28">
        <v>4046</v>
      </c>
      <c r="O208" s="27">
        <v>12814</v>
      </c>
      <c r="P208" s="27">
        <v>12803</v>
      </c>
      <c r="Q208" s="27"/>
      <c r="R208" s="27"/>
      <c r="S208" s="67">
        <f t="shared" si="59"/>
        <v>25617</v>
      </c>
      <c r="T208" s="29"/>
      <c r="U208" s="30"/>
      <c r="V208" s="27"/>
      <c r="W208" s="81">
        <v>1200</v>
      </c>
      <c r="X208" s="27"/>
      <c r="Y208" s="29">
        <v>400</v>
      </c>
      <c r="Z208" s="27"/>
      <c r="AA208" s="27"/>
      <c r="AB208" s="27"/>
      <c r="AC208" s="117">
        <v>400</v>
      </c>
      <c r="AD208" s="30">
        <v>200</v>
      </c>
      <c r="AE208" s="31">
        <f>SUMIFS(инфо!$D$15:$D$28,инфо!$A$15:$A$28,F208)</f>
        <v>3.31</v>
      </c>
      <c r="AF208" s="35">
        <f t="shared" si="50"/>
        <v>3.3716666666666666</v>
      </c>
      <c r="AG208" s="33">
        <f t="shared" si="60"/>
        <v>6.1666666666666536E-2</v>
      </c>
      <c r="AH208" s="31">
        <f>SUMIFS(инфо!$E$15:$E$28,инфо!$A$15:$A$28,F208)</f>
        <v>2138</v>
      </c>
      <c r="AI208" s="32">
        <f t="shared" si="51"/>
        <v>21.3475</v>
      </c>
      <c r="AJ208" s="33">
        <f t="shared" si="61"/>
        <v>-2116.6525000000001</v>
      </c>
      <c r="AK208" s="31">
        <f>SUMIFS(инфо!$F$15:$F$28,инфо!$A$15:$A$28,F208)</f>
        <v>0.33100000000000002</v>
      </c>
      <c r="AL208" s="32">
        <f t="shared" si="52"/>
        <v>0.33333333333333331</v>
      </c>
      <c r="AM208" s="33">
        <f t="shared" si="55"/>
        <v>2.3333333333332984E-3</v>
      </c>
      <c r="AN208" s="31">
        <f>SUMIFS(инфо!$G$15:$G$28,инфо!$A$15:$A$28,F208)</f>
        <v>0</v>
      </c>
      <c r="AO208" s="32">
        <f t="shared" si="53"/>
        <v>0</v>
      </c>
      <c r="AP208" s="33">
        <f t="shared" si="56"/>
        <v>0</v>
      </c>
      <c r="AQ208" s="31">
        <f>SUMIFS(инфо!$H$15:$H$28,инфо!$A$15:$A$28,F208)</f>
        <v>0</v>
      </c>
      <c r="AR208" s="32">
        <f t="shared" si="54"/>
        <v>0.32786885245901637</v>
      </c>
      <c r="AS208" s="33">
        <f t="shared" si="57"/>
        <v>0.32786885245901637</v>
      </c>
      <c r="AT208" s="31">
        <f>SUMIFS(инфо!$I$15:$I$28,инфо!$A$15:$A$28,F208)</f>
        <v>0.16500000000000001</v>
      </c>
      <c r="AU208" s="35">
        <f t="shared" si="62"/>
        <v>0.16666666666666666</v>
      </c>
      <c r="AV208" s="33">
        <f t="shared" si="58"/>
        <v>1.6666666666666496E-3</v>
      </c>
      <c r="AX208" s="67">
        <f>SUMIFS(инфо!$C$15:$C$28,инфо!$A$15:$A$28,F208)*H207</f>
        <v>34147.799999999996</v>
      </c>
    </row>
    <row r="209" spans="1:50" x14ac:dyDescent="0.25">
      <c r="A209" s="70">
        <f t="shared" si="49"/>
        <v>46171</v>
      </c>
      <c r="B209" s="111" t="s">
        <v>583</v>
      </c>
      <c r="C209" s="15" t="s">
        <v>772</v>
      </c>
      <c r="D209" s="16" t="s">
        <v>82</v>
      </c>
      <c r="E209" s="83" t="s">
        <v>75</v>
      </c>
      <c r="F209" s="28" t="s">
        <v>59</v>
      </c>
      <c r="G209" s="81">
        <v>31</v>
      </c>
      <c r="H209" s="81">
        <v>950</v>
      </c>
      <c r="I209" s="118">
        <f>IFERROR(H209*VLOOKUP(F209,инфо!$A$15:$C$28,3,FALSE)/1000,0)</f>
        <v>26.590499999999999</v>
      </c>
      <c r="J209" s="20">
        <v>900</v>
      </c>
      <c r="K209" s="20"/>
      <c r="L209" s="81"/>
      <c r="M209" s="20">
        <v>80</v>
      </c>
      <c r="N209" s="20">
        <v>3134</v>
      </c>
      <c r="O209" s="34">
        <v>9622</v>
      </c>
      <c r="P209" s="34">
        <v>10243</v>
      </c>
      <c r="Q209" s="34"/>
      <c r="R209" s="34"/>
      <c r="S209" s="68">
        <f t="shared" si="59"/>
        <v>19865</v>
      </c>
      <c r="T209" s="15"/>
      <c r="U209" s="16"/>
      <c r="V209" s="34"/>
      <c r="W209" s="81">
        <v>930</v>
      </c>
      <c r="X209" s="34"/>
      <c r="Y209" s="15">
        <v>310</v>
      </c>
      <c r="Z209" s="34"/>
      <c r="AA209" s="34"/>
      <c r="AB209" s="34"/>
      <c r="AC209" s="117">
        <v>310</v>
      </c>
      <c r="AD209" s="16">
        <v>155</v>
      </c>
      <c r="AE209" s="24">
        <f>SUMIFS(инфо!$D$15:$D$28,инфо!$A$15:$A$28,F209)</f>
        <v>3.31</v>
      </c>
      <c r="AF209" s="35">
        <f t="shared" si="50"/>
        <v>3.2989473684210529</v>
      </c>
      <c r="AG209" s="12">
        <f t="shared" si="60"/>
        <v>-1.1052631578947203E-2</v>
      </c>
      <c r="AH209" s="24">
        <f>SUMIFS(инфо!$E$15:$E$28,инфо!$A$15:$A$28,F209)</f>
        <v>2138</v>
      </c>
      <c r="AI209" s="32">
        <f t="shared" si="51"/>
        <v>20.910526315789475</v>
      </c>
      <c r="AJ209" s="12">
        <f t="shared" si="61"/>
        <v>-2117.0894736842106</v>
      </c>
      <c r="AK209" s="24">
        <f>SUMIFS(инфо!$F$15:$F$28,инфо!$A$15:$A$28,F209)</f>
        <v>0.33100000000000002</v>
      </c>
      <c r="AL209" s="32">
        <f t="shared" si="52"/>
        <v>0.32631578947368423</v>
      </c>
      <c r="AM209" s="12">
        <f t="shared" si="55"/>
        <v>-4.6842105263157907E-3</v>
      </c>
      <c r="AN209" s="24">
        <f>SUMIFS(инфо!$G$15:$G$28,инфо!$A$15:$A$28,F209)</f>
        <v>0</v>
      </c>
      <c r="AO209" s="32">
        <f t="shared" si="53"/>
        <v>0</v>
      </c>
      <c r="AP209" s="12">
        <f t="shared" si="56"/>
        <v>0</v>
      </c>
      <c r="AQ209" s="24">
        <f>SUMIFS(инфо!$H$15:$H$28,инфо!$A$15:$A$28,F209)</f>
        <v>0</v>
      </c>
      <c r="AR209" s="35">
        <f t="shared" si="54"/>
        <v>0.25833333333333336</v>
      </c>
      <c r="AS209" s="12">
        <f t="shared" si="57"/>
        <v>0.25833333333333336</v>
      </c>
      <c r="AT209" s="24">
        <f>SUMIFS(инфо!$I$15:$I$28,инфо!$A$15:$A$28,F209)</f>
        <v>0.16500000000000001</v>
      </c>
      <c r="AU209" s="35">
        <f t="shared" si="62"/>
        <v>0.16315789473684211</v>
      </c>
      <c r="AV209" s="12">
        <f t="shared" si="58"/>
        <v>-1.8421052631578949E-3</v>
      </c>
      <c r="AX209" s="68">
        <f>SUMIFS(инфо!$C$15:$C$28,инфо!$A$15:$A$28,F209)*H208</f>
        <v>33588</v>
      </c>
    </row>
    <row r="210" spans="1:50" x14ac:dyDescent="0.25">
      <c r="A210" s="70">
        <f t="shared" si="49"/>
        <v>46171</v>
      </c>
      <c r="B210" s="111" t="s">
        <v>584</v>
      </c>
      <c r="C210" s="15" t="s">
        <v>772</v>
      </c>
      <c r="D210" s="16" t="s">
        <v>83</v>
      </c>
      <c r="E210" s="83" t="s">
        <v>113</v>
      </c>
      <c r="F210" s="28" t="s">
        <v>59</v>
      </c>
      <c r="G210" s="81">
        <v>54</v>
      </c>
      <c r="H210" s="81">
        <v>1670</v>
      </c>
      <c r="I210" s="118">
        <f>IFERROR(H210*VLOOKUP(F210,инфо!$A$15:$C$28,3,FALSE)/1000,0)</f>
        <v>46.743299999999998</v>
      </c>
      <c r="J210" s="20">
        <v>1550</v>
      </c>
      <c r="K210" s="20"/>
      <c r="L210" s="81">
        <v>3</v>
      </c>
      <c r="M210" s="20">
        <v>100</v>
      </c>
      <c r="N210" s="20">
        <v>5461</v>
      </c>
      <c r="O210" s="34">
        <v>17290</v>
      </c>
      <c r="P210" s="34">
        <v>17283</v>
      </c>
      <c r="Q210" s="34"/>
      <c r="R210" s="34"/>
      <c r="S210" s="68">
        <f t="shared" si="59"/>
        <v>34573</v>
      </c>
      <c r="T210" s="15"/>
      <c r="U210" s="16"/>
      <c r="V210" s="34"/>
      <c r="W210" s="81">
        <v>1620</v>
      </c>
      <c r="X210" s="34"/>
      <c r="Y210" s="15">
        <v>540</v>
      </c>
      <c r="Z210" s="34"/>
      <c r="AA210" s="34"/>
      <c r="AB210" s="34"/>
      <c r="AC210" s="117">
        <v>540</v>
      </c>
      <c r="AD210" s="16">
        <v>270</v>
      </c>
      <c r="AE210" s="24">
        <f>SUMIFS(инфо!$D$15:$D$28,инфо!$A$15:$A$28,F210)</f>
        <v>3.31</v>
      </c>
      <c r="AF210" s="35">
        <f t="shared" si="50"/>
        <v>3.2700598802395211</v>
      </c>
      <c r="AG210" s="12">
        <f t="shared" si="60"/>
        <v>-3.9940119760478954E-2</v>
      </c>
      <c r="AH210" s="24">
        <f>SUMIFS(инфо!$E$15:$E$28,инфо!$A$15:$A$28,F210)</f>
        <v>2138</v>
      </c>
      <c r="AI210" s="32">
        <f t="shared" si="51"/>
        <v>20.702395209580839</v>
      </c>
      <c r="AJ210" s="12">
        <f t="shared" si="61"/>
        <v>-2117.297604790419</v>
      </c>
      <c r="AK210" s="24">
        <f>SUMIFS(инфо!$F$15:$F$28,инфо!$A$15:$A$28,F210)</f>
        <v>0.33100000000000002</v>
      </c>
      <c r="AL210" s="32">
        <f t="shared" si="52"/>
        <v>0.32335329341317365</v>
      </c>
      <c r="AM210" s="12">
        <f t="shared" si="55"/>
        <v>-7.6467065868263684E-3</v>
      </c>
      <c r="AN210" s="24">
        <f>SUMIFS(инфо!$G$15:$G$28,инфо!$A$15:$A$28,F210)</f>
        <v>0</v>
      </c>
      <c r="AO210" s="32">
        <f t="shared" si="53"/>
        <v>0</v>
      </c>
      <c r="AP210" s="12">
        <f t="shared" si="56"/>
        <v>0</v>
      </c>
      <c r="AQ210" s="24">
        <f>SUMIFS(инфо!$H$15:$H$28,инфо!$A$15:$A$28,F210)</f>
        <v>0</v>
      </c>
      <c r="AR210" s="35">
        <f t="shared" si="54"/>
        <v>0.56842105263157894</v>
      </c>
      <c r="AS210" s="12">
        <f t="shared" si="57"/>
        <v>0.56842105263157894</v>
      </c>
      <c r="AT210" s="24">
        <f>SUMIFS(инфо!$I$15:$I$28,инфо!$A$15:$A$28,F210)</f>
        <v>0.16500000000000001</v>
      </c>
      <c r="AU210" s="35">
        <f t="shared" si="62"/>
        <v>0.16167664670658682</v>
      </c>
      <c r="AV210" s="12">
        <f t="shared" si="58"/>
        <v>-3.3233532934131838E-3</v>
      </c>
      <c r="AX210" s="68">
        <f>SUMIFS(инфо!$C$15:$C$28,инфо!$A$15:$A$28,F210)*H209</f>
        <v>26590.5</v>
      </c>
    </row>
    <row r="211" spans="1:50" x14ac:dyDescent="0.25">
      <c r="A211" s="70">
        <f t="shared" si="49"/>
        <v>46172</v>
      </c>
      <c r="B211" s="111" t="s">
        <v>586</v>
      </c>
      <c r="C211" s="17" t="s">
        <v>772</v>
      </c>
      <c r="D211" s="18" t="s">
        <v>82</v>
      </c>
      <c r="E211" s="83" t="s">
        <v>77</v>
      </c>
      <c r="F211" s="28" t="s">
        <v>59</v>
      </c>
      <c r="G211" s="81">
        <v>36</v>
      </c>
      <c r="H211" s="81">
        <v>1040</v>
      </c>
      <c r="I211" s="118">
        <f>IFERROR(H211*VLOOKUP(F211,инфо!$A$15:$C$28,3,FALSE)/1000,0)</f>
        <v>29.109599999999997</v>
      </c>
      <c r="J211" s="20">
        <v>1250</v>
      </c>
      <c r="K211" s="20">
        <v>1</v>
      </c>
      <c r="L211" s="81"/>
      <c r="M211" s="20">
        <v>192</v>
      </c>
      <c r="N211" s="23">
        <v>3639</v>
      </c>
      <c r="O211" s="19">
        <v>13438</v>
      </c>
      <c r="P211" s="19">
        <v>9584</v>
      </c>
      <c r="Q211" s="19"/>
      <c r="R211" s="19"/>
      <c r="S211" s="69">
        <f t="shared" si="59"/>
        <v>23022</v>
      </c>
      <c r="T211" s="17"/>
      <c r="U211" s="18"/>
      <c r="V211" s="19"/>
      <c r="W211" s="81">
        <v>1080</v>
      </c>
      <c r="X211" s="19"/>
      <c r="Y211" s="17">
        <v>360</v>
      </c>
      <c r="Z211" s="19"/>
      <c r="AA211" s="19"/>
      <c r="AB211" s="19"/>
      <c r="AC211" s="117">
        <v>360</v>
      </c>
      <c r="AD211" s="18">
        <v>180</v>
      </c>
      <c r="AE211" s="25">
        <f>SUMIFS(инфо!$D$15:$D$28,инфо!$A$15:$A$28,F211)</f>
        <v>3.31</v>
      </c>
      <c r="AF211" s="35">
        <f t="shared" si="50"/>
        <v>3.4990384615384613</v>
      </c>
      <c r="AG211" s="14">
        <f t="shared" si="60"/>
        <v>0.18903846153846127</v>
      </c>
      <c r="AH211" s="25">
        <f>SUMIFS(инфо!$E$15:$E$28,инфо!$A$15:$A$28,F211)</f>
        <v>2138</v>
      </c>
      <c r="AI211" s="32">
        <f t="shared" si="51"/>
        <v>22.136538461538461</v>
      </c>
      <c r="AJ211" s="14">
        <f t="shared" si="61"/>
        <v>-2115.8634615384617</v>
      </c>
      <c r="AK211" s="25">
        <f>SUMIFS(инфо!$F$15:$F$28,инфо!$A$15:$A$28,F211)</f>
        <v>0.33100000000000002</v>
      </c>
      <c r="AL211" s="32">
        <f t="shared" si="52"/>
        <v>0.34615384615384615</v>
      </c>
      <c r="AM211" s="14">
        <f t="shared" si="55"/>
        <v>1.5153846153846129E-2</v>
      </c>
      <c r="AN211" s="25">
        <f>SUMIFS(инфо!$G$15:$G$28,инфо!$A$15:$A$28,F211)</f>
        <v>0</v>
      </c>
      <c r="AO211" s="32">
        <f t="shared" si="53"/>
        <v>0</v>
      </c>
      <c r="AP211" s="14">
        <f t="shared" si="56"/>
        <v>0</v>
      </c>
      <c r="AQ211" s="25">
        <f>SUMIFS(инфо!$H$15:$H$28,инфо!$A$15:$A$28,F211)</f>
        <v>0</v>
      </c>
      <c r="AR211" s="26">
        <f t="shared" si="54"/>
        <v>0.21556886227544911</v>
      </c>
      <c r="AS211" s="14">
        <f t="shared" si="57"/>
        <v>0.21556886227544911</v>
      </c>
      <c r="AT211" s="25">
        <f>SUMIFS(инфо!$I$15:$I$28,инфо!$A$15:$A$28,F211)</f>
        <v>0.16500000000000001</v>
      </c>
      <c r="AU211" s="35">
        <f t="shared" si="62"/>
        <v>0.17307692307692307</v>
      </c>
      <c r="AV211" s="14">
        <f t="shared" si="58"/>
        <v>8.0769230769230649E-3</v>
      </c>
      <c r="AX211" s="69">
        <f>SUMIFS(инфо!$C$15:$C$28,инфо!$A$15:$A$28,F211)*H210</f>
        <v>46743.299999999996</v>
      </c>
    </row>
    <row r="212" spans="1:50" x14ac:dyDescent="0.25">
      <c r="A212" s="70">
        <f t="shared" si="49"/>
        <v>46172</v>
      </c>
      <c r="B212" s="111"/>
      <c r="C212" s="29" t="s">
        <v>772</v>
      </c>
      <c r="D212" s="30" t="s">
        <v>82</v>
      </c>
      <c r="E212" s="83" t="s">
        <v>77</v>
      </c>
      <c r="F212" s="28" t="s">
        <v>60</v>
      </c>
      <c r="G212" s="81"/>
      <c r="H212" s="81">
        <v>45</v>
      </c>
      <c r="I212" s="118">
        <f>IFERROR(H212*VLOOKUP(F212,инфо!$A$15:$C$28,3,FALSE)/1000,0)</f>
        <v>1.5745500000000001</v>
      </c>
      <c r="J212" s="20"/>
      <c r="K212" s="20"/>
      <c r="L212" s="20"/>
      <c r="M212" s="20"/>
      <c r="N212" s="28"/>
      <c r="O212" s="27"/>
      <c r="P212" s="27"/>
      <c r="Q212" s="27"/>
      <c r="R212" s="27"/>
      <c r="S212" s="67">
        <f t="shared" si="59"/>
        <v>0</v>
      </c>
      <c r="T212" s="29"/>
      <c r="U212" s="30"/>
      <c r="V212" s="27"/>
      <c r="W212" s="81"/>
      <c r="X212" s="27"/>
      <c r="Y212" s="29"/>
      <c r="Z212" s="27"/>
      <c r="AA212" s="27"/>
      <c r="AB212" s="27"/>
      <c r="AC212" s="117"/>
      <c r="AD212" s="30"/>
      <c r="AE212" s="31">
        <f>SUMIFS(инфо!$D$15:$D$28,инфо!$A$15:$A$28,F212)</f>
        <v>414</v>
      </c>
      <c r="AF212" s="35">
        <f t="shared" si="50"/>
        <v>0</v>
      </c>
      <c r="AG212" s="33">
        <f t="shared" si="60"/>
        <v>-414</v>
      </c>
      <c r="AH212" s="31">
        <f>SUMIFS(инфо!$E$15:$E$28,инфо!$A$15:$A$28,F212)</f>
        <v>26.73</v>
      </c>
      <c r="AI212" s="32">
        <f t="shared" si="51"/>
        <v>0</v>
      </c>
      <c r="AJ212" s="33">
        <f t="shared" si="61"/>
        <v>-26.73</v>
      </c>
      <c r="AK212" s="31">
        <f>SUMIFS(инфо!$F$15:$F$28,инфо!$A$15:$A$28,F212)</f>
        <v>0.41299999999999998</v>
      </c>
      <c r="AL212" s="32">
        <f t="shared" si="52"/>
        <v>0</v>
      </c>
      <c r="AM212" s="33">
        <f t="shared" si="55"/>
        <v>-0.41299999999999998</v>
      </c>
      <c r="AN212" s="31">
        <f>SUMIFS(инфо!$G$15:$G$28,инфо!$A$15:$A$28,F212)</f>
        <v>0</v>
      </c>
      <c r="AO212" s="32">
        <f t="shared" si="53"/>
        <v>0</v>
      </c>
      <c r="AP212" s="33">
        <f t="shared" si="56"/>
        <v>0</v>
      </c>
      <c r="AQ212" s="31">
        <f>SUMIFS(инфо!$H$15:$H$28,инфо!$A$15:$A$28,F212)</f>
        <v>0</v>
      </c>
      <c r="AR212" s="32">
        <f t="shared" si="54"/>
        <v>0</v>
      </c>
      <c r="AS212" s="33">
        <f t="shared" si="57"/>
        <v>0</v>
      </c>
      <c r="AT212" s="31">
        <f>SUMIFS(инфо!$I$15:$I$28,инфо!$A$15:$A$28,F212)</f>
        <v>0.20699999999999999</v>
      </c>
      <c r="AU212" s="35">
        <f t="shared" si="62"/>
        <v>0</v>
      </c>
      <c r="AV212" s="33">
        <f t="shared" si="58"/>
        <v>-0.20699999999999999</v>
      </c>
      <c r="AX212" s="67">
        <f>SUMIFS(инфо!$C$15:$C$28,инфо!$A$15:$A$28,F212)*H211</f>
        <v>36389.599999999999</v>
      </c>
    </row>
    <row r="213" spans="1:50" x14ac:dyDescent="0.25">
      <c r="A213" s="70">
        <v>46172</v>
      </c>
      <c r="B213" s="111" t="s">
        <v>594</v>
      </c>
      <c r="C213" s="15" t="s">
        <v>772</v>
      </c>
      <c r="D213" s="16" t="s">
        <v>83</v>
      </c>
      <c r="E213" s="83" t="s">
        <v>75</v>
      </c>
      <c r="F213" s="28" t="s">
        <v>60</v>
      </c>
      <c r="G213" s="81">
        <v>45</v>
      </c>
      <c r="H213" s="81">
        <v>1200</v>
      </c>
      <c r="I213" s="118">
        <f>IFERROR(H213*VLOOKUP(F213,инфо!$A$15:$C$28,3,FALSE)/1000,0)</f>
        <v>41.988</v>
      </c>
      <c r="J213" s="20">
        <v>1200</v>
      </c>
      <c r="K213" s="20"/>
      <c r="L213" s="20"/>
      <c r="M213" s="20">
        <v>81</v>
      </c>
      <c r="N213" s="20">
        <v>4574</v>
      </c>
      <c r="O213" s="34">
        <v>14735</v>
      </c>
      <c r="P213" s="34">
        <v>14062</v>
      </c>
      <c r="Q213" s="34"/>
      <c r="R213" s="34"/>
      <c r="S213" s="68">
        <f t="shared" si="59"/>
        <v>28797</v>
      </c>
      <c r="T213" s="15"/>
      <c r="U213" s="16"/>
      <c r="V213" s="34"/>
      <c r="W213" s="81">
        <v>1350</v>
      </c>
      <c r="X213" s="34"/>
      <c r="Y213" s="15">
        <v>450</v>
      </c>
      <c r="Z213" s="34"/>
      <c r="AA213" s="34"/>
      <c r="AB213" s="34"/>
      <c r="AC213" s="117">
        <v>450</v>
      </c>
      <c r="AD213" s="16">
        <v>225</v>
      </c>
      <c r="AE213" s="24">
        <f>SUMIFS(инфо!$D$15:$D$28,инфо!$A$15:$A$28,F213)</f>
        <v>414</v>
      </c>
      <c r="AF213" s="35">
        <f t="shared" si="50"/>
        <v>3.8116666666666665</v>
      </c>
      <c r="AG213" s="12">
        <f t="shared" si="60"/>
        <v>-410.18833333333333</v>
      </c>
      <c r="AH213" s="24">
        <f>SUMIFS(инфо!$E$15:$E$28,инфо!$A$15:$A$28,F213)</f>
        <v>26.73</v>
      </c>
      <c r="AI213" s="32">
        <f t="shared" si="51"/>
        <v>23.997499999999999</v>
      </c>
      <c r="AJ213" s="12">
        <f t="shared" si="61"/>
        <v>-2.7325000000000017</v>
      </c>
      <c r="AK213" s="24">
        <f>SUMIFS(инфо!$F$15:$F$28,инфо!$A$15:$A$28,F213)</f>
        <v>0.41299999999999998</v>
      </c>
      <c r="AL213" s="32">
        <f t="shared" si="52"/>
        <v>0.375</v>
      </c>
      <c r="AM213" s="12">
        <f t="shared" si="55"/>
        <v>-3.7999999999999978E-2</v>
      </c>
      <c r="AN213" s="24">
        <f>SUMIFS(инфо!$G$15:$G$28,инфо!$A$15:$A$28,F213)</f>
        <v>0</v>
      </c>
      <c r="AO213" s="32">
        <f t="shared" si="53"/>
        <v>0</v>
      </c>
      <c r="AP213" s="12">
        <f t="shared" si="56"/>
        <v>0</v>
      </c>
      <c r="AQ213" s="24">
        <f>SUMIFS(инфо!$H$15:$H$28,инфо!$A$15:$A$28,F213)</f>
        <v>0</v>
      </c>
      <c r="AR213" s="35">
        <f t="shared" si="54"/>
        <v>10</v>
      </c>
      <c r="AS213" s="12">
        <f t="shared" si="57"/>
        <v>10</v>
      </c>
      <c r="AT213" s="24">
        <f>SUMIFS(инфо!$I$15:$I$28,инфо!$A$15:$A$28,F213)</f>
        <v>0.20699999999999999</v>
      </c>
      <c r="AU213" s="35">
        <f t="shared" si="62"/>
        <v>0.1875</v>
      </c>
      <c r="AV213" s="12">
        <f t="shared" si="58"/>
        <v>-1.949999999999999E-2</v>
      </c>
      <c r="AX213" s="68">
        <f>SUMIFS(инфо!$C$15:$C$28,инфо!$A$15:$A$28,F213)*H212</f>
        <v>1574.5500000000002</v>
      </c>
    </row>
    <row r="214" spans="1:50" x14ac:dyDescent="0.25">
      <c r="A214" s="70">
        <f t="shared" si="49"/>
        <v>46173</v>
      </c>
      <c r="B214" s="111" t="s">
        <v>596</v>
      </c>
      <c r="C214" s="15" t="s">
        <v>772</v>
      </c>
      <c r="D214" s="16" t="s">
        <v>82</v>
      </c>
      <c r="E214" s="83" t="s">
        <v>114</v>
      </c>
      <c r="F214" s="28" t="s">
        <v>60</v>
      </c>
      <c r="G214" s="81">
        <v>30</v>
      </c>
      <c r="H214" s="81">
        <v>800</v>
      </c>
      <c r="I214" s="118">
        <f>IFERROR(H214*VLOOKUP(F214,инфо!$A$15:$C$28,3,FALSE)/1000,0)</f>
        <v>27.992000000000001</v>
      </c>
      <c r="J214" s="20">
        <v>950</v>
      </c>
      <c r="K214" s="20"/>
      <c r="L214" s="20"/>
      <c r="M214" s="20">
        <v>116</v>
      </c>
      <c r="N214" s="20">
        <v>3051</v>
      </c>
      <c r="O214" s="34">
        <v>9606</v>
      </c>
      <c r="P214" s="34">
        <v>9596</v>
      </c>
      <c r="Q214" s="34"/>
      <c r="R214" s="34"/>
      <c r="S214" s="68">
        <f t="shared" si="59"/>
        <v>19202</v>
      </c>
      <c r="T214" s="15"/>
      <c r="U214" s="16"/>
      <c r="V214" s="34"/>
      <c r="W214" s="81">
        <v>900</v>
      </c>
      <c r="X214" s="34"/>
      <c r="Y214" s="15">
        <v>300</v>
      </c>
      <c r="Z214" s="34"/>
      <c r="AA214" s="34"/>
      <c r="AB214" s="34"/>
      <c r="AC214" s="117">
        <v>300</v>
      </c>
      <c r="AD214" s="16">
        <v>150</v>
      </c>
      <c r="AE214" s="24">
        <f>SUMIFS(инфо!$D$15:$D$28,инфо!$A$15:$A$28,F214)</f>
        <v>414</v>
      </c>
      <c r="AF214" s="35">
        <f t="shared" si="50"/>
        <v>3.8137500000000002</v>
      </c>
      <c r="AG214" s="12">
        <f t="shared" si="60"/>
        <v>-410.18624999999997</v>
      </c>
      <c r="AH214" s="24">
        <f>SUMIFS(инфо!$E$15:$E$28,инфо!$A$15:$A$28,F214)</f>
        <v>26.73</v>
      </c>
      <c r="AI214" s="32">
        <f t="shared" si="51"/>
        <v>24.002500000000001</v>
      </c>
      <c r="AJ214" s="12">
        <f t="shared" si="61"/>
        <v>-2.7274999999999991</v>
      </c>
      <c r="AK214" s="24">
        <f>SUMIFS(инфо!$F$15:$F$28,инфо!$A$15:$A$28,F214)</f>
        <v>0.41299999999999998</v>
      </c>
      <c r="AL214" s="32">
        <f t="shared" si="52"/>
        <v>0.375</v>
      </c>
      <c r="AM214" s="12">
        <f t="shared" si="55"/>
        <v>-3.7999999999999978E-2</v>
      </c>
      <c r="AN214" s="24">
        <f>SUMIFS(инфо!$G$15:$G$28,инфо!$A$15:$A$28,F214)</f>
        <v>0</v>
      </c>
      <c r="AO214" s="32">
        <f t="shared" si="53"/>
        <v>0</v>
      </c>
      <c r="AP214" s="12">
        <f t="shared" si="56"/>
        <v>0</v>
      </c>
      <c r="AQ214" s="24">
        <f>SUMIFS(инфо!$H$15:$H$28,инфо!$A$15:$A$28,F214)</f>
        <v>0</v>
      </c>
      <c r="AR214" s="35">
        <f t="shared" si="54"/>
        <v>0.25</v>
      </c>
      <c r="AS214" s="12">
        <f t="shared" si="57"/>
        <v>0.25</v>
      </c>
      <c r="AT214" s="24">
        <f>SUMIFS(инфо!$I$15:$I$28,инфо!$A$15:$A$28,F214)</f>
        <v>0.20699999999999999</v>
      </c>
      <c r="AU214" s="35">
        <f t="shared" si="62"/>
        <v>0.1875</v>
      </c>
      <c r="AV214" s="12">
        <f t="shared" si="58"/>
        <v>-1.949999999999999E-2</v>
      </c>
      <c r="AX214" s="68">
        <f>SUMIFS(инфо!$C$15:$C$28,инфо!$A$15:$A$28,F214)*H213</f>
        <v>41988</v>
      </c>
    </row>
    <row r="215" spans="1:50" x14ac:dyDescent="0.25">
      <c r="A215" s="70">
        <f t="shared" si="49"/>
        <v>46173</v>
      </c>
      <c r="B215" s="111" t="s">
        <v>601</v>
      </c>
      <c r="C215" s="17" t="s">
        <v>772</v>
      </c>
      <c r="D215" s="18" t="s">
        <v>83</v>
      </c>
      <c r="E215" s="83" t="s">
        <v>77</v>
      </c>
      <c r="F215" s="28" t="s">
        <v>60</v>
      </c>
      <c r="G215" s="81">
        <v>39</v>
      </c>
      <c r="H215" s="81">
        <v>1100</v>
      </c>
      <c r="I215" s="118">
        <f>IFERROR(H215*VLOOKUP(F215,инфо!$A$15:$C$28,3,FALSE)/1000,0)</f>
        <v>38.488999999999997</v>
      </c>
      <c r="J215" s="20">
        <v>1000</v>
      </c>
      <c r="K215" s="20">
        <v>1</v>
      </c>
      <c r="L215" s="20"/>
      <c r="M215" s="20">
        <v>96</v>
      </c>
      <c r="N215" s="23">
        <v>3939</v>
      </c>
      <c r="O215" s="19">
        <v>12797</v>
      </c>
      <c r="P215" s="19">
        <v>12137</v>
      </c>
      <c r="Q215" s="19"/>
      <c r="R215" s="19"/>
      <c r="S215" s="69">
        <f t="shared" si="59"/>
        <v>24934</v>
      </c>
      <c r="T215" s="17"/>
      <c r="U215" s="18"/>
      <c r="V215" s="19"/>
      <c r="W215" s="81">
        <v>1170</v>
      </c>
      <c r="X215" s="19"/>
      <c r="Y215" s="17">
        <v>390</v>
      </c>
      <c r="Z215" s="19"/>
      <c r="AA215" s="19"/>
      <c r="AB215" s="19"/>
      <c r="AC215" s="117">
        <v>390</v>
      </c>
      <c r="AD215" s="18">
        <v>195</v>
      </c>
      <c r="AE215" s="25">
        <f>SUMIFS(инфо!$D$15:$D$28,инфо!$A$15:$A$28,F215)</f>
        <v>414</v>
      </c>
      <c r="AF215" s="35">
        <f t="shared" si="50"/>
        <v>3.580909090909091</v>
      </c>
      <c r="AG215" s="14">
        <f t="shared" si="60"/>
        <v>-410.41909090909093</v>
      </c>
      <c r="AH215" s="25">
        <f>SUMIFS(инфо!$E$15:$E$28,инфо!$A$15:$A$28,F215)</f>
        <v>26.73</v>
      </c>
      <c r="AI215" s="32">
        <f t="shared" si="51"/>
        <v>22.667272727272728</v>
      </c>
      <c r="AJ215" s="14">
        <f t="shared" si="61"/>
        <v>-4.0627272727272725</v>
      </c>
      <c r="AK215" s="25">
        <f>SUMIFS(инфо!$F$15:$F$28,инфо!$A$15:$A$28,F215)</f>
        <v>0.41299999999999998</v>
      </c>
      <c r="AL215" s="32">
        <f t="shared" si="52"/>
        <v>0.35454545454545455</v>
      </c>
      <c r="AM215" s="14">
        <f t="shared" si="55"/>
        <v>-5.8454545454545426E-2</v>
      </c>
      <c r="AN215" s="25">
        <f>SUMIFS(инфо!$G$15:$G$28,инфо!$A$15:$A$28,F215)</f>
        <v>0</v>
      </c>
      <c r="AO215" s="32">
        <f t="shared" si="53"/>
        <v>0</v>
      </c>
      <c r="AP215" s="14">
        <f t="shared" si="56"/>
        <v>0</v>
      </c>
      <c r="AQ215" s="25">
        <f>SUMIFS(инфо!$H$15:$H$28,инфо!$A$15:$A$28,F215)</f>
        <v>0</v>
      </c>
      <c r="AR215" s="26">
        <f t="shared" si="54"/>
        <v>0.48749999999999999</v>
      </c>
      <c r="AS215" s="14">
        <f t="shared" si="57"/>
        <v>0.48749999999999999</v>
      </c>
      <c r="AT215" s="25">
        <f>SUMIFS(инфо!$I$15:$I$28,инфо!$A$15:$A$28,F215)</f>
        <v>0.20699999999999999</v>
      </c>
      <c r="AU215" s="35">
        <f t="shared" si="62"/>
        <v>0.17727272727272728</v>
      </c>
      <c r="AV215" s="14">
        <f t="shared" si="58"/>
        <v>-2.9727272727272713E-2</v>
      </c>
      <c r="AX215" s="69">
        <f>SUMIFS(инфо!$C$15:$C$28,инфо!$A$15:$A$28,F215)*H214</f>
        <v>27992</v>
      </c>
    </row>
    <row r="216" spans="1:50" x14ac:dyDescent="0.25">
      <c r="A216" s="70">
        <f t="shared" si="49"/>
        <v>46174</v>
      </c>
      <c r="B216" s="111" t="s">
        <v>607</v>
      </c>
      <c r="C216" s="29" t="s">
        <v>772</v>
      </c>
      <c r="D216" s="30" t="s">
        <v>82</v>
      </c>
      <c r="E216" s="83" t="s">
        <v>113</v>
      </c>
      <c r="F216" s="28" t="s">
        <v>60</v>
      </c>
      <c r="G216" s="81">
        <v>13</v>
      </c>
      <c r="H216" s="81">
        <v>400</v>
      </c>
      <c r="I216" s="118">
        <f>IFERROR(H216*VLOOKUP(F216,инфо!$A$15:$C$28,3,FALSE)/1000,0)</f>
        <v>13.996</v>
      </c>
      <c r="J216" s="20">
        <v>500</v>
      </c>
      <c r="K216" s="20"/>
      <c r="L216" s="20"/>
      <c r="M216" s="20">
        <v>104</v>
      </c>
      <c r="N216" s="28">
        <v>1321</v>
      </c>
      <c r="O216" s="27">
        <v>2561</v>
      </c>
      <c r="P216" s="27">
        <v>5743</v>
      </c>
      <c r="Q216" s="27"/>
      <c r="R216" s="27"/>
      <c r="S216" s="67">
        <f t="shared" si="59"/>
        <v>8304</v>
      </c>
      <c r="T216" s="29"/>
      <c r="U216" s="30"/>
      <c r="V216" s="27"/>
      <c r="W216" s="81">
        <v>390</v>
      </c>
      <c r="X216" s="27"/>
      <c r="Y216" s="29">
        <v>130</v>
      </c>
      <c r="Z216" s="27"/>
      <c r="AA216" s="27"/>
      <c r="AB216" s="27"/>
      <c r="AC216" s="117">
        <v>130</v>
      </c>
      <c r="AD216" s="30">
        <v>65</v>
      </c>
      <c r="AE216" s="31">
        <f>SUMIFS(инфо!$D$15:$D$28,инфо!$A$15:$A$28,F216)</f>
        <v>414</v>
      </c>
      <c r="AF216" s="35">
        <f t="shared" si="50"/>
        <v>3.3025000000000002</v>
      </c>
      <c r="AG216" s="33">
        <f t="shared" si="60"/>
        <v>-410.69749999999999</v>
      </c>
      <c r="AH216" s="31">
        <f>SUMIFS(инфо!$E$15:$E$28,инфо!$A$15:$A$28,F216)</f>
        <v>26.73</v>
      </c>
      <c r="AI216" s="32">
        <f t="shared" si="51"/>
        <v>20.76</v>
      </c>
      <c r="AJ216" s="33">
        <f t="shared" si="61"/>
        <v>-5.9699999999999989</v>
      </c>
      <c r="AK216" s="31">
        <f>SUMIFS(инфо!$F$15:$F$28,инфо!$A$15:$A$28,F216)</f>
        <v>0.41299999999999998</v>
      </c>
      <c r="AL216" s="32">
        <f t="shared" si="52"/>
        <v>0.32500000000000001</v>
      </c>
      <c r="AM216" s="33">
        <f t="shared" si="55"/>
        <v>-8.7999999999999967E-2</v>
      </c>
      <c r="AN216" s="31">
        <f>SUMIFS(инфо!$G$15:$G$28,инфо!$A$15:$A$28,F216)</f>
        <v>0</v>
      </c>
      <c r="AO216" s="32">
        <f t="shared" si="53"/>
        <v>0</v>
      </c>
      <c r="AP216" s="33">
        <f t="shared" si="56"/>
        <v>0</v>
      </c>
      <c r="AQ216" s="31">
        <f>SUMIFS(инфо!$H$15:$H$28,инфо!$A$15:$A$28,F216)</f>
        <v>0</v>
      </c>
      <c r="AR216" s="32">
        <f t="shared" si="54"/>
        <v>0.11818181818181818</v>
      </c>
      <c r="AS216" s="33">
        <f t="shared" si="57"/>
        <v>0.11818181818181818</v>
      </c>
      <c r="AT216" s="31">
        <f>SUMIFS(инфо!$I$15:$I$28,инфо!$A$15:$A$28,F216)</f>
        <v>0.20699999999999999</v>
      </c>
      <c r="AU216" s="35">
        <f t="shared" si="62"/>
        <v>0.16250000000000001</v>
      </c>
      <c r="AV216" s="33">
        <f t="shared" si="58"/>
        <v>-4.4499999999999984E-2</v>
      </c>
      <c r="AX216" s="67">
        <f>SUMIFS(инфо!$C$15:$C$28,инфо!$A$15:$A$28,F216)*H215</f>
        <v>38489</v>
      </c>
    </row>
    <row r="217" spans="1:50" x14ac:dyDescent="0.25">
      <c r="A217" s="70">
        <f t="shared" ref="A217:A283" si="63">A215+1</f>
        <v>46174</v>
      </c>
      <c r="B217" s="111" t="s">
        <v>609</v>
      </c>
      <c r="C217" s="15" t="s">
        <v>772</v>
      </c>
      <c r="D217" s="16" t="s">
        <v>83</v>
      </c>
      <c r="E217" s="83" t="s">
        <v>114</v>
      </c>
      <c r="F217" s="28" t="s">
        <v>60</v>
      </c>
      <c r="G217" s="81">
        <v>31</v>
      </c>
      <c r="H217" s="81">
        <v>840</v>
      </c>
      <c r="I217" s="118">
        <f>IFERROR(H217*VLOOKUP(F217,инфо!$A$15:$C$28,3,FALSE)/1000,0)</f>
        <v>29.391600000000004</v>
      </c>
      <c r="J217" s="20">
        <v>800</v>
      </c>
      <c r="K217" s="20"/>
      <c r="L217" s="20"/>
      <c r="M217" s="20">
        <v>83</v>
      </c>
      <c r="N217" s="20">
        <v>3144</v>
      </c>
      <c r="O217" s="34">
        <v>8954</v>
      </c>
      <c r="P217" s="34">
        <v>10864</v>
      </c>
      <c r="Q217" s="34"/>
      <c r="R217" s="34"/>
      <c r="S217" s="68">
        <f t="shared" si="59"/>
        <v>19818</v>
      </c>
      <c r="T217" s="15"/>
      <c r="U217" s="16"/>
      <c r="V217" s="34"/>
      <c r="W217" s="81">
        <v>930</v>
      </c>
      <c r="X217" s="34"/>
      <c r="Y217" s="15">
        <v>310</v>
      </c>
      <c r="Z217" s="34"/>
      <c r="AA217" s="34"/>
      <c r="AB217" s="34"/>
      <c r="AC217" s="117">
        <v>310</v>
      </c>
      <c r="AD217" s="16">
        <v>155</v>
      </c>
      <c r="AE217" s="24">
        <f>SUMIFS(инфо!$D$15:$D$28,инфо!$A$15:$A$28,F217)</f>
        <v>414</v>
      </c>
      <c r="AF217" s="35">
        <f t="shared" si="50"/>
        <v>3.7428571428571429</v>
      </c>
      <c r="AG217" s="12">
        <f t="shared" si="60"/>
        <v>-410.25714285714287</v>
      </c>
      <c r="AH217" s="24">
        <f>SUMIFS(инфо!$E$15:$E$28,инфо!$A$15:$A$28,F217)</f>
        <v>26.73</v>
      </c>
      <c r="AI217" s="32">
        <f t="shared" si="51"/>
        <v>23.592857142857142</v>
      </c>
      <c r="AJ217" s="12">
        <f t="shared" si="61"/>
        <v>-3.1371428571428588</v>
      </c>
      <c r="AK217" s="24">
        <f>SUMIFS(инфо!$F$15:$F$28,инфо!$A$15:$A$28,F217)</f>
        <v>0.41299999999999998</v>
      </c>
      <c r="AL217" s="32">
        <f t="shared" si="52"/>
        <v>0.36904761904761907</v>
      </c>
      <c r="AM217" s="12">
        <f t="shared" si="55"/>
        <v>-4.3952380952380909E-2</v>
      </c>
      <c r="AN217" s="24">
        <f>SUMIFS(инфо!$G$15:$G$28,инфо!$A$15:$A$28,F217)</f>
        <v>0</v>
      </c>
      <c r="AO217" s="32">
        <f t="shared" si="53"/>
        <v>0</v>
      </c>
      <c r="AP217" s="12">
        <f t="shared" si="56"/>
        <v>0</v>
      </c>
      <c r="AQ217" s="24">
        <f>SUMIFS(инфо!$H$15:$H$28,инфо!$A$15:$A$28,F217)</f>
        <v>0</v>
      </c>
      <c r="AR217" s="35">
        <f t="shared" si="54"/>
        <v>0.77500000000000002</v>
      </c>
      <c r="AS217" s="12">
        <f t="shared" si="57"/>
        <v>0.77500000000000002</v>
      </c>
      <c r="AT217" s="24">
        <f>SUMIFS(инфо!$I$15:$I$28,инфо!$A$15:$A$28,F217)</f>
        <v>0.20699999999999999</v>
      </c>
      <c r="AU217" s="35">
        <f t="shared" si="62"/>
        <v>0.18452380952380953</v>
      </c>
      <c r="AV217" s="12">
        <f t="shared" si="58"/>
        <v>-2.2476190476190455E-2</v>
      </c>
      <c r="AX217" s="68">
        <f>SUMIFS(инфо!$C$15:$C$28,инфо!$A$15:$A$28,F217)*H216</f>
        <v>13996</v>
      </c>
    </row>
    <row r="218" spans="1:50" x14ac:dyDescent="0.25">
      <c r="A218" s="70">
        <f t="shared" si="63"/>
        <v>46175</v>
      </c>
      <c r="B218" s="111" t="s">
        <v>610</v>
      </c>
      <c r="C218" s="15" t="s">
        <v>772</v>
      </c>
      <c r="D218" s="16" t="s">
        <v>82</v>
      </c>
      <c r="E218" s="83" t="s">
        <v>75</v>
      </c>
      <c r="F218" s="28" t="s">
        <v>60</v>
      </c>
      <c r="G218" s="81"/>
      <c r="H218" s="81"/>
      <c r="I218" s="118">
        <f>IFERROR(H218*VLOOKUP(F218,инфо!$A$15:$C$28,3,FALSE)/1000,0)</f>
        <v>0</v>
      </c>
      <c r="J218" s="20">
        <v>413</v>
      </c>
      <c r="K218" s="20">
        <v>1</v>
      </c>
      <c r="L218" s="20"/>
      <c r="M218" s="20"/>
      <c r="N218" s="20"/>
      <c r="O218" s="34"/>
      <c r="P218" s="34"/>
      <c r="Q218" s="34"/>
      <c r="R218" s="34"/>
      <c r="S218" s="68">
        <f t="shared" si="59"/>
        <v>0</v>
      </c>
      <c r="T218" s="15"/>
      <c r="U218" s="16"/>
      <c r="V218" s="34"/>
      <c r="W218" s="81"/>
      <c r="X218" s="34"/>
      <c r="Y218" s="15"/>
      <c r="Z218" s="34"/>
      <c r="AA218" s="34"/>
      <c r="AB218" s="34"/>
      <c r="AC218" s="117"/>
      <c r="AD218" s="16"/>
      <c r="AE218" s="24">
        <f>SUMIFS(инфо!$D$15:$D$28,инфо!$A$15:$A$28,F218)</f>
        <v>414</v>
      </c>
      <c r="AF218" s="35">
        <f t="shared" si="50"/>
        <v>0</v>
      </c>
      <c r="AG218" s="12">
        <f t="shared" si="60"/>
        <v>-414</v>
      </c>
      <c r="AH218" s="24">
        <f>SUMIFS(инфо!$E$15:$E$28,инфо!$A$15:$A$28,F218)</f>
        <v>26.73</v>
      </c>
      <c r="AI218" s="32">
        <f t="shared" si="51"/>
        <v>0</v>
      </c>
      <c r="AJ218" s="12">
        <f t="shared" si="61"/>
        <v>-26.73</v>
      </c>
      <c r="AK218" s="24">
        <f>SUMIFS(инфо!$F$15:$F$28,инфо!$A$15:$A$28,F218)</f>
        <v>0.41299999999999998</v>
      </c>
      <c r="AL218" s="32">
        <f t="shared" si="52"/>
        <v>0</v>
      </c>
      <c r="AM218" s="12">
        <f t="shared" si="55"/>
        <v>-0.41299999999999998</v>
      </c>
      <c r="AN218" s="24">
        <f>SUMIFS(инфо!$G$15:$G$28,инфо!$A$15:$A$28,F218)</f>
        <v>0</v>
      </c>
      <c r="AO218" s="32">
        <f t="shared" si="53"/>
        <v>0</v>
      </c>
      <c r="AP218" s="12">
        <f t="shared" si="56"/>
        <v>0</v>
      </c>
      <c r="AQ218" s="24">
        <f>SUMIFS(инфо!$H$15:$H$28,инфо!$A$15:$A$28,F218)</f>
        <v>0</v>
      </c>
      <c r="AR218" s="35">
        <f t="shared" si="54"/>
        <v>0</v>
      </c>
      <c r="AS218" s="12">
        <f t="shared" si="57"/>
        <v>0</v>
      </c>
      <c r="AT218" s="24">
        <f>SUMIFS(инфо!$I$15:$I$28,инфо!$A$15:$A$28,F218)</f>
        <v>0.20699999999999999</v>
      </c>
      <c r="AU218" s="35">
        <f t="shared" si="62"/>
        <v>0</v>
      </c>
      <c r="AV218" s="12">
        <f t="shared" si="58"/>
        <v>-0.20699999999999999</v>
      </c>
      <c r="AX218" s="68">
        <f>SUMIFS(инфо!$C$15:$C$28,инфо!$A$15:$A$28,F218)*H217</f>
        <v>29391.600000000002</v>
      </c>
    </row>
    <row r="219" spans="1:50" x14ac:dyDescent="0.25">
      <c r="A219" s="70"/>
      <c r="B219" s="111"/>
      <c r="C219" s="17" t="s">
        <v>771</v>
      </c>
      <c r="D219" s="18" t="s">
        <v>82</v>
      </c>
      <c r="E219" s="83" t="s">
        <v>75</v>
      </c>
      <c r="F219" s="28" t="s">
        <v>621</v>
      </c>
      <c r="G219" s="81">
        <v>11</v>
      </c>
      <c r="H219" s="81">
        <v>140</v>
      </c>
      <c r="I219" s="118">
        <f>IFERROR(H219*VLOOKUP(F219,инфо!$A$15:$C$28,3,FALSE)/1000,0)</f>
        <v>4.7796000000000003</v>
      </c>
      <c r="J219" s="20"/>
      <c r="K219" s="20"/>
      <c r="L219" s="20"/>
      <c r="M219" s="20">
        <v>75</v>
      </c>
      <c r="N219" s="23">
        <v>1111</v>
      </c>
      <c r="O219" s="19"/>
      <c r="P219" s="19"/>
      <c r="Q219" s="19">
        <v>2971</v>
      </c>
      <c r="R219" s="19">
        <v>3830</v>
      </c>
      <c r="S219" s="69">
        <f t="shared" si="59"/>
        <v>6801</v>
      </c>
      <c r="T219" s="17"/>
      <c r="U219" s="18"/>
      <c r="V219" s="19"/>
      <c r="W219" s="81">
        <v>330</v>
      </c>
      <c r="X219" s="19"/>
      <c r="Y219" s="17">
        <v>90</v>
      </c>
      <c r="Z219" s="19"/>
      <c r="AA219" s="19">
        <v>22</v>
      </c>
      <c r="AB219" s="19"/>
      <c r="AC219" s="117">
        <v>110</v>
      </c>
      <c r="AD219" s="18"/>
      <c r="AE219" s="25">
        <f>SUMIFS(инфо!$D$15:$D$28,инфо!$A$15:$A$28,F219)</f>
        <v>40.299999999999997</v>
      </c>
      <c r="AF219" s="35">
        <f t="shared" si="50"/>
        <v>7.9357142857142859</v>
      </c>
      <c r="AG219" s="14">
        <f t="shared" si="60"/>
        <v>-32.364285714285714</v>
      </c>
      <c r="AH219" s="25">
        <f>SUMIFS(инфо!$E$15:$E$28,инфо!$A$15:$A$28,F219)</f>
        <v>26.01</v>
      </c>
      <c r="AI219" s="32">
        <f t="shared" si="51"/>
        <v>48.578571428571429</v>
      </c>
      <c r="AJ219" s="14">
        <f t="shared" si="61"/>
        <v>22.568571428571428</v>
      </c>
      <c r="AK219" s="25">
        <f>SUMIFS(инфо!$F$15:$F$28,инфо!$A$15:$A$28,F219)</f>
        <v>0.40200000000000002</v>
      </c>
      <c r="AL219" s="32">
        <f t="shared" si="52"/>
        <v>0.6428571428571429</v>
      </c>
      <c r="AM219" s="14">
        <f t="shared" si="55"/>
        <v>0.24085714285714288</v>
      </c>
      <c r="AN219" s="25">
        <f>SUMIFS(инфо!$G$15:$G$28,инфо!$A$15:$A$28,F219)</f>
        <v>0.08</v>
      </c>
      <c r="AO219" s="32">
        <f t="shared" si="53"/>
        <v>0.15714285714285714</v>
      </c>
      <c r="AP219" s="14">
        <f t="shared" si="56"/>
        <v>7.7142857142857138E-2</v>
      </c>
      <c r="AQ219" s="25">
        <f>SUMIFS(инфо!$H$15:$H$28,инфо!$A$15:$A$28,F219)</f>
        <v>0</v>
      </c>
      <c r="AR219" s="26">
        <f t="shared" si="54"/>
        <v>0</v>
      </c>
      <c r="AS219" s="14">
        <f t="shared" si="57"/>
        <v>0</v>
      </c>
      <c r="AT219" s="25">
        <f>SUMIFS(инфо!$I$15:$I$28,инфо!$A$15:$A$28,F219)</f>
        <v>201</v>
      </c>
      <c r="AU219" s="35">
        <f t="shared" si="62"/>
        <v>0</v>
      </c>
      <c r="AV219" s="14">
        <f t="shared" si="58"/>
        <v>-201</v>
      </c>
      <c r="AX219" s="69">
        <f>SUMIFS(инфо!$C$15:$C$28,инфо!$A$15:$A$28,F219)*H218</f>
        <v>0</v>
      </c>
    </row>
    <row r="220" spans="1:50" x14ac:dyDescent="0.25">
      <c r="A220" s="70">
        <v>46175</v>
      </c>
      <c r="B220" s="111" t="s">
        <v>620</v>
      </c>
      <c r="C220" s="29" t="s">
        <v>771</v>
      </c>
      <c r="D220" s="30" t="s">
        <v>83</v>
      </c>
      <c r="E220" s="83" t="s">
        <v>113</v>
      </c>
      <c r="F220" s="28" t="s">
        <v>621</v>
      </c>
      <c r="G220" s="81">
        <v>35</v>
      </c>
      <c r="H220" s="81">
        <v>990</v>
      </c>
      <c r="I220" s="118">
        <f>IFERROR(H220*VLOOKUP(F220,инфо!$A$15:$C$28,3,FALSE)/1000,0)</f>
        <v>33.7986</v>
      </c>
      <c r="J220" s="20">
        <v>540</v>
      </c>
      <c r="K220" s="20">
        <v>17</v>
      </c>
      <c r="L220" s="20">
        <v>11</v>
      </c>
      <c r="M220" s="20">
        <v>200</v>
      </c>
      <c r="N220" s="28">
        <v>3552</v>
      </c>
      <c r="O220" s="27"/>
      <c r="P220" s="27"/>
      <c r="Q220" s="27">
        <v>15273</v>
      </c>
      <c r="R220" s="27">
        <v>7012</v>
      </c>
      <c r="S220" s="67">
        <f t="shared" si="59"/>
        <v>22285</v>
      </c>
      <c r="T220" s="29"/>
      <c r="U220" s="30"/>
      <c r="V220" s="27"/>
      <c r="W220" s="81">
        <v>1050</v>
      </c>
      <c r="X220" s="27"/>
      <c r="Y220" s="29">
        <v>350</v>
      </c>
      <c r="Z220" s="27"/>
      <c r="AA220" s="27">
        <v>70</v>
      </c>
      <c r="AB220" s="27"/>
      <c r="AC220" s="117">
        <v>350</v>
      </c>
      <c r="AD220" s="30">
        <v>175</v>
      </c>
      <c r="AE220" s="31">
        <f>SUMIFS(инфо!$D$15:$D$28,инфо!$A$15:$A$28,F220)</f>
        <v>40.299999999999997</v>
      </c>
      <c r="AF220" s="35">
        <f t="shared" si="50"/>
        <v>3.5878787878787879</v>
      </c>
      <c r="AG220" s="33">
        <f t="shared" si="60"/>
        <v>-36.712121212121211</v>
      </c>
      <c r="AH220" s="31">
        <f>SUMIFS(инфо!$E$15:$E$28,инфо!$A$15:$A$28,F220)</f>
        <v>26.01</v>
      </c>
      <c r="AI220" s="32">
        <f t="shared" si="51"/>
        <v>22.51010101010101</v>
      </c>
      <c r="AJ220" s="33">
        <f t="shared" si="61"/>
        <v>-3.4998989898989912</v>
      </c>
      <c r="AK220" s="31">
        <f>SUMIFS(инфо!$F$15:$F$28,инфо!$A$15:$A$28,F220)</f>
        <v>0.40200000000000002</v>
      </c>
      <c r="AL220" s="32">
        <f t="shared" si="52"/>
        <v>0.35353535353535354</v>
      </c>
      <c r="AM220" s="33">
        <f t="shared" si="55"/>
        <v>-4.8464646464646488E-2</v>
      </c>
      <c r="AN220" s="31">
        <f>SUMIFS(инфо!$G$15:$G$28,инфо!$A$15:$A$28,F220)</f>
        <v>0.08</v>
      </c>
      <c r="AO220" s="32">
        <f t="shared" si="53"/>
        <v>7.0707070707070704E-2</v>
      </c>
      <c r="AP220" s="33">
        <f t="shared" si="56"/>
        <v>-9.2929292929292973E-3</v>
      </c>
      <c r="AQ220" s="31">
        <f>SUMIFS(инфо!$H$15:$H$28,инфо!$A$15:$A$28,F220)</f>
        <v>0</v>
      </c>
      <c r="AR220" s="32">
        <f t="shared" si="54"/>
        <v>2.5</v>
      </c>
      <c r="AS220" s="33">
        <f t="shared" si="57"/>
        <v>2.5</v>
      </c>
      <c r="AT220" s="31">
        <f>SUMIFS(инфо!$I$15:$I$28,инфо!$A$15:$A$28,F220)</f>
        <v>201</v>
      </c>
      <c r="AU220" s="35">
        <f t="shared" si="62"/>
        <v>0.17676767676767677</v>
      </c>
      <c r="AV220" s="33">
        <f t="shared" si="58"/>
        <v>-200.82323232323233</v>
      </c>
      <c r="AX220" s="67">
        <f>SUMIFS(инфо!$C$15:$C$28,инфо!$A$15:$A$28,F220)*H219</f>
        <v>4779.6000000000004</v>
      </c>
    </row>
    <row r="221" spans="1:50" x14ac:dyDescent="0.25">
      <c r="A221" s="70">
        <v>46176</v>
      </c>
      <c r="B221" s="111" t="s">
        <v>622</v>
      </c>
      <c r="C221" s="15" t="s">
        <v>771</v>
      </c>
      <c r="D221" s="16" t="s">
        <v>82</v>
      </c>
      <c r="E221" s="83" t="s">
        <v>77</v>
      </c>
      <c r="F221" s="28" t="s">
        <v>621</v>
      </c>
      <c r="G221" s="81">
        <v>31</v>
      </c>
      <c r="H221" s="81">
        <v>800</v>
      </c>
      <c r="I221" s="118">
        <f>IFERROR(H221*VLOOKUP(F221,инфо!$A$15:$C$28,3,FALSE)/1000,0)</f>
        <v>27.312000000000001</v>
      </c>
      <c r="J221" s="20">
        <v>610</v>
      </c>
      <c r="K221" s="20">
        <v>8</v>
      </c>
      <c r="L221" s="20">
        <v>5</v>
      </c>
      <c r="M221" s="20">
        <v>100</v>
      </c>
      <c r="N221" s="20">
        <v>3147</v>
      </c>
      <c r="O221" s="34"/>
      <c r="P221" s="34"/>
      <c r="Q221" s="34">
        <v>10271</v>
      </c>
      <c r="R221" s="34">
        <v>9576</v>
      </c>
      <c r="S221" s="68">
        <f t="shared" si="59"/>
        <v>19847</v>
      </c>
      <c r="T221" s="15"/>
      <c r="U221" s="16"/>
      <c r="V221" s="34"/>
      <c r="W221" s="81">
        <v>930</v>
      </c>
      <c r="X221" s="34"/>
      <c r="Y221" s="15">
        <v>335</v>
      </c>
      <c r="Z221" s="34"/>
      <c r="AA221" s="34">
        <v>62</v>
      </c>
      <c r="AB221" s="34"/>
      <c r="AC221" s="117">
        <v>310</v>
      </c>
      <c r="AD221" s="16">
        <v>155</v>
      </c>
      <c r="AE221" s="24">
        <f>SUMIFS(инфо!$D$15:$D$28,инфо!$A$15:$A$28,F221)</f>
        <v>40.299999999999997</v>
      </c>
      <c r="AF221" s="35">
        <f t="shared" si="50"/>
        <v>3.9337499999999999</v>
      </c>
      <c r="AG221" s="12">
        <f t="shared" si="60"/>
        <v>-36.366249999999994</v>
      </c>
      <c r="AH221" s="24">
        <f>SUMIFS(инфо!$E$15:$E$28,инфо!$A$15:$A$28,F221)</f>
        <v>26.01</v>
      </c>
      <c r="AI221" s="32">
        <f t="shared" si="51"/>
        <v>24.80875</v>
      </c>
      <c r="AJ221" s="12">
        <f t="shared" si="61"/>
        <v>-1.2012500000000017</v>
      </c>
      <c r="AK221" s="24">
        <f>SUMIFS(инфо!$F$15:$F$28,инфо!$A$15:$A$28,F221)</f>
        <v>0.40200000000000002</v>
      </c>
      <c r="AL221" s="32">
        <f t="shared" si="52"/>
        <v>0.41875000000000001</v>
      </c>
      <c r="AM221" s="12">
        <f t="shared" si="55"/>
        <v>1.6749999999999987E-2</v>
      </c>
      <c r="AN221" s="24">
        <f>SUMIFS(инфо!$G$15:$G$28,инфо!$A$15:$A$28,F221)</f>
        <v>0.08</v>
      </c>
      <c r="AO221" s="32">
        <f t="shared" si="53"/>
        <v>7.7499999999999999E-2</v>
      </c>
      <c r="AP221" s="12">
        <f t="shared" si="56"/>
        <v>-2.5000000000000022E-3</v>
      </c>
      <c r="AQ221" s="24">
        <f>SUMIFS(инфо!$H$15:$H$28,инфо!$A$15:$A$28,F221)</f>
        <v>0</v>
      </c>
      <c r="AR221" s="35">
        <f t="shared" si="54"/>
        <v>0.31313131313131315</v>
      </c>
      <c r="AS221" s="12">
        <f t="shared" si="57"/>
        <v>0.31313131313131315</v>
      </c>
      <c r="AT221" s="24">
        <f>SUMIFS(инфо!$I$15:$I$28,инфо!$A$15:$A$28,F221)</f>
        <v>201</v>
      </c>
      <c r="AU221" s="35">
        <f t="shared" si="62"/>
        <v>0.19375000000000001</v>
      </c>
      <c r="AV221" s="12">
        <f t="shared" si="58"/>
        <v>-200.80625000000001</v>
      </c>
      <c r="AX221" s="68">
        <f>SUMIFS(инфо!$C$15:$C$28,инфо!$A$15:$A$28,F221)*H220</f>
        <v>33798.6</v>
      </c>
    </row>
    <row r="222" spans="1:50" x14ac:dyDescent="0.25">
      <c r="A222" s="70">
        <f t="shared" si="63"/>
        <v>46176</v>
      </c>
      <c r="B222" s="111" t="s">
        <v>629</v>
      </c>
      <c r="C222" s="15" t="s">
        <v>771</v>
      </c>
      <c r="D222" s="16" t="s">
        <v>83</v>
      </c>
      <c r="E222" s="83" t="s">
        <v>75</v>
      </c>
      <c r="F222" s="28" t="s">
        <v>621</v>
      </c>
      <c r="G222" s="81">
        <v>52</v>
      </c>
      <c r="H222" s="81">
        <v>1410</v>
      </c>
      <c r="I222" s="118">
        <f>IFERROR(H222*VLOOKUP(F222,инфо!$A$15:$C$28,3,FALSE)/1000,0)</f>
        <v>48.1374</v>
      </c>
      <c r="J222" s="20">
        <v>1260</v>
      </c>
      <c r="K222" s="20"/>
      <c r="L222" s="20">
        <v>1</v>
      </c>
      <c r="M222" s="20">
        <v>206</v>
      </c>
      <c r="N222" s="20">
        <v>5287</v>
      </c>
      <c r="O222" s="34"/>
      <c r="P222" s="34"/>
      <c r="Q222" s="34">
        <v>16629</v>
      </c>
      <c r="R222" s="34">
        <v>16619</v>
      </c>
      <c r="S222" s="68">
        <f t="shared" si="59"/>
        <v>33248</v>
      </c>
      <c r="T222" s="15"/>
      <c r="U222" s="16"/>
      <c r="V222" s="34"/>
      <c r="W222" s="81">
        <v>1560</v>
      </c>
      <c r="X222" s="34"/>
      <c r="Y222" s="15">
        <v>470</v>
      </c>
      <c r="Z222" s="34"/>
      <c r="AA222" s="34">
        <v>104</v>
      </c>
      <c r="AB222" s="34"/>
      <c r="AC222" s="117">
        <v>520</v>
      </c>
      <c r="AD222" s="16">
        <v>260</v>
      </c>
      <c r="AE222" s="24">
        <f>SUMIFS(инфо!$D$15:$D$28,инфо!$A$15:$A$28,F222)</f>
        <v>40.299999999999997</v>
      </c>
      <c r="AF222" s="35">
        <f t="shared" si="50"/>
        <v>3.7496453900709219</v>
      </c>
      <c r="AG222" s="12">
        <f t="shared" si="60"/>
        <v>-36.550354609929073</v>
      </c>
      <c r="AH222" s="24">
        <f>SUMIFS(инфо!$E$15:$E$28,инфо!$A$15:$A$28,F222)</f>
        <v>26.01</v>
      </c>
      <c r="AI222" s="32">
        <f t="shared" si="51"/>
        <v>23.580141843971631</v>
      </c>
      <c r="AJ222" s="12">
        <f t="shared" si="61"/>
        <v>-2.4298581560283701</v>
      </c>
      <c r="AK222" s="24">
        <f>SUMIFS(инфо!$F$15:$F$28,инфо!$A$15:$A$28,F222)</f>
        <v>0.40200000000000002</v>
      </c>
      <c r="AL222" s="32">
        <f t="shared" si="52"/>
        <v>0.33333333333333331</v>
      </c>
      <c r="AM222" s="12">
        <f t="shared" si="55"/>
        <v>-6.8666666666666709E-2</v>
      </c>
      <c r="AN222" s="24">
        <f>SUMIFS(инфо!$G$15:$G$28,инфо!$A$15:$A$28,F222)</f>
        <v>0.08</v>
      </c>
      <c r="AO222" s="32">
        <f t="shared" si="53"/>
        <v>7.3758865248226946E-2</v>
      </c>
      <c r="AP222" s="12">
        <f t="shared" si="56"/>
        <v>-6.2411347517730559E-3</v>
      </c>
      <c r="AQ222" s="24">
        <f>SUMIFS(инфо!$H$15:$H$28,инфо!$A$15:$A$28,F222)</f>
        <v>0</v>
      </c>
      <c r="AR222" s="35">
        <f t="shared" si="54"/>
        <v>0.65</v>
      </c>
      <c r="AS222" s="12">
        <f t="shared" si="57"/>
        <v>0.65</v>
      </c>
      <c r="AT222" s="24">
        <f>SUMIFS(инфо!$I$15:$I$28,инфо!$A$15:$A$28,F222)</f>
        <v>201</v>
      </c>
      <c r="AU222" s="35">
        <f t="shared" si="62"/>
        <v>0.18439716312056736</v>
      </c>
      <c r="AV222" s="12">
        <f t="shared" si="58"/>
        <v>-200.81560283687944</v>
      </c>
      <c r="AX222" s="68">
        <f>SUMIFS(инфо!$C$15:$C$28,инфо!$A$15:$A$28,F222)*H221</f>
        <v>27312</v>
      </c>
    </row>
    <row r="223" spans="1:50" x14ac:dyDescent="0.25">
      <c r="A223" s="70">
        <f t="shared" si="63"/>
        <v>46177</v>
      </c>
      <c r="B223" s="111" t="s">
        <v>635</v>
      </c>
      <c r="C223" s="17" t="s">
        <v>771</v>
      </c>
      <c r="D223" s="18" t="s">
        <v>82</v>
      </c>
      <c r="E223" s="83" t="s">
        <v>114</v>
      </c>
      <c r="F223" s="28" t="s">
        <v>15</v>
      </c>
      <c r="G223" s="81">
        <v>9</v>
      </c>
      <c r="H223" s="81">
        <v>390</v>
      </c>
      <c r="I223" s="118">
        <f>IFERROR(H223*VLOOKUP(F223,инфо!$A$15:$C$28,3,FALSE)/1000,0)</f>
        <v>6.6573000000000002</v>
      </c>
      <c r="J223" s="20">
        <v>600</v>
      </c>
      <c r="K223" s="20"/>
      <c r="L223" s="20"/>
      <c r="M223" s="20">
        <v>178</v>
      </c>
      <c r="N223" s="23">
        <v>916</v>
      </c>
      <c r="O223" s="19"/>
      <c r="P223" s="19"/>
      <c r="Q223" s="19">
        <v>507</v>
      </c>
      <c r="R223" s="19">
        <v>409</v>
      </c>
      <c r="S223" s="69">
        <f t="shared" si="59"/>
        <v>916</v>
      </c>
      <c r="T223" s="17"/>
      <c r="U223" s="18"/>
      <c r="V223" s="19"/>
      <c r="W223" s="81">
        <v>270</v>
      </c>
      <c r="X223" s="19"/>
      <c r="Y223" s="17">
        <v>90</v>
      </c>
      <c r="Z223" s="19"/>
      <c r="AA223" s="19">
        <v>18</v>
      </c>
      <c r="AB223" s="19"/>
      <c r="AC223" s="117">
        <v>90</v>
      </c>
      <c r="AD223" s="18">
        <v>45</v>
      </c>
      <c r="AE223" s="25">
        <f>SUMIFS(инфо!$D$15:$D$28,инфо!$A$15:$A$28,F223)</f>
        <v>201</v>
      </c>
      <c r="AF223" s="35">
        <f t="shared" si="50"/>
        <v>2.3487179487179488</v>
      </c>
      <c r="AG223" s="14">
        <f t="shared" si="60"/>
        <v>-198.65128205128204</v>
      </c>
      <c r="AH223" s="25">
        <f>SUMIFS(инфо!$E$15:$E$28,инфо!$A$15:$A$28,F223)</f>
        <v>13.01</v>
      </c>
      <c r="AI223" s="32">
        <f t="shared" si="51"/>
        <v>2.3487179487179488</v>
      </c>
      <c r="AJ223" s="14">
        <f t="shared" si="61"/>
        <v>-10.661282051282051</v>
      </c>
      <c r="AK223" s="25">
        <f>SUMIFS(инфо!$F$15:$F$28,инфо!$A$15:$A$28,F223)</f>
        <v>0.20100000000000001</v>
      </c>
      <c r="AL223" s="32">
        <f t="shared" si="52"/>
        <v>0.23076923076923078</v>
      </c>
      <c r="AM223" s="14">
        <f t="shared" si="55"/>
        <v>2.976923076923077E-2</v>
      </c>
      <c r="AN223" s="25">
        <f>SUMIFS(инфо!$G$15:$G$28,инфо!$A$15:$A$28,F223)</f>
        <v>0.04</v>
      </c>
      <c r="AO223" s="32">
        <f t="shared" si="53"/>
        <v>4.6153846153846156E-2</v>
      </c>
      <c r="AP223" s="14">
        <f t="shared" si="56"/>
        <v>6.1538461538461556E-3</v>
      </c>
      <c r="AQ223" s="25">
        <f>SUMIFS(инфо!$H$15:$H$28,инфо!$A$15:$A$28,F223)</f>
        <v>0</v>
      </c>
      <c r="AR223" s="26">
        <f t="shared" si="54"/>
        <v>6.3829787234042548E-2</v>
      </c>
      <c r="AS223" s="14">
        <f t="shared" si="57"/>
        <v>6.3829787234042548E-2</v>
      </c>
      <c r="AT223" s="25">
        <f>SUMIFS(инфо!$I$15:$I$28,инфо!$A$15:$A$28,F223)</f>
        <v>0.10100000000000001</v>
      </c>
      <c r="AU223" s="35">
        <f t="shared" si="62"/>
        <v>0.11538461538461539</v>
      </c>
      <c r="AV223" s="14">
        <f t="shared" si="58"/>
        <v>1.4384615384615385E-2</v>
      </c>
      <c r="AX223" s="69">
        <f>SUMIFS(инфо!$C$15:$C$28,инфо!$A$15:$A$28,F223)*H222</f>
        <v>24068.7</v>
      </c>
    </row>
    <row r="224" spans="1:50" x14ac:dyDescent="0.25">
      <c r="A224" s="70">
        <f t="shared" si="63"/>
        <v>46177</v>
      </c>
      <c r="B224" s="111" t="s">
        <v>640</v>
      </c>
      <c r="C224" s="29" t="s">
        <v>771</v>
      </c>
      <c r="D224" s="30" t="s">
        <v>83</v>
      </c>
      <c r="E224" s="83" t="s">
        <v>77</v>
      </c>
      <c r="F224" s="28" t="s">
        <v>15</v>
      </c>
      <c r="G224" s="81">
        <v>47</v>
      </c>
      <c r="H224" s="81">
        <v>2280</v>
      </c>
      <c r="I224" s="118">
        <f>IFERROR(H224*VLOOKUP(F224,инфо!$A$15:$C$28,3,FALSE)/1000,0)</f>
        <v>38.919599999999996</v>
      </c>
      <c r="J224" s="20">
        <v>1500</v>
      </c>
      <c r="K224" s="20">
        <v>6</v>
      </c>
      <c r="L224" s="20">
        <v>1</v>
      </c>
      <c r="M224" s="20">
        <v>123</v>
      </c>
      <c r="N224" s="28">
        <v>4766</v>
      </c>
      <c r="O224" s="27"/>
      <c r="P224" s="27"/>
      <c r="Q224" s="27">
        <v>14090</v>
      </c>
      <c r="R224" s="27">
        <v>15958</v>
      </c>
      <c r="S224" s="67">
        <f t="shared" si="59"/>
        <v>30048</v>
      </c>
      <c r="T224" s="29"/>
      <c r="U224" s="30"/>
      <c r="V224" s="27"/>
      <c r="W224" s="81">
        <v>1410</v>
      </c>
      <c r="X224" s="27"/>
      <c r="Y224" s="29">
        <v>705</v>
      </c>
      <c r="Z224" s="27"/>
      <c r="AA224" s="27">
        <v>94</v>
      </c>
      <c r="AB224" s="27"/>
      <c r="AC224" s="117">
        <v>470</v>
      </c>
      <c r="AD224" s="30">
        <v>235</v>
      </c>
      <c r="AE224" s="31">
        <f>SUMIFS(инфо!$D$15:$D$28,инфо!$A$15:$A$28,F224)</f>
        <v>201</v>
      </c>
      <c r="AF224" s="35">
        <f t="shared" si="50"/>
        <v>2.0903508771929826</v>
      </c>
      <c r="AG224" s="33">
        <f t="shared" si="60"/>
        <v>-198.90964912280702</v>
      </c>
      <c r="AH224" s="31">
        <f>SUMIFS(инфо!$E$15:$E$28,инфо!$A$15:$A$28,F224)</f>
        <v>13.01</v>
      </c>
      <c r="AI224" s="32">
        <f t="shared" si="51"/>
        <v>13.178947368421053</v>
      </c>
      <c r="AJ224" s="33">
        <f t="shared" si="61"/>
        <v>0.16894736842105296</v>
      </c>
      <c r="AK224" s="31">
        <f>SUMIFS(инфо!$F$15:$F$28,инфо!$A$15:$A$28,F224)</f>
        <v>0.20100000000000001</v>
      </c>
      <c r="AL224" s="32">
        <f t="shared" si="52"/>
        <v>0.30921052631578949</v>
      </c>
      <c r="AM224" s="33">
        <f t="shared" si="55"/>
        <v>0.10821052631578948</v>
      </c>
      <c r="AN224" s="31">
        <f>SUMIFS(инфо!$G$15:$G$28,инфо!$A$15:$A$28,F224)</f>
        <v>0.04</v>
      </c>
      <c r="AO224" s="32">
        <f t="shared" si="53"/>
        <v>4.12280701754386E-2</v>
      </c>
      <c r="AP224" s="33">
        <f t="shared" si="56"/>
        <v>1.2280701754385989E-3</v>
      </c>
      <c r="AQ224" s="31">
        <f>SUMIFS(инфо!$H$15:$H$28,инфо!$A$15:$A$28,F224)</f>
        <v>0</v>
      </c>
      <c r="AR224" s="32">
        <f t="shared" si="54"/>
        <v>1.2051282051282051</v>
      </c>
      <c r="AS224" s="33">
        <f t="shared" si="57"/>
        <v>1.2051282051282051</v>
      </c>
      <c r="AT224" s="31">
        <f>SUMIFS(инфо!$I$15:$I$28,инфо!$A$15:$A$28,F224)</f>
        <v>0.10100000000000001</v>
      </c>
      <c r="AU224" s="35">
        <f t="shared" si="62"/>
        <v>0.10307017543859649</v>
      </c>
      <c r="AV224" s="33">
        <f t="shared" si="58"/>
        <v>2.070175438596486E-3</v>
      </c>
      <c r="AX224" s="67">
        <f>SUMIFS(инфо!$C$15:$C$28,инфо!$A$15:$A$28,F224)*H223</f>
        <v>6657.3</v>
      </c>
    </row>
    <row r="225" spans="1:50" x14ac:dyDescent="0.25">
      <c r="A225" s="70">
        <v>46177</v>
      </c>
      <c r="B225" s="111" t="s">
        <v>629</v>
      </c>
      <c r="C225" s="15" t="s">
        <v>771</v>
      </c>
      <c r="D225" s="16" t="s">
        <v>83</v>
      </c>
      <c r="E225" s="83" t="s">
        <v>77</v>
      </c>
      <c r="F225" s="28" t="s">
        <v>621</v>
      </c>
      <c r="G225" s="81"/>
      <c r="H225" s="81"/>
      <c r="I225" s="118">
        <f>IFERROR(H225*VLOOKUP(F225,инфо!$A$15:$C$28,3,FALSE)/1000,0)</f>
        <v>0</v>
      </c>
      <c r="J225" s="20">
        <v>120</v>
      </c>
      <c r="K225" s="20"/>
      <c r="L225" s="20"/>
      <c r="M225" s="20"/>
      <c r="N225" s="20"/>
      <c r="O225" s="34"/>
      <c r="P225" s="34"/>
      <c r="Q225" s="34"/>
      <c r="R225" s="34"/>
      <c r="S225" s="68"/>
      <c r="T225" s="15"/>
      <c r="U225" s="16"/>
      <c r="V225" s="34"/>
      <c r="W225" s="81"/>
      <c r="X225" s="34"/>
      <c r="Y225" s="15"/>
      <c r="Z225" s="34"/>
      <c r="AA225" s="34"/>
      <c r="AB225" s="34"/>
      <c r="AC225" s="117"/>
      <c r="AD225" s="16"/>
      <c r="AE225" s="24"/>
      <c r="AF225" s="35"/>
      <c r="AG225" s="12"/>
      <c r="AH225" s="24"/>
      <c r="AI225" s="32"/>
      <c r="AJ225" s="12"/>
      <c r="AK225" s="24"/>
      <c r="AL225" s="32"/>
      <c r="AM225" s="12"/>
      <c r="AN225" s="24"/>
      <c r="AO225" s="32"/>
      <c r="AP225" s="12"/>
      <c r="AQ225" s="24"/>
      <c r="AR225" s="35"/>
      <c r="AS225" s="12"/>
      <c r="AT225" s="24"/>
      <c r="AU225" s="35"/>
      <c r="AV225" s="12"/>
      <c r="AX225" s="68"/>
    </row>
    <row r="226" spans="1:50" x14ac:dyDescent="0.25">
      <c r="A226" s="70">
        <f>A223+1</f>
        <v>46178</v>
      </c>
      <c r="B226" s="111" t="s">
        <v>648</v>
      </c>
      <c r="C226" s="15" t="s">
        <v>771</v>
      </c>
      <c r="D226" s="16" t="s">
        <v>82</v>
      </c>
      <c r="E226" s="83" t="s">
        <v>113</v>
      </c>
      <c r="F226" s="28" t="s">
        <v>15</v>
      </c>
      <c r="G226" s="81">
        <v>48</v>
      </c>
      <c r="H226" s="81">
        <v>2480</v>
      </c>
      <c r="I226" s="118">
        <f>IFERROR(H226*VLOOKUP(F226,инфо!$A$15:$C$28,3,FALSE)/1000,0)</f>
        <v>42.333599999999997</v>
      </c>
      <c r="J226" s="20">
        <v>2430</v>
      </c>
      <c r="K226" s="20">
        <v>3</v>
      </c>
      <c r="L226" s="20"/>
      <c r="M226" s="20">
        <v>151</v>
      </c>
      <c r="N226" s="20">
        <v>4866</v>
      </c>
      <c r="O226" s="34"/>
      <c r="P226" s="34"/>
      <c r="Q226" s="34">
        <v>18598</v>
      </c>
      <c r="R226" s="34">
        <v>12130</v>
      </c>
      <c r="S226" s="68">
        <f t="shared" si="59"/>
        <v>30728</v>
      </c>
      <c r="T226" s="15"/>
      <c r="U226" s="16"/>
      <c r="V226" s="34"/>
      <c r="W226" s="81">
        <v>1440</v>
      </c>
      <c r="X226" s="34"/>
      <c r="Y226" s="15">
        <v>480</v>
      </c>
      <c r="Z226" s="34"/>
      <c r="AA226" s="34"/>
      <c r="AB226" s="34"/>
      <c r="AC226" s="117">
        <v>480</v>
      </c>
      <c r="AD226" s="16"/>
      <c r="AE226" s="24">
        <f>SUMIFS(инфо!$D$15:$D$28,инфо!$A$15:$A$28,F226)</f>
        <v>201</v>
      </c>
      <c r="AF226" s="35">
        <f t="shared" si="50"/>
        <v>1.9620967741935484</v>
      </c>
      <c r="AG226" s="12">
        <f t="shared" si="60"/>
        <v>-199.03790322580645</v>
      </c>
      <c r="AH226" s="24">
        <f>SUMIFS(инфо!$E$15:$E$28,инфо!$A$15:$A$28,F226)</f>
        <v>13.01</v>
      </c>
      <c r="AI226" s="32">
        <f t="shared" si="51"/>
        <v>12.390322580645162</v>
      </c>
      <c r="AJ226" s="12">
        <f t="shared" si="61"/>
        <v>-0.61967741935483822</v>
      </c>
      <c r="AK226" s="24">
        <f>SUMIFS(инфо!$F$15:$F$28,инфо!$A$15:$A$28,F226)</f>
        <v>0.20100000000000001</v>
      </c>
      <c r="AL226" s="32">
        <f t="shared" si="52"/>
        <v>0.19354838709677419</v>
      </c>
      <c r="AM226" s="12">
        <f t="shared" si="55"/>
        <v>-7.4516129032258238E-3</v>
      </c>
      <c r="AN226" s="24">
        <f>SUMIFS(инфо!$G$15:$G$28,инфо!$A$15:$A$28,F226)</f>
        <v>0.04</v>
      </c>
      <c r="AO226" s="32">
        <f t="shared" si="53"/>
        <v>0</v>
      </c>
      <c r="AP226" s="12">
        <f t="shared" si="56"/>
        <v>-0.04</v>
      </c>
      <c r="AQ226" s="24">
        <f>SUMIFS(инфо!$H$15:$H$28,инфо!$A$15:$A$28,F226)</f>
        <v>0</v>
      </c>
      <c r="AR226" s="35">
        <f>IF(H224=0,0,AC226/H224)</f>
        <v>0.21052631578947367</v>
      </c>
      <c r="AS226" s="12">
        <f t="shared" si="57"/>
        <v>0.21052631578947367</v>
      </c>
      <c r="AT226" s="24">
        <f>SUMIFS(инфо!$I$15:$I$28,инфо!$A$15:$A$28,F226)</f>
        <v>0.10100000000000001</v>
      </c>
      <c r="AU226" s="35">
        <f t="shared" si="62"/>
        <v>0</v>
      </c>
      <c r="AV226" s="12">
        <f t="shared" si="58"/>
        <v>-0.10100000000000001</v>
      </c>
      <c r="AX226" s="68">
        <f>SUMIFS(инфо!$C$15:$C$28,инфо!$A$15:$A$28,F226)*H224</f>
        <v>38919.599999999999</v>
      </c>
    </row>
    <row r="227" spans="1:50" x14ac:dyDescent="0.25">
      <c r="A227" s="70">
        <f>A224+1</f>
        <v>46178</v>
      </c>
      <c r="B227" s="111" t="s">
        <v>651</v>
      </c>
      <c r="C227" s="15" t="s">
        <v>771</v>
      </c>
      <c r="D227" s="16" t="s">
        <v>83</v>
      </c>
      <c r="E227" s="83" t="s">
        <v>114</v>
      </c>
      <c r="F227" s="28" t="s">
        <v>15</v>
      </c>
      <c r="G227" s="81">
        <v>65</v>
      </c>
      <c r="H227" s="81">
        <v>3260</v>
      </c>
      <c r="I227" s="118">
        <f>IFERROR(H227*VLOOKUP(F227,инфо!$A$15:$C$28,3,FALSE)/1000,0)</f>
        <v>55.648200000000003</v>
      </c>
      <c r="J227" s="20">
        <v>2970</v>
      </c>
      <c r="K227" s="20">
        <v>5</v>
      </c>
      <c r="L227" s="20">
        <v>3</v>
      </c>
      <c r="M227" s="20">
        <v>227</v>
      </c>
      <c r="N227" s="20">
        <v>6627</v>
      </c>
      <c r="O227" s="34"/>
      <c r="P227" s="34"/>
      <c r="Q227" s="34">
        <v>19247</v>
      </c>
      <c r="R227" s="34">
        <v>22356</v>
      </c>
      <c r="S227" s="68">
        <f t="shared" si="59"/>
        <v>41603</v>
      </c>
      <c r="T227" s="15"/>
      <c r="U227" s="16"/>
      <c r="V227" s="34"/>
      <c r="W227" s="81">
        <v>1950</v>
      </c>
      <c r="X227" s="34"/>
      <c r="Y227" s="15">
        <v>650</v>
      </c>
      <c r="Z227" s="34"/>
      <c r="AA227" s="34"/>
      <c r="AB227" s="34"/>
      <c r="AC227" s="117">
        <v>650</v>
      </c>
      <c r="AD227" s="16">
        <v>325</v>
      </c>
      <c r="AE227" s="24">
        <f>SUMIFS(инфо!$D$15:$D$28,инфо!$A$15:$A$28,F227)</f>
        <v>201</v>
      </c>
      <c r="AF227" s="35">
        <f t="shared" si="50"/>
        <v>2.0328220858895705</v>
      </c>
      <c r="AG227" s="12">
        <f t="shared" si="60"/>
        <v>-198.96717791411044</v>
      </c>
      <c r="AH227" s="24">
        <f>SUMIFS(инфо!$E$15:$E$28,инфо!$A$15:$A$28,F227)</f>
        <v>13.01</v>
      </c>
      <c r="AI227" s="32">
        <f t="shared" si="51"/>
        <v>12.761656441717792</v>
      </c>
      <c r="AJ227" s="12">
        <f t="shared" si="61"/>
        <v>-0.24834355828220822</v>
      </c>
      <c r="AK227" s="24">
        <f>SUMIFS(инфо!$F$15:$F$28,инфо!$A$15:$A$28,F227)</f>
        <v>0.20100000000000001</v>
      </c>
      <c r="AL227" s="32">
        <f t="shared" si="52"/>
        <v>0.19938650306748465</v>
      </c>
      <c r="AM227" s="12">
        <f t="shared" si="55"/>
        <v>-1.6134969325153625E-3</v>
      </c>
      <c r="AN227" s="24">
        <f>SUMIFS(инфо!$G$15:$G$28,инфо!$A$15:$A$28,F227)</f>
        <v>0.04</v>
      </c>
      <c r="AO227" s="32">
        <f t="shared" si="53"/>
        <v>0</v>
      </c>
      <c r="AP227" s="12">
        <f t="shared" si="56"/>
        <v>-0.04</v>
      </c>
      <c r="AQ227" s="24">
        <f>SUMIFS(инфо!$H$15:$H$28,инфо!$A$15:$A$28,F227)</f>
        <v>0</v>
      </c>
      <c r="AR227" s="35">
        <f t="shared" si="54"/>
        <v>0.26209677419354838</v>
      </c>
      <c r="AS227" s="12">
        <f t="shared" si="57"/>
        <v>0.26209677419354838</v>
      </c>
      <c r="AT227" s="24">
        <f>SUMIFS(инфо!$I$15:$I$28,инфо!$A$15:$A$28,F227)</f>
        <v>0.10100000000000001</v>
      </c>
      <c r="AU227" s="35">
        <f t="shared" si="62"/>
        <v>9.9693251533742325E-2</v>
      </c>
      <c r="AV227" s="12">
        <f t="shared" si="58"/>
        <v>-1.3067484662576817E-3</v>
      </c>
      <c r="AX227" s="68">
        <f>SUMIFS(инфо!$C$15:$C$28,инфо!$A$15:$A$28,F227)*H226</f>
        <v>42333.599999999999</v>
      </c>
    </row>
    <row r="228" spans="1:50" x14ac:dyDescent="0.25">
      <c r="A228" s="70">
        <f t="shared" si="63"/>
        <v>46179</v>
      </c>
      <c r="B228" s="111" t="s">
        <v>658</v>
      </c>
      <c r="C228" s="17" t="s">
        <v>771</v>
      </c>
      <c r="D228" s="18" t="s">
        <v>82</v>
      </c>
      <c r="E228" s="83" t="s">
        <v>75</v>
      </c>
      <c r="F228" s="28" t="s">
        <v>15</v>
      </c>
      <c r="G228" s="81">
        <v>56</v>
      </c>
      <c r="H228" s="81">
        <v>2800</v>
      </c>
      <c r="I228" s="118">
        <f>IFERROR(H228*VLOOKUP(F228,инфо!$A$15:$C$28,3,FALSE)/1000,0)</f>
        <v>47.795999999999999</v>
      </c>
      <c r="J228" s="20">
        <v>2700</v>
      </c>
      <c r="K228" s="20"/>
      <c r="L228" s="20"/>
      <c r="M228" s="20">
        <v>112</v>
      </c>
      <c r="N228" s="23">
        <v>5686</v>
      </c>
      <c r="O228" s="19"/>
      <c r="P228" s="19"/>
      <c r="Q228" s="19">
        <v>17972</v>
      </c>
      <c r="R228" s="19">
        <v>17870</v>
      </c>
      <c r="S228" s="69">
        <f t="shared" si="59"/>
        <v>35842</v>
      </c>
      <c r="T228" s="17"/>
      <c r="U228" s="18"/>
      <c r="V228" s="19"/>
      <c r="W228" s="81">
        <v>1680</v>
      </c>
      <c r="X228" s="19"/>
      <c r="Y228" s="17">
        <v>560</v>
      </c>
      <c r="Z228" s="19"/>
      <c r="AA228" s="19"/>
      <c r="AB228" s="19"/>
      <c r="AC228" s="117">
        <v>560</v>
      </c>
      <c r="AD228" s="18">
        <v>165</v>
      </c>
      <c r="AE228" s="25">
        <f>SUMIFS(инфо!$D$15:$D$28,инфо!$A$15:$A$28,F228)</f>
        <v>201</v>
      </c>
      <c r="AF228" s="35">
        <f t="shared" si="50"/>
        <v>2.0307142857142857</v>
      </c>
      <c r="AG228" s="14">
        <f t="shared" si="60"/>
        <v>-198.96928571428572</v>
      </c>
      <c r="AH228" s="25">
        <f>SUMIFS(инфо!$E$15:$E$28,инфо!$A$15:$A$28,F228)</f>
        <v>13.01</v>
      </c>
      <c r="AI228" s="32">
        <f t="shared" si="51"/>
        <v>12.800714285714285</v>
      </c>
      <c r="AJ228" s="14">
        <f t="shared" si="61"/>
        <v>-0.20928571428571452</v>
      </c>
      <c r="AK228" s="25">
        <f>SUMIFS(инфо!$F$15:$F$28,инфо!$A$15:$A$28,F228)</f>
        <v>0.20100000000000001</v>
      </c>
      <c r="AL228" s="32">
        <f t="shared" si="52"/>
        <v>0.2</v>
      </c>
      <c r="AM228" s="14">
        <f t="shared" si="55"/>
        <v>-1.0000000000000009E-3</v>
      </c>
      <c r="AN228" s="25">
        <f>SUMIFS(инфо!$G$15:$G$28,инфо!$A$15:$A$28,F228)</f>
        <v>0.04</v>
      </c>
      <c r="AO228" s="32">
        <f t="shared" si="53"/>
        <v>0</v>
      </c>
      <c r="AP228" s="14">
        <f t="shared" si="56"/>
        <v>-0.04</v>
      </c>
      <c r="AQ228" s="25">
        <f>SUMIFS(инфо!$H$15:$H$28,инфо!$A$15:$A$28,F228)</f>
        <v>0</v>
      </c>
      <c r="AR228" s="26">
        <f t="shared" si="54"/>
        <v>0.17177914110429449</v>
      </c>
      <c r="AS228" s="14">
        <f t="shared" si="57"/>
        <v>0.17177914110429449</v>
      </c>
      <c r="AT228" s="25">
        <f>SUMIFS(инфо!$I$15:$I$28,инфо!$A$15:$A$28,F228)</f>
        <v>0.10100000000000001</v>
      </c>
      <c r="AU228" s="35">
        <f t="shared" si="62"/>
        <v>5.8928571428571427E-2</v>
      </c>
      <c r="AV228" s="14">
        <f t="shared" si="58"/>
        <v>-4.2071428571428579E-2</v>
      </c>
      <c r="AX228" s="69">
        <f>SUMIFS(инфо!$C$15:$C$28,инфо!$A$15:$A$28,F228)*H227</f>
        <v>55648.200000000004</v>
      </c>
    </row>
    <row r="229" spans="1:50" x14ac:dyDescent="0.25">
      <c r="A229" s="70">
        <f t="shared" si="63"/>
        <v>46179</v>
      </c>
      <c r="B229" s="111" t="s">
        <v>659</v>
      </c>
      <c r="C229" s="29" t="s">
        <v>771</v>
      </c>
      <c r="D229" s="30" t="s">
        <v>83</v>
      </c>
      <c r="E229" s="83" t="s">
        <v>113</v>
      </c>
      <c r="F229" s="28" t="s">
        <v>15</v>
      </c>
      <c r="G229" s="81">
        <v>64</v>
      </c>
      <c r="H229" s="81">
        <v>2850</v>
      </c>
      <c r="I229" s="118">
        <f>IFERROR(H229*VLOOKUP(F229,инфо!$A$15:$C$28,3,FALSE)/1000,0)</f>
        <v>48.649500000000003</v>
      </c>
      <c r="J229" s="20">
        <v>2970</v>
      </c>
      <c r="K229" s="20">
        <v>1</v>
      </c>
      <c r="L229" s="20">
        <v>2</v>
      </c>
      <c r="M229" s="20">
        <v>225</v>
      </c>
      <c r="N229" s="28">
        <v>6477</v>
      </c>
      <c r="O229" s="27"/>
      <c r="P229" s="27"/>
      <c r="Q229" s="27">
        <v>21810</v>
      </c>
      <c r="R229" s="27">
        <v>19253</v>
      </c>
      <c r="S229" s="67">
        <f t="shared" si="59"/>
        <v>41063</v>
      </c>
      <c r="T229" s="29"/>
      <c r="U229" s="30"/>
      <c r="V229" s="27"/>
      <c r="W229" s="81">
        <v>1920</v>
      </c>
      <c r="X229" s="27"/>
      <c r="Y229" s="29">
        <v>640</v>
      </c>
      <c r="Z229" s="27"/>
      <c r="AA229" s="27"/>
      <c r="AB229" s="27"/>
      <c r="AC229" s="117">
        <v>640</v>
      </c>
      <c r="AD229" s="30">
        <v>305</v>
      </c>
      <c r="AE229" s="31">
        <f>SUMIFS(инфо!$D$15:$D$28,инфо!$A$15:$A$28,F229)</f>
        <v>201</v>
      </c>
      <c r="AF229" s="35">
        <f t="shared" si="50"/>
        <v>2.2726315789473683</v>
      </c>
      <c r="AG229" s="33">
        <f t="shared" si="60"/>
        <v>-198.72736842105263</v>
      </c>
      <c r="AH229" s="31">
        <f>SUMIFS(инфо!$E$15:$E$28,инфо!$A$15:$A$28,F229)</f>
        <v>13.01</v>
      </c>
      <c r="AI229" s="32">
        <f t="shared" si="51"/>
        <v>14.408070175438597</v>
      </c>
      <c r="AJ229" s="33">
        <f t="shared" si="61"/>
        <v>1.3980701754385976</v>
      </c>
      <c r="AK229" s="31">
        <f>SUMIFS(инфо!$F$15:$F$28,инфо!$A$15:$A$28,F229)</f>
        <v>0.20100000000000001</v>
      </c>
      <c r="AL229" s="32">
        <f t="shared" si="52"/>
        <v>0.22456140350877193</v>
      </c>
      <c r="AM229" s="33">
        <f t="shared" si="55"/>
        <v>2.3561403508771922E-2</v>
      </c>
      <c r="AN229" s="31">
        <f>SUMIFS(инфо!$G$15:$G$28,инфо!$A$15:$A$28,F229)</f>
        <v>0.04</v>
      </c>
      <c r="AO229" s="32">
        <f t="shared" si="53"/>
        <v>0</v>
      </c>
      <c r="AP229" s="33">
        <f t="shared" si="56"/>
        <v>-0.04</v>
      </c>
      <c r="AQ229" s="31">
        <f>SUMIFS(инфо!$H$15:$H$28,инфо!$A$15:$A$28,F229)</f>
        <v>0</v>
      </c>
      <c r="AR229" s="32">
        <f t="shared" si="54"/>
        <v>0.22857142857142856</v>
      </c>
      <c r="AS229" s="33">
        <f t="shared" si="57"/>
        <v>0.22857142857142856</v>
      </c>
      <c r="AT229" s="31">
        <f>SUMIFS(инфо!$I$15:$I$28,инфо!$A$15:$A$28,F229)</f>
        <v>0.10100000000000001</v>
      </c>
      <c r="AU229" s="35">
        <f t="shared" si="62"/>
        <v>0.10701754385964912</v>
      </c>
      <c r="AV229" s="33">
        <f t="shared" si="58"/>
        <v>6.017543859649116E-3</v>
      </c>
      <c r="AX229" s="67">
        <f>SUMIFS(инфо!$C$15:$C$28,инфо!$A$15:$A$28,F229)*H228</f>
        <v>47796</v>
      </c>
    </row>
    <row r="230" spans="1:50" x14ac:dyDescent="0.25">
      <c r="A230" s="70">
        <f t="shared" si="63"/>
        <v>46180</v>
      </c>
      <c r="B230" s="111" t="s">
        <v>657</v>
      </c>
      <c r="C230" s="15" t="s">
        <v>771</v>
      </c>
      <c r="D230" s="16" t="s">
        <v>82</v>
      </c>
      <c r="E230" s="83" t="s">
        <v>77</v>
      </c>
      <c r="F230" s="28" t="s">
        <v>15</v>
      </c>
      <c r="G230" s="81">
        <v>35</v>
      </c>
      <c r="H230" s="81">
        <v>1890</v>
      </c>
      <c r="I230" s="118">
        <f>IFERROR(H230*VLOOKUP(F230,инфо!$A$15:$C$28,3,FALSE)/1000,0)</f>
        <v>32.262299999999996</v>
      </c>
      <c r="J230" s="20">
        <v>2160</v>
      </c>
      <c r="K230" s="20">
        <v>3</v>
      </c>
      <c r="L230" s="20">
        <v>2</v>
      </c>
      <c r="M230" s="20">
        <v>143</v>
      </c>
      <c r="N230" s="20">
        <v>3534</v>
      </c>
      <c r="O230" s="34"/>
      <c r="P230" s="34"/>
      <c r="Q230" s="34">
        <v>10910</v>
      </c>
      <c r="R230" s="34">
        <v>11482</v>
      </c>
      <c r="S230" s="68">
        <f t="shared" si="59"/>
        <v>22392</v>
      </c>
      <c r="T230" s="15"/>
      <c r="U230" s="16"/>
      <c r="V230" s="34"/>
      <c r="W230" s="81">
        <v>1050</v>
      </c>
      <c r="X230" s="34"/>
      <c r="Y230" s="15">
        <v>350</v>
      </c>
      <c r="Z230" s="34"/>
      <c r="AA230" s="34">
        <v>70</v>
      </c>
      <c r="AB230" s="34"/>
      <c r="AC230" s="117">
        <v>350</v>
      </c>
      <c r="AD230" s="16">
        <v>175</v>
      </c>
      <c r="AE230" s="24">
        <f>SUMIFS(инфо!$D$15:$D$28,инфо!$A$15:$A$28,F230)</f>
        <v>201</v>
      </c>
      <c r="AF230" s="35">
        <f t="shared" si="50"/>
        <v>1.8698412698412699</v>
      </c>
      <c r="AG230" s="12">
        <f t="shared" si="60"/>
        <v>-199.13015873015874</v>
      </c>
      <c r="AH230" s="24">
        <f>SUMIFS(инфо!$E$15:$E$28,инфо!$A$15:$A$28,F230)</f>
        <v>13.01</v>
      </c>
      <c r="AI230" s="32">
        <f t="shared" si="51"/>
        <v>11.847619047619048</v>
      </c>
      <c r="AJ230" s="12">
        <f t="shared" si="61"/>
        <v>-1.1623809523809516</v>
      </c>
      <c r="AK230" s="24">
        <f>SUMIFS(инфо!$F$15:$F$28,инфо!$A$15:$A$28,F230)</f>
        <v>0.20100000000000001</v>
      </c>
      <c r="AL230" s="32">
        <f t="shared" si="52"/>
        <v>0.18518518518518517</v>
      </c>
      <c r="AM230" s="12">
        <f t="shared" si="55"/>
        <v>-1.5814814814814837E-2</v>
      </c>
      <c r="AN230" s="24">
        <f>SUMIFS(инфо!$G$15:$G$28,инфо!$A$15:$A$28,F230)</f>
        <v>0.04</v>
      </c>
      <c r="AO230" s="32">
        <f t="shared" si="53"/>
        <v>3.7037037037037035E-2</v>
      </c>
      <c r="AP230" s="12">
        <f t="shared" si="56"/>
        <v>-2.9629629629629659E-3</v>
      </c>
      <c r="AQ230" s="24">
        <f>SUMIFS(инфо!$H$15:$H$28,инфо!$A$15:$A$28,F230)</f>
        <v>0</v>
      </c>
      <c r="AR230" s="35">
        <f t="shared" si="54"/>
        <v>0.12280701754385964</v>
      </c>
      <c r="AS230" s="12">
        <f t="shared" si="57"/>
        <v>0.12280701754385964</v>
      </c>
      <c r="AT230" s="24">
        <f>SUMIFS(инфо!$I$15:$I$28,инфо!$A$15:$A$28,F230)</f>
        <v>0.10100000000000001</v>
      </c>
      <c r="AU230" s="35">
        <f t="shared" si="62"/>
        <v>9.2592592592592587E-2</v>
      </c>
      <c r="AV230" s="12">
        <f t="shared" si="58"/>
        <v>-8.407407407407419E-3</v>
      </c>
      <c r="AX230" s="68">
        <f>SUMIFS(инфо!$C$15:$C$28,инфо!$A$15:$A$28,F230)*H229</f>
        <v>48649.5</v>
      </c>
    </row>
    <row r="231" spans="1:50" x14ac:dyDescent="0.25">
      <c r="A231" s="70">
        <f t="shared" si="63"/>
        <v>46180</v>
      </c>
      <c r="B231" s="111" t="s">
        <v>665</v>
      </c>
      <c r="C231" s="15" t="s">
        <v>771</v>
      </c>
      <c r="D231" s="16" t="s">
        <v>83</v>
      </c>
      <c r="E231" s="83" t="s">
        <v>75</v>
      </c>
      <c r="F231" s="28" t="s">
        <v>15</v>
      </c>
      <c r="G231" s="81">
        <v>62</v>
      </c>
      <c r="H231" s="81">
        <v>3070</v>
      </c>
      <c r="I231" s="118">
        <f>IFERROR(H231*VLOOKUP(F231,инфо!$A$15:$C$28,3,FALSE)/1000,0)</f>
        <v>52.404900000000005</v>
      </c>
      <c r="J231" s="20">
        <v>2970</v>
      </c>
      <c r="K231" s="20"/>
      <c r="L231" s="20">
        <v>3</v>
      </c>
      <c r="M231" s="20">
        <v>188</v>
      </c>
      <c r="N231" s="20">
        <v>6323</v>
      </c>
      <c r="O231" s="34"/>
      <c r="P231" s="34"/>
      <c r="Q231" s="34">
        <v>19260</v>
      </c>
      <c r="R231" s="34">
        <v>20436</v>
      </c>
      <c r="S231" s="68">
        <f t="shared" si="59"/>
        <v>39696</v>
      </c>
      <c r="T231" s="15"/>
      <c r="U231" s="16"/>
      <c r="V231" s="34"/>
      <c r="W231" s="81">
        <v>1860</v>
      </c>
      <c r="X231" s="34"/>
      <c r="Y231" s="15">
        <v>620</v>
      </c>
      <c r="Z231" s="34"/>
      <c r="AA231" s="34">
        <v>124</v>
      </c>
      <c r="AB231" s="34"/>
      <c r="AC231" s="117">
        <v>540</v>
      </c>
      <c r="AD231" s="16">
        <v>310</v>
      </c>
      <c r="AE231" s="24">
        <f>SUMIFS(инфо!$D$15:$D$28,инфо!$A$15:$A$28,F231)</f>
        <v>201</v>
      </c>
      <c r="AF231" s="35">
        <f t="shared" si="50"/>
        <v>2.0596091205211726</v>
      </c>
      <c r="AG231" s="12">
        <f t="shared" si="60"/>
        <v>-198.94039087947883</v>
      </c>
      <c r="AH231" s="24">
        <f>SUMIFS(инфо!$E$15:$E$28,инфо!$A$15:$A$28,F231)</f>
        <v>13.01</v>
      </c>
      <c r="AI231" s="32">
        <f t="shared" si="51"/>
        <v>12.930293159609121</v>
      </c>
      <c r="AJ231" s="12">
        <f t="shared" si="61"/>
        <v>-7.9706840390878497E-2</v>
      </c>
      <c r="AK231" s="24">
        <f>SUMIFS(инфо!$F$15:$F$28,инфо!$A$15:$A$28,F231)</f>
        <v>0.20100000000000001</v>
      </c>
      <c r="AL231" s="32">
        <f t="shared" si="52"/>
        <v>0.20195439739413681</v>
      </c>
      <c r="AM231" s="12">
        <f t="shared" si="55"/>
        <v>9.5439739413680225E-4</v>
      </c>
      <c r="AN231" s="24">
        <f>SUMIFS(инфо!$G$15:$G$28,инфо!$A$15:$A$28,F231)</f>
        <v>0.04</v>
      </c>
      <c r="AO231" s="32">
        <f t="shared" si="53"/>
        <v>4.0390879478827364E-2</v>
      </c>
      <c r="AP231" s="12">
        <f t="shared" si="56"/>
        <v>3.908794788273634E-4</v>
      </c>
      <c r="AQ231" s="24">
        <f>SUMIFS(инфо!$H$15:$H$28,инфо!$A$15:$A$28,F231)</f>
        <v>0</v>
      </c>
      <c r="AR231" s="35">
        <f t="shared" si="54"/>
        <v>0.2857142857142857</v>
      </c>
      <c r="AS231" s="12">
        <f t="shared" si="57"/>
        <v>0.2857142857142857</v>
      </c>
      <c r="AT231" s="24">
        <f>SUMIFS(инфо!$I$15:$I$28,инфо!$A$15:$A$28,F231)</f>
        <v>0.10100000000000001</v>
      </c>
      <c r="AU231" s="35">
        <f t="shared" si="62"/>
        <v>0.10097719869706841</v>
      </c>
      <c r="AV231" s="12">
        <f t="shared" si="58"/>
        <v>-2.2801302931599321E-5</v>
      </c>
      <c r="AX231" s="68">
        <f>SUMIFS(инфо!$C$15:$C$28,инфо!$A$15:$A$28,F231)*H230</f>
        <v>32262.3</v>
      </c>
    </row>
    <row r="232" spans="1:50" x14ac:dyDescent="0.25">
      <c r="A232" s="70">
        <f t="shared" si="63"/>
        <v>46181</v>
      </c>
      <c r="B232" s="111" t="s">
        <v>667</v>
      </c>
      <c r="C232" s="17" t="s">
        <v>771</v>
      </c>
      <c r="D232" s="18" t="s">
        <v>82</v>
      </c>
      <c r="E232" s="83" t="s">
        <v>114</v>
      </c>
      <c r="F232" s="28" t="s">
        <v>15</v>
      </c>
      <c r="G232" s="81">
        <v>53</v>
      </c>
      <c r="H232" s="81">
        <v>2690</v>
      </c>
      <c r="I232" s="118">
        <f>IFERROR(H232*VLOOKUP(F232,инфо!$A$15:$C$28,3,FALSE)/1000,0)</f>
        <v>45.918300000000002</v>
      </c>
      <c r="J232" s="20">
        <v>2430</v>
      </c>
      <c r="K232" s="20">
        <v>17</v>
      </c>
      <c r="L232" s="20"/>
      <c r="M232" s="20">
        <v>161</v>
      </c>
      <c r="N232" s="23">
        <v>5400</v>
      </c>
      <c r="O232" s="19"/>
      <c r="P232" s="19"/>
      <c r="Q232" s="19">
        <v>16059</v>
      </c>
      <c r="R232" s="19">
        <v>17882</v>
      </c>
      <c r="S232" s="69">
        <f t="shared" si="59"/>
        <v>33941</v>
      </c>
      <c r="T232" s="17"/>
      <c r="U232" s="18"/>
      <c r="V232" s="19"/>
      <c r="W232" s="81">
        <v>1590</v>
      </c>
      <c r="X232" s="19"/>
      <c r="Y232" s="17">
        <v>530</v>
      </c>
      <c r="Z232" s="19"/>
      <c r="AA232" s="19">
        <v>106</v>
      </c>
      <c r="AB232" s="19"/>
      <c r="AC232" s="117">
        <v>530</v>
      </c>
      <c r="AD232" s="18">
        <v>265</v>
      </c>
      <c r="AE232" s="25">
        <f>SUMIFS(инфо!$D$15:$D$28,инфо!$A$15:$A$28,F232)</f>
        <v>201</v>
      </c>
      <c r="AF232" s="35">
        <f t="shared" si="50"/>
        <v>2.007434944237918</v>
      </c>
      <c r="AG232" s="14">
        <f t="shared" si="60"/>
        <v>-198.99256505576207</v>
      </c>
      <c r="AH232" s="25">
        <f>SUMIFS(инфо!$E$15:$E$28,инфо!$A$15:$A$28,F232)</f>
        <v>13.01</v>
      </c>
      <c r="AI232" s="32">
        <f t="shared" si="51"/>
        <v>12.617472118959109</v>
      </c>
      <c r="AJ232" s="14">
        <f t="shared" si="61"/>
        <v>-0.3925278810408912</v>
      </c>
      <c r="AK232" s="25">
        <f>SUMIFS(инфо!$F$15:$F$28,инфо!$A$15:$A$28,F232)</f>
        <v>0.20100000000000001</v>
      </c>
      <c r="AL232" s="32">
        <f t="shared" si="52"/>
        <v>0.19702602230483271</v>
      </c>
      <c r="AM232" s="14">
        <f t="shared" si="55"/>
        <v>-3.9739776951673023E-3</v>
      </c>
      <c r="AN232" s="25">
        <f>SUMIFS(инфо!$G$15:$G$28,инфо!$A$15:$A$28,F232)</f>
        <v>0.04</v>
      </c>
      <c r="AO232" s="32">
        <f t="shared" si="53"/>
        <v>3.9405204460966542E-2</v>
      </c>
      <c r="AP232" s="14">
        <f t="shared" si="56"/>
        <v>-5.9479553903345889E-4</v>
      </c>
      <c r="AQ232" s="25">
        <f>SUMIFS(инфо!$H$15:$H$28,инфо!$A$15:$A$28,F232)</f>
        <v>0</v>
      </c>
      <c r="AR232" s="26">
        <f t="shared" si="54"/>
        <v>0.17263843648208468</v>
      </c>
      <c r="AS232" s="14">
        <f t="shared" si="57"/>
        <v>0.17263843648208468</v>
      </c>
      <c r="AT232" s="25">
        <f>SUMIFS(инфо!$I$15:$I$28,инфо!$A$15:$A$28,F232)</f>
        <v>0.10100000000000001</v>
      </c>
      <c r="AU232" s="35">
        <f t="shared" si="62"/>
        <v>9.8513011152416355E-2</v>
      </c>
      <c r="AV232" s="14">
        <f t="shared" si="58"/>
        <v>-2.4869888475836516E-3</v>
      </c>
      <c r="AX232" s="69">
        <f>SUMIFS(инфо!$C$15:$C$28,инфо!$A$15:$A$28,F232)*H231</f>
        <v>52404.9</v>
      </c>
    </row>
    <row r="233" spans="1:50" x14ac:dyDescent="0.25">
      <c r="A233" s="70">
        <f t="shared" si="63"/>
        <v>46181</v>
      </c>
      <c r="B233" s="111" t="s">
        <v>670</v>
      </c>
      <c r="C233" s="29" t="s">
        <v>771</v>
      </c>
      <c r="D233" s="30" t="s">
        <v>83</v>
      </c>
      <c r="E233" s="83" t="s">
        <v>77</v>
      </c>
      <c r="F233" s="28" t="s">
        <v>15</v>
      </c>
      <c r="G233" s="81">
        <v>56</v>
      </c>
      <c r="H233" s="81">
        <v>2780</v>
      </c>
      <c r="I233" s="118">
        <f>IFERROR(H233*VLOOKUP(F233,инфо!$A$15:$C$28,3,FALSE)/1000,0)</f>
        <v>47.454599999999999</v>
      </c>
      <c r="J233" s="20">
        <v>2970</v>
      </c>
      <c r="K233" s="20">
        <v>3</v>
      </c>
      <c r="L233" s="20">
        <v>2</v>
      </c>
      <c r="M233" s="20">
        <v>237</v>
      </c>
      <c r="N233" s="28">
        <v>5576</v>
      </c>
      <c r="O233" s="27"/>
      <c r="P233" s="27"/>
      <c r="Q233" s="27">
        <v>17322</v>
      </c>
      <c r="R233" s="27">
        <v>17874</v>
      </c>
      <c r="S233" s="67">
        <f t="shared" si="59"/>
        <v>35196</v>
      </c>
      <c r="T233" s="29"/>
      <c r="U233" s="30"/>
      <c r="V233" s="27"/>
      <c r="W233" s="81">
        <v>1680</v>
      </c>
      <c r="X233" s="27"/>
      <c r="Y233" s="29">
        <v>550</v>
      </c>
      <c r="Z233" s="27"/>
      <c r="AA233" s="27">
        <v>110</v>
      </c>
      <c r="AB233" s="27"/>
      <c r="AC233" s="117">
        <v>560</v>
      </c>
      <c r="AD233" s="30">
        <v>255</v>
      </c>
      <c r="AE233" s="31">
        <f>SUMIFS(инфо!$D$15:$D$28,инфо!$A$15:$A$28,F233)</f>
        <v>201</v>
      </c>
      <c r="AF233" s="35">
        <f t="shared" si="50"/>
        <v>2.0057553956834533</v>
      </c>
      <c r="AG233" s="33">
        <f t="shared" si="60"/>
        <v>-198.99424460431655</v>
      </c>
      <c r="AH233" s="31">
        <f>SUMIFS(инфо!$E$15:$E$28,инфо!$A$15:$A$28,F233)</f>
        <v>13.01</v>
      </c>
      <c r="AI233" s="32">
        <f t="shared" si="51"/>
        <v>12.660431654676259</v>
      </c>
      <c r="AJ233" s="33">
        <f t="shared" si="61"/>
        <v>-0.34956834532374081</v>
      </c>
      <c r="AK233" s="31">
        <f>SUMIFS(инфо!$F$15:$F$28,инфо!$A$15:$A$28,F233)</f>
        <v>0.20100000000000001</v>
      </c>
      <c r="AL233" s="32">
        <f t="shared" si="52"/>
        <v>0.19784172661870503</v>
      </c>
      <c r="AM233" s="33">
        <f t="shared" si="55"/>
        <v>-3.1582733812949848E-3</v>
      </c>
      <c r="AN233" s="31">
        <f>SUMIFS(инфо!$G$15:$G$28,инфо!$A$15:$A$28,F233)</f>
        <v>0.04</v>
      </c>
      <c r="AO233" s="32">
        <f t="shared" si="53"/>
        <v>3.9568345323741004E-2</v>
      </c>
      <c r="AP233" s="33">
        <f t="shared" si="56"/>
        <v>-4.3165467625899678E-4</v>
      </c>
      <c r="AQ233" s="31">
        <f>SUMIFS(инфо!$H$15:$H$28,инфо!$A$15:$A$28,F233)</f>
        <v>0</v>
      </c>
      <c r="AR233" s="32">
        <f t="shared" si="54"/>
        <v>0.20817843866171004</v>
      </c>
      <c r="AS233" s="33">
        <f t="shared" si="57"/>
        <v>0.20817843866171004</v>
      </c>
      <c r="AT233" s="31">
        <f>SUMIFS(инфо!$I$15:$I$28,инфо!$A$15:$A$28,F233)</f>
        <v>0.10100000000000001</v>
      </c>
      <c r="AU233" s="35">
        <f t="shared" si="62"/>
        <v>9.172661870503597E-2</v>
      </c>
      <c r="AV233" s="33">
        <f t="shared" si="58"/>
        <v>-9.2733812949640365E-3</v>
      </c>
      <c r="AX233" s="67">
        <f>SUMIFS(инфо!$C$15:$C$28,инфо!$A$15:$A$28,F233)*H232</f>
        <v>45918.3</v>
      </c>
    </row>
    <row r="234" spans="1:50" x14ac:dyDescent="0.25">
      <c r="A234" s="70">
        <f t="shared" si="63"/>
        <v>46182</v>
      </c>
      <c r="B234" s="111" t="s">
        <v>673</v>
      </c>
      <c r="C234" s="15" t="s">
        <v>771</v>
      </c>
      <c r="D234" s="16" t="s">
        <v>82</v>
      </c>
      <c r="E234" s="83" t="s">
        <v>113</v>
      </c>
      <c r="F234" s="28" t="s">
        <v>15</v>
      </c>
      <c r="G234" s="81">
        <v>43</v>
      </c>
      <c r="H234" s="81">
        <v>2150</v>
      </c>
      <c r="I234" s="118">
        <f>IFERROR(H234*VLOOKUP(F234,инфо!$A$15:$C$28,3,FALSE)/1000,0)</f>
        <v>36.700499999999998</v>
      </c>
      <c r="J234" s="20">
        <v>1890</v>
      </c>
      <c r="K234" s="20">
        <v>4</v>
      </c>
      <c r="L234" s="20">
        <v>3</v>
      </c>
      <c r="M234" s="20">
        <v>48</v>
      </c>
      <c r="N234" s="20">
        <v>4337</v>
      </c>
      <c r="O234" s="34"/>
      <c r="P234" s="34"/>
      <c r="Q234" s="34">
        <v>13477</v>
      </c>
      <c r="R234" s="34">
        <v>14058</v>
      </c>
      <c r="S234" s="68">
        <f t="shared" si="59"/>
        <v>27535</v>
      </c>
      <c r="T234" s="15"/>
      <c r="U234" s="16"/>
      <c r="V234" s="34"/>
      <c r="W234" s="81">
        <v>1290</v>
      </c>
      <c r="X234" s="34"/>
      <c r="Y234" s="15">
        <v>430</v>
      </c>
      <c r="Z234" s="34"/>
      <c r="AA234" s="34">
        <v>86</v>
      </c>
      <c r="AB234" s="34"/>
      <c r="AC234" s="117">
        <v>430</v>
      </c>
      <c r="AD234" s="16">
        <v>215</v>
      </c>
      <c r="AE234" s="24">
        <f>SUMIFS(инфо!$D$15:$D$28,инфо!$A$15:$A$28,F234)</f>
        <v>201</v>
      </c>
      <c r="AF234" s="35">
        <f t="shared" si="50"/>
        <v>2.0172093023255813</v>
      </c>
      <c r="AG234" s="12">
        <f t="shared" si="60"/>
        <v>-198.98279069767443</v>
      </c>
      <c r="AH234" s="24">
        <f>SUMIFS(инфо!$E$15:$E$28,инфо!$A$15:$A$28,F234)</f>
        <v>13.01</v>
      </c>
      <c r="AI234" s="32">
        <f t="shared" si="51"/>
        <v>12.806976744186047</v>
      </c>
      <c r="AJ234" s="12">
        <f t="shared" si="61"/>
        <v>-0.20302325581395309</v>
      </c>
      <c r="AK234" s="24">
        <f>SUMIFS(инфо!$F$15:$F$28,инфо!$A$15:$A$28,F234)</f>
        <v>0.20100000000000001</v>
      </c>
      <c r="AL234" s="32">
        <f t="shared" si="52"/>
        <v>0.2</v>
      </c>
      <c r="AM234" s="12">
        <f t="shared" si="55"/>
        <v>-1.0000000000000009E-3</v>
      </c>
      <c r="AN234" s="24">
        <f>SUMIFS(инфо!$G$15:$G$28,инфо!$A$15:$A$28,F234)</f>
        <v>0.04</v>
      </c>
      <c r="AO234" s="32">
        <f t="shared" si="53"/>
        <v>0.04</v>
      </c>
      <c r="AP234" s="12">
        <f t="shared" si="56"/>
        <v>0</v>
      </c>
      <c r="AQ234" s="24">
        <f>SUMIFS(инфо!$H$15:$H$28,инфо!$A$15:$A$28,F234)</f>
        <v>0</v>
      </c>
      <c r="AR234" s="35">
        <f t="shared" si="54"/>
        <v>0.15467625899280577</v>
      </c>
      <c r="AS234" s="12">
        <f t="shared" si="57"/>
        <v>0.15467625899280577</v>
      </c>
      <c r="AT234" s="24">
        <f>SUMIFS(инфо!$I$15:$I$28,инфо!$A$15:$A$28,F234)</f>
        <v>0.10100000000000001</v>
      </c>
      <c r="AU234" s="35">
        <f t="shared" si="62"/>
        <v>0.1</v>
      </c>
      <c r="AV234" s="12">
        <f t="shared" si="58"/>
        <v>-1.0000000000000009E-3</v>
      </c>
      <c r="AX234" s="68">
        <f>SUMIFS(инфо!$C$15:$C$28,инфо!$A$15:$A$28,F234)*H233</f>
        <v>47454.6</v>
      </c>
    </row>
    <row r="235" spans="1:50" x14ac:dyDescent="0.25">
      <c r="A235" s="70">
        <f t="shared" si="63"/>
        <v>46182</v>
      </c>
      <c r="B235" s="111" t="s">
        <v>675</v>
      </c>
      <c r="C235" s="15" t="s">
        <v>771</v>
      </c>
      <c r="D235" s="16" t="s">
        <v>83</v>
      </c>
      <c r="E235" s="83" t="s">
        <v>114</v>
      </c>
      <c r="F235" s="28" t="s">
        <v>15</v>
      </c>
      <c r="G235" s="81">
        <v>63</v>
      </c>
      <c r="H235" s="81">
        <v>3140</v>
      </c>
      <c r="I235" s="118">
        <f>IFERROR(H235*VLOOKUP(F235,инфо!$A$15:$C$28,3,FALSE)/1000,0)</f>
        <v>53.599800000000002</v>
      </c>
      <c r="J235" s="20">
        <v>3240</v>
      </c>
      <c r="K235" s="20">
        <v>5</v>
      </c>
      <c r="L235" s="20"/>
      <c r="M235" s="20">
        <v>168</v>
      </c>
      <c r="N235" s="20">
        <v>6362</v>
      </c>
      <c r="O235" s="34"/>
      <c r="P235" s="34"/>
      <c r="Q235" s="34">
        <v>16050</v>
      </c>
      <c r="R235" s="34">
        <v>24247</v>
      </c>
      <c r="S235" s="68">
        <f t="shared" si="59"/>
        <v>40297</v>
      </c>
      <c r="T235" s="15"/>
      <c r="U235" s="16"/>
      <c r="V235" s="34"/>
      <c r="W235" s="81">
        <v>1890</v>
      </c>
      <c r="X235" s="34"/>
      <c r="Y235" s="15">
        <v>630</v>
      </c>
      <c r="Z235" s="34"/>
      <c r="AA235" s="34"/>
      <c r="AB235" s="34"/>
      <c r="AC235" s="117">
        <v>630</v>
      </c>
      <c r="AD235" s="16">
        <v>300</v>
      </c>
      <c r="AE235" s="24">
        <f>SUMIFS(инфо!$D$15:$D$28,инфо!$A$15:$A$28,F235)</f>
        <v>201</v>
      </c>
      <c r="AF235" s="35">
        <f t="shared" ref="AF235:AF300" si="64">IF(H235=0,0,N235/H235)</f>
        <v>2.0261146496815288</v>
      </c>
      <c r="AG235" s="12">
        <f t="shared" si="60"/>
        <v>-198.97388535031848</v>
      </c>
      <c r="AH235" s="24">
        <f>SUMIFS(инфо!$E$15:$E$28,инфо!$A$15:$A$28,F235)</f>
        <v>13.01</v>
      </c>
      <c r="AI235" s="32">
        <f t="shared" ref="AI235:AI300" si="65">IF(H235=0,0,S235/H235)</f>
        <v>12.83343949044586</v>
      </c>
      <c r="AJ235" s="12">
        <f t="shared" si="61"/>
        <v>-0.1765605095541396</v>
      </c>
      <c r="AK235" s="24">
        <f>SUMIFS(инфо!$F$15:$F$28,инфо!$A$15:$A$28,F235)</f>
        <v>0.20100000000000001</v>
      </c>
      <c r="AL235" s="32">
        <f t="shared" ref="AL235:AL300" si="66">IF(H235=0,0,Y235/H235)</f>
        <v>0.20063694267515925</v>
      </c>
      <c r="AM235" s="12">
        <f t="shared" si="55"/>
        <v>-3.6305732484076536E-4</v>
      </c>
      <c r="AN235" s="24">
        <f>SUMIFS(инфо!$G$15:$G$28,инфо!$A$15:$A$28,F235)</f>
        <v>0.04</v>
      </c>
      <c r="AO235" s="32">
        <f t="shared" ref="AO235:AO300" si="67">IF(H235=0,0,AA235/H235)</f>
        <v>0</v>
      </c>
      <c r="AP235" s="12">
        <f t="shared" si="56"/>
        <v>-0.04</v>
      </c>
      <c r="AQ235" s="24">
        <f>SUMIFS(инфо!$H$15:$H$28,инфо!$A$15:$A$28,F235)</f>
        <v>0</v>
      </c>
      <c r="AR235" s="35">
        <f t="shared" si="54"/>
        <v>0.2930232558139535</v>
      </c>
      <c r="AS235" s="12">
        <f t="shared" si="57"/>
        <v>0.2930232558139535</v>
      </c>
      <c r="AT235" s="24">
        <f>SUMIFS(инфо!$I$15:$I$28,инфо!$A$15:$A$28,F235)</f>
        <v>0.10100000000000001</v>
      </c>
      <c r="AU235" s="35">
        <f t="shared" si="62"/>
        <v>9.5541401273885357E-2</v>
      </c>
      <c r="AV235" s="12">
        <f t="shared" si="58"/>
        <v>-5.4585987261146496E-3</v>
      </c>
      <c r="AX235" s="68">
        <f>SUMIFS(инфо!$C$15:$C$28,инфо!$A$15:$A$28,F235)*H234</f>
        <v>36700.5</v>
      </c>
    </row>
    <row r="236" spans="1:50" x14ac:dyDescent="0.25">
      <c r="A236" s="70">
        <f>A234+1</f>
        <v>46183</v>
      </c>
      <c r="B236" s="111" t="s">
        <v>678</v>
      </c>
      <c r="C236" s="17" t="s">
        <v>771</v>
      </c>
      <c r="D236" s="18" t="s">
        <v>82</v>
      </c>
      <c r="E236" s="83" t="s">
        <v>75</v>
      </c>
      <c r="F236" s="28" t="s">
        <v>15</v>
      </c>
      <c r="G236" s="81">
        <v>12</v>
      </c>
      <c r="H236" s="81">
        <v>768</v>
      </c>
      <c r="I236" s="118">
        <f>IFERROR(H236*VLOOKUP(F236,инфо!$A$15:$C$28,3,FALSE)/1000,0)</f>
        <v>13.10976</v>
      </c>
      <c r="J236" s="20">
        <v>1350</v>
      </c>
      <c r="K236" s="20">
        <v>5</v>
      </c>
      <c r="L236" s="20">
        <v>7</v>
      </c>
      <c r="M236" s="20">
        <v>34</v>
      </c>
      <c r="N236" s="23">
        <v>1211</v>
      </c>
      <c r="O236" s="19"/>
      <c r="P236" s="19"/>
      <c r="Q236" s="19">
        <v>3850</v>
      </c>
      <c r="R236" s="19">
        <v>3833</v>
      </c>
      <c r="S236" s="69">
        <f t="shared" si="59"/>
        <v>7683</v>
      </c>
      <c r="T236" s="17"/>
      <c r="U236" s="18"/>
      <c r="V236" s="19"/>
      <c r="W236" s="81">
        <v>360</v>
      </c>
      <c r="X236" s="19"/>
      <c r="Y236" s="17">
        <v>120</v>
      </c>
      <c r="Z236" s="19"/>
      <c r="AA236" s="19">
        <v>24</v>
      </c>
      <c r="AB236" s="19"/>
      <c r="AC236" s="117">
        <v>120</v>
      </c>
      <c r="AD236" s="18">
        <v>60</v>
      </c>
      <c r="AE236" s="25">
        <f>SUMIFS(инфо!$D$15:$D$28,инфо!$A$15:$A$28,F236)</f>
        <v>201</v>
      </c>
      <c r="AF236" s="35">
        <f t="shared" si="64"/>
        <v>1.5768229166666667</v>
      </c>
      <c r="AG236" s="14">
        <f t="shared" si="60"/>
        <v>-199.42317708333334</v>
      </c>
      <c r="AH236" s="25">
        <f>SUMIFS(инфо!$E$15:$E$28,инфо!$A$15:$A$28,F236)</f>
        <v>13.01</v>
      </c>
      <c r="AI236" s="32">
        <f t="shared" si="65"/>
        <v>10.00390625</v>
      </c>
      <c r="AJ236" s="14">
        <f t="shared" si="61"/>
        <v>-3.0060937499999998</v>
      </c>
      <c r="AK236" s="25">
        <f>SUMIFS(инфо!$F$15:$F$28,инфо!$A$15:$A$28,F236)</f>
        <v>0.20100000000000001</v>
      </c>
      <c r="AL236" s="32">
        <f t="shared" si="66"/>
        <v>0.15625</v>
      </c>
      <c r="AM236" s="14">
        <f t="shared" si="55"/>
        <v>-4.4750000000000012E-2</v>
      </c>
      <c r="AN236" s="25">
        <f>SUMIFS(инфо!$G$15:$G$28,инфо!$A$15:$A$28,F236)</f>
        <v>0.04</v>
      </c>
      <c r="AO236" s="32">
        <f t="shared" si="67"/>
        <v>3.125E-2</v>
      </c>
      <c r="AP236" s="14">
        <f t="shared" si="56"/>
        <v>-8.7500000000000008E-3</v>
      </c>
      <c r="AQ236" s="25">
        <f>SUMIFS(инфо!$H$15:$H$28,инфо!$A$15:$A$28,F236)</f>
        <v>0</v>
      </c>
      <c r="AR236" s="26">
        <f>IF(H235=0,0,AC236/H235)</f>
        <v>3.8216560509554139E-2</v>
      </c>
      <c r="AS236" s="14">
        <f t="shared" si="57"/>
        <v>3.8216560509554139E-2</v>
      </c>
      <c r="AT236" s="25">
        <f>SUMIFS(инфо!$I$15:$I$28,инфо!$A$15:$A$28,F236)</f>
        <v>0.10100000000000001</v>
      </c>
      <c r="AU236" s="35">
        <f t="shared" si="62"/>
        <v>7.8125E-2</v>
      </c>
      <c r="AV236" s="14">
        <f t="shared" si="58"/>
        <v>-2.2875000000000006E-2</v>
      </c>
      <c r="AX236" s="69">
        <f>SUMIFS(инфо!$C$15:$C$28,инфо!$A$15:$A$28,F236)*H235</f>
        <v>53599.8</v>
      </c>
    </row>
    <row r="237" spans="1:50" x14ac:dyDescent="0.25">
      <c r="A237" s="70">
        <f>A235+1</f>
        <v>46183</v>
      </c>
      <c r="B237" s="111"/>
      <c r="C237" s="15"/>
      <c r="D237" s="16"/>
      <c r="E237" s="83" t="s">
        <v>75</v>
      </c>
      <c r="F237" s="28" t="s">
        <v>70</v>
      </c>
      <c r="G237" s="81">
        <v>2</v>
      </c>
      <c r="H237" s="81"/>
      <c r="I237" s="118">
        <f>IFERROR(H237*VLOOKUP(F237,инфо!$A$15:$C$28,3,FALSE)/1000,0)</f>
        <v>0</v>
      </c>
      <c r="J237" s="20"/>
      <c r="K237" s="20"/>
      <c r="L237" s="20"/>
      <c r="M237" s="20"/>
      <c r="N237" s="20">
        <v>203</v>
      </c>
      <c r="O237" s="34"/>
      <c r="P237" s="34"/>
      <c r="Q237" s="34">
        <v>642</v>
      </c>
      <c r="R237" s="34">
        <v>638</v>
      </c>
      <c r="S237" s="68">
        <f t="shared" si="59"/>
        <v>1280</v>
      </c>
      <c r="T237" s="15">
        <v>200</v>
      </c>
      <c r="U237" s="16">
        <v>1280</v>
      </c>
      <c r="V237" s="34"/>
      <c r="W237" s="81">
        <v>60</v>
      </c>
      <c r="X237" s="34"/>
      <c r="Y237" s="15">
        <v>20</v>
      </c>
      <c r="Z237" s="34"/>
      <c r="AA237" s="34">
        <v>4</v>
      </c>
      <c r="AB237" s="34"/>
      <c r="AC237" s="117">
        <v>20</v>
      </c>
      <c r="AD237" s="16">
        <v>10</v>
      </c>
      <c r="AE237" s="24"/>
      <c r="AF237" s="35"/>
      <c r="AG237" s="12"/>
      <c r="AH237" s="24"/>
      <c r="AI237" s="32"/>
      <c r="AJ237" s="12"/>
      <c r="AK237" s="24"/>
      <c r="AL237" s="32"/>
      <c r="AM237" s="12"/>
      <c r="AN237" s="24"/>
      <c r="AO237" s="32"/>
      <c r="AP237" s="12"/>
      <c r="AQ237" s="24"/>
      <c r="AR237" s="35"/>
      <c r="AS237" s="12"/>
      <c r="AT237" s="24"/>
      <c r="AU237" s="35"/>
      <c r="AV237" s="12"/>
      <c r="AX237" s="68"/>
    </row>
    <row r="238" spans="1:50" x14ac:dyDescent="0.25">
      <c r="A238" s="70">
        <f>A235+1</f>
        <v>46183</v>
      </c>
      <c r="B238" s="111" t="s">
        <v>679</v>
      </c>
      <c r="C238" s="29" t="s">
        <v>771</v>
      </c>
      <c r="D238" s="30" t="s">
        <v>83</v>
      </c>
      <c r="E238" s="83" t="s">
        <v>113</v>
      </c>
      <c r="F238" s="28" t="s">
        <v>70</v>
      </c>
      <c r="G238" s="81">
        <v>61</v>
      </c>
      <c r="H238" s="81">
        <v>2250</v>
      </c>
      <c r="I238" s="118">
        <f>IFERROR(H238*VLOOKUP(F238,инфо!$A$15:$C$28,3,FALSE)/1000,0)</f>
        <v>44.1</v>
      </c>
      <c r="J238" s="20">
        <v>1250</v>
      </c>
      <c r="K238" s="20">
        <v>2</v>
      </c>
      <c r="L238" s="20"/>
      <c r="M238" s="20">
        <v>71</v>
      </c>
      <c r="N238" s="28">
        <v>6037</v>
      </c>
      <c r="O238" s="27"/>
      <c r="P238" s="27"/>
      <c r="Q238" s="27">
        <v>20532</v>
      </c>
      <c r="R238" s="27">
        <v>18524</v>
      </c>
      <c r="S238" s="67">
        <f t="shared" si="59"/>
        <v>39056</v>
      </c>
      <c r="T238" s="29"/>
      <c r="U238" s="30"/>
      <c r="V238" s="27"/>
      <c r="W238" s="81">
        <v>1830</v>
      </c>
      <c r="X238" s="27"/>
      <c r="Y238" s="29">
        <v>610</v>
      </c>
      <c r="Z238" s="27"/>
      <c r="AA238" s="27">
        <v>122</v>
      </c>
      <c r="AB238" s="27"/>
      <c r="AC238" s="117">
        <v>610</v>
      </c>
      <c r="AD238" s="30">
        <v>300</v>
      </c>
      <c r="AE238" s="31">
        <f>SUMIFS(инфо!$D$15:$D$28,инфо!$A$15:$A$28,F238)</f>
        <v>2.31</v>
      </c>
      <c r="AF238" s="35">
        <f t="shared" si="64"/>
        <v>2.6831111111111112</v>
      </c>
      <c r="AG238" s="33">
        <f t="shared" si="60"/>
        <v>0.37311111111111117</v>
      </c>
      <c r="AH238" s="31">
        <f>SUMIFS(инфо!$E$15:$E$28,инфо!$A$15:$A$28,F238)</f>
        <v>14.93</v>
      </c>
      <c r="AI238" s="32">
        <f t="shared" si="65"/>
        <v>17.358222222222221</v>
      </c>
      <c r="AJ238" s="33">
        <f t="shared" si="61"/>
        <v>2.4282222222222209</v>
      </c>
      <c r="AK238" s="31">
        <f>SUMIFS(инфо!$F$15:$F$28,инфо!$A$15:$A$28,F238)</f>
        <v>0.23100000000000001</v>
      </c>
      <c r="AL238" s="32">
        <f t="shared" si="66"/>
        <v>0.27111111111111114</v>
      </c>
      <c r="AM238" s="33">
        <f t="shared" ref="AM238:AM302" si="68">AL238-AK238</f>
        <v>4.0111111111111125E-2</v>
      </c>
      <c r="AN238" s="31">
        <f>SUMIFS(инфо!$G$15:$G$28,инфо!$A$15:$A$28,F238)</f>
        <v>4.5999999999999999E-2</v>
      </c>
      <c r="AO238" s="32">
        <f t="shared" si="67"/>
        <v>5.422222222222222E-2</v>
      </c>
      <c r="AP238" s="33">
        <f t="shared" ref="AP238:AP302" si="69">AO238-AN238</f>
        <v>8.222222222222221E-3</v>
      </c>
      <c r="AQ238" s="31">
        <f>SUMIFS(инфо!$H$15:$H$28,инфо!$A$15:$A$28,F238)</f>
        <v>0</v>
      </c>
      <c r="AR238" s="32">
        <f>IF(H236=0,0,AC238/H236)</f>
        <v>0.79427083333333337</v>
      </c>
      <c r="AS238" s="33">
        <f t="shared" ref="AS238:AS302" si="70">AR238-AQ238</f>
        <v>0.79427083333333337</v>
      </c>
      <c r="AT238" s="31">
        <f>SUMIFS(инфо!$I$15:$I$28,инфо!$A$15:$A$28,F238)</f>
        <v>0.15</v>
      </c>
      <c r="AU238" s="35">
        <f t="shared" si="62"/>
        <v>0.13333333333333333</v>
      </c>
      <c r="AV238" s="33">
        <f t="shared" ref="AV238:AV302" si="71">AU238-AT238</f>
        <v>-1.6666666666666663E-2</v>
      </c>
      <c r="AX238" s="67">
        <f>SUMIFS(инфо!$C$15:$C$28,инфо!$A$15:$A$28,F238)*H236</f>
        <v>15052.800000000001</v>
      </c>
    </row>
    <row r="239" spans="1:50" x14ac:dyDescent="0.25">
      <c r="A239" s="70">
        <f>A236+1</f>
        <v>46184</v>
      </c>
      <c r="B239" s="111" t="s">
        <v>690</v>
      </c>
      <c r="C239" s="15" t="s">
        <v>771</v>
      </c>
      <c r="D239" s="16" t="s">
        <v>82</v>
      </c>
      <c r="E239" s="83" t="s">
        <v>77</v>
      </c>
      <c r="F239" s="28" t="s">
        <v>70</v>
      </c>
      <c r="G239" s="81">
        <v>54</v>
      </c>
      <c r="H239" s="81">
        <v>2280</v>
      </c>
      <c r="I239" s="118">
        <f>IFERROR(H239*VLOOKUP(F239,инфо!$A$15:$C$28,3,FALSE)/1000,0)</f>
        <v>44.688000000000002</v>
      </c>
      <c r="J239" s="20">
        <v>2000</v>
      </c>
      <c r="K239" s="20">
        <v>40</v>
      </c>
      <c r="L239" s="20">
        <v>9</v>
      </c>
      <c r="M239" s="20">
        <v>178</v>
      </c>
      <c r="N239" s="20">
        <v>5385</v>
      </c>
      <c r="O239" s="34"/>
      <c r="P239" s="34"/>
      <c r="Q239" s="34">
        <v>17327</v>
      </c>
      <c r="R239" s="34">
        <v>17243</v>
      </c>
      <c r="S239" s="68">
        <f t="shared" ref="S239:S303" si="72">SUM(O239:R239)</f>
        <v>34570</v>
      </c>
      <c r="T239" s="15"/>
      <c r="U239" s="16"/>
      <c r="V239" s="34"/>
      <c r="W239" s="81">
        <v>1620</v>
      </c>
      <c r="X239" s="34"/>
      <c r="Y239" s="15">
        <v>540</v>
      </c>
      <c r="Z239" s="34"/>
      <c r="AA239" s="34">
        <v>108</v>
      </c>
      <c r="AB239" s="34"/>
      <c r="AC239" s="117">
        <v>540</v>
      </c>
      <c r="AD239" s="16">
        <v>270</v>
      </c>
      <c r="AE239" s="24">
        <f>SUMIFS(инфо!$D$15:$D$28,инфо!$A$15:$A$28,F239)</f>
        <v>2.31</v>
      </c>
      <c r="AF239" s="35">
        <f t="shared" si="64"/>
        <v>2.361842105263158</v>
      </c>
      <c r="AG239" s="12">
        <f t="shared" si="60"/>
        <v>5.1842105263157912E-2</v>
      </c>
      <c r="AH239" s="24">
        <f>SUMIFS(инфо!$E$15:$E$28,инфо!$A$15:$A$28,F239)</f>
        <v>14.93</v>
      </c>
      <c r="AI239" s="32">
        <f t="shared" si="65"/>
        <v>15.162280701754385</v>
      </c>
      <c r="AJ239" s="12">
        <f t="shared" si="61"/>
        <v>0.23228070175438553</v>
      </c>
      <c r="AK239" s="24">
        <f>SUMIFS(инфо!$F$15:$F$28,инфо!$A$15:$A$28,F239)</f>
        <v>0.23100000000000001</v>
      </c>
      <c r="AL239" s="32">
        <f t="shared" si="66"/>
        <v>0.23684210526315788</v>
      </c>
      <c r="AM239" s="12">
        <f t="shared" si="68"/>
        <v>5.8421052631578707E-3</v>
      </c>
      <c r="AN239" s="24">
        <f>SUMIFS(инфо!$G$15:$G$28,инфо!$A$15:$A$28,F239)</f>
        <v>4.5999999999999999E-2</v>
      </c>
      <c r="AO239" s="32">
        <f t="shared" si="67"/>
        <v>4.736842105263158E-2</v>
      </c>
      <c r="AP239" s="12">
        <f t="shared" si="69"/>
        <v>1.3684210526315813E-3</v>
      </c>
      <c r="AQ239" s="24">
        <f>SUMIFS(инфо!$H$15:$H$28,инфо!$A$15:$A$28,F239)</f>
        <v>0</v>
      </c>
      <c r="AR239" s="35">
        <f t="shared" ref="AR239:AR301" si="73">IF(H238=0,0,AC239/H238)</f>
        <v>0.24</v>
      </c>
      <c r="AS239" s="12">
        <f t="shared" si="70"/>
        <v>0.24</v>
      </c>
      <c r="AT239" s="24">
        <f>SUMIFS(инфо!$I$15:$I$28,инфо!$A$15:$A$28,F239)</f>
        <v>0.15</v>
      </c>
      <c r="AU239" s="35">
        <f t="shared" si="62"/>
        <v>0.11842105263157894</v>
      </c>
      <c r="AV239" s="12">
        <f t="shared" si="71"/>
        <v>-3.1578947368421054E-2</v>
      </c>
      <c r="AX239" s="68">
        <f>SUMIFS(инфо!$C$15:$C$28,инфо!$A$15:$A$28,F239)*H238</f>
        <v>44100</v>
      </c>
    </row>
    <row r="240" spans="1:50" x14ac:dyDescent="0.25">
      <c r="A240" s="70">
        <f t="shared" si="63"/>
        <v>46184</v>
      </c>
      <c r="B240" s="111" t="s">
        <v>695</v>
      </c>
      <c r="C240" s="15" t="s">
        <v>771</v>
      </c>
      <c r="D240" s="16" t="s">
        <v>83</v>
      </c>
      <c r="E240" s="83" t="s">
        <v>75</v>
      </c>
      <c r="F240" s="28" t="s">
        <v>70</v>
      </c>
      <c r="G240" s="81">
        <v>72</v>
      </c>
      <c r="H240" s="81">
        <v>3200</v>
      </c>
      <c r="I240" s="118">
        <f>IFERROR(H240*VLOOKUP(F240,инфо!$A$15:$C$28,3,FALSE)/1000,0)</f>
        <v>62.720000000000006</v>
      </c>
      <c r="J240" s="20">
        <v>3000</v>
      </c>
      <c r="K240" s="20">
        <v>12</v>
      </c>
      <c r="L240" s="20"/>
      <c r="M240" s="20">
        <v>85</v>
      </c>
      <c r="N240" s="20">
        <v>7259</v>
      </c>
      <c r="O240" s="34"/>
      <c r="P240" s="34"/>
      <c r="Q240" s="34">
        <v>26312</v>
      </c>
      <c r="R240" s="34">
        <v>19595</v>
      </c>
      <c r="S240" s="68">
        <f t="shared" si="72"/>
        <v>45907</v>
      </c>
      <c r="T240" s="15"/>
      <c r="U240" s="16"/>
      <c r="V240" s="34"/>
      <c r="W240" s="81">
        <v>2160</v>
      </c>
      <c r="X240" s="34"/>
      <c r="Y240" s="15">
        <v>720</v>
      </c>
      <c r="Z240" s="34"/>
      <c r="AA240" s="34">
        <v>144</v>
      </c>
      <c r="AB240" s="34"/>
      <c r="AC240" s="117">
        <v>720</v>
      </c>
      <c r="AD240" s="16">
        <v>360</v>
      </c>
      <c r="AE240" s="24">
        <f>SUMIFS(инфо!$D$15:$D$28,инфо!$A$15:$A$28,F240)</f>
        <v>2.31</v>
      </c>
      <c r="AF240" s="35">
        <f t="shared" si="64"/>
        <v>2.2684375000000001</v>
      </c>
      <c r="AG240" s="12">
        <f t="shared" si="60"/>
        <v>-4.1562499999999947E-2</v>
      </c>
      <c r="AH240" s="24">
        <f>SUMIFS(инфо!$E$15:$E$28,инфо!$A$15:$A$28,F240)</f>
        <v>14.93</v>
      </c>
      <c r="AI240" s="32">
        <f t="shared" si="65"/>
        <v>14.3459375</v>
      </c>
      <c r="AJ240" s="12">
        <f t="shared" si="61"/>
        <v>-0.58406249999999993</v>
      </c>
      <c r="AK240" s="24">
        <f>SUMIFS(инфо!$F$15:$F$28,инфо!$A$15:$A$28,F240)</f>
        <v>0.23100000000000001</v>
      </c>
      <c r="AL240" s="32">
        <f t="shared" si="66"/>
        <v>0.22500000000000001</v>
      </c>
      <c r="AM240" s="12">
        <f t="shared" si="68"/>
        <v>-6.0000000000000053E-3</v>
      </c>
      <c r="AN240" s="24">
        <f>SUMIFS(инфо!$G$15:$G$28,инфо!$A$15:$A$28,F240)</f>
        <v>4.5999999999999999E-2</v>
      </c>
      <c r="AO240" s="32">
        <f t="shared" si="67"/>
        <v>4.4999999999999998E-2</v>
      </c>
      <c r="AP240" s="12">
        <f t="shared" si="69"/>
        <v>-1.0000000000000009E-3</v>
      </c>
      <c r="AQ240" s="24">
        <f>SUMIFS(инфо!$H$15:$H$28,инфо!$A$15:$A$28,F240)</f>
        <v>0</v>
      </c>
      <c r="AR240" s="35">
        <f t="shared" si="73"/>
        <v>0.31578947368421051</v>
      </c>
      <c r="AS240" s="12">
        <f t="shared" si="70"/>
        <v>0.31578947368421051</v>
      </c>
      <c r="AT240" s="24">
        <f>SUMIFS(инфо!$I$15:$I$28,инфо!$A$15:$A$28,F240)</f>
        <v>0.15</v>
      </c>
      <c r="AU240" s="35">
        <f t="shared" si="62"/>
        <v>0.1125</v>
      </c>
      <c r="AV240" s="12">
        <f t="shared" si="71"/>
        <v>-3.7499999999999992E-2</v>
      </c>
      <c r="AX240" s="68">
        <f>SUMIFS(инфо!$C$15:$C$28,инфо!$A$15:$A$28,F240)*H239</f>
        <v>44688</v>
      </c>
    </row>
    <row r="241" spans="1:50" x14ac:dyDescent="0.25">
      <c r="A241" s="70">
        <f t="shared" si="63"/>
        <v>46185</v>
      </c>
      <c r="B241" s="111" t="s">
        <v>699</v>
      </c>
      <c r="C241" s="17" t="s">
        <v>771</v>
      </c>
      <c r="D241" s="18" t="s">
        <v>82</v>
      </c>
      <c r="E241" s="83" t="s">
        <v>114</v>
      </c>
      <c r="F241" s="28" t="s">
        <v>70</v>
      </c>
      <c r="G241" s="81">
        <v>36</v>
      </c>
      <c r="H241" s="81">
        <v>1492</v>
      </c>
      <c r="I241" s="118">
        <f>IFERROR(H241*VLOOKUP(F241,инфо!$A$15:$C$28,3,FALSE)/1000,0)</f>
        <v>29.243200000000002</v>
      </c>
      <c r="J241" s="81">
        <v>2000</v>
      </c>
      <c r="K241" s="81">
        <v>3</v>
      </c>
      <c r="L241" s="81">
        <v>2</v>
      </c>
      <c r="M241" s="20">
        <v>105</v>
      </c>
      <c r="N241" s="23">
        <v>3663</v>
      </c>
      <c r="O241" s="19"/>
      <c r="P241" s="19"/>
      <c r="Q241" s="19">
        <v>14080</v>
      </c>
      <c r="R241" s="19">
        <v>8985</v>
      </c>
      <c r="S241" s="69">
        <f t="shared" si="72"/>
        <v>23065</v>
      </c>
      <c r="T241" s="17"/>
      <c r="U241" s="18"/>
      <c r="V241" s="19"/>
      <c r="W241" s="81">
        <v>1080</v>
      </c>
      <c r="X241" s="19">
        <v>9490</v>
      </c>
      <c r="Y241" s="17">
        <v>360</v>
      </c>
      <c r="Z241" s="19"/>
      <c r="AA241" s="19">
        <v>72</v>
      </c>
      <c r="AB241" s="19"/>
      <c r="AC241" s="117"/>
      <c r="AD241" s="18"/>
      <c r="AE241" s="25">
        <f>SUMIFS(инфо!$D$15:$D$28,инфо!$A$15:$A$28,F241)</f>
        <v>2.31</v>
      </c>
      <c r="AF241" s="35">
        <f t="shared" si="64"/>
        <v>2.4550938337801607</v>
      </c>
      <c r="AG241" s="14">
        <f t="shared" si="60"/>
        <v>0.14509383378016061</v>
      </c>
      <c r="AH241" s="25">
        <f>SUMIFS(инфо!$E$15:$E$28,инфо!$A$15:$A$28,F241)</f>
        <v>14.93</v>
      </c>
      <c r="AI241" s="32">
        <f t="shared" si="65"/>
        <v>15.45911528150134</v>
      </c>
      <c r="AJ241" s="14">
        <f t="shared" si="61"/>
        <v>0.52911528150134046</v>
      </c>
      <c r="AK241" s="25">
        <f>SUMIFS(инфо!$F$15:$F$28,инфо!$A$15:$A$28,F241)</f>
        <v>0.23100000000000001</v>
      </c>
      <c r="AL241" s="32">
        <f t="shared" si="66"/>
        <v>0.24128686327077747</v>
      </c>
      <c r="AM241" s="14">
        <f t="shared" si="68"/>
        <v>1.0286863270777463E-2</v>
      </c>
      <c r="AN241" s="25">
        <f>SUMIFS(инфо!$G$15:$G$28,инфо!$A$15:$A$28,F241)</f>
        <v>4.5999999999999999E-2</v>
      </c>
      <c r="AO241" s="32">
        <f t="shared" si="67"/>
        <v>4.8257372654155493E-2</v>
      </c>
      <c r="AP241" s="14">
        <f t="shared" si="69"/>
        <v>2.2573726541554942E-3</v>
      </c>
      <c r="AQ241" s="25">
        <f>SUMIFS(инфо!$H$15:$H$28,инфо!$A$15:$A$28,F241)</f>
        <v>0</v>
      </c>
      <c r="AR241" s="26">
        <f t="shared" si="73"/>
        <v>0</v>
      </c>
      <c r="AS241" s="14">
        <f t="shared" si="70"/>
        <v>0</v>
      </c>
      <c r="AT241" s="25">
        <f>SUMIFS(инфо!$I$15:$I$28,инфо!$A$15:$A$28,F241)</f>
        <v>0.15</v>
      </c>
      <c r="AU241" s="35">
        <f t="shared" si="62"/>
        <v>0</v>
      </c>
      <c r="AV241" s="14">
        <f t="shared" si="71"/>
        <v>-0.15</v>
      </c>
      <c r="AX241" s="69">
        <f>SUMIFS(инфо!$C$15:$C$28,инфо!$A$15:$A$28,F241)*H240</f>
        <v>62720.000000000007</v>
      </c>
    </row>
    <row r="242" spans="1:50" x14ac:dyDescent="0.25">
      <c r="A242" s="70">
        <f t="shared" si="63"/>
        <v>46185</v>
      </c>
      <c r="B242" s="111" t="s">
        <v>704</v>
      </c>
      <c r="C242" s="29" t="s">
        <v>771</v>
      </c>
      <c r="D242" s="30" t="s">
        <v>83</v>
      </c>
      <c r="E242" s="83" t="s">
        <v>77</v>
      </c>
      <c r="F242" s="28" t="s">
        <v>70</v>
      </c>
      <c r="G242" s="81">
        <v>51</v>
      </c>
      <c r="H242" s="81">
        <v>2296</v>
      </c>
      <c r="I242" s="118">
        <f>IFERROR(H242*VLOOKUP(F242,инфо!$A$15:$C$28,3,FALSE)/1000,0)</f>
        <v>45.001600000000003</v>
      </c>
      <c r="J242" s="20">
        <v>2000</v>
      </c>
      <c r="K242" s="20">
        <v>75</v>
      </c>
      <c r="L242" s="20">
        <v>9</v>
      </c>
      <c r="M242" s="20">
        <v>110</v>
      </c>
      <c r="N242" s="28">
        <v>5131</v>
      </c>
      <c r="O242" s="27"/>
      <c r="P242" s="27"/>
      <c r="Q242" s="27">
        <v>16678</v>
      </c>
      <c r="R242" s="27">
        <v>15990</v>
      </c>
      <c r="S242" s="67">
        <f t="shared" si="72"/>
        <v>32668</v>
      </c>
      <c r="T242" s="29"/>
      <c r="U242" s="30"/>
      <c r="V242" s="27"/>
      <c r="W242" s="81">
        <v>1530</v>
      </c>
      <c r="X242" s="27"/>
      <c r="Y242" s="29">
        <v>510</v>
      </c>
      <c r="Z242" s="27"/>
      <c r="AA242" s="27">
        <v>102</v>
      </c>
      <c r="AB242" s="27"/>
      <c r="AC242" s="117">
        <v>510</v>
      </c>
      <c r="AD242" s="30"/>
      <c r="AE242" s="31">
        <f>SUMIFS(инфо!$D$15:$D$28,инфо!$A$15:$A$28,F242)</f>
        <v>2.31</v>
      </c>
      <c r="AF242" s="35">
        <f t="shared" si="64"/>
        <v>2.2347560975609757</v>
      </c>
      <c r="AG242" s="33">
        <f t="shared" si="60"/>
        <v>-7.5243902439024346E-2</v>
      </c>
      <c r="AH242" s="31">
        <f>SUMIFS(инфо!$E$15:$E$28,инфо!$A$15:$A$28,F242)</f>
        <v>14.93</v>
      </c>
      <c r="AI242" s="32">
        <f t="shared" si="65"/>
        <v>14.228222996515679</v>
      </c>
      <c r="AJ242" s="33">
        <f t="shared" si="61"/>
        <v>-0.70177700348432026</v>
      </c>
      <c r="AK242" s="31">
        <f>SUMIFS(инфо!$F$15:$F$28,инфо!$A$15:$A$28,F242)</f>
        <v>0.23100000000000001</v>
      </c>
      <c r="AL242" s="32">
        <f t="shared" si="66"/>
        <v>0.22212543554006969</v>
      </c>
      <c r="AM242" s="33">
        <f t="shared" si="68"/>
        <v>-8.8745644599303175E-3</v>
      </c>
      <c r="AN242" s="31">
        <f>SUMIFS(инфо!$G$15:$G$28,инфо!$A$15:$A$28,F242)</f>
        <v>4.5999999999999999E-2</v>
      </c>
      <c r="AO242" s="32">
        <f t="shared" si="67"/>
        <v>4.442508710801394E-2</v>
      </c>
      <c r="AP242" s="33">
        <f t="shared" si="69"/>
        <v>-1.5749128919860592E-3</v>
      </c>
      <c r="AQ242" s="31">
        <f>SUMIFS(инфо!$H$15:$H$28,инфо!$A$15:$A$28,F242)</f>
        <v>0</v>
      </c>
      <c r="AR242" s="32">
        <f t="shared" si="73"/>
        <v>0.3418230563002681</v>
      </c>
      <c r="AS242" s="33">
        <f t="shared" si="70"/>
        <v>0.3418230563002681</v>
      </c>
      <c r="AT242" s="31">
        <f>SUMIFS(инфо!$I$15:$I$28,инфо!$A$15:$A$28,F242)</f>
        <v>0.15</v>
      </c>
      <c r="AU242" s="35">
        <f t="shared" si="62"/>
        <v>0</v>
      </c>
      <c r="AV242" s="33">
        <f t="shared" si="71"/>
        <v>-0.15</v>
      </c>
      <c r="AX242" s="67">
        <f>SUMIFS(инфо!$C$15:$C$28,инфо!$A$15:$A$28,F242)*H241</f>
        <v>29243.200000000001</v>
      </c>
    </row>
    <row r="243" spans="1:50" x14ac:dyDescent="0.25">
      <c r="A243" s="70">
        <f t="shared" si="63"/>
        <v>46186</v>
      </c>
      <c r="B243" s="111" t="s">
        <v>708</v>
      </c>
      <c r="C243" s="15" t="s">
        <v>771</v>
      </c>
      <c r="D243" s="16" t="s">
        <v>82</v>
      </c>
      <c r="E243" s="83" t="s">
        <v>113</v>
      </c>
      <c r="F243" s="28" t="s">
        <v>70</v>
      </c>
      <c r="G243" s="81">
        <v>28</v>
      </c>
      <c r="H243" s="81">
        <v>1180</v>
      </c>
      <c r="I243" s="118">
        <f>IFERROR(H243*VLOOKUP(F243,инфо!$A$15:$C$28,3,FALSE)/1000,0)</f>
        <v>23.128</v>
      </c>
      <c r="J243" s="20">
        <v>1000</v>
      </c>
      <c r="K243" s="20">
        <v>142</v>
      </c>
      <c r="L243" s="20">
        <v>11</v>
      </c>
      <c r="M243" s="20">
        <v>200</v>
      </c>
      <c r="N243" s="20">
        <v>2813</v>
      </c>
      <c r="O243" s="34"/>
      <c r="P243" s="34"/>
      <c r="Q243" s="34">
        <v>8982</v>
      </c>
      <c r="R243" s="34">
        <v>1401</v>
      </c>
      <c r="S243" s="68">
        <f t="shared" si="72"/>
        <v>10383</v>
      </c>
      <c r="T243" s="15"/>
      <c r="U243" s="16"/>
      <c r="V243" s="34"/>
      <c r="W243" s="81">
        <v>840</v>
      </c>
      <c r="X243" s="34"/>
      <c r="Y243" s="15">
        <v>280</v>
      </c>
      <c r="Z243" s="34"/>
      <c r="AA243" s="34">
        <v>56</v>
      </c>
      <c r="AB243" s="34"/>
      <c r="AC243" s="117">
        <v>280</v>
      </c>
      <c r="AD243" s="16">
        <v>140</v>
      </c>
      <c r="AE243" s="24">
        <f>SUMIFS(инфо!$D$15:$D$28,инфо!$A$15:$A$28,F243)</f>
        <v>2.31</v>
      </c>
      <c r="AF243" s="35">
        <f t="shared" si="64"/>
        <v>2.3838983050847458</v>
      </c>
      <c r="AG243" s="12">
        <f t="shared" si="60"/>
        <v>7.3898305084745708E-2</v>
      </c>
      <c r="AH243" s="24">
        <f>SUMIFS(инфо!$E$15:$E$28,инфо!$A$15:$A$28,F243)</f>
        <v>14.93</v>
      </c>
      <c r="AI243" s="32">
        <f t="shared" si="65"/>
        <v>8.799152542372882</v>
      </c>
      <c r="AJ243" s="12">
        <f t="shared" si="61"/>
        <v>-6.1308474576271177</v>
      </c>
      <c r="AK243" s="24">
        <f>SUMIFS(инфо!$F$15:$F$28,инфо!$A$15:$A$28,F243)</f>
        <v>0.23100000000000001</v>
      </c>
      <c r="AL243" s="32">
        <f t="shared" si="66"/>
        <v>0.23728813559322035</v>
      </c>
      <c r="AM243" s="12">
        <f t="shared" si="68"/>
        <v>6.2881355932203342E-3</v>
      </c>
      <c r="AN243" s="24">
        <f>SUMIFS(инфо!$G$15:$G$28,инфо!$A$15:$A$28,F243)</f>
        <v>4.5999999999999999E-2</v>
      </c>
      <c r="AO243" s="32">
        <f t="shared" si="67"/>
        <v>4.7457627118644069E-2</v>
      </c>
      <c r="AP243" s="12">
        <f t="shared" si="69"/>
        <v>1.4576271186440698E-3</v>
      </c>
      <c r="AQ243" s="24">
        <f>SUMIFS(инфо!$H$15:$H$28,инфо!$A$15:$A$28,F243)</f>
        <v>0</v>
      </c>
      <c r="AR243" s="35">
        <f t="shared" si="73"/>
        <v>0.12195121951219512</v>
      </c>
      <c r="AS243" s="12">
        <f t="shared" si="70"/>
        <v>0.12195121951219512</v>
      </c>
      <c r="AT243" s="24">
        <f>SUMIFS(инфо!$I$15:$I$28,инфо!$A$15:$A$28,F243)</f>
        <v>0.15</v>
      </c>
      <c r="AU243" s="35">
        <f t="shared" si="62"/>
        <v>0.11864406779661017</v>
      </c>
      <c r="AV243" s="12">
        <f t="shared" si="71"/>
        <v>-3.1355932203389822E-2</v>
      </c>
      <c r="AX243" s="68">
        <f>SUMIFS(инфо!$C$15:$C$28,инфо!$A$15:$A$28,F243)*H242</f>
        <v>45001.600000000006</v>
      </c>
    </row>
    <row r="244" spans="1:50" x14ac:dyDescent="0.25">
      <c r="A244" s="70">
        <f t="shared" si="63"/>
        <v>46186</v>
      </c>
      <c r="B244" s="111" t="s">
        <v>712</v>
      </c>
      <c r="C244" s="15" t="s">
        <v>771</v>
      </c>
      <c r="D244" s="16" t="s">
        <v>83</v>
      </c>
      <c r="E244" s="83" t="s">
        <v>114</v>
      </c>
      <c r="F244" s="28" t="s">
        <v>70</v>
      </c>
      <c r="G244" s="81">
        <v>50</v>
      </c>
      <c r="H244" s="81">
        <v>2050</v>
      </c>
      <c r="I244" s="118">
        <f>IFERROR(H244*VLOOKUP(F244,инфо!$A$15:$C$28,3,FALSE)/1000,0)</f>
        <v>40.18</v>
      </c>
      <c r="J244" s="20">
        <v>1750</v>
      </c>
      <c r="K244" s="20">
        <v>8</v>
      </c>
      <c r="L244" s="20"/>
      <c r="M244" s="20">
        <v>104</v>
      </c>
      <c r="N244" s="20">
        <v>5014</v>
      </c>
      <c r="O244" s="34"/>
      <c r="P244" s="34"/>
      <c r="Q244" s="34">
        <v>16041</v>
      </c>
      <c r="R244" s="34">
        <v>15987</v>
      </c>
      <c r="S244" s="68">
        <f t="shared" si="72"/>
        <v>32028</v>
      </c>
      <c r="T244" s="15"/>
      <c r="U244" s="16"/>
      <c r="V244" s="34"/>
      <c r="W244" s="81">
        <v>1500</v>
      </c>
      <c r="X244" s="34"/>
      <c r="Y244" s="15">
        <v>500</v>
      </c>
      <c r="Z244" s="34"/>
      <c r="AA244" s="34">
        <v>100</v>
      </c>
      <c r="AB244" s="34"/>
      <c r="AC244" s="117">
        <v>220</v>
      </c>
      <c r="AD244" s="16">
        <v>250</v>
      </c>
      <c r="AE244" s="24">
        <f>SUMIFS(инфо!$D$15:$D$28,инфо!$A$15:$A$28,F244)</f>
        <v>2.31</v>
      </c>
      <c r="AF244" s="35">
        <f t="shared" si="64"/>
        <v>2.4458536585365853</v>
      </c>
      <c r="AG244" s="12">
        <f t="shared" si="60"/>
        <v>0.13585365853658526</v>
      </c>
      <c r="AH244" s="24">
        <f>SUMIFS(инфо!$E$15:$E$28,инфо!$A$15:$A$28,F244)</f>
        <v>14.93</v>
      </c>
      <c r="AI244" s="32">
        <f t="shared" si="65"/>
        <v>15.623414634146341</v>
      </c>
      <c r="AJ244" s="12">
        <f t="shared" si="61"/>
        <v>0.69341463414634141</v>
      </c>
      <c r="AK244" s="24">
        <f>SUMIFS(инфо!$F$15:$F$28,инфо!$A$15:$A$28,F244)</f>
        <v>0.23100000000000001</v>
      </c>
      <c r="AL244" s="32">
        <f t="shared" si="66"/>
        <v>0.24390243902439024</v>
      </c>
      <c r="AM244" s="12">
        <f t="shared" si="68"/>
        <v>1.2902439024390228E-2</v>
      </c>
      <c r="AN244" s="24">
        <f>SUMIFS(инфо!$G$15:$G$28,инфо!$A$15:$A$28,F244)</f>
        <v>4.5999999999999999E-2</v>
      </c>
      <c r="AO244" s="32">
        <f t="shared" si="67"/>
        <v>4.878048780487805E-2</v>
      </c>
      <c r="AP244" s="12">
        <f t="shared" si="69"/>
        <v>2.7804878048780513E-3</v>
      </c>
      <c r="AQ244" s="24">
        <f>SUMIFS(инфо!$H$15:$H$28,инфо!$A$15:$A$28,F244)</f>
        <v>0</v>
      </c>
      <c r="AR244" s="35">
        <f t="shared" si="73"/>
        <v>0.1864406779661017</v>
      </c>
      <c r="AS244" s="12">
        <f t="shared" si="70"/>
        <v>0.1864406779661017</v>
      </c>
      <c r="AT244" s="24">
        <f>SUMIFS(инфо!$I$15:$I$28,инфо!$A$15:$A$28,F244)</f>
        <v>0.15</v>
      </c>
      <c r="AU244" s="35">
        <f t="shared" si="62"/>
        <v>0.12195121951219512</v>
      </c>
      <c r="AV244" s="12">
        <f t="shared" si="71"/>
        <v>-2.8048780487804875E-2</v>
      </c>
      <c r="AX244" s="68">
        <f>SUMIFS(инфо!$C$15:$C$28,инфо!$A$15:$A$28,F244)*H243</f>
        <v>23128</v>
      </c>
    </row>
    <row r="245" spans="1:50" x14ac:dyDescent="0.25">
      <c r="A245" s="70">
        <f t="shared" si="63"/>
        <v>46187</v>
      </c>
      <c r="B245" s="111" t="s">
        <v>713</v>
      </c>
      <c r="C245" s="17" t="s">
        <v>771</v>
      </c>
      <c r="D245" s="18" t="s">
        <v>82</v>
      </c>
      <c r="E245" s="83" t="s">
        <v>75</v>
      </c>
      <c r="F245" s="28" t="s">
        <v>70</v>
      </c>
      <c r="G245" s="81">
        <v>46</v>
      </c>
      <c r="H245" s="81">
        <v>2000</v>
      </c>
      <c r="I245" s="118">
        <f>IFERROR(H245*VLOOKUP(F245,инфо!$A$15:$C$28,3,FALSE)/1000,0)</f>
        <v>39.200000000000003</v>
      </c>
      <c r="J245" s="20">
        <v>2250</v>
      </c>
      <c r="K245" s="20">
        <v>46</v>
      </c>
      <c r="L245" s="20"/>
      <c r="M245" s="20">
        <v>200</v>
      </c>
      <c r="N245" s="23">
        <v>4584</v>
      </c>
      <c r="O245" s="19"/>
      <c r="P245" s="19"/>
      <c r="Q245" s="19">
        <v>14764</v>
      </c>
      <c r="R245" s="19">
        <v>14702</v>
      </c>
      <c r="S245" s="69">
        <f t="shared" si="72"/>
        <v>29466</v>
      </c>
      <c r="T245" s="17"/>
      <c r="U245" s="18"/>
      <c r="V245" s="19"/>
      <c r="W245" s="81">
        <v>1380</v>
      </c>
      <c r="X245" s="19"/>
      <c r="Y245" s="17">
        <v>460</v>
      </c>
      <c r="Z245" s="19"/>
      <c r="AA245" s="19">
        <v>92</v>
      </c>
      <c r="AB245" s="19"/>
      <c r="AC245" s="117"/>
      <c r="AD245" s="18">
        <v>230</v>
      </c>
      <c r="AE245" s="25">
        <f>SUMIFS(инфо!$D$15:$D$28,инфо!$A$15:$A$28,F245)</f>
        <v>2.31</v>
      </c>
      <c r="AF245" s="35">
        <f t="shared" si="64"/>
        <v>2.2919999999999998</v>
      </c>
      <c r="AG245" s="14">
        <f t="shared" si="60"/>
        <v>-1.8000000000000238E-2</v>
      </c>
      <c r="AH245" s="25">
        <f>SUMIFS(инфо!$E$15:$E$28,инфо!$A$15:$A$28,F245)</f>
        <v>14.93</v>
      </c>
      <c r="AI245" s="32">
        <f t="shared" si="65"/>
        <v>14.733000000000001</v>
      </c>
      <c r="AJ245" s="14">
        <f t="shared" si="61"/>
        <v>-0.19699999999999918</v>
      </c>
      <c r="AK245" s="25">
        <f>SUMIFS(инфо!$F$15:$F$28,инфо!$A$15:$A$28,F245)</f>
        <v>0.23100000000000001</v>
      </c>
      <c r="AL245" s="32">
        <f t="shared" si="66"/>
        <v>0.23</v>
      </c>
      <c r="AM245" s="14">
        <f t="shared" si="68"/>
        <v>-1.0000000000000009E-3</v>
      </c>
      <c r="AN245" s="25">
        <f>SUMIFS(инфо!$G$15:$G$28,инфо!$A$15:$A$28,F245)</f>
        <v>4.5999999999999999E-2</v>
      </c>
      <c r="AO245" s="32">
        <f t="shared" si="67"/>
        <v>4.5999999999999999E-2</v>
      </c>
      <c r="AP245" s="14">
        <f t="shared" si="69"/>
        <v>0</v>
      </c>
      <c r="AQ245" s="25">
        <f>SUMIFS(инфо!$H$15:$H$28,инфо!$A$15:$A$28,F245)</f>
        <v>0</v>
      </c>
      <c r="AR245" s="26">
        <f t="shared" si="73"/>
        <v>0</v>
      </c>
      <c r="AS245" s="14">
        <f t="shared" si="70"/>
        <v>0</v>
      </c>
      <c r="AT245" s="25">
        <f>SUMIFS(инфо!$I$15:$I$28,инфо!$A$15:$A$28,F245)</f>
        <v>0.15</v>
      </c>
      <c r="AU245" s="35">
        <f t="shared" si="62"/>
        <v>0.115</v>
      </c>
      <c r="AV245" s="14">
        <f t="shared" si="71"/>
        <v>-3.4999999999999989E-2</v>
      </c>
      <c r="AX245" s="69">
        <f>SUMIFS(инфо!$C$15:$C$28,инфо!$A$15:$A$28,F245)*H244</f>
        <v>40180</v>
      </c>
    </row>
    <row r="246" spans="1:50" x14ac:dyDescent="0.25">
      <c r="A246" s="70">
        <f t="shared" si="63"/>
        <v>46187</v>
      </c>
      <c r="B246" s="111" t="s">
        <v>717</v>
      </c>
      <c r="C246" s="29" t="s">
        <v>771</v>
      </c>
      <c r="D246" s="30" t="s">
        <v>83</v>
      </c>
      <c r="E246" s="83" t="s">
        <v>113</v>
      </c>
      <c r="F246" s="28" t="s">
        <v>70</v>
      </c>
      <c r="G246" s="81">
        <v>65</v>
      </c>
      <c r="H246" s="81">
        <v>2730</v>
      </c>
      <c r="I246" s="118">
        <f>IFERROR(H246*VLOOKUP(F246,инфо!$A$15:$C$28,3,FALSE)/1000,0)</f>
        <v>53.50800000000001</v>
      </c>
      <c r="J246" s="20">
        <v>2750</v>
      </c>
      <c r="K246" s="20">
        <v>7</v>
      </c>
      <c r="L246" s="20">
        <v>10</v>
      </c>
      <c r="M246" s="20">
        <v>126</v>
      </c>
      <c r="N246" s="28">
        <v>6492</v>
      </c>
      <c r="O246" s="27"/>
      <c r="P246" s="27"/>
      <c r="Q246" s="27">
        <v>21098</v>
      </c>
      <c r="R246" s="27">
        <v>20454</v>
      </c>
      <c r="S246" s="67">
        <f t="shared" si="72"/>
        <v>41552</v>
      </c>
      <c r="T246" s="29"/>
      <c r="U246" s="30"/>
      <c r="V246" s="27"/>
      <c r="W246" s="81">
        <v>1950</v>
      </c>
      <c r="X246" s="27"/>
      <c r="Y246" s="29">
        <v>650</v>
      </c>
      <c r="Z246" s="27"/>
      <c r="AA246" s="27">
        <v>130</v>
      </c>
      <c r="AB246" s="27"/>
      <c r="AC246" s="117"/>
      <c r="AD246" s="30">
        <v>325</v>
      </c>
      <c r="AE246" s="31">
        <f>SUMIFS(инфо!$D$15:$D$28,инфо!$A$15:$A$28,F246)</f>
        <v>2.31</v>
      </c>
      <c r="AF246" s="35">
        <f t="shared" si="64"/>
        <v>2.378021978021978</v>
      </c>
      <c r="AG246" s="33">
        <f t="shared" si="60"/>
        <v>6.8021978021977958E-2</v>
      </c>
      <c r="AH246" s="31">
        <f>SUMIFS(инфо!$E$15:$E$28,инфо!$A$15:$A$28,F246)</f>
        <v>14.93</v>
      </c>
      <c r="AI246" s="32">
        <f t="shared" si="65"/>
        <v>15.22051282051282</v>
      </c>
      <c r="AJ246" s="33">
        <f t="shared" si="61"/>
        <v>0.29051282051282001</v>
      </c>
      <c r="AK246" s="31">
        <f>SUMIFS(инфо!$F$15:$F$28,инфо!$A$15:$A$28,F246)</f>
        <v>0.23100000000000001</v>
      </c>
      <c r="AL246" s="32">
        <f t="shared" si="66"/>
        <v>0.23809523809523808</v>
      </c>
      <c r="AM246" s="33">
        <f t="shared" si="68"/>
        <v>7.0952380952380711E-3</v>
      </c>
      <c r="AN246" s="31">
        <f>SUMIFS(инфо!$G$15:$G$28,инфо!$A$15:$A$28,F246)</f>
        <v>4.5999999999999999E-2</v>
      </c>
      <c r="AO246" s="32">
        <f t="shared" si="67"/>
        <v>4.7619047619047616E-2</v>
      </c>
      <c r="AP246" s="33">
        <f t="shared" si="69"/>
        <v>1.6190476190476172E-3</v>
      </c>
      <c r="AQ246" s="31">
        <f>SUMIFS(инфо!$H$15:$H$28,инфо!$A$15:$A$28,F246)</f>
        <v>0</v>
      </c>
      <c r="AR246" s="32">
        <f t="shared" si="73"/>
        <v>0</v>
      </c>
      <c r="AS246" s="33">
        <f t="shared" si="70"/>
        <v>0</v>
      </c>
      <c r="AT246" s="31">
        <f>SUMIFS(инфо!$I$15:$I$28,инфо!$A$15:$A$28,F246)</f>
        <v>0.15</v>
      </c>
      <c r="AU246" s="35">
        <f t="shared" si="62"/>
        <v>0.11904761904761904</v>
      </c>
      <c r="AV246" s="33">
        <f t="shared" si="71"/>
        <v>-3.0952380952380953E-2</v>
      </c>
      <c r="AX246" s="67">
        <f>SUMIFS(инфо!$C$15:$C$28,инфо!$A$15:$A$28,F246)*H245</f>
        <v>39200</v>
      </c>
    </row>
    <row r="247" spans="1:50" x14ac:dyDescent="0.25">
      <c r="A247" s="70">
        <f t="shared" si="63"/>
        <v>46188</v>
      </c>
      <c r="B247" s="111" t="s">
        <v>719</v>
      </c>
      <c r="C247" s="15" t="s">
        <v>771</v>
      </c>
      <c r="D247" s="16" t="s">
        <v>82</v>
      </c>
      <c r="E247" s="83" t="s">
        <v>77</v>
      </c>
      <c r="F247" s="28" t="s">
        <v>70</v>
      </c>
      <c r="G247" s="81">
        <v>5</v>
      </c>
      <c r="H247" s="81">
        <v>150</v>
      </c>
      <c r="I247" s="118">
        <f>IFERROR(H247*VLOOKUP(F247,инфо!$A$15:$C$28,3,FALSE)/1000,0)</f>
        <v>2.94</v>
      </c>
      <c r="J247" s="20">
        <v>1250</v>
      </c>
      <c r="K247" s="20">
        <v>62</v>
      </c>
      <c r="L247" s="20">
        <v>1</v>
      </c>
      <c r="M247" s="20">
        <v>37</v>
      </c>
      <c r="N247" s="20">
        <v>500</v>
      </c>
      <c r="O247" s="34"/>
      <c r="P247" s="34"/>
      <c r="Q247" s="34">
        <v>1920</v>
      </c>
      <c r="R247" s="34">
        <v>1280</v>
      </c>
      <c r="S247" s="68">
        <f t="shared" si="72"/>
        <v>3200</v>
      </c>
      <c r="T247" s="15"/>
      <c r="U247" s="16"/>
      <c r="V247" s="34"/>
      <c r="W247" s="81">
        <v>150</v>
      </c>
      <c r="X247" s="34"/>
      <c r="Y247" s="15">
        <v>50</v>
      </c>
      <c r="Z247" s="34"/>
      <c r="AA247" s="34">
        <v>10</v>
      </c>
      <c r="AB247" s="34"/>
      <c r="AC247" s="117"/>
      <c r="AD247" s="16">
        <v>130</v>
      </c>
      <c r="AE247" s="24">
        <f>SUMIFS(инфо!$D$15:$D$28,инфо!$A$15:$A$28,F247)</f>
        <v>2.31</v>
      </c>
      <c r="AF247" s="35">
        <f t="shared" si="64"/>
        <v>3.3333333333333335</v>
      </c>
      <c r="AG247" s="12">
        <f t="shared" si="60"/>
        <v>1.0233333333333334</v>
      </c>
      <c r="AH247" s="24">
        <f>SUMIFS(инфо!$E$15:$E$28,инфо!$A$15:$A$28,F247)</f>
        <v>14.93</v>
      </c>
      <c r="AI247" s="32">
        <f t="shared" si="65"/>
        <v>21.333333333333332</v>
      </c>
      <c r="AJ247" s="12">
        <f t="shared" si="61"/>
        <v>6.4033333333333324</v>
      </c>
      <c r="AK247" s="24">
        <f>SUMIFS(инфо!$F$15:$F$28,инфо!$A$15:$A$28,F247)</f>
        <v>0.23100000000000001</v>
      </c>
      <c r="AL247" s="32">
        <f t="shared" si="66"/>
        <v>0.33333333333333331</v>
      </c>
      <c r="AM247" s="12">
        <f t="shared" si="68"/>
        <v>0.1023333333333333</v>
      </c>
      <c r="AN247" s="24">
        <f>SUMIFS(инфо!$G$15:$G$28,инфо!$A$15:$A$28,F247)</f>
        <v>4.5999999999999999E-2</v>
      </c>
      <c r="AO247" s="32">
        <f t="shared" si="67"/>
        <v>6.6666666666666666E-2</v>
      </c>
      <c r="AP247" s="12">
        <f t="shared" si="69"/>
        <v>2.0666666666666667E-2</v>
      </c>
      <c r="AQ247" s="24">
        <f>SUMIFS(инфо!$H$15:$H$28,инфо!$A$15:$A$28,F247)</f>
        <v>0</v>
      </c>
      <c r="AR247" s="35">
        <f t="shared" si="73"/>
        <v>0</v>
      </c>
      <c r="AS247" s="12">
        <f t="shared" si="70"/>
        <v>0</v>
      </c>
      <c r="AT247" s="24">
        <f>SUMIFS(инфо!$I$15:$I$28,инфо!$A$15:$A$28,F247)</f>
        <v>0.15</v>
      </c>
      <c r="AU247" s="35">
        <f t="shared" si="62"/>
        <v>0.8666666666666667</v>
      </c>
      <c r="AV247" s="12">
        <f t="shared" si="71"/>
        <v>0.71666666666666667</v>
      </c>
      <c r="AX247" s="68">
        <f>SUMIFS(инфо!$C$15:$C$28,инфо!$A$15:$A$28,F247)*H246</f>
        <v>53508.000000000007</v>
      </c>
    </row>
    <row r="248" spans="1:50" x14ac:dyDescent="0.25">
      <c r="A248" s="70">
        <f t="shared" si="63"/>
        <v>46188</v>
      </c>
      <c r="B248" s="111" t="s">
        <v>719</v>
      </c>
      <c r="C248" s="15" t="s">
        <v>771</v>
      </c>
      <c r="D248" s="16" t="s">
        <v>82</v>
      </c>
      <c r="E248" s="83" t="s">
        <v>77</v>
      </c>
      <c r="F248" s="28" t="s">
        <v>71</v>
      </c>
      <c r="G248" s="81">
        <v>21</v>
      </c>
      <c r="H248" s="81">
        <v>950</v>
      </c>
      <c r="I248" s="118">
        <f>IFERROR(H248*VLOOKUP(F248,инфо!$A$15:$C$28,3,FALSE)/1000,0)</f>
        <v>18.62</v>
      </c>
      <c r="J248" s="20"/>
      <c r="K248" s="20"/>
      <c r="L248" s="20"/>
      <c r="M248" s="20">
        <v>100</v>
      </c>
      <c r="N248" s="20">
        <v>2085</v>
      </c>
      <c r="O248" s="34"/>
      <c r="P248" s="34"/>
      <c r="Q248" s="34">
        <v>6416</v>
      </c>
      <c r="R248" s="34">
        <v>7026</v>
      </c>
      <c r="S248" s="68">
        <f t="shared" si="72"/>
        <v>13442</v>
      </c>
      <c r="T248" s="15"/>
      <c r="U248" s="16"/>
      <c r="V248" s="34"/>
      <c r="W248" s="81">
        <v>630</v>
      </c>
      <c r="X248" s="34"/>
      <c r="Y248" s="15">
        <v>210</v>
      </c>
      <c r="Z248" s="34"/>
      <c r="AA248" s="34">
        <v>42</v>
      </c>
      <c r="AB248" s="34"/>
      <c r="AC248" s="117"/>
      <c r="AD248" s="16"/>
      <c r="AE248" s="24">
        <f>SUMIFS(инфо!$D$15:$D$28,инфо!$A$15:$A$28,F248)</f>
        <v>2.31</v>
      </c>
      <c r="AF248" s="35">
        <f t="shared" si="64"/>
        <v>2.1947368421052631</v>
      </c>
      <c r="AG248" s="12">
        <f t="shared" si="60"/>
        <v>-0.11526315789473696</v>
      </c>
      <c r="AH248" s="24">
        <f>SUMIFS(инфо!$E$15:$E$28,инфо!$A$15:$A$28,F248)</f>
        <v>14.93</v>
      </c>
      <c r="AI248" s="32">
        <f t="shared" si="65"/>
        <v>14.149473684210527</v>
      </c>
      <c r="AJ248" s="12">
        <f t="shared" si="61"/>
        <v>-0.78052631578947285</v>
      </c>
      <c r="AK248" s="24">
        <f>SUMIFS(инфо!$F$15:$F$28,инфо!$A$15:$A$28,F248)</f>
        <v>0.23100000000000001</v>
      </c>
      <c r="AL248" s="32">
        <f t="shared" si="66"/>
        <v>0.22105263157894736</v>
      </c>
      <c r="AM248" s="12">
        <f t="shared" si="68"/>
        <v>-9.9473684210526492E-3</v>
      </c>
      <c r="AN248" s="24">
        <f>SUMIFS(инфо!$G$15:$G$28,инфо!$A$15:$A$28,F248)</f>
        <v>4.5999999999999999E-2</v>
      </c>
      <c r="AO248" s="32">
        <f t="shared" si="67"/>
        <v>4.4210526315789471E-2</v>
      </c>
      <c r="AP248" s="12">
        <f t="shared" si="69"/>
        <v>-1.7894736842105283E-3</v>
      </c>
      <c r="AQ248" s="24">
        <f>SUMIFS(инфо!$H$15:$H$28,инфо!$A$15:$A$28,F248)</f>
        <v>0</v>
      </c>
      <c r="AR248" s="35">
        <f t="shared" si="73"/>
        <v>0</v>
      </c>
      <c r="AS248" s="12">
        <f t="shared" si="70"/>
        <v>0</v>
      </c>
      <c r="AT248" s="24">
        <f>SUMIFS(инфо!$I$15:$I$28,инфо!$A$15:$A$28,F248)</f>
        <v>0.15</v>
      </c>
      <c r="AU248" s="35">
        <f t="shared" si="62"/>
        <v>0</v>
      </c>
      <c r="AV248" s="12">
        <f t="shared" si="71"/>
        <v>-0.15</v>
      </c>
      <c r="AX248" s="68">
        <f>SUMIFS(инфо!$C$15:$C$28,инфо!$A$15:$A$28,F248)*H247</f>
        <v>2940</v>
      </c>
    </row>
    <row r="249" spans="1:50" x14ac:dyDescent="0.25">
      <c r="A249" s="70">
        <v>46188</v>
      </c>
      <c r="B249" s="111" t="s">
        <v>726</v>
      </c>
      <c r="C249" s="15" t="s">
        <v>771</v>
      </c>
      <c r="D249" s="16" t="s">
        <v>83</v>
      </c>
      <c r="E249" s="83" t="s">
        <v>75</v>
      </c>
      <c r="F249" s="28" t="s">
        <v>71</v>
      </c>
      <c r="G249" s="81">
        <v>62</v>
      </c>
      <c r="H249" s="81">
        <v>2600</v>
      </c>
      <c r="I249" s="118">
        <f>IFERROR(H249*VLOOKUP(F249,инфо!$A$15:$C$28,3,FALSE)/1000,0)</f>
        <v>50.960000000000008</v>
      </c>
      <c r="J249" s="20">
        <v>2250</v>
      </c>
      <c r="K249" s="20">
        <v>9</v>
      </c>
      <c r="L249" s="20"/>
      <c r="M249" s="20">
        <v>272</v>
      </c>
      <c r="N249" s="20">
        <v>6241</v>
      </c>
      <c r="O249" s="34"/>
      <c r="P249" s="34"/>
      <c r="Q249" s="34">
        <v>19218</v>
      </c>
      <c r="R249" s="34">
        <v>20441</v>
      </c>
      <c r="S249" s="68">
        <f t="shared" si="72"/>
        <v>39659</v>
      </c>
      <c r="T249" s="15"/>
      <c r="U249" s="16"/>
      <c r="V249" s="34"/>
      <c r="W249" s="81">
        <v>1860</v>
      </c>
      <c r="X249" s="34"/>
      <c r="Y249" s="15">
        <v>620</v>
      </c>
      <c r="Z249" s="34"/>
      <c r="AA249" s="34">
        <v>124</v>
      </c>
      <c r="AB249" s="34"/>
      <c r="AC249" s="117"/>
      <c r="AD249" s="16">
        <v>310</v>
      </c>
      <c r="AE249" s="24"/>
      <c r="AF249" s="35">
        <f t="shared" si="64"/>
        <v>2.4003846153846156</v>
      </c>
      <c r="AG249" s="12"/>
      <c r="AH249" s="24"/>
      <c r="AI249" s="32">
        <f t="shared" si="65"/>
        <v>15.253461538461538</v>
      </c>
      <c r="AJ249" s="12"/>
      <c r="AK249" s="24"/>
      <c r="AL249" s="32">
        <f t="shared" si="66"/>
        <v>0.23846153846153847</v>
      </c>
      <c r="AM249" s="12"/>
      <c r="AN249" s="24"/>
      <c r="AO249" s="32">
        <f t="shared" si="67"/>
        <v>4.7692307692307694E-2</v>
      </c>
      <c r="AP249" s="12"/>
      <c r="AQ249" s="24"/>
      <c r="AR249" s="35"/>
      <c r="AS249" s="12"/>
      <c r="AT249" s="24"/>
      <c r="AU249" s="35"/>
      <c r="AV249" s="12"/>
      <c r="AX249" s="68"/>
    </row>
    <row r="250" spans="1:50" x14ac:dyDescent="0.25">
      <c r="A250" s="70">
        <f>A247+1</f>
        <v>46189</v>
      </c>
      <c r="B250" s="111" t="s">
        <v>728</v>
      </c>
      <c r="C250" s="17" t="s">
        <v>771</v>
      </c>
      <c r="D250" s="18" t="s">
        <v>82</v>
      </c>
      <c r="E250" s="83" t="s">
        <v>114</v>
      </c>
      <c r="F250" s="28" t="s">
        <v>71</v>
      </c>
      <c r="G250" s="81">
        <v>31</v>
      </c>
      <c r="H250" s="81">
        <v>1198</v>
      </c>
      <c r="I250" s="118">
        <f>IFERROR(H250*VLOOKUP(F250,инфо!$A$15:$C$28,3,FALSE)/1000,0)</f>
        <v>23.480800000000002</v>
      </c>
      <c r="J250" s="20">
        <v>1250</v>
      </c>
      <c r="K250" s="20">
        <v>9</v>
      </c>
      <c r="L250" s="20">
        <v>3</v>
      </c>
      <c r="M250" s="20">
        <v>56</v>
      </c>
      <c r="N250" s="23">
        <v>3157</v>
      </c>
      <c r="O250" s="19"/>
      <c r="P250" s="19"/>
      <c r="Q250" s="19">
        <v>9631</v>
      </c>
      <c r="R250" s="19">
        <v>10228</v>
      </c>
      <c r="S250" s="69">
        <f t="shared" si="72"/>
        <v>19859</v>
      </c>
      <c r="T250" s="17"/>
      <c r="U250" s="18"/>
      <c r="V250" s="19"/>
      <c r="W250" s="81">
        <v>930</v>
      </c>
      <c r="X250" s="19"/>
      <c r="Y250" s="17">
        <v>310</v>
      </c>
      <c r="Z250" s="19"/>
      <c r="AA250" s="19">
        <v>62</v>
      </c>
      <c r="AB250" s="19"/>
      <c r="AC250" s="117"/>
      <c r="AD250" s="18"/>
      <c r="AE250" s="25">
        <f>SUMIFS(инфо!$D$15:$D$28,инфо!$A$15:$A$28,F250)</f>
        <v>2.31</v>
      </c>
      <c r="AF250" s="35">
        <f t="shared" si="64"/>
        <v>2.6352253756260433</v>
      </c>
      <c r="AG250" s="14">
        <f t="shared" si="60"/>
        <v>0.32522537562604326</v>
      </c>
      <c r="AH250" s="25">
        <f>SUMIFS(инфо!$E$15:$E$28,инфо!$A$15:$A$28,F250)</f>
        <v>14.93</v>
      </c>
      <c r="AI250" s="32">
        <f t="shared" si="65"/>
        <v>16.576794657762939</v>
      </c>
      <c r="AJ250" s="14">
        <f t="shared" si="61"/>
        <v>1.6467946577629391</v>
      </c>
      <c r="AK250" s="25">
        <f>SUMIFS(инфо!$F$15:$F$28,инфо!$A$15:$A$28,F250)</f>
        <v>0.23100000000000001</v>
      </c>
      <c r="AL250" s="32">
        <f t="shared" si="66"/>
        <v>0.2587646076794658</v>
      </c>
      <c r="AM250" s="14">
        <f t="shared" si="68"/>
        <v>2.7764607679465786E-2</v>
      </c>
      <c r="AN250" s="25">
        <f>SUMIFS(инфо!$G$15:$G$28,инфо!$A$15:$A$28,F250)</f>
        <v>4.5999999999999999E-2</v>
      </c>
      <c r="AO250" s="32">
        <f t="shared" si="67"/>
        <v>5.1752921535893157E-2</v>
      </c>
      <c r="AP250" s="14">
        <f t="shared" si="69"/>
        <v>5.7529215358931574E-3</v>
      </c>
      <c r="AQ250" s="25">
        <f>SUMIFS(инфо!$H$15:$H$28,инфо!$A$15:$A$28,F250)</f>
        <v>0</v>
      </c>
      <c r="AR250" s="26">
        <f>IF(H248=0,0,AC250/H248)</f>
        <v>0</v>
      </c>
      <c r="AS250" s="14">
        <f t="shared" si="70"/>
        <v>0</v>
      </c>
      <c r="AT250" s="25">
        <f>SUMIFS(инфо!$I$15:$I$28,инфо!$A$15:$A$28,F250)</f>
        <v>0.15</v>
      </c>
      <c r="AU250" s="35">
        <f t="shared" si="62"/>
        <v>0</v>
      </c>
      <c r="AV250" s="14">
        <f t="shared" si="71"/>
        <v>-0.15</v>
      </c>
      <c r="AX250" s="69">
        <f>SUMIFS(инфо!$C$15:$C$28,инфо!$A$15:$A$28,F250)*H248</f>
        <v>18620</v>
      </c>
    </row>
    <row r="251" spans="1:50" x14ac:dyDescent="0.25">
      <c r="A251" s="70">
        <f>A248+1</f>
        <v>46189</v>
      </c>
      <c r="B251" s="111" t="s">
        <v>730</v>
      </c>
      <c r="C251" s="29" t="s">
        <v>771</v>
      </c>
      <c r="D251" s="30" t="s">
        <v>83</v>
      </c>
      <c r="E251" s="83" t="s">
        <v>77</v>
      </c>
      <c r="F251" s="28" t="s">
        <v>71</v>
      </c>
      <c r="G251" s="81">
        <v>57</v>
      </c>
      <c r="H251" s="81">
        <v>2210</v>
      </c>
      <c r="I251" s="118">
        <f>IFERROR(H251*VLOOKUP(F251,инфо!$A$15:$C$28,3,FALSE)/1000,0)</f>
        <v>43.316000000000003</v>
      </c>
      <c r="J251" s="20">
        <v>2500</v>
      </c>
      <c r="K251" s="20">
        <v>1</v>
      </c>
      <c r="L251" s="20">
        <v>1</v>
      </c>
      <c r="M251" s="20">
        <v>150</v>
      </c>
      <c r="N251" s="28">
        <v>5752</v>
      </c>
      <c r="O251" s="27"/>
      <c r="P251" s="27"/>
      <c r="Q251" s="27">
        <v>18594</v>
      </c>
      <c r="R251" s="27">
        <v>17886</v>
      </c>
      <c r="S251" s="67">
        <f t="shared" si="72"/>
        <v>36480</v>
      </c>
      <c r="T251" s="29"/>
      <c r="U251" s="30"/>
      <c r="V251" s="27"/>
      <c r="W251" s="81">
        <v>1710</v>
      </c>
      <c r="X251" s="27"/>
      <c r="Y251" s="29">
        <v>570</v>
      </c>
      <c r="Z251" s="27"/>
      <c r="AA251" s="27">
        <v>114</v>
      </c>
      <c r="AB251" s="27"/>
      <c r="AC251" s="117"/>
      <c r="AD251" s="30">
        <v>285</v>
      </c>
      <c r="AE251" s="31">
        <f>SUMIFS(инфо!$D$15:$D$28,инфо!$A$15:$A$28,F251)</f>
        <v>2.31</v>
      </c>
      <c r="AF251" s="35">
        <f t="shared" si="64"/>
        <v>2.6027149321266969</v>
      </c>
      <c r="AG251" s="33">
        <f t="shared" si="60"/>
        <v>0.29271493212669686</v>
      </c>
      <c r="AH251" s="31">
        <f>SUMIFS(инфо!$E$15:$E$28,инфо!$A$15:$A$28,F251)</f>
        <v>14.93</v>
      </c>
      <c r="AI251" s="32">
        <f t="shared" si="65"/>
        <v>16.506787330316744</v>
      </c>
      <c r="AJ251" s="33">
        <f t="shared" si="61"/>
        <v>1.5767873303167441</v>
      </c>
      <c r="AK251" s="31">
        <f>SUMIFS(инфо!$F$15:$F$28,инфо!$A$15:$A$28,F251)</f>
        <v>0.23100000000000001</v>
      </c>
      <c r="AL251" s="32">
        <f t="shared" si="66"/>
        <v>0.25791855203619912</v>
      </c>
      <c r="AM251" s="33">
        <f t="shared" si="68"/>
        <v>2.6918552036199112E-2</v>
      </c>
      <c r="AN251" s="31">
        <f>SUMIFS(инфо!$G$15:$G$28,инфо!$A$15:$A$28,F251)</f>
        <v>4.5999999999999999E-2</v>
      </c>
      <c r="AO251" s="32">
        <f t="shared" si="67"/>
        <v>5.1583710407239816E-2</v>
      </c>
      <c r="AP251" s="33">
        <f t="shared" si="69"/>
        <v>5.5837104072398169E-3</v>
      </c>
      <c r="AQ251" s="31">
        <f>SUMIFS(инфо!$H$15:$H$28,инфо!$A$15:$A$28,F251)</f>
        <v>0</v>
      </c>
      <c r="AR251" s="32">
        <f t="shared" si="73"/>
        <v>0</v>
      </c>
      <c r="AS251" s="33">
        <f t="shared" si="70"/>
        <v>0</v>
      </c>
      <c r="AT251" s="31">
        <f>SUMIFS(инфо!$I$15:$I$28,инфо!$A$15:$A$28,F251)</f>
        <v>0.15</v>
      </c>
      <c r="AU251" s="35">
        <f t="shared" si="62"/>
        <v>0.12895927601809956</v>
      </c>
      <c r="AV251" s="33">
        <f t="shared" si="71"/>
        <v>-2.1040723981900433E-2</v>
      </c>
      <c r="AX251" s="67">
        <f>SUMIFS(инфо!$C$15:$C$28,инфо!$A$15:$A$28,F251)*H250</f>
        <v>23480.800000000003</v>
      </c>
    </row>
    <row r="252" spans="1:50" x14ac:dyDescent="0.25">
      <c r="A252" s="70">
        <f t="shared" si="63"/>
        <v>46190</v>
      </c>
      <c r="B252" s="111" t="s">
        <v>733</v>
      </c>
      <c r="C252" s="15" t="s">
        <v>771</v>
      </c>
      <c r="D252" s="16" t="s">
        <v>82</v>
      </c>
      <c r="E252" s="83" t="s">
        <v>113</v>
      </c>
      <c r="F252" s="28" t="s">
        <v>71</v>
      </c>
      <c r="G252" s="81">
        <v>59</v>
      </c>
      <c r="H252" s="81">
        <v>2290</v>
      </c>
      <c r="I252" s="118">
        <f>IFERROR(H252*VLOOKUP(F252,инфо!$A$15:$C$28,3,FALSE)/1000,0)</f>
        <v>44.884</v>
      </c>
      <c r="J252" s="20">
        <v>2250</v>
      </c>
      <c r="K252" s="20">
        <v>3</v>
      </c>
      <c r="L252" s="20">
        <v>5</v>
      </c>
      <c r="M252" s="20">
        <v>70</v>
      </c>
      <c r="N252" s="20">
        <v>5918</v>
      </c>
      <c r="O252" s="34"/>
      <c r="P252" s="34"/>
      <c r="Q252" s="34">
        <v>19879</v>
      </c>
      <c r="R252" s="34">
        <v>17884</v>
      </c>
      <c r="S252" s="68">
        <f t="shared" si="72"/>
        <v>37763</v>
      </c>
      <c r="T252" s="15"/>
      <c r="U252" s="16"/>
      <c r="V252" s="34"/>
      <c r="W252" s="81">
        <v>1770</v>
      </c>
      <c r="X252" s="34"/>
      <c r="Y252" s="15">
        <v>590</v>
      </c>
      <c r="Z252" s="34"/>
      <c r="AA252" s="34">
        <v>118</v>
      </c>
      <c r="AB252" s="34"/>
      <c r="AC252" s="117"/>
      <c r="AD252" s="16">
        <v>295</v>
      </c>
      <c r="AE252" s="24">
        <f>SUMIFS(инфо!$D$15:$D$28,инфо!$A$15:$A$28,F252)</f>
        <v>2.31</v>
      </c>
      <c r="AF252" s="35">
        <f t="shared" si="64"/>
        <v>2.5842794759825329</v>
      </c>
      <c r="AG252" s="12">
        <f t="shared" si="60"/>
        <v>0.27427947598253288</v>
      </c>
      <c r="AH252" s="24">
        <f>SUMIFS(инфо!$E$15:$E$28,инфо!$A$15:$A$28,F252)</f>
        <v>14.93</v>
      </c>
      <c r="AI252" s="32">
        <f t="shared" si="65"/>
        <v>16.490393013100437</v>
      </c>
      <c r="AJ252" s="12">
        <f t="shared" si="61"/>
        <v>1.5603930131004375</v>
      </c>
      <c r="AK252" s="24">
        <f>SUMIFS(инфо!$F$15:$F$28,инфо!$A$15:$A$28,F252)</f>
        <v>0.23100000000000001</v>
      </c>
      <c r="AL252" s="32">
        <f t="shared" si="66"/>
        <v>0.2576419213973799</v>
      </c>
      <c r="AM252" s="12">
        <f t="shared" si="68"/>
        <v>2.6641921397379892E-2</v>
      </c>
      <c r="AN252" s="24">
        <f>SUMIFS(инфо!$G$15:$G$28,инфо!$A$15:$A$28,F252)</f>
        <v>4.5999999999999999E-2</v>
      </c>
      <c r="AO252" s="32">
        <f t="shared" si="67"/>
        <v>5.1528384279475981E-2</v>
      </c>
      <c r="AP252" s="12">
        <f t="shared" si="69"/>
        <v>5.5283842794759813E-3</v>
      </c>
      <c r="AQ252" s="24">
        <f>SUMIFS(инфо!$H$15:$H$28,инфо!$A$15:$A$28,F252)</f>
        <v>0</v>
      </c>
      <c r="AR252" s="35">
        <f t="shared" si="73"/>
        <v>0</v>
      </c>
      <c r="AS252" s="12">
        <f t="shared" si="70"/>
        <v>0</v>
      </c>
      <c r="AT252" s="24">
        <f>SUMIFS(инфо!$I$15:$I$28,инфо!$A$15:$A$28,F252)</f>
        <v>0.15</v>
      </c>
      <c r="AU252" s="35">
        <f t="shared" si="62"/>
        <v>0.12882096069868995</v>
      </c>
      <c r="AV252" s="12">
        <f t="shared" si="71"/>
        <v>-2.1179039301310043E-2</v>
      </c>
      <c r="AX252" s="68">
        <f>SUMIFS(инфо!$C$15:$C$28,инфо!$A$15:$A$28,F252)*H251</f>
        <v>43316</v>
      </c>
    </row>
    <row r="253" spans="1:50" x14ac:dyDescent="0.25">
      <c r="A253" s="70">
        <f t="shared" si="63"/>
        <v>46190</v>
      </c>
      <c r="B253" s="111" t="s">
        <v>736</v>
      </c>
      <c r="C253" s="15" t="s">
        <v>771</v>
      </c>
      <c r="D253" s="16" t="s">
        <v>82</v>
      </c>
      <c r="E253" s="83" t="s">
        <v>114</v>
      </c>
      <c r="F253" s="28" t="s">
        <v>71</v>
      </c>
      <c r="G253" s="81">
        <v>65</v>
      </c>
      <c r="H253" s="81">
        <v>2430</v>
      </c>
      <c r="I253" s="118">
        <f>IFERROR(H253*VLOOKUP(F253,инфо!$A$15:$C$28,3,FALSE)/1000,0)</f>
        <v>47.628</v>
      </c>
      <c r="J253" s="20">
        <v>1750</v>
      </c>
      <c r="K253" s="20">
        <v>1</v>
      </c>
      <c r="L253" s="20">
        <v>4</v>
      </c>
      <c r="M253" s="20">
        <v>196</v>
      </c>
      <c r="N253" s="20">
        <v>6428</v>
      </c>
      <c r="O253" s="34"/>
      <c r="P253" s="34"/>
      <c r="Q253" s="34">
        <v>20532</v>
      </c>
      <c r="R253" s="34">
        <v>21092</v>
      </c>
      <c r="S253" s="68">
        <f>SUM(O253:R253)</f>
        <v>41624</v>
      </c>
      <c r="T253" s="15"/>
      <c r="U253" s="16"/>
      <c r="V253" s="34"/>
      <c r="W253" s="81">
        <v>1950</v>
      </c>
      <c r="X253" s="34"/>
      <c r="Y253" s="15">
        <v>650</v>
      </c>
      <c r="Z253" s="34"/>
      <c r="AA253" s="34">
        <v>130</v>
      </c>
      <c r="AB253" s="34"/>
      <c r="AC253" s="117"/>
      <c r="AD253" s="16">
        <v>325</v>
      </c>
      <c r="AE253" s="24">
        <f>SUMIFS(инфо!$D$15:$D$28,инфо!$A$15:$A$28,F253)</f>
        <v>2.31</v>
      </c>
      <c r="AF253" s="35">
        <f t="shared" si="64"/>
        <v>2.6452674897119342</v>
      </c>
      <c r="AG253" s="12">
        <f t="shared" ref="AG253:AG316" si="74">AF253-AE253</f>
        <v>0.3352674897119341</v>
      </c>
      <c r="AH253" s="24">
        <f>SUMIFS(инфо!$E$15:$E$28,инфо!$A$15:$A$28,F253)</f>
        <v>14.93</v>
      </c>
      <c r="AI253" s="32">
        <f t="shared" si="65"/>
        <v>17.129218106995886</v>
      </c>
      <c r="AJ253" s="12">
        <f t="shared" ref="AJ253:AJ316" si="75">AI253-AH253</f>
        <v>2.199218106995886</v>
      </c>
      <c r="AK253" s="24">
        <f>SUMIFS(инфо!$F$15:$F$28,инфо!$A$15:$A$28,F253)</f>
        <v>0.23100000000000001</v>
      </c>
      <c r="AL253" s="32">
        <f t="shared" si="66"/>
        <v>0.26748971193415638</v>
      </c>
      <c r="AM253" s="12">
        <f t="shared" si="68"/>
        <v>3.6489711934156371E-2</v>
      </c>
      <c r="AN253" s="24">
        <f>SUMIFS(инфо!$G$15:$G$28,инфо!$A$15:$A$28,F253)</f>
        <v>4.5999999999999999E-2</v>
      </c>
      <c r="AO253" s="32">
        <f t="shared" si="67"/>
        <v>5.3497942386831275E-2</v>
      </c>
      <c r="AP253" s="12">
        <f t="shared" si="69"/>
        <v>7.4979423868312758E-3</v>
      </c>
      <c r="AQ253" s="24">
        <f>SUMIFS(инфо!$H$15:$H$28,инфо!$A$15:$A$28,F253)</f>
        <v>0</v>
      </c>
      <c r="AR253" s="35">
        <f t="shared" si="73"/>
        <v>0</v>
      </c>
      <c r="AS253" s="12">
        <f t="shared" si="70"/>
        <v>0</v>
      </c>
      <c r="AT253" s="24">
        <f>SUMIFS(инфо!$I$15:$I$28,инфо!$A$15:$A$28,F253)</f>
        <v>0.15</v>
      </c>
      <c r="AU253" s="35">
        <f t="shared" si="62"/>
        <v>0.13374485596707819</v>
      </c>
      <c r="AV253" s="12">
        <f t="shared" si="71"/>
        <v>-1.6255144032921803E-2</v>
      </c>
      <c r="AX253" s="68">
        <f>SUMIFS(инфо!$C$15:$C$28,инфо!$A$15:$A$28,F253)*H252</f>
        <v>44884</v>
      </c>
    </row>
    <row r="254" spans="1:50" x14ac:dyDescent="0.25">
      <c r="A254" s="70">
        <f t="shared" si="63"/>
        <v>46191</v>
      </c>
      <c r="B254" s="111" t="s">
        <v>739</v>
      </c>
      <c r="C254" s="17" t="s">
        <v>771</v>
      </c>
      <c r="D254" s="18" t="s">
        <v>82</v>
      </c>
      <c r="E254" s="83" t="s">
        <v>75</v>
      </c>
      <c r="F254" s="28" t="s">
        <v>71</v>
      </c>
      <c r="G254" s="81">
        <v>21</v>
      </c>
      <c r="H254" s="81">
        <v>940</v>
      </c>
      <c r="I254" s="118">
        <f>IFERROR(H254*VLOOKUP(F254,инфо!$A$15:$C$28,3,FALSE)/1000,0)</f>
        <v>18.423999999999999</v>
      </c>
      <c r="J254" s="20">
        <v>1500</v>
      </c>
      <c r="K254" s="20">
        <v>5</v>
      </c>
      <c r="L254" s="20"/>
      <c r="M254" s="20">
        <v>180</v>
      </c>
      <c r="N254" s="23">
        <v>2072</v>
      </c>
      <c r="O254" s="19"/>
      <c r="P254" s="19"/>
      <c r="Q254" s="19">
        <v>7040</v>
      </c>
      <c r="R254" s="19">
        <v>6393</v>
      </c>
      <c r="S254" s="69">
        <f t="shared" si="72"/>
        <v>13433</v>
      </c>
      <c r="T254" s="17"/>
      <c r="U254" s="18"/>
      <c r="V254" s="19"/>
      <c r="W254" s="81">
        <v>630</v>
      </c>
      <c r="X254" s="19"/>
      <c r="Y254" s="17">
        <v>210</v>
      </c>
      <c r="Z254" s="19"/>
      <c r="AA254" s="19">
        <v>42</v>
      </c>
      <c r="AB254" s="19"/>
      <c r="AC254" s="117"/>
      <c r="AD254" s="18">
        <v>30</v>
      </c>
      <c r="AE254" s="25">
        <f>SUMIFS(инфо!$D$15:$D$28,инфо!$A$15:$A$28,F254)</f>
        <v>2.31</v>
      </c>
      <c r="AF254" s="35">
        <f t="shared" si="64"/>
        <v>2.204255319148936</v>
      </c>
      <c r="AG254" s="14">
        <f t="shared" si="74"/>
        <v>-0.10574468085106403</v>
      </c>
      <c r="AH254" s="25">
        <f>SUMIFS(инфо!$E$15:$E$28,инфо!$A$15:$A$28,F254)</f>
        <v>14.93</v>
      </c>
      <c r="AI254" s="32">
        <f t="shared" si="65"/>
        <v>14.290425531914893</v>
      </c>
      <c r="AJ254" s="14">
        <f t="shared" si="75"/>
        <v>-0.63957446808510632</v>
      </c>
      <c r="AK254" s="25">
        <f>SUMIFS(инфо!$F$15:$F$28,инфо!$A$15:$A$28,F254)</f>
        <v>0.23100000000000001</v>
      </c>
      <c r="AL254" s="32">
        <f t="shared" si="66"/>
        <v>0.22340425531914893</v>
      </c>
      <c r="AM254" s="14">
        <f t="shared" si="68"/>
        <v>-7.5957446808510853E-3</v>
      </c>
      <c r="AN254" s="25">
        <f>SUMIFS(инфо!$G$15:$G$28,инфо!$A$15:$A$28,F254)</f>
        <v>4.5999999999999999E-2</v>
      </c>
      <c r="AO254" s="32">
        <f t="shared" si="67"/>
        <v>4.4680851063829789E-2</v>
      </c>
      <c r="AP254" s="14">
        <f t="shared" si="69"/>
        <v>-1.31914893617021E-3</v>
      </c>
      <c r="AQ254" s="25">
        <f>SUMIFS(инфо!$H$15:$H$28,инфо!$A$15:$A$28,F254)</f>
        <v>0</v>
      </c>
      <c r="AR254" s="26">
        <f t="shared" si="73"/>
        <v>0</v>
      </c>
      <c r="AS254" s="14">
        <f t="shared" si="70"/>
        <v>0</v>
      </c>
      <c r="AT254" s="25">
        <f>SUMIFS(инфо!$I$15:$I$28,инфо!$A$15:$A$28,F254)</f>
        <v>0.15</v>
      </c>
      <c r="AU254" s="35">
        <f t="shared" si="62"/>
        <v>3.1914893617021274E-2</v>
      </c>
      <c r="AV254" s="14">
        <f t="shared" si="71"/>
        <v>-0.11808510638297873</v>
      </c>
      <c r="AX254" s="69">
        <f>SUMIFS(инфо!$C$15:$C$28,инфо!$A$15:$A$28,F254)*H253</f>
        <v>47628</v>
      </c>
    </row>
    <row r="255" spans="1:50" x14ac:dyDescent="0.25">
      <c r="A255" s="70">
        <f t="shared" si="63"/>
        <v>46191</v>
      </c>
      <c r="B255" s="111" t="s">
        <v>742</v>
      </c>
      <c r="C255" s="29" t="s">
        <v>771</v>
      </c>
      <c r="D255" s="30" t="s">
        <v>83</v>
      </c>
      <c r="E255" s="83" t="s">
        <v>113</v>
      </c>
      <c r="F255" s="28" t="s">
        <v>71</v>
      </c>
      <c r="G255" s="81">
        <v>73</v>
      </c>
      <c r="H255" s="81">
        <v>2780</v>
      </c>
      <c r="I255" s="118">
        <f>IFERROR(H255*VLOOKUP(F255,инфо!$A$15:$C$28,3,FALSE)/1000,0)</f>
        <v>54.488000000000007</v>
      </c>
      <c r="J255" s="20">
        <v>2500</v>
      </c>
      <c r="K255" s="20">
        <v>4</v>
      </c>
      <c r="L255" s="20">
        <v>7</v>
      </c>
      <c r="M255" s="20">
        <v>106</v>
      </c>
      <c r="N255" s="28">
        <v>7191</v>
      </c>
      <c r="O255" s="27"/>
      <c r="P255" s="27"/>
      <c r="Q255" s="27">
        <v>23680</v>
      </c>
      <c r="R255" s="27">
        <v>23004</v>
      </c>
      <c r="S255" s="67">
        <f t="shared" si="72"/>
        <v>46684</v>
      </c>
      <c r="T255" s="29"/>
      <c r="U255" s="30"/>
      <c r="V255" s="27"/>
      <c r="W255" s="81">
        <v>2190</v>
      </c>
      <c r="X255" s="27"/>
      <c r="Y255" s="29">
        <v>730</v>
      </c>
      <c r="Z255" s="27"/>
      <c r="AA255" s="27">
        <v>146</v>
      </c>
      <c r="AB255" s="27"/>
      <c r="AC255" s="117"/>
      <c r="AD255" s="30">
        <v>360</v>
      </c>
      <c r="AE255" s="31">
        <f>SUMIFS(инфо!$D$15:$D$28,инфо!$A$15:$A$28,F255)</f>
        <v>2.31</v>
      </c>
      <c r="AF255" s="35">
        <f t="shared" si="64"/>
        <v>2.5866906474820146</v>
      </c>
      <c r="AG255" s="33">
        <f t="shared" si="74"/>
        <v>0.27669064748201455</v>
      </c>
      <c r="AH255" s="31">
        <f>SUMIFS(инфо!$E$15:$E$28,инфо!$A$15:$A$28,F255)</f>
        <v>14.93</v>
      </c>
      <c r="AI255" s="32">
        <f t="shared" si="65"/>
        <v>16.792805755395683</v>
      </c>
      <c r="AJ255" s="33">
        <f t="shared" si="75"/>
        <v>1.8628057553956836</v>
      </c>
      <c r="AK255" s="31">
        <f>SUMIFS(инфо!$F$15:$F$28,инфо!$A$15:$A$28,F255)</f>
        <v>0.23100000000000001</v>
      </c>
      <c r="AL255" s="32">
        <f t="shared" si="66"/>
        <v>0.26258992805755393</v>
      </c>
      <c r="AM255" s="33">
        <f t="shared" si="68"/>
        <v>3.1589928057553923E-2</v>
      </c>
      <c r="AN255" s="31">
        <f>SUMIFS(инфо!$G$15:$G$28,инфо!$A$15:$A$28,F255)</f>
        <v>4.5999999999999999E-2</v>
      </c>
      <c r="AO255" s="32">
        <f t="shared" si="67"/>
        <v>5.251798561151079E-2</v>
      </c>
      <c r="AP255" s="33">
        <f t="shared" si="69"/>
        <v>6.5179856115107904E-3</v>
      </c>
      <c r="AQ255" s="31">
        <f>SUMIFS(инфо!$H$15:$H$28,инфо!$A$15:$A$28,F255)</f>
        <v>0</v>
      </c>
      <c r="AR255" s="32">
        <f t="shared" si="73"/>
        <v>0</v>
      </c>
      <c r="AS255" s="33">
        <f t="shared" si="70"/>
        <v>0</v>
      </c>
      <c r="AT255" s="31">
        <f>SUMIFS(инфо!$I$15:$I$28,инфо!$A$15:$A$28,F255)</f>
        <v>0.15</v>
      </c>
      <c r="AU255" s="35">
        <f t="shared" si="62"/>
        <v>0.12949640287769784</v>
      </c>
      <c r="AV255" s="33">
        <f t="shared" si="71"/>
        <v>-2.0503597122302153E-2</v>
      </c>
      <c r="AX255" s="67">
        <f>SUMIFS(инфо!$C$15:$C$28,инфо!$A$15:$A$28,F255)*H254</f>
        <v>18424</v>
      </c>
    </row>
    <row r="256" spans="1:50" x14ac:dyDescent="0.25">
      <c r="A256" s="70">
        <f t="shared" si="63"/>
        <v>46192</v>
      </c>
      <c r="B256" s="111" t="s">
        <v>747</v>
      </c>
      <c r="C256" s="15" t="s">
        <v>771</v>
      </c>
      <c r="D256" s="16" t="s">
        <v>82</v>
      </c>
      <c r="E256" s="83" t="s">
        <v>77</v>
      </c>
      <c r="F256" s="28" t="s">
        <v>71</v>
      </c>
      <c r="G256" s="81">
        <v>53</v>
      </c>
      <c r="H256" s="81">
        <v>2150</v>
      </c>
      <c r="I256" s="118">
        <f>IFERROR(H256*VLOOKUP(F256,инфо!$A$15:$C$28,3,FALSE)/1000,0)</f>
        <v>42.14</v>
      </c>
      <c r="J256" s="20">
        <v>2250</v>
      </c>
      <c r="K256" s="20">
        <v>8</v>
      </c>
      <c r="L256" s="20">
        <v>3</v>
      </c>
      <c r="M256" s="20">
        <v>177</v>
      </c>
      <c r="N256" s="20">
        <v>5219</v>
      </c>
      <c r="O256" s="34"/>
      <c r="P256" s="34"/>
      <c r="Q256" s="34">
        <v>16000</v>
      </c>
      <c r="R256" s="34">
        <v>17892</v>
      </c>
      <c r="S256" s="68">
        <f t="shared" si="72"/>
        <v>33892</v>
      </c>
      <c r="T256" s="15"/>
      <c r="U256" s="16"/>
      <c r="V256" s="34"/>
      <c r="W256" s="81">
        <v>1590</v>
      </c>
      <c r="X256" s="34"/>
      <c r="Y256" s="15">
        <v>490</v>
      </c>
      <c r="Z256" s="34"/>
      <c r="AA256" s="34">
        <v>106</v>
      </c>
      <c r="AB256" s="34"/>
      <c r="AC256" s="117"/>
      <c r="AD256" s="16">
        <v>140</v>
      </c>
      <c r="AE256" s="24">
        <f>SUMIFS(инфо!$D$15:$D$28,инфо!$A$15:$A$28,F256)</f>
        <v>2.31</v>
      </c>
      <c r="AF256" s="35">
        <f t="shared" si="64"/>
        <v>2.4274418604651165</v>
      </c>
      <c r="AG256" s="12">
        <f t="shared" si="74"/>
        <v>0.1174418604651164</v>
      </c>
      <c r="AH256" s="24">
        <f>SUMIFS(инфо!$E$15:$E$28,инфо!$A$15:$A$28,F256)</f>
        <v>14.93</v>
      </c>
      <c r="AI256" s="32">
        <f t="shared" si="65"/>
        <v>15.763720930232559</v>
      </c>
      <c r="AJ256" s="12">
        <f t="shared" si="75"/>
        <v>0.833720930232559</v>
      </c>
      <c r="AK256" s="24">
        <f>SUMIFS(инфо!$F$15:$F$28,инфо!$A$15:$A$28,F256)</f>
        <v>0.23100000000000001</v>
      </c>
      <c r="AL256" s="32">
        <f t="shared" si="66"/>
        <v>0.22790697674418606</v>
      </c>
      <c r="AM256" s="12">
        <f t="shared" si="68"/>
        <v>-3.0930232558139537E-3</v>
      </c>
      <c r="AN256" s="24">
        <f>SUMIFS(инфо!$G$15:$G$28,инфо!$A$15:$A$28,F256)</f>
        <v>4.5999999999999999E-2</v>
      </c>
      <c r="AO256" s="32">
        <f t="shared" si="67"/>
        <v>4.930232558139535E-2</v>
      </c>
      <c r="AP256" s="12">
        <f t="shared" si="69"/>
        <v>3.3023255813953503E-3</v>
      </c>
      <c r="AQ256" s="24">
        <f>SUMIFS(инфо!$H$15:$H$28,инфо!$A$15:$A$28,F256)</f>
        <v>0</v>
      </c>
      <c r="AR256" s="35">
        <f t="shared" si="73"/>
        <v>0</v>
      </c>
      <c r="AS256" s="12">
        <f t="shared" si="70"/>
        <v>0</v>
      </c>
      <c r="AT256" s="24">
        <f>SUMIFS(инфо!$I$15:$I$28,инфо!$A$15:$A$28,F256)</f>
        <v>0.15</v>
      </c>
      <c r="AU256" s="35">
        <f t="shared" si="62"/>
        <v>6.5116279069767441E-2</v>
      </c>
      <c r="AV256" s="12">
        <f t="shared" si="71"/>
        <v>-8.4883720930232553E-2</v>
      </c>
      <c r="AX256" s="68">
        <f>SUMIFS(инфо!$C$15:$C$28,инфо!$A$15:$A$28,F256)*H255</f>
        <v>54488.000000000007</v>
      </c>
    </row>
    <row r="257" spans="1:50" x14ac:dyDescent="0.25">
      <c r="A257" s="70">
        <f t="shared" si="63"/>
        <v>46192</v>
      </c>
      <c r="B257" s="111" t="s">
        <v>750</v>
      </c>
      <c r="C257" s="15" t="s">
        <v>771</v>
      </c>
      <c r="D257" s="16" t="s">
        <v>83</v>
      </c>
      <c r="E257" s="83" t="s">
        <v>75</v>
      </c>
      <c r="F257" s="28" t="s">
        <v>71</v>
      </c>
      <c r="G257" s="81">
        <v>71</v>
      </c>
      <c r="H257" s="81">
        <v>3140</v>
      </c>
      <c r="I257" s="118">
        <f>IFERROR(H257*VLOOKUP(F257,инфо!$A$15:$C$28,3,FALSE)/1000,0)</f>
        <v>61.544000000000004</v>
      </c>
      <c r="J257" s="20">
        <v>3000</v>
      </c>
      <c r="K257" s="20">
        <v>17</v>
      </c>
      <c r="L257" s="20">
        <v>1</v>
      </c>
      <c r="M257" s="20">
        <v>204</v>
      </c>
      <c r="N257" s="20">
        <v>6993</v>
      </c>
      <c r="O257" s="34"/>
      <c r="P257" s="34"/>
      <c r="Q257" s="34">
        <v>22400</v>
      </c>
      <c r="R257" s="34">
        <v>23004</v>
      </c>
      <c r="S257" s="68">
        <f t="shared" si="72"/>
        <v>45404</v>
      </c>
      <c r="T257" s="15"/>
      <c r="U257" s="16"/>
      <c r="V257" s="34"/>
      <c r="W257" s="81">
        <v>2130</v>
      </c>
      <c r="X257" s="34"/>
      <c r="Y257" s="15">
        <v>710</v>
      </c>
      <c r="Z257" s="34"/>
      <c r="AA257" s="34">
        <v>142</v>
      </c>
      <c r="AB257" s="34"/>
      <c r="AC257" s="117"/>
      <c r="AD257" s="16">
        <v>355</v>
      </c>
      <c r="AE257" s="24">
        <f>SUMIFS(инфо!$D$15:$D$28,инфо!$A$15:$A$28,F257)</f>
        <v>2.31</v>
      </c>
      <c r="AF257" s="35">
        <f t="shared" si="64"/>
        <v>2.2270700636942675</v>
      </c>
      <c r="AG257" s="12">
        <f t="shared" si="74"/>
        <v>-8.2929936305732532E-2</v>
      </c>
      <c r="AH257" s="24">
        <f>SUMIFS(инфо!$E$15:$E$28,инфо!$A$15:$A$28,F257)</f>
        <v>14.93</v>
      </c>
      <c r="AI257" s="32">
        <f t="shared" si="65"/>
        <v>14.459872611464968</v>
      </c>
      <c r="AJ257" s="12">
        <f t="shared" si="75"/>
        <v>-0.47012738853503144</v>
      </c>
      <c r="AK257" s="24">
        <f>SUMIFS(инфо!$F$15:$F$28,инфо!$A$15:$A$28,F257)</f>
        <v>0.23100000000000001</v>
      </c>
      <c r="AL257" s="32">
        <f t="shared" si="66"/>
        <v>0.22611464968152867</v>
      </c>
      <c r="AM257" s="12">
        <f t="shared" si="68"/>
        <v>-4.8853503184713432E-3</v>
      </c>
      <c r="AN257" s="24">
        <f>SUMIFS(инфо!$G$15:$G$28,инфо!$A$15:$A$28,F257)</f>
        <v>4.5999999999999999E-2</v>
      </c>
      <c r="AO257" s="32">
        <f t="shared" si="67"/>
        <v>4.5222929936305729E-2</v>
      </c>
      <c r="AP257" s="12">
        <f t="shared" si="69"/>
        <v>-7.7707006369426984E-4</v>
      </c>
      <c r="AQ257" s="24">
        <f>SUMIFS(инфо!$H$15:$H$28,инфо!$A$15:$A$28,F257)</f>
        <v>0</v>
      </c>
      <c r="AR257" s="35">
        <f t="shared" si="73"/>
        <v>0</v>
      </c>
      <c r="AS257" s="12">
        <f t="shared" si="70"/>
        <v>0</v>
      </c>
      <c r="AT257" s="24">
        <f>SUMIFS(инфо!$I$15:$I$28,инфо!$A$15:$A$28,F257)</f>
        <v>0.15</v>
      </c>
      <c r="AU257" s="35">
        <f t="shared" si="62"/>
        <v>0.11305732484076433</v>
      </c>
      <c r="AV257" s="12">
        <f t="shared" si="71"/>
        <v>-3.6942675159235661E-2</v>
      </c>
      <c r="AX257" s="68">
        <f>SUMIFS(инфо!$C$15:$C$28,инфо!$A$15:$A$28,F257)*H256</f>
        <v>42140</v>
      </c>
    </row>
    <row r="258" spans="1:50" x14ac:dyDescent="0.25">
      <c r="A258" s="70">
        <f t="shared" si="63"/>
        <v>46193</v>
      </c>
      <c r="B258" s="111" t="s">
        <v>752</v>
      </c>
      <c r="C258" s="17" t="s">
        <v>771</v>
      </c>
      <c r="D258" s="18" t="s">
        <v>82</v>
      </c>
      <c r="E258" s="83" t="s">
        <v>114</v>
      </c>
      <c r="F258" s="28" t="s">
        <v>71</v>
      </c>
      <c r="G258" s="81">
        <v>62</v>
      </c>
      <c r="H258" s="81">
        <v>2480</v>
      </c>
      <c r="I258" s="118">
        <f>IFERROR(H258*VLOOKUP(F258,инфо!$A$15:$C$28,3,FALSE)/1000,0)</f>
        <v>48.607999999999997</v>
      </c>
      <c r="J258" s="20">
        <v>2250</v>
      </c>
      <c r="K258" s="20"/>
      <c r="L258" s="20">
        <v>34</v>
      </c>
      <c r="M258" s="20">
        <v>186</v>
      </c>
      <c r="N258" s="23">
        <v>6106</v>
      </c>
      <c r="O258" s="19"/>
      <c r="P258" s="19"/>
      <c r="Q258" s="19">
        <v>19200</v>
      </c>
      <c r="R258" s="19">
        <v>20448</v>
      </c>
      <c r="S258" s="69">
        <f t="shared" si="72"/>
        <v>39648</v>
      </c>
      <c r="T258" s="17"/>
      <c r="U258" s="18"/>
      <c r="V258" s="19"/>
      <c r="W258" s="81">
        <v>1860</v>
      </c>
      <c r="X258" s="19"/>
      <c r="Y258" s="17">
        <v>620</v>
      </c>
      <c r="Z258" s="19"/>
      <c r="AA258" s="19">
        <v>124</v>
      </c>
      <c r="AB258" s="19"/>
      <c r="AC258" s="117"/>
      <c r="AD258" s="18">
        <v>310</v>
      </c>
      <c r="AE258" s="25">
        <f>SUMIFS(инфо!$D$15:$D$28,инфо!$A$15:$A$28,F258)</f>
        <v>2.31</v>
      </c>
      <c r="AF258" s="35">
        <f t="shared" si="64"/>
        <v>2.4620967741935482</v>
      </c>
      <c r="AG258" s="14">
        <f t="shared" si="74"/>
        <v>0.15209677419354817</v>
      </c>
      <c r="AH258" s="25">
        <f>SUMIFS(инфо!$E$15:$E$28,инфо!$A$15:$A$28,F258)</f>
        <v>14.93</v>
      </c>
      <c r="AI258" s="32">
        <f t="shared" si="65"/>
        <v>15.987096774193548</v>
      </c>
      <c r="AJ258" s="14">
        <f t="shared" si="75"/>
        <v>1.057096774193548</v>
      </c>
      <c r="AK258" s="25">
        <f>SUMIFS(инфо!$F$15:$F$28,инфо!$A$15:$A$28,F258)</f>
        <v>0.23100000000000001</v>
      </c>
      <c r="AL258" s="32">
        <f t="shared" si="66"/>
        <v>0.25</v>
      </c>
      <c r="AM258" s="14">
        <f t="shared" si="68"/>
        <v>1.8999999999999989E-2</v>
      </c>
      <c r="AN258" s="25">
        <f>SUMIFS(инфо!$G$15:$G$28,инфо!$A$15:$A$28,F258)</f>
        <v>4.5999999999999999E-2</v>
      </c>
      <c r="AO258" s="32">
        <f t="shared" si="67"/>
        <v>0.05</v>
      </c>
      <c r="AP258" s="14">
        <f t="shared" si="69"/>
        <v>4.0000000000000036E-3</v>
      </c>
      <c r="AQ258" s="25">
        <f>SUMIFS(инфо!$H$15:$H$28,инфо!$A$15:$A$28,F258)</f>
        <v>0</v>
      </c>
      <c r="AR258" s="26">
        <f t="shared" si="73"/>
        <v>0</v>
      </c>
      <c r="AS258" s="14">
        <f t="shared" si="70"/>
        <v>0</v>
      </c>
      <c r="AT258" s="25">
        <f>SUMIFS(инфо!$I$15:$I$28,инфо!$A$15:$A$28,F258)</f>
        <v>0.15</v>
      </c>
      <c r="AU258" s="35">
        <f t="shared" si="62"/>
        <v>0.125</v>
      </c>
      <c r="AV258" s="14">
        <f t="shared" si="71"/>
        <v>-2.4999999999999994E-2</v>
      </c>
      <c r="AX258" s="69">
        <f>SUMIFS(инфо!$C$15:$C$28,инфо!$A$15:$A$28,F258)*H257</f>
        <v>61544.000000000007</v>
      </c>
    </row>
    <row r="259" spans="1:50" x14ac:dyDescent="0.25">
      <c r="A259" s="70">
        <f t="shared" si="63"/>
        <v>46193</v>
      </c>
      <c r="B259" s="111" t="s">
        <v>753</v>
      </c>
      <c r="C259" s="29" t="s">
        <v>771</v>
      </c>
      <c r="D259" s="30" t="s">
        <v>83</v>
      </c>
      <c r="E259" s="83" t="s">
        <v>77</v>
      </c>
      <c r="F259" s="28" t="s">
        <v>71</v>
      </c>
      <c r="G259" s="81">
        <v>74</v>
      </c>
      <c r="H259" s="81">
        <v>3090</v>
      </c>
      <c r="I259" s="118">
        <f>IFERROR(H259*VLOOKUP(F259,инфо!$A$15:$C$28,3,FALSE)/1000,0)</f>
        <v>60.564000000000007</v>
      </c>
      <c r="J259" s="20">
        <v>3000</v>
      </c>
      <c r="K259" s="20">
        <v>33</v>
      </c>
      <c r="L259" s="20">
        <v>4</v>
      </c>
      <c r="M259" s="20">
        <v>126</v>
      </c>
      <c r="N259" s="28">
        <v>7289</v>
      </c>
      <c r="O259" s="27"/>
      <c r="P259" s="27"/>
      <c r="Q259" s="27">
        <v>23680</v>
      </c>
      <c r="R259" s="27">
        <v>23643</v>
      </c>
      <c r="S259" s="67">
        <f t="shared" si="72"/>
        <v>47323</v>
      </c>
      <c r="T259" s="29"/>
      <c r="U259" s="30"/>
      <c r="V259" s="27"/>
      <c r="W259" s="81">
        <v>2220</v>
      </c>
      <c r="X259" s="27"/>
      <c r="Y259" s="29">
        <v>740</v>
      </c>
      <c r="Z259" s="27"/>
      <c r="AA259" s="27">
        <v>148</v>
      </c>
      <c r="AB259" s="27"/>
      <c r="AC259" s="117"/>
      <c r="AD259" s="30">
        <v>280</v>
      </c>
      <c r="AE259" s="31">
        <f>SUMIFS(инфо!$D$15:$D$28,инфо!$A$15:$A$28,F259)</f>
        <v>2.31</v>
      </c>
      <c r="AF259" s="35">
        <f t="shared" si="64"/>
        <v>2.3588996763754047</v>
      </c>
      <c r="AG259" s="33">
        <f t="shared" si="74"/>
        <v>4.8899676375404599E-2</v>
      </c>
      <c r="AH259" s="31">
        <f>SUMIFS(инфо!$E$15:$E$28,инфо!$A$15:$A$28,F259)</f>
        <v>14.93</v>
      </c>
      <c r="AI259" s="32">
        <f t="shared" si="65"/>
        <v>15.314886731391585</v>
      </c>
      <c r="AJ259" s="33">
        <f t="shared" si="75"/>
        <v>0.38488673139158536</v>
      </c>
      <c r="AK259" s="31">
        <f>SUMIFS(инфо!$F$15:$F$28,инфо!$A$15:$A$28,F259)</f>
        <v>0.23100000000000001</v>
      </c>
      <c r="AL259" s="32">
        <f t="shared" si="66"/>
        <v>0.23948220064724918</v>
      </c>
      <c r="AM259" s="33">
        <f t="shared" si="68"/>
        <v>8.4822006472491662E-3</v>
      </c>
      <c r="AN259" s="31">
        <f>SUMIFS(инфо!$G$15:$G$28,инфо!$A$15:$A$28,F259)</f>
        <v>4.5999999999999999E-2</v>
      </c>
      <c r="AO259" s="32">
        <f t="shared" si="67"/>
        <v>4.7896440129449838E-2</v>
      </c>
      <c r="AP259" s="33">
        <f t="shared" si="69"/>
        <v>1.896440129449839E-3</v>
      </c>
      <c r="AQ259" s="31">
        <f>SUMIFS(инфо!$H$15:$H$28,инфо!$A$15:$A$28,F259)</f>
        <v>0</v>
      </c>
      <c r="AR259" s="32">
        <f t="shared" si="73"/>
        <v>0</v>
      </c>
      <c r="AS259" s="33">
        <f t="shared" si="70"/>
        <v>0</v>
      </c>
      <c r="AT259" s="31">
        <f>SUMIFS(инфо!$I$15:$I$28,инфо!$A$15:$A$28,F259)</f>
        <v>0.15</v>
      </c>
      <c r="AU259" s="35">
        <f t="shared" si="62"/>
        <v>9.0614886731391592E-2</v>
      </c>
      <c r="AV259" s="33">
        <f t="shared" si="71"/>
        <v>-5.9385113268608403E-2</v>
      </c>
      <c r="AX259" s="67">
        <f>SUMIFS(инфо!$C$15:$C$28,инфо!$A$15:$A$28,F259)*H258</f>
        <v>48608</v>
      </c>
    </row>
    <row r="260" spans="1:50" x14ac:dyDescent="0.25">
      <c r="A260" s="70">
        <f t="shared" si="63"/>
        <v>46194</v>
      </c>
      <c r="B260" s="111" t="s">
        <v>758</v>
      </c>
      <c r="C260" s="15" t="s">
        <v>771</v>
      </c>
      <c r="D260" s="16" t="s">
        <v>82</v>
      </c>
      <c r="E260" s="83" t="s">
        <v>113</v>
      </c>
      <c r="F260" s="28" t="s">
        <v>71</v>
      </c>
      <c r="G260" s="81">
        <v>63</v>
      </c>
      <c r="H260" s="81">
        <v>2350</v>
      </c>
      <c r="I260" s="118">
        <f>IFERROR(H260*VLOOKUP(F260,инфо!$A$15:$C$28,3,FALSE)/1000,0)</f>
        <v>46.06</v>
      </c>
      <c r="J260" s="20">
        <v>2500</v>
      </c>
      <c r="K260" s="20">
        <v>7</v>
      </c>
      <c r="L260" s="20">
        <v>8</v>
      </c>
      <c r="M260" s="20">
        <v>89</v>
      </c>
      <c r="N260" s="20">
        <v>6208</v>
      </c>
      <c r="O260" s="34"/>
      <c r="P260" s="34"/>
      <c r="Q260" s="34">
        <v>21760</v>
      </c>
      <c r="R260" s="34">
        <v>18531</v>
      </c>
      <c r="S260" s="68">
        <f t="shared" si="72"/>
        <v>40291</v>
      </c>
      <c r="T260" s="15"/>
      <c r="U260" s="16"/>
      <c r="V260" s="34"/>
      <c r="W260" s="81">
        <v>1890</v>
      </c>
      <c r="X260" s="34"/>
      <c r="Y260" s="15">
        <v>630</v>
      </c>
      <c r="Z260" s="34"/>
      <c r="AA260" s="34">
        <v>126</v>
      </c>
      <c r="AB260" s="34"/>
      <c r="AC260" s="117"/>
      <c r="AD260" s="16">
        <v>215</v>
      </c>
      <c r="AE260" s="24">
        <f>SUMIFS(инфо!$D$15:$D$28,инфо!$A$15:$A$28,F260)</f>
        <v>2.31</v>
      </c>
      <c r="AF260" s="35">
        <f t="shared" si="64"/>
        <v>2.6417021276595745</v>
      </c>
      <c r="AG260" s="12">
        <f t="shared" si="74"/>
        <v>0.33170212765957441</v>
      </c>
      <c r="AH260" s="24">
        <f>SUMIFS(инфо!$E$15:$E$28,инфо!$A$15:$A$28,F260)</f>
        <v>14.93</v>
      </c>
      <c r="AI260" s="32">
        <f t="shared" si="65"/>
        <v>17.145106382978724</v>
      </c>
      <c r="AJ260" s="12">
        <f t="shared" si="75"/>
        <v>2.2151063829787248</v>
      </c>
      <c r="AK260" s="24">
        <f>SUMIFS(инфо!$F$15:$F$28,инфо!$A$15:$A$28,F260)</f>
        <v>0.23100000000000001</v>
      </c>
      <c r="AL260" s="32">
        <f t="shared" si="66"/>
        <v>0.26808510638297872</v>
      </c>
      <c r="AM260" s="12">
        <f t="shared" si="68"/>
        <v>3.7085106382978711E-2</v>
      </c>
      <c r="AN260" s="24">
        <f>SUMIFS(инфо!$G$15:$G$28,инфо!$A$15:$A$28,F260)</f>
        <v>4.5999999999999999E-2</v>
      </c>
      <c r="AO260" s="32">
        <f t="shared" si="67"/>
        <v>5.3617021276595747E-2</v>
      </c>
      <c r="AP260" s="12">
        <f t="shared" si="69"/>
        <v>7.6170212765957479E-3</v>
      </c>
      <c r="AQ260" s="24">
        <f>SUMIFS(инфо!$H$15:$H$28,инфо!$A$15:$A$28,F260)</f>
        <v>0</v>
      </c>
      <c r="AR260" s="35">
        <f t="shared" si="73"/>
        <v>0</v>
      </c>
      <c r="AS260" s="12">
        <f t="shared" si="70"/>
        <v>0</v>
      </c>
      <c r="AT260" s="24">
        <f>SUMIFS(инфо!$I$15:$I$28,инфо!$A$15:$A$28,F260)</f>
        <v>0.15</v>
      </c>
      <c r="AU260" s="35">
        <f t="shared" si="62"/>
        <v>9.1489361702127653E-2</v>
      </c>
      <c r="AV260" s="12">
        <f t="shared" si="71"/>
        <v>-5.8510638297872342E-2</v>
      </c>
      <c r="AX260" s="68">
        <f>SUMIFS(инфо!$C$15:$C$28,инфо!$A$15:$A$28,F260)*H259</f>
        <v>60564.000000000007</v>
      </c>
    </row>
    <row r="261" spans="1:50" x14ac:dyDescent="0.25">
      <c r="A261" s="70">
        <f t="shared" si="63"/>
        <v>46194</v>
      </c>
      <c r="B261" s="111" t="s">
        <v>763</v>
      </c>
      <c r="C261" s="15" t="s">
        <v>771</v>
      </c>
      <c r="D261" s="16" t="s">
        <v>83</v>
      </c>
      <c r="E261" s="83" t="s">
        <v>114</v>
      </c>
      <c r="F261" s="28" t="s">
        <v>71</v>
      </c>
      <c r="G261" s="81">
        <v>66</v>
      </c>
      <c r="H261" s="81">
        <v>2810</v>
      </c>
      <c r="I261" s="118">
        <f>IFERROR(H261*VLOOKUP(F261,инфо!$A$15:$C$28,3,FALSE)/1000,0)</f>
        <v>55.076000000000008</v>
      </c>
      <c r="J261" s="20">
        <v>2750</v>
      </c>
      <c r="K261" s="20">
        <v>4</v>
      </c>
      <c r="L261" s="20"/>
      <c r="M261" s="20"/>
      <c r="N261" s="20">
        <v>6502</v>
      </c>
      <c r="O261" s="34"/>
      <c r="P261" s="34"/>
      <c r="Q261" s="34">
        <v>21760</v>
      </c>
      <c r="R261" s="34">
        <v>20448</v>
      </c>
      <c r="S261" s="68">
        <f t="shared" si="72"/>
        <v>42208</v>
      </c>
      <c r="T261" s="15"/>
      <c r="U261" s="16"/>
      <c r="V261" s="34"/>
      <c r="W261" s="81">
        <v>1980</v>
      </c>
      <c r="X261" s="34"/>
      <c r="Y261" s="15">
        <v>620</v>
      </c>
      <c r="Z261" s="34"/>
      <c r="AA261" s="34">
        <v>132</v>
      </c>
      <c r="AB261" s="34"/>
      <c r="AC261" s="117"/>
      <c r="AD261" s="16">
        <v>330</v>
      </c>
      <c r="AE261" s="24">
        <f>SUMIFS(инфо!$D$15:$D$28,инфо!$A$15:$A$28,F261)</f>
        <v>2.31</v>
      </c>
      <c r="AF261" s="35">
        <f t="shared" si="64"/>
        <v>2.3138790035587187</v>
      </c>
      <c r="AG261" s="12">
        <f t="shared" si="74"/>
        <v>3.8790035587186189E-3</v>
      </c>
      <c r="AH261" s="24">
        <f>SUMIFS(инфо!$E$15:$E$28,инфо!$A$15:$A$28,F261)</f>
        <v>14.93</v>
      </c>
      <c r="AI261" s="32">
        <f t="shared" si="65"/>
        <v>15.020640569395018</v>
      </c>
      <c r="AJ261" s="12">
        <f t="shared" si="75"/>
        <v>9.0640569395018744E-2</v>
      </c>
      <c r="AK261" s="24">
        <f>SUMIFS(инфо!$F$15:$F$28,инфо!$A$15:$A$28,F261)</f>
        <v>0.23100000000000001</v>
      </c>
      <c r="AL261" s="32">
        <f t="shared" si="66"/>
        <v>0.2206405693950178</v>
      </c>
      <c r="AM261" s="12">
        <f t="shared" si="68"/>
        <v>-1.0359430604982206E-2</v>
      </c>
      <c r="AN261" s="24">
        <f>SUMIFS(инфо!$G$15:$G$28,инфо!$A$15:$A$28,F261)</f>
        <v>4.5999999999999999E-2</v>
      </c>
      <c r="AO261" s="32">
        <f t="shared" si="67"/>
        <v>4.6975088967971527E-2</v>
      </c>
      <c r="AP261" s="12">
        <f t="shared" si="69"/>
        <v>9.7508896797152828E-4</v>
      </c>
      <c r="AQ261" s="24">
        <f>SUMIFS(инфо!$H$15:$H$28,инфо!$A$15:$A$28,F261)</f>
        <v>0</v>
      </c>
      <c r="AR261" s="35">
        <f t="shared" si="73"/>
        <v>0</v>
      </c>
      <c r="AS261" s="12">
        <f t="shared" si="70"/>
        <v>0</v>
      </c>
      <c r="AT261" s="24">
        <f>SUMIFS(инфо!$I$15:$I$28,инфо!$A$15:$A$28,F261)</f>
        <v>0.15</v>
      </c>
      <c r="AU261" s="35">
        <f t="shared" si="62"/>
        <v>0.11743772241992882</v>
      </c>
      <c r="AV261" s="12">
        <f t="shared" si="71"/>
        <v>-3.2562277580071172E-2</v>
      </c>
      <c r="AX261" s="68">
        <f>SUMIFS(инфо!$C$15:$C$28,инфо!$A$15:$A$28,F261)*H260</f>
        <v>46060</v>
      </c>
    </row>
    <row r="262" spans="1:50" x14ac:dyDescent="0.25">
      <c r="A262" s="70">
        <f t="shared" si="63"/>
        <v>46195</v>
      </c>
      <c r="B262" s="111" t="s">
        <v>764</v>
      </c>
      <c r="C262" s="17" t="s">
        <v>771</v>
      </c>
      <c r="D262" s="18" t="s">
        <v>82</v>
      </c>
      <c r="E262" s="83" t="s">
        <v>75</v>
      </c>
      <c r="F262" s="28" t="s">
        <v>71</v>
      </c>
      <c r="G262" s="81">
        <v>3</v>
      </c>
      <c r="H262" s="81">
        <v>50</v>
      </c>
      <c r="I262" s="118">
        <f>IFERROR(H262*VLOOKUP(F262,инфо!$A$15:$C$28,3,FALSE)/1000,0)</f>
        <v>0.98000000000000009</v>
      </c>
      <c r="J262" s="20">
        <v>500</v>
      </c>
      <c r="K262" s="20"/>
      <c r="L262" s="20"/>
      <c r="M262" s="20">
        <v>20</v>
      </c>
      <c r="N262" s="23">
        <v>304</v>
      </c>
      <c r="O262" s="19"/>
      <c r="P262" s="19"/>
      <c r="Q262" s="19">
        <v>1282</v>
      </c>
      <c r="R262" s="19">
        <v>640</v>
      </c>
      <c r="S262" s="69">
        <f t="shared" si="72"/>
        <v>1922</v>
      </c>
      <c r="T262" s="17"/>
      <c r="U262" s="18"/>
      <c r="V262" s="19"/>
      <c r="W262" s="81">
        <v>90</v>
      </c>
      <c r="X262" s="19"/>
      <c r="Y262" s="17">
        <v>30</v>
      </c>
      <c r="Z262" s="19"/>
      <c r="AA262" s="19">
        <v>6</v>
      </c>
      <c r="AB262" s="19"/>
      <c r="AC262" s="117"/>
      <c r="AD262" s="18">
        <v>15</v>
      </c>
      <c r="AE262" s="25">
        <f>SUMIFS(инфо!$D$15:$D$28,инфо!$A$15:$A$28,F262)</f>
        <v>2.31</v>
      </c>
      <c r="AF262" s="35">
        <f t="shared" si="64"/>
        <v>6.08</v>
      </c>
      <c r="AG262" s="14">
        <f t="shared" si="74"/>
        <v>3.77</v>
      </c>
      <c r="AH262" s="25">
        <f>SUMIFS(инфо!$E$15:$E$28,инфо!$A$15:$A$28,F262)</f>
        <v>14.93</v>
      </c>
      <c r="AI262" s="32">
        <f t="shared" si="65"/>
        <v>38.44</v>
      </c>
      <c r="AJ262" s="14">
        <f t="shared" si="75"/>
        <v>23.509999999999998</v>
      </c>
      <c r="AK262" s="25">
        <f>SUMIFS(инфо!$F$15:$F$28,инфо!$A$15:$A$28,F262)</f>
        <v>0.23100000000000001</v>
      </c>
      <c r="AL262" s="32">
        <f t="shared" si="66"/>
        <v>0.6</v>
      </c>
      <c r="AM262" s="14">
        <f t="shared" si="68"/>
        <v>0.36899999999999999</v>
      </c>
      <c r="AN262" s="25">
        <f>SUMIFS(инфо!$G$15:$G$28,инфо!$A$15:$A$28,F262)</f>
        <v>4.5999999999999999E-2</v>
      </c>
      <c r="AO262" s="32">
        <f t="shared" si="67"/>
        <v>0.12</v>
      </c>
      <c r="AP262" s="14">
        <f t="shared" si="69"/>
        <v>7.3999999999999996E-2</v>
      </c>
      <c r="AQ262" s="25">
        <f>SUMIFS(инфо!$H$15:$H$28,инфо!$A$15:$A$28,F262)</f>
        <v>0</v>
      </c>
      <c r="AR262" s="26">
        <f t="shared" si="73"/>
        <v>0</v>
      </c>
      <c r="AS262" s="14">
        <f t="shared" si="70"/>
        <v>0</v>
      </c>
      <c r="AT262" s="25">
        <f>SUMIFS(инфо!$I$15:$I$28,инфо!$A$15:$A$28,F262)</f>
        <v>0.15</v>
      </c>
      <c r="AU262" s="35">
        <f t="shared" si="62"/>
        <v>0.3</v>
      </c>
      <c r="AV262" s="14">
        <f t="shared" si="71"/>
        <v>0.15</v>
      </c>
      <c r="AX262" s="69">
        <f>SUMIFS(инфо!$C$15:$C$28,инфо!$A$15:$A$28,F262)*H261</f>
        <v>55076.000000000007</v>
      </c>
    </row>
    <row r="263" spans="1:50" x14ac:dyDescent="0.25">
      <c r="A263" s="70">
        <f t="shared" si="63"/>
        <v>46195</v>
      </c>
      <c r="B263" s="111" t="s">
        <v>768</v>
      </c>
      <c r="C263" s="29" t="s">
        <v>771</v>
      </c>
      <c r="D263" s="30" t="s">
        <v>83</v>
      </c>
      <c r="E263" s="83" t="s">
        <v>113</v>
      </c>
      <c r="F263" s="28" t="s">
        <v>71</v>
      </c>
      <c r="G263" s="81">
        <v>42</v>
      </c>
      <c r="H263" s="81">
        <v>1640</v>
      </c>
      <c r="I263" s="118">
        <f>IFERROR(H263*VLOOKUP(F263,инфо!$A$15:$C$28,3,FALSE)/1000,0)</f>
        <v>32.144000000000005</v>
      </c>
      <c r="J263" s="20">
        <v>1500</v>
      </c>
      <c r="K263" s="20">
        <v>4</v>
      </c>
      <c r="L263" s="20"/>
      <c r="M263" s="20">
        <v>140</v>
      </c>
      <c r="N263" s="28">
        <v>4258</v>
      </c>
      <c r="O263" s="27"/>
      <c r="P263" s="27"/>
      <c r="Q263" s="27">
        <v>13430</v>
      </c>
      <c r="R263" s="27">
        <v>13441</v>
      </c>
      <c r="S263" s="67">
        <f t="shared" si="72"/>
        <v>26871</v>
      </c>
      <c r="T263" s="29"/>
      <c r="U263" s="30"/>
      <c r="V263" s="27"/>
      <c r="W263" s="81">
        <v>1260</v>
      </c>
      <c r="X263" s="27"/>
      <c r="Y263" s="29">
        <v>420</v>
      </c>
      <c r="Z263" s="27"/>
      <c r="AA263" s="27">
        <v>84</v>
      </c>
      <c r="AB263" s="27"/>
      <c r="AC263" s="117"/>
      <c r="AD263" s="30">
        <v>210</v>
      </c>
      <c r="AE263" s="31">
        <f>SUMIFS(инфо!$D$15:$D$28,инфо!$A$15:$A$28,F263)</f>
        <v>2.31</v>
      </c>
      <c r="AF263" s="35">
        <f t="shared" si="64"/>
        <v>2.596341463414634</v>
      </c>
      <c r="AG263" s="33">
        <f t="shared" si="74"/>
        <v>0.28634146341463396</v>
      </c>
      <c r="AH263" s="31">
        <f>SUMIFS(инфо!$E$15:$E$28,инфо!$A$15:$A$28,F263)</f>
        <v>14.93</v>
      </c>
      <c r="AI263" s="32">
        <f t="shared" si="65"/>
        <v>16.384756097560974</v>
      </c>
      <c r="AJ263" s="33">
        <f t="shared" si="75"/>
        <v>1.4547560975609741</v>
      </c>
      <c r="AK263" s="31">
        <f>SUMIFS(инфо!$F$15:$F$28,инфо!$A$15:$A$28,F263)</f>
        <v>0.23100000000000001</v>
      </c>
      <c r="AL263" s="32">
        <f t="shared" si="66"/>
        <v>0.25609756097560976</v>
      </c>
      <c r="AM263" s="33">
        <f t="shared" si="68"/>
        <v>2.5097560975609751E-2</v>
      </c>
      <c r="AN263" s="31">
        <f>SUMIFS(инфо!$G$15:$G$28,инфо!$A$15:$A$28,F263)</f>
        <v>4.5999999999999999E-2</v>
      </c>
      <c r="AO263" s="32">
        <f t="shared" si="67"/>
        <v>5.1219512195121948E-2</v>
      </c>
      <c r="AP263" s="33">
        <f t="shared" si="69"/>
        <v>5.2195121951219489E-3</v>
      </c>
      <c r="AQ263" s="31">
        <f>SUMIFS(инфо!$H$15:$H$28,инфо!$A$15:$A$28,F263)</f>
        <v>0</v>
      </c>
      <c r="AR263" s="32">
        <f t="shared" si="73"/>
        <v>0</v>
      </c>
      <c r="AS263" s="33">
        <f t="shared" si="70"/>
        <v>0</v>
      </c>
      <c r="AT263" s="31">
        <f>SUMIFS(инфо!$I$15:$I$28,инфо!$A$15:$A$28,F263)</f>
        <v>0.15</v>
      </c>
      <c r="AU263" s="35">
        <f t="shared" si="62"/>
        <v>0.12804878048780488</v>
      </c>
      <c r="AV263" s="33">
        <f t="shared" si="71"/>
        <v>-2.1951219512195114E-2</v>
      </c>
      <c r="AX263" s="67">
        <f>SUMIFS(инфо!$C$15:$C$28,инфо!$A$15:$A$28,F263)*H262</f>
        <v>980.00000000000011</v>
      </c>
    </row>
    <row r="264" spans="1:50" x14ac:dyDescent="0.25">
      <c r="A264" s="70">
        <f t="shared" si="63"/>
        <v>46196</v>
      </c>
      <c r="B264" s="111"/>
      <c r="C264" s="15"/>
      <c r="D264" s="16"/>
      <c r="E264" s="83"/>
      <c r="F264" s="28"/>
      <c r="G264" s="81"/>
      <c r="H264" s="81"/>
      <c r="I264" s="118">
        <f>IFERROR(H264*VLOOKUP(F264,инфо!$A$15:$C$28,3,FALSE)/1000,0)</f>
        <v>0</v>
      </c>
      <c r="J264" s="20"/>
      <c r="K264" s="20"/>
      <c r="L264" s="20"/>
      <c r="M264" s="20"/>
      <c r="N264" s="20"/>
      <c r="O264" s="34"/>
      <c r="P264" s="34"/>
      <c r="Q264" s="34"/>
      <c r="R264" s="34"/>
      <c r="S264" s="68">
        <f t="shared" si="72"/>
        <v>0</v>
      </c>
      <c r="T264" s="15"/>
      <c r="U264" s="16"/>
      <c r="V264" s="34"/>
      <c r="W264" s="81"/>
      <c r="X264" s="34"/>
      <c r="Y264" s="15"/>
      <c r="Z264" s="34"/>
      <c r="AA264" s="34"/>
      <c r="AB264" s="34"/>
      <c r="AC264" s="117"/>
      <c r="AD264" s="16"/>
      <c r="AE264" s="24">
        <f>SUMIFS(инфо!$D$15:$D$28,инфо!$A$15:$A$28,F264)</f>
        <v>0</v>
      </c>
      <c r="AF264" s="35">
        <f t="shared" si="64"/>
        <v>0</v>
      </c>
      <c r="AG264" s="12">
        <f t="shared" si="74"/>
        <v>0</v>
      </c>
      <c r="AH264" s="24">
        <f>SUMIFS(инфо!$E$15:$E$28,инфо!$A$15:$A$28,F264)</f>
        <v>0</v>
      </c>
      <c r="AI264" s="32">
        <f t="shared" si="65"/>
        <v>0</v>
      </c>
      <c r="AJ264" s="12">
        <f t="shared" si="75"/>
        <v>0</v>
      </c>
      <c r="AK264" s="24">
        <f>SUMIFS(инфо!$F$15:$F$28,инфо!$A$15:$A$28,F264)</f>
        <v>0</v>
      </c>
      <c r="AL264" s="32">
        <f t="shared" si="66"/>
        <v>0</v>
      </c>
      <c r="AM264" s="12">
        <f t="shared" si="68"/>
        <v>0</v>
      </c>
      <c r="AN264" s="24">
        <f>SUMIFS(инфо!$G$15:$G$28,инфо!$A$15:$A$28,F264)</f>
        <v>0</v>
      </c>
      <c r="AO264" s="32">
        <f t="shared" si="67"/>
        <v>0</v>
      </c>
      <c r="AP264" s="12">
        <f t="shared" si="69"/>
        <v>0</v>
      </c>
      <c r="AQ264" s="24">
        <f>SUMIFS(инфо!$H$15:$H$28,инфо!$A$15:$A$28,F264)</f>
        <v>0</v>
      </c>
      <c r="AR264" s="35">
        <f t="shared" si="73"/>
        <v>0</v>
      </c>
      <c r="AS264" s="12">
        <f t="shared" si="70"/>
        <v>0</v>
      </c>
      <c r="AT264" s="24">
        <f>SUMIFS(инфо!$I$15:$I$28,инфо!$A$15:$A$28,F264)</f>
        <v>0</v>
      </c>
      <c r="AU264" s="35">
        <f t="shared" si="62"/>
        <v>0</v>
      </c>
      <c r="AV264" s="12">
        <f t="shared" si="71"/>
        <v>0</v>
      </c>
      <c r="AX264" s="68">
        <f>SUMIFS(инфо!$C$15:$C$28,инфо!$A$15:$A$28,F264)*H263</f>
        <v>0</v>
      </c>
    </row>
    <row r="265" spans="1:50" x14ac:dyDescent="0.25">
      <c r="A265" s="70">
        <f t="shared" si="63"/>
        <v>46196</v>
      </c>
      <c r="B265" s="111"/>
      <c r="C265" s="15"/>
      <c r="D265" s="16"/>
      <c r="E265" s="83"/>
      <c r="F265" s="28"/>
      <c r="G265" s="81"/>
      <c r="H265" s="81"/>
      <c r="I265" s="118">
        <f>IFERROR(H265*VLOOKUP(F265,инфо!$A$15:$C$28,3,FALSE)/1000,0)</f>
        <v>0</v>
      </c>
      <c r="J265" s="20"/>
      <c r="K265" s="20"/>
      <c r="L265" s="20"/>
      <c r="M265" s="20"/>
      <c r="N265" s="20"/>
      <c r="O265" s="34"/>
      <c r="P265" s="34"/>
      <c r="Q265" s="34"/>
      <c r="R265" s="34"/>
      <c r="S265" s="68">
        <f t="shared" si="72"/>
        <v>0</v>
      </c>
      <c r="T265" s="15"/>
      <c r="U265" s="16"/>
      <c r="V265" s="34"/>
      <c r="W265" s="81"/>
      <c r="X265" s="34"/>
      <c r="Y265" s="15"/>
      <c r="Z265" s="34"/>
      <c r="AA265" s="34"/>
      <c r="AB265" s="34"/>
      <c r="AC265" s="117"/>
      <c r="AD265" s="16"/>
      <c r="AE265" s="24">
        <f>SUMIFS(инфо!$D$15:$D$28,инфо!$A$15:$A$28,F265)</f>
        <v>0</v>
      </c>
      <c r="AF265" s="35">
        <f t="shared" si="64"/>
        <v>0</v>
      </c>
      <c r="AG265" s="12">
        <f t="shared" si="74"/>
        <v>0</v>
      </c>
      <c r="AH265" s="24">
        <f>SUMIFS(инфо!$E$15:$E$28,инфо!$A$15:$A$28,F265)</f>
        <v>0</v>
      </c>
      <c r="AI265" s="32">
        <f t="shared" si="65"/>
        <v>0</v>
      </c>
      <c r="AJ265" s="12">
        <f t="shared" si="75"/>
        <v>0</v>
      </c>
      <c r="AK265" s="24">
        <f>SUMIFS(инфо!$F$15:$F$28,инфо!$A$15:$A$28,F265)</f>
        <v>0</v>
      </c>
      <c r="AL265" s="32">
        <f t="shared" si="66"/>
        <v>0</v>
      </c>
      <c r="AM265" s="12">
        <f t="shared" si="68"/>
        <v>0</v>
      </c>
      <c r="AN265" s="24">
        <f>SUMIFS(инфо!$G$15:$G$28,инфо!$A$15:$A$28,F265)</f>
        <v>0</v>
      </c>
      <c r="AO265" s="32">
        <f t="shared" si="67"/>
        <v>0</v>
      </c>
      <c r="AP265" s="12">
        <f t="shared" si="69"/>
        <v>0</v>
      </c>
      <c r="AQ265" s="24">
        <f>SUMIFS(инфо!$H$15:$H$28,инфо!$A$15:$A$28,F265)</f>
        <v>0</v>
      </c>
      <c r="AR265" s="35">
        <f t="shared" si="73"/>
        <v>0</v>
      </c>
      <c r="AS265" s="12">
        <f t="shared" si="70"/>
        <v>0</v>
      </c>
      <c r="AT265" s="24">
        <f>SUMIFS(инфо!$I$15:$I$28,инфо!$A$15:$A$28,F265)</f>
        <v>0</v>
      </c>
      <c r="AU265" s="35">
        <f t="shared" ref="AU265:AU328" si="76">IF(H265=0,0,AD265/H265)</f>
        <v>0</v>
      </c>
      <c r="AV265" s="12">
        <f t="shared" si="71"/>
        <v>0</v>
      </c>
      <c r="AX265" s="68">
        <f>SUMIFS(инфо!$C$15:$C$28,инфо!$A$15:$A$28,F265)*H264</f>
        <v>0</v>
      </c>
    </row>
    <row r="266" spans="1:50" x14ac:dyDescent="0.25">
      <c r="A266" s="70">
        <f t="shared" si="63"/>
        <v>46197</v>
      </c>
      <c r="B266" s="111"/>
      <c r="C266" s="17"/>
      <c r="D266" s="18"/>
      <c r="E266" s="83"/>
      <c r="F266" s="28"/>
      <c r="G266" s="81"/>
      <c r="H266" s="81"/>
      <c r="I266" s="118">
        <f>IFERROR(H266*VLOOKUP(F266,инфо!$A$15:$C$28,3,FALSE)/1000,0)</f>
        <v>0</v>
      </c>
      <c r="J266" s="20"/>
      <c r="K266" s="20"/>
      <c r="L266" s="20"/>
      <c r="M266" s="20"/>
      <c r="N266" s="23"/>
      <c r="O266" s="19"/>
      <c r="P266" s="19"/>
      <c r="Q266" s="19"/>
      <c r="R266" s="19"/>
      <c r="S266" s="69">
        <f t="shared" si="72"/>
        <v>0</v>
      </c>
      <c r="T266" s="17"/>
      <c r="U266" s="18"/>
      <c r="V266" s="19"/>
      <c r="W266" s="81"/>
      <c r="X266" s="19"/>
      <c r="Y266" s="17"/>
      <c r="Z266" s="19"/>
      <c r="AA266" s="19"/>
      <c r="AB266" s="19"/>
      <c r="AC266" s="117"/>
      <c r="AD266" s="18"/>
      <c r="AE266" s="25">
        <f>SUMIFS(инфо!$D$15:$D$28,инфо!$A$15:$A$28,F266)</f>
        <v>0</v>
      </c>
      <c r="AF266" s="35">
        <f t="shared" si="64"/>
        <v>0</v>
      </c>
      <c r="AG266" s="14">
        <f t="shared" si="74"/>
        <v>0</v>
      </c>
      <c r="AH266" s="25">
        <f>SUMIFS(инфо!$E$15:$E$28,инфо!$A$15:$A$28,F266)</f>
        <v>0</v>
      </c>
      <c r="AI266" s="32">
        <f t="shared" si="65"/>
        <v>0</v>
      </c>
      <c r="AJ266" s="14">
        <f t="shared" si="75"/>
        <v>0</v>
      </c>
      <c r="AK266" s="25">
        <f>SUMIFS(инфо!$F$15:$F$28,инфо!$A$15:$A$28,F266)</f>
        <v>0</v>
      </c>
      <c r="AL266" s="32">
        <f t="shared" si="66"/>
        <v>0</v>
      </c>
      <c r="AM266" s="14">
        <f t="shared" si="68"/>
        <v>0</v>
      </c>
      <c r="AN266" s="25">
        <f>SUMIFS(инфо!$G$15:$G$28,инфо!$A$15:$A$28,F266)</f>
        <v>0</v>
      </c>
      <c r="AO266" s="32">
        <f t="shared" si="67"/>
        <v>0</v>
      </c>
      <c r="AP266" s="14">
        <f t="shared" si="69"/>
        <v>0</v>
      </c>
      <c r="AQ266" s="25">
        <f>SUMIFS(инфо!$H$15:$H$28,инфо!$A$15:$A$28,F266)</f>
        <v>0</v>
      </c>
      <c r="AR266" s="26">
        <f t="shared" si="73"/>
        <v>0</v>
      </c>
      <c r="AS266" s="14">
        <f t="shared" si="70"/>
        <v>0</v>
      </c>
      <c r="AT266" s="25">
        <f>SUMIFS(инфо!$I$15:$I$28,инфо!$A$15:$A$28,F266)</f>
        <v>0</v>
      </c>
      <c r="AU266" s="35">
        <f t="shared" si="76"/>
        <v>0</v>
      </c>
      <c r="AV266" s="14">
        <f t="shared" si="71"/>
        <v>0</v>
      </c>
      <c r="AX266" s="69">
        <f>SUMIFS(инфо!$C$15:$C$28,инфо!$A$15:$A$28,F266)*H265</f>
        <v>0</v>
      </c>
    </row>
    <row r="267" spans="1:50" x14ac:dyDescent="0.25">
      <c r="A267" s="70">
        <f t="shared" si="63"/>
        <v>46197</v>
      </c>
      <c r="B267" s="111"/>
      <c r="C267" s="29"/>
      <c r="D267" s="30"/>
      <c r="E267" s="83"/>
      <c r="F267" s="28"/>
      <c r="G267" s="81"/>
      <c r="H267" s="81"/>
      <c r="I267" s="118">
        <f>IFERROR(H267*VLOOKUP(F267,инфо!$A$15:$C$28,3,FALSE)/1000,0)</f>
        <v>0</v>
      </c>
      <c r="J267" s="20"/>
      <c r="K267" s="20"/>
      <c r="L267" s="20"/>
      <c r="M267" s="20"/>
      <c r="N267" s="28"/>
      <c r="O267" s="27"/>
      <c r="P267" s="27"/>
      <c r="Q267" s="27"/>
      <c r="R267" s="27"/>
      <c r="S267" s="67">
        <f t="shared" si="72"/>
        <v>0</v>
      </c>
      <c r="T267" s="29"/>
      <c r="U267" s="30"/>
      <c r="V267" s="27"/>
      <c r="W267" s="81"/>
      <c r="X267" s="27"/>
      <c r="Y267" s="29"/>
      <c r="Z267" s="27"/>
      <c r="AA267" s="27"/>
      <c r="AB267" s="27"/>
      <c r="AC267" s="117"/>
      <c r="AD267" s="30"/>
      <c r="AE267" s="31">
        <f>SUMIFS(инфо!$D$15:$D$28,инфо!$A$15:$A$28,F267)</f>
        <v>0</v>
      </c>
      <c r="AF267" s="35">
        <f t="shared" si="64"/>
        <v>0</v>
      </c>
      <c r="AG267" s="33">
        <f t="shared" si="74"/>
        <v>0</v>
      </c>
      <c r="AH267" s="31">
        <f>SUMIFS(инфо!$E$15:$E$28,инфо!$A$15:$A$28,F267)</f>
        <v>0</v>
      </c>
      <c r="AI267" s="32">
        <f t="shared" si="65"/>
        <v>0</v>
      </c>
      <c r="AJ267" s="33">
        <f t="shared" si="75"/>
        <v>0</v>
      </c>
      <c r="AK267" s="31">
        <f>SUMIFS(инфо!$F$15:$F$28,инфо!$A$15:$A$28,F267)</f>
        <v>0</v>
      </c>
      <c r="AL267" s="32">
        <f t="shared" si="66"/>
        <v>0</v>
      </c>
      <c r="AM267" s="33">
        <f t="shared" si="68"/>
        <v>0</v>
      </c>
      <c r="AN267" s="31">
        <f>SUMIFS(инфо!$G$15:$G$28,инфо!$A$15:$A$28,F267)</f>
        <v>0</v>
      </c>
      <c r="AO267" s="32">
        <f t="shared" si="67"/>
        <v>0</v>
      </c>
      <c r="AP267" s="33">
        <f t="shared" si="69"/>
        <v>0</v>
      </c>
      <c r="AQ267" s="31">
        <f>SUMIFS(инфо!$H$15:$H$28,инфо!$A$15:$A$28,F267)</f>
        <v>0</v>
      </c>
      <c r="AR267" s="32">
        <f t="shared" si="73"/>
        <v>0</v>
      </c>
      <c r="AS267" s="33">
        <f t="shared" si="70"/>
        <v>0</v>
      </c>
      <c r="AT267" s="31">
        <f>SUMIFS(инфо!$I$15:$I$28,инфо!$A$15:$A$28,F267)</f>
        <v>0</v>
      </c>
      <c r="AU267" s="35">
        <f t="shared" si="76"/>
        <v>0</v>
      </c>
      <c r="AV267" s="33">
        <f t="shared" si="71"/>
        <v>0</v>
      </c>
      <c r="AX267" s="67">
        <f>SUMIFS(инфо!$C$15:$C$28,инфо!$A$15:$A$28,F267)*H266</f>
        <v>0</v>
      </c>
    </row>
    <row r="268" spans="1:50" x14ac:dyDescent="0.25">
      <c r="A268" s="70">
        <f t="shared" si="63"/>
        <v>46198</v>
      </c>
      <c r="B268" s="111"/>
      <c r="C268" s="15"/>
      <c r="D268" s="16"/>
      <c r="E268" s="83"/>
      <c r="F268" s="28"/>
      <c r="G268" s="81"/>
      <c r="H268" s="81"/>
      <c r="I268" s="118">
        <f>IFERROR(H268*VLOOKUP(F268,инфо!$A$15:$C$28,3,FALSE)/1000,0)</f>
        <v>0</v>
      </c>
      <c r="J268" s="20"/>
      <c r="K268" s="20"/>
      <c r="L268" s="20"/>
      <c r="M268" s="20"/>
      <c r="N268" s="20"/>
      <c r="O268" s="34"/>
      <c r="P268" s="34"/>
      <c r="Q268" s="34"/>
      <c r="R268" s="34"/>
      <c r="S268" s="68">
        <f t="shared" si="72"/>
        <v>0</v>
      </c>
      <c r="T268" s="15"/>
      <c r="U268" s="16"/>
      <c r="V268" s="34"/>
      <c r="W268" s="81"/>
      <c r="X268" s="34"/>
      <c r="Y268" s="15"/>
      <c r="Z268" s="34"/>
      <c r="AA268" s="34"/>
      <c r="AB268" s="34"/>
      <c r="AC268" s="117"/>
      <c r="AD268" s="16"/>
      <c r="AE268" s="24">
        <f>SUMIFS(инфо!$D$15:$D$28,инфо!$A$15:$A$28,F268)</f>
        <v>0</v>
      </c>
      <c r="AF268" s="35">
        <f t="shared" si="64"/>
        <v>0</v>
      </c>
      <c r="AG268" s="12">
        <f t="shared" si="74"/>
        <v>0</v>
      </c>
      <c r="AH268" s="24">
        <f>SUMIFS(инфо!$E$15:$E$28,инфо!$A$15:$A$28,F268)</f>
        <v>0</v>
      </c>
      <c r="AI268" s="32">
        <f t="shared" si="65"/>
        <v>0</v>
      </c>
      <c r="AJ268" s="12">
        <f t="shared" si="75"/>
        <v>0</v>
      </c>
      <c r="AK268" s="24">
        <f>SUMIFS(инфо!$F$15:$F$28,инфо!$A$15:$A$28,F268)</f>
        <v>0</v>
      </c>
      <c r="AL268" s="32">
        <f t="shared" si="66"/>
        <v>0</v>
      </c>
      <c r="AM268" s="12">
        <f t="shared" si="68"/>
        <v>0</v>
      </c>
      <c r="AN268" s="24">
        <f>SUMIFS(инфо!$G$15:$G$28,инфо!$A$15:$A$28,F268)</f>
        <v>0</v>
      </c>
      <c r="AO268" s="32">
        <f t="shared" si="67"/>
        <v>0</v>
      </c>
      <c r="AP268" s="12">
        <f t="shared" si="69"/>
        <v>0</v>
      </c>
      <c r="AQ268" s="24">
        <f>SUMIFS(инфо!$H$15:$H$28,инфо!$A$15:$A$28,F268)</f>
        <v>0</v>
      </c>
      <c r="AR268" s="35">
        <f t="shared" si="73"/>
        <v>0</v>
      </c>
      <c r="AS268" s="12">
        <f t="shared" si="70"/>
        <v>0</v>
      </c>
      <c r="AT268" s="24">
        <f>SUMIFS(инфо!$I$15:$I$28,инфо!$A$15:$A$28,F268)</f>
        <v>0</v>
      </c>
      <c r="AU268" s="35">
        <f t="shared" si="76"/>
        <v>0</v>
      </c>
      <c r="AV268" s="12">
        <f t="shared" si="71"/>
        <v>0</v>
      </c>
      <c r="AX268" s="68">
        <f>SUMIFS(инфо!$C$15:$C$28,инфо!$A$15:$A$28,F268)*H267</f>
        <v>0</v>
      </c>
    </row>
    <row r="269" spans="1:50" x14ac:dyDescent="0.25">
      <c r="A269" s="70">
        <f t="shared" si="63"/>
        <v>46198</v>
      </c>
      <c r="B269" s="111"/>
      <c r="C269" s="15"/>
      <c r="D269" s="16"/>
      <c r="E269" s="83"/>
      <c r="F269" s="28"/>
      <c r="G269" s="81"/>
      <c r="H269" s="81"/>
      <c r="I269" s="118">
        <f>IFERROR(H269*VLOOKUP(F269,инфо!$A$15:$C$28,3,FALSE)/1000,0)</f>
        <v>0</v>
      </c>
      <c r="J269" s="20"/>
      <c r="K269" s="20"/>
      <c r="L269" s="20"/>
      <c r="M269" s="20"/>
      <c r="N269" s="20"/>
      <c r="O269" s="34"/>
      <c r="P269" s="34"/>
      <c r="Q269" s="34"/>
      <c r="R269" s="34"/>
      <c r="S269" s="68">
        <f t="shared" si="72"/>
        <v>0</v>
      </c>
      <c r="T269" s="15"/>
      <c r="U269" s="16"/>
      <c r="V269" s="34"/>
      <c r="W269" s="81"/>
      <c r="X269" s="34"/>
      <c r="Y269" s="15"/>
      <c r="Z269" s="34"/>
      <c r="AA269" s="34"/>
      <c r="AB269" s="34"/>
      <c r="AC269" s="117"/>
      <c r="AD269" s="16"/>
      <c r="AE269" s="24">
        <f>SUMIFS(инфо!$D$15:$D$28,инфо!$A$15:$A$28,F269)</f>
        <v>0</v>
      </c>
      <c r="AF269" s="35">
        <f t="shared" si="64"/>
        <v>0</v>
      </c>
      <c r="AG269" s="12">
        <f t="shared" si="74"/>
        <v>0</v>
      </c>
      <c r="AH269" s="24">
        <f>SUMIFS(инфо!$E$15:$E$28,инфо!$A$15:$A$28,F269)</f>
        <v>0</v>
      </c>
      <c r="AI269" s="32">
        <f t="shared" si="65"/>
        <v>0</v>
      </c>
      <c r="AJ269" s="12">
        <f t="shared" si="75"/>
        <v>0</v>
      </c>
      <c r="AK269" s="24">
        <f>SUMIFS(инфо!$F$15:$F$28,инфо!$A$15:$A$28,F269)</f>
        <v>0</v>
      </c>
      <c r="AL269" s="32">
        <f t="shared" si="66"/>
        <v>0</v>
      </c>
      <c r="AM269" s="12">
        <f t="shared" si="68"/>
        <v>0</v>
      </c>
      <c r="AN269" s="24">
        <f>SUMIFS(инфо!$G$15:$G$28,инфо!$A$15:$A$28,F269)</f>
        <v>0</v>
      </c>
      <c r="AO269" s="32">
        <f t="shared" si="67"/>
        <v>0</v>
      </c>
      <c r="AP269" s="12">
        <f t="shared" si="69"/>
        <v>0</v>
      </c>
      <c r="AQ269" s="24">
        <f>SUMIFS(инфо!$H$15:$H$28,инфо!$A$15:$A$28,F269)</f>
        <v>0</v>
      </c>
      <c r="AR269" s="35">
        <f t="shared" si="73"/>
        <v>0</v>
      </c>
      <c r="AS269" s="12">
        <f t="shared" si="70"/>
        <v>0</v>
      </c>
      <c r="AT269" s="24">
        <f>SUMIFS(инфо!$I$15:$I$28,инфо!$A$15:$A$28,F269)</f>
        <v>0</v>
      </c>
      <c r="AU269" s="35">
        <f t="shared" si="76"/>
        <v>0</v>
      </c>
      <c r="AV269" s="12">
        <f t="shared" si="71"/>
        <v>0</v>
      </c>
      <c r="AX269" s="68">
        <f>SUMIFS(инфо!$C$15:$C$28,инфо!$A$15:$A$28,F269)*H268</f>
        <v>0</v>
      </c>
    </row>
    <row r="270" spans="1:50" x14ac:dyDescent="0.25">
      <c r="A270" s="70">
        <f t="shared" si="63"/>
        <v>46199</v>
      </c>
      <c r="B270" s="111"/>
      <c r="C270" s="17"/>
      <c r="D270" s="18"/>
      <c r="E270" s="83"/>
      <c r="F270" s="28"/>
      <c r="G270" s="81"/>
      <c r="H270" s="81"/>
      <c r="I270" s="118">
        <f>IFERROR(H270*VLOOKUP(F270,инфо!$A$15:$C$28,3,FALSE)/1000,0)</f>
        <v>0</v>
      </c>
      <c r="J270" s="20"/>
      <c r="K270" s="20"/>
      <c r="L270" s="20"/>
      <c r="M270" s="20"/>
      <c r="N270" s="23"/>
      <c r="O270" s="19"/>
      <c r="P270" s="19"/>
      <c r="Q270" s="19"/>
      <c r="R270" s="19"/>
      <c r="S270" s="69">
        <f t="shared" si="72"/>
        <v>0</v>
      </c>
      <c r="T270" s="17"/>
      <c r="U270" s="18"/>
      <c r="V270" s="19"/>
      <c r="W270" s="81"/>
      <c r="X270" s="19"/>
      <c r="Y270" s="17"/>
      <c r="Z270" s="19"/>
      <c r="AA270" s="19"/>
      <c r="AB270" s="19"/>
      <c r="AC270" s="117"/>
      <c r="AD270" s="18"/>
      <c r="AE270" s="25">
        <f>SUMIFS(инфо!$D$15:$D$28,инфо!$A$15:$A$28,F270)</f>
        <v>0</v>
      </c>
      <c r="AF270" s="35">
        <f t="shared" si="64"/>
        <v>0</v>
      </c>
      <c r="AG270" s="14">
        <f t="shared" si="74"/>
        <v>0</v>
      </c>
      <c r="AH270" s="25">
        <f>SUMIFS(инфо!$E$15:$E$28,инфо!$A$15:$A$28,F270)</f>
        <v>0</v>
      </c>
      <c r="AI270" s="32">
        <f t="shared" si="65"/>
        <v>0</v>
      </c>
      <c r="AJ270" s="14">
        <f t="shared" si="75"/>
        <v>0</v>
      </c>
      <c r="AK270" s="25">
        <f>SUMIFS(инфо!$F$15:$F$28,инфо!$A$15:$A$28,F270)</f>
        <v>0</v>
      </c>
      <c r="AL270" s="32">
        <f t="shared" si="66"/>
        <v>0</v>
      </c>
      <c r="AM270" s="14">
        <f t="shared" si="68"/>
        <v>0</v>
      </c>
      <c r="AN270" s="25">
        <f>SUMIFS(инфо!$G$15:$G$28,инфо!$A$15:$A$28,F270)</f>
        <v>0</v>
      </c>
      <c r="AO270" s="32">
        <f t="shared" si="67"/>
        <v>0</v>
      </c>
      <c r="AP270" s="14">
        <f t="shared" si="69"/>
        <v>0</v>
      </c>
      <c r="AQ270" s="25">
        <f>SUMIFS(инфо!$H$15:$H$28,инфо!$A$15:$A$28,F270)</f>
        <v>0</v>
      </c>
      <c r="AR270" s="26">
        <f t="shared" si="73"/>
        <v>0</v>
      </c>
      <c r="AS270" s="14">
        <f t="shared" si="70"/>
        <v>0</v>
      </c>
      <c r="AT270" s="25">
        <f>SUMIFS(инфо!$I$15:$I$28,инфо!$A$15:$A$28,F270)</f>
        <v>0</v>
      </c>
      <c r="AU270" s="35">
        <f t="shared" si="76"/>
        <v>0</v>
      </c>
      <c r="AV270" s="14">
        <f t="shared" si="71"/>
        <v>0</v>
      </c>
      <c r="AX270" s="69">
        <f>SUMIFS(инфо!$C$15:$C$28,инфо!$A$15:$A$28,F270)*H269</f>
        <v>0</v>
      </c>
    </row>
    <row r="271" spans="1:50" x14ac:dyDescent="0.25">
      <c r="A271" s="70">
        <f t="shared" si="63"/>
        <v>46199</v>
      </c>
      <c r="B271" s="111"/>
      <c r="C271" s="29"/>
      <c r="D271" s="30"/>
      <c r="E271" s="83"/>
      <c r="F271" s="28"/>
      <c r="G271" s="81"/>
      <c r="H271" s="81"/>
      <c r="I271" s="118">
        <f>IFERROR(H271*VLOOKUP(F271,инфо!$A$15:$C$28,3,FALSE)/1000,0)</f>
        <v>0</v>
      </c>
      <c r="J271" s="20"/>
      <c r="K271" s="20"/>
      <c r="L271" s="20"/>
      <c r="M271" s="20"/>
      <c r="N271" s="28"/>
      <c r="O271" s="27"/>
      <c r="P271" s="27"/>
      <c r="Q271" s="27"/>
      <c r="R271" s="27"/>
      <c r="S271" s="67">
        <f t="shared" si="72"/>
        <v>0</v>
      </c>
      <c r="T271" s="29"/>
      <c r="U271" s="30"/>
      <c r="V271" s="27"/>
      <c r="W271" s="81"/>
      <c r="X271" s="27"/>
      <c r="Y271" s="29"/>
      <c r="Z271" s="27"/>
      <c r="AA271" s="27"/>
      <c r="AB271" s="27"/>
      <c r="AC271" s="117"/>
      <c r="AD271" s="30"/>
      <c r="AE271" s="31">
        <f>SUMIFS(инфо!$D$15:$D$28,инфо!$A$15:$A$28,F271)</f>
        <v>0</v>
      </c>
      <c r="AF271" s="35">
        <f t="shared" si="64"/>
        <v>0</v>
      </c>
      <c r="AG271" s="33">
        <f t="shared" si="74"/>
        <v>0</v>
      </c>
      <c r="AH271" s="31">
        <f>SUMIFS(инфо!$E$15:$E$28,инфо!$A$15:$A$28,F271)</f>
        <v>0</v>
      </c>
      <c r="AI271" s="32">
        <f t="shared" si="65"/>
        <v>0</v>
      </c>
      <c r="AJ271" s="33">
        <f t="shared" si="75"/>
        <v>0</v>
      </c>
      <c r="AK271" s="31">
        <f>SUMIFS(инфо!$F$15:$F$28,инфо!$A$15:$A$28,F271)</f>
        <v>0</v>
      </c>
      <c r="AL271" s="32">
        <f t="shared" si="66"/>
        <v>0</v>
      </c>
      <c r="AM271" s="33">
        <f t="shared" si="68"/>
        <v>0</v>
      </c>
      <c r="AN271" s="31">
        <f>SUMIFS(инфо!$G$15:$G$28,инфо!$A$15:$A$28,F271)</f>
        <v>0</v>
      </c>
      <c r="AO271" s="32">
        <f t="shared" si="67"/>
        <v>0</v>
      </c>
      <c r="AP271" s="33">
        <f t="shared" si="69"/>
        <v>0</v>
      </c>
      <c r="AQ271" s="31">
        <f>SUMIFS(инфо!$H$15:$H$28,инфо!$A$15:$A$28,F271)</f>
        <v>0</v>
      </c>
      <c r="AR271" s="32">
        <f t="shared" si="73"/>
        <v>0</v>
      </c>
      <c r="AS271" s="33">
        <f t="shared" si="70"/>
        <v>0</v>
      </c>
      <c r="AT271" s="31">
        <f>SUMIFS(инфо!$I$15:$I$28,инфо!$A$15:$A$28,F271)</f>
        <v>0</v>
      </c>
      <c r="AU271" s="35">
        <f t="shared" si="76"/>
        <v>0</v>
      </c>
      <c r="AV271" s="33">
        <f t="shared" si="71"/>
        <v>0</v>
      </c>
      <c r="AX271" s="67">
        <f>SUMIFS(инфо!$C$15:$C$28,инфо!$A$15:$A$28,F271)*H270</f>
        <v>0</v>
      </c>
    </row>
    <row r="272" spans="1:50" x14ac:dyDescent="0.25">
      <c r="A272" s="70">
        <f t="shared" si="63"/>
        <v>46200</v>
      </c>
      <c r="B272" s="111"/>
      <c r="C272" s="15"/>
      <c r="D272" s="16"/>
      <c r="E272" s="83"/>
      <c r="F272" s="28"/>
      <c r="G272" s="81"/>
      <c r="H272" s="81"/>
      <c r="I272" s="118">
        <f>IFERROR(H272*VLOOKUP(F272,инфо!$A$15:$C$28,3,FALSE)/1000,0)</f>
        <v>0</v>
      </c>
      <c r="J272" s="20"/>
      <c r="K272" s="20"/>
      <c r="L272" s="20"/>
      <c r="M272" s="20"/>
      <c r="N272" s="20"/>
      <c r="O272" s="34"/>
      <c r="P272" s="34"/>
      <c r="Q272" s="34"/>
      <c r="R272" s="34"/>
      <c r="S272" s="68">
        <f t="shared" si="72"/>
        <v>0</v>
      </c>
      <c r="T272" s="15"/>
      <c r="U272" s="16"/>
      <c r="V272" s="34"/>
      <c r="W272" s="81"/>
      <c r="X272" s="34"/>
      <c r="Y272" s="15"/>
      <c r="Z272" s="34"/>
      <c r="AA272" s="34"/>
      <c r="AB272" s="34"/>
      <c r="AC272" s="117"/>
      <c r="AD272" s="16"/>
      <c r="AE272" s="24">
        <f>SUMIFS(инфо!$D$15:$D$28,инфо!$A$15:$A$28,F272)</f>
        <v>0</v>
      </c>
      <c r="AF272" s="35">
        <f t="shared" si="64"/>
        <v>0</v>
      </c>
      <c r="AG272" s="12">
        <f t="shared" si="74"/>
        <v>0</v>
      </c>
      <c r="AH272" s="24">
        <f>SUMIFS(инфо!$E$15:$E$28,инфо!$A$15:$A$28,F272)</f>
        <v>0</v>
      </c>
      <c r="AI272" s="32">
        <f t="shared" si="65"/>
        <v>0</v>
      </c>
      <c r="AJ272" s="12">
        <f t="shared" si="75"/>
        <v>0</v>
      </c>
      <c r="AK272" s="24">
        <f>SUMIFS(инфо!$F$15:$F$28,инфо!$A$15:$A$28,F272)</f>
        <v>0</v>
      </c>
      <c r="AL272" s="32">
        <f t="shared" si="66"/>
        <v>0</v>
      </c>
      <c r="AM272" s="12">
        <f t="shared" si="68"/>
        <v>0</v>
      </c>
      <c r="AN272" s="24">
        <f>SUMIFS(инфо!$G$15:$G$28,инфо!$A$15:$A$28,F272)</f>
        <v>0</v>
      </c>
      <c r="AO272" s="32">
        <f t="shared" si="67"/>
        <v>0</v>
      </c>
      <c r="AP272" s="12">
        <f t="shared" si="69"/>
        <v>0</v>
      </c>
      <c r="AQ272" s="24">
        <f>SUMIFS(инфо!$H$15:$H$28,инфо!$A$15:$A$28,F272)</f>
        <v>0</v>
      </c>
      <c r="AR272" s="35">
        <f t="shared" si="73"/>
        <v>0</v>
      </c>
      <c r="AS272" s="12">
        <f t="shared" si="70"/>
        <v>0</v>
      </c>
      <c r="AT272" s="24">
        <f>SUMIFS(инфо!$I$15:$I$28,инфо!$A$15:$A$28,F272)</f>
        <v>0</v>
      </c>
      <c r="AU272" s="35">
        <f t="shared" si="76"/>
        <v>0</v>
      </c>
      <c r="AV272" s="12">
        <f t="shared" si="71"/>
        <v>0</v>
      </c>
      <c r="AX272" s="68">
        <f>SUMIFS(инфо!$C$15:$C$28,инфо!$A$15:$A$28,F272)*H271</f>
        <v>0</v>
      </c>
    </row>
    <row r="273" spans="1:50" x14ac:dyDescent="0.25">
      <c r="A273" s="70">
        <f t="shared" si="63"/>
        <v>46200</v>
      </c>
      <c r="B273" s="111"/>
      <c r="C273" s="15"/>
      <c r="D273" s="16"/>
      <c r="E273" s="83"/>
      <c r="F273" s="28"/>
      <c r="G273" s="81"/>
      <c r="H273" s="81"/>
      <c r="I273" s="118">
        <f>IFERROR(H273*VLOOKUP(F273,инфо!$A$15:$C$28,3,FALSE)/1000,0)</f>
        <v>0</v>
      </c>
      <c r="J273" s="20"/>
      <c r="K273" s="20"/>
      <c r="L273" s="20"/>
      <c r="M273" s="20"/>
      <c r="N273" s="20"/>
      <c r="O273" s="34"/>
      <c r="P273" s="34"/>
      <c r="Q273" s="34"/>
      <c r="R273" s="34"/>
      <c r="S273" s="68">
        <f t="shared" si="72"/>
        <v>0</v>
      </c>
      <c r="T273" s="15"/>
      <c r="U273" s="16"/>
      <c r="V273" s="34"/>
      <c r="W273" s="81"/>
      <c r="X273" s="34"/>
      <c r="Y273" s="15"/>
      <c r="Z273" s="34"/>
      <c r="AA273" s="34"/>
      <c r="AB273" s="34"/>
      <c r="AC273" s="117"/>
      <c r="AD273" s="16"/>
      <c r="AE273" s="24">
        <f>SUMIFS(инфо!$D$15:$D$28,инфо!$A$15:$A$28,F273)</f>
        <v>0</v>
      </c>
      <c r="AF273" s="35">
        <f t="shared" si="64"/>
        <v>0</v>
      </c>
      <c r="AG273" s="12">
        <f t="shared" si="74"/>
        <v>0</v>
      </c>
      <c r="AH273" s="24">
        <f>SUMIFS(инфо!$E$15:$E$28,инфо!$A$15:$A$28,F273)</f>
        <v>0</v>
      </c>
      <c r="AI273" s="32">
        <f t="shared" si="65"/>
        <v>0</v>
      </c>
      <c r="AJ273" s="12">
        <f t="shared" si="75"/>
        <v>0</v>
      </c>
      <c r="AK273" s="24">
        <f>SUMIFS(инфо!$F$15:$F$28,инфо!$A$15:$A$28,F273)</f>
        <v>0</v>
      </c>
      <c r="AL273" s="32">
        <f t="shared" si="66"/>
        <v>0</v>
      </c>
      <c r="AM273" s="12">
        <f t="shared" si="68"/>
        <v>0</v>
      </c>
      <c r="AN273" s="24">
        <f>SUMIFS(инфо!$G$15:$G$28,инфо!$A$15:$A$28,F273)</f>
        <v>0</v>
      </c>
      <c r="AO273" s="32">
        <f t="shared" si="67"/>
        <v>0</v>
      </c>
      <c r="AP273" s="12">
        <f t="shared" si="69"/>
        <v>0</v>
      </c>
      <c r="AQ273" s="24">
        <f>SUMIFS(инфо!$H$15:$H$28,инфо!$A$15:$A$28,F273)</f>
        <v>0</v>
      </c>
      <c r="AR273" s="35">
        <f t="shared" si="73"/>
        <v>0</v>
      </c>
      <c r="AS273" s="12">
        <f t="shared" si="70"/>
        <v>0</v>
      </c>
      <c r="AT273" s="24">
        <f>SUMIFS(инфо!$I$15:$I$28,инфо!$A$15:$A$28,F273)</f>
        <v>0</v>
      </c>
      <c r="AU273" s="35">
        <f t="shared" si="76"/>
        <v>0</v>
      </c>
      <c r="AV273" s="12">
        <f t="shared" si="71"/>
        <v>0</v>
      </c>
      <c r="AX273" s="68">
        <f>SUMIFS(инфо!$C$15:$C$28,инфо!$A$15:$A$28,F273)*H272</f>
        <v>0</v>
      </c>
    </row>
    <row r="274" spans="1:50" x14ac:dyDescent="0.25">
      <c r="A274" s="70">
        <f t="shared" si="63"/>
        <v>46201</v>
      </c>
      <c r="B274" s="111"/>
      <c r="C274" s="17"/>
      <c r="D274" s="18"/>
      <c r="E274" s="83"/>
      <c r="F274" s="28"/>
      <c r="G274" s="81"/>
      <c r="H274" s="81"/>
      <c r="I274" s="118">
        <f>IFERROR(H274*VLOOKUP(F274,инфо!$A$15:$C$28,3,FALSE)/1000,0)</f>
        <v>0</v>
      </c>
      <c r="J274" s="20"/>
      <c r="K274" s="20"/>
      <c r="L274" s="20"/>
      <c r="M274" s="20"/>
      <c r="N274" s="23"/>
      <c r="O274" s="19"/>
      <c r="P274" s="19"/>
      <c r="Q274" s="19"/>
      <c r="R274" s="19"/>
      <c r="S274" s="69">
        <f t="shared" si="72"/>
        <v>0</v>
      </c>
      <c r="T274" s="17"/>
      <c r="U274" s="18"/>
      <c r="V274" s="19"/>
      <c r="W274" s="81"/>
      <c r="X274" s="19"/>
      <c r="Y274" s="17"/>
      <c r="Z274" s="19"/>
      <c r="AA274" s="19"/>
      <c r="AB274" s="19"/>
      <c r="AC274" s="117"/>
      <c r="AD274" s="18"/>
      <c r="AE274" s="25">
        <f>SUMIFS(инфо!$D$15:$D$28,инфо!$A$15:$A$28,F274)</f>
        <v>0</v>
      </c>
      <c r="AF274" s="35">
        <f t="shared" si="64"/>
        <v>0</v>
      </c>
      <c r="AG274" s="14">
        <f t="shared" si="74"/>
        <v>0</v>
      </c>
      <c r="AH274" s="25">
        <f>SUMIFS(инфо!$E$15:$E$28,инфо!$A$15:$A$28,F274)</f>
        <v>0</v>
      </c>
      <c r="AI274" s="32">
        <f t="shared" si="65"/>
        <v>0</v>
      </c>
      <c r="AJ274" s="14">
        <f t="shared" si="75"/>
        <v>0</v>
      </c>
      <c r="AK274" s="25">
        <f>SUMIFS(инфо!$F$15:$F$28,инфо!$A$15:$A$28,F274)</f>
        <v>0</v>
      </c>
      <c r="AL274" s="32">
        <f t="shared" si="66"/>
        <v>0</v>
      </c>
      <c r="AM274" s="14">
        <f t="shared" si="68"/>
        <v>0</v>
      </c>
      <c r="AN274" s="25">
        <f>SUMIFS(инфо!$G$15:$G$28,инфо!$A$15:$A$28,F274)</f>
        <v>0</v>
      </c>
      <c r="AO274" s="32">
        <f t="shared" si="67"/>
        <v>0</v>
      </c>
      <c r="AP274" s="14">
        <f t="shared" si="69"/>
        <v>0</v>
      </c>
      <c r="AQ274" s="25">
        <f>SUMIFS(инфо!$H$15:$H$28,инфо!$A$15:$A$28,F274)</f>
        <v>0</v>
      </c>
      <c r="AR274" s="26">
        <f t="shared" si="73"/>
        <v>0</v>
      </c>
      <c r="AS274" s="14">
        <f t="shared" si="70"/>
        <v>0</v>
      </c>
      <c r="AT274" s="25">
        <f>SUMIFS(инфо!$I$15:$I$28,инфо!$A$15:$A$28,F274)</f>
        <v>0</v>
      </c>
      <c r="AU274" s="35">
        <f t="shared" si="76"/>
        <v>0</v>
      </c>
      <c r="AV274" s="14">
        <f t="shared" si="71"/>
        <v>0</v>
      </c>
      <c r="AX274" s="69">
        <f>SUMIFS(инфо!$C$15:$C$28,инфо!$A$15:$A$28,F274)*H273</f>
        <v>0</v>
      </c>
    </row>
    <row r="275" spans="1:50" x14ac:dyDescent="0.25">
      <c r="A275" s="70">
        <f t="shared" si="63"/>
        <v>46201</v>
      </c>
      <c r="B275" s="111"/>
      <c r="C275" s="29"/>
      <c r="D275" s="30"/>
      <c r="E275" s="83"/>
      <c r="F275" s="28"/>
      <c r="G275" s="81"/>
      <c r="H275" s="81"/>
      <c r="I275" s="118">
        <f>IFERROR(H275*VLOOKUP(F275,инфо!$A$15:$C$28,3,FALSE)/1000,0)</f>
        <v>0</v>
      </c>
      <c r="J275" s="20"/>
      <c r="K275" s="20"/>
      <c r="L275" s="20"/>
      <c r="M275" s="20"/>
      <c r="N275" s="28"/>
      <c r="O275" s="27"/>
      <c r="P275" s="27"/>
      <c r="Q275" s="27"/>
      <c r="R275" s="27"/>
      <c r="S275" s="67">
        <f t="shared" si="72"/>
        <v>0</v>
      </c>
      <c r="T275" s="29"/>
      <c r="U275" s="30"/>
      <c r="V275" s="27"/>
      <c r="W275" s="81"/>
      <c r="X275" s="27"/>
      <c r="Y275" s="29"/>
      <c r="Z275" s="27"/>
      <c r="AA275" s="27"/>
      <c r="AB275" s="27"/>
      <c r="AC275" s="117"/>
      <c r="AD275" s="30"/>
      <c r="AE275" s="31">
        <f>SUMIFS(инфо!$D$15:$D$28,инфо!$A$15:$A$28,F275)</f>
        <v>0</v>
      </c>
      <c r="AF275" s="35">
        <f t="shared" si="64"/>
        <v>0</v>
      </c>
      <c r="AG275" s="33">
        <f t="shared" si="74"/>
        <v>0</v>
      </c>
      <c r="AH275" s="31">
        <f>SUMIFS(инфо!$E$15:$E$28,инфо!$A$15:$A$28,F275)</f>
        <v>0</v>
      </c>
      <c r="AI275" s="32">
        <f t="shared" si="65"/>
        <v>0</v>
      </c>
      <c r="AJ275" s="33">
        <f t="shared" si="75"/>
        <v>0</v>
      </c>
      <c r="AK275" s="31">
        <f>SUMIFS(инфо!$F$15:$F$28,инфо!$A$15:$A$28,F275)</f>
        <v>0</v>
      </c>
      <c r="AL275" s="32">
        <f t="shared" si="66"/>
        <v>0</v>
      </c>
      <c r="AM275" s="33">
        <f t="shared" si="68"/>
        <v>0</v>
      </c>
      <c r="AN275" s="31">
        <f>SUMIFS(инфо!$G$15:$G$28,инфо!$A$15:$A$28,F275)</f>
        <v>0</v>
      </c>
      <c r="AO275" s="32">
        <f t="shared" si="67"/>
        <v>0</v>
      </c>
      <c r="AP275" s="33">
        <f t="shared" si="69"/>
        <v>0</v>
      </c>
      <c r="AQ275" s="31">
        <f>SUMIFS(инфо!$H$15:$H$28,инфо!$A$15:$A$28,F275)</f>
        <v>0</v>
      </c>
      <c r="AR275" s="32">
        <f t="shared" si="73"/>
        <v>0</v>
      </c>
      <c r="AS275" s="33">
        <f t="shared" si="70"/>
        <v>0</v>
      </c>
      <c r="AT275" s="31">
        <f>SUMIFS(инфо!$I$15:$I$28,инфо!$A$15:$A$28,F275)</f>
        <v>0</v>
      </c>
      <c r="AU275" s="35">
        <f t="shared" si="76"/>
        <v>0</v>
      </c>
      <c r="AV275" s="33">
        <f t="shared" si="71"/>
        <v>0</v>
      </c>
      <c r="AX275" s="67">
        <f>SUMIFS(инфо!$C$15:$C$28,инфо!$A$15:$A$28,F275)*H274</f>
        <v>0</v>
      </c>
    </row>
    <row r="276" spans="1:50" x14ac:dyDescent="0.25">
      <c r="A276" s="70">
        <f t="shared" si="63"/>
        <v>46202</v>
      </c>
      <c r="B276" s="111"/>
      <c r="C276" s="15"/>
      <c r="D276" s="16"/>
      <c r="E276" s="83"/>
      <c r="F276" s="28"/>
      <c r="G276" s="81"/>
      <c r="H276" s="81"/>
      <c r="I276" s="118">
        <f>IFERROR(H276*VLOOKUP(F276,инфо!$A$15:$C$28,3,FALSE)/1000,0)</f>
        <v>0</v>
      </c>
      <c r="J276" s="20"/>
      <c r="K276" s="20"/>
      <c r="L276" s="20"/>
      <c r="M276" s="20"/>
      <c r="N276" s="20"/>
      <c r="O276" s="34"/>
      <c r="P276" s="34"/>
      <c r="Q276" s="34"/>
      <c r="R276" s="34"/>
      <c r="S276" s="68">
        <f t="shared" si="72"/>
        <v>0</v>
      </c>
      <c r="T276" s="15"/>
      <c r="U276" s="16"/>
      <c r="V276" s="34"/>
      <c r="W276" s="81"/>
      <c r="X276" s="34"/>
      <c r="Y276" s="15"/>
      <c r="Z276" s="34"/>
      <c r="AA276" s="34"/>
      <c r="AB276" s="34"/>
      <c r="AC276" s="117"/>
      <c r="AD276" s="16"/>
      <c r="AE276" s="24">
        <f>SUMIFS(инфо!$D$15:$D$28,инфо!$A$15:$A$28,F276)</f>
        <v>0</v>
      </c>
      <c r="AF276" s="35">
        <f t="shared" si="64"/>
        <v>0</v>
      </c>
      <c r="AG276" s="12">
        <f t="shared" si="74"/>
        <v>0</v>
      </c>
      <c r="AH276" s="24">
        <f>SUMIFS(инфо!$E$15:$E$28,инфо!$A$15:$A$28,F276)</f>
        <v>0</v>
      </c>
      <c r="AI276" s="32">
        <f t="shared" si="65"/>
        <v>0</v>
      </c>
      <c r="AJ276" s="12">
        <f t="shared" si="75"/>
        <v>0</v>
      </c>
      <c r="AK276" s="24">
        <f>SUMIFS(инфо!$F$15:$F$28,инфо!$A$15:$A$28,F276)</f>
        <v>0</v>
      </c>
      <c r="AL276" s="32">
        <f t="shared" si="66"/>
        <v>0</v>
      </c>
      <c r="AM276" s="12">
        <f t="shared" si="68"/>
        <v>0</v>
      </c>
      <c r="AN276" s="24">
        <f>SUMIFS(инфо!$G$15:$G$28,инфо!$A$15:$A$28,F276)</f>
        <v>0</v>
      </c>
      <c r="AO276" s="32">
        <f t="shared" si="67"/>
        <v>0</v>
      </c>
      <c r="AP276" s="12">
        <f t="shared" si="69"/>
        <v>0</v>
      </c>
      <c r="AQ276" s="24">
        <f>SUMIFS(инфо!$H$15:$H$28,инфо!$A$15:$A$28,F276)</f>
        <v>0</v>
      </c>
      <c r="AR276" s="35">
        <f t="shared" si="73"/>
        <v>0</v>
      </c>
      <c r="AS276" s="12">
        <f t="shared" si="70"/>
        <v>0</v>
      </c>
      <c r="AT276" s="24">
        <f>SUMIFS(инфо!$I$15:$I$28,инфо!$A$15:$A$28,F276)</f>
        <v>0</v>
      </c>
      <c r="AU276" s="35">
        <f t="shared" si="76"/>
        <v>0</v>
      </c>
      <c r="AV276" s="12">
        <f t="shared" si="71"/>
        <v>0</v>
      </c>
      <c r="AX276" s="68">
        <f>SUMIFS(инфо!$C$15:$C$28,инфо!$A$15:$A$28,F276)*H275</f>
        <v>0</v>
      </c>
    </row>
    <row r="277" spans="1:50" x14ac:dyDescent="0.25">
      <c r="A277" s="70">
        <f t="shared" si="63"/>
        <v>46202</v>
      </c>
      <c r="B277" s="111"/>
      <c r="C277" s="15"/>
      <c r="D277" s="16"/>
      <c r="E277" s="83"/>
      <c r="F277" s="28"/>
      <c r="G277" s="81"/>
      <c r="H277" s="81"/>
      <c r="I277" s="118">
        <f>IFERROR(H277*VLOOKUP(F277,инфо!$A$15:$C$28,3,FALSE)/1000,0)</f>
        <v>0</v>
      </c>
      <c r="J277" s="20"/>
      <c r="K277" s="20"/>
      <c r="L277" s="20"/>
      <c r="M277" s="20"/>
      <c r="N277" s="20"/>
      <c r="O277" s="34"/>
      <c r="P277" s="34"/>
      <c r="Q277" s="34"/>
      <c r="R277" s="34"/>
      <c r="S277" s="68">
        <f t="shared" si="72"/>
        <v>0</v>
      </c>
      <c r="T277" s="15"/>
      <c r="U277" s="16"/>
      <c r="V277" s="34"/>
      <c r="W277" s="81"/>
      <c r="X277" s="34"/>
      <c r="Y277" s="15"/>
      <c r="Z277" s="34"/>
      <c r="AA277" s="34"/>
      <c r="AB277" s="34"/>
      <c r="AC277" s="117"/>
      <c r="AD277" s="16"/>
      <c r="AE277" s="24">
        <f>SUMIFS(инфо!$D$15:$D$28,инфо!$A$15:$A$28,F277)</f>
        <v>0</v>
      </c>
      <c r="AF277" s="35">
        <f t="shared" si="64"/>
        <v>0</v>
      </c>
      <c r="AG277" s="12">
        <f t="shared" si="74"/>
        <v>0</v>
      </c>
      <c r="AH277" s="24">
        <f>SUMIFS(инфо!$E$15:$E$28,инфо!$A$15:$A$28,F277)</f>
        <v>0</v>
      </c>
      <c r="AI277" s="32">
        <f t="shared" si="65"/>
        <v>0</v>
      </c>
      <c r="AJ277" s="12">
        <f t="shared" si="75"/>
        <v>0</v>
      </c>
      <c r="AK277" s="24">
        <f>SUMIFS(инфо!$F$15:$F$28,инфо!$A$15:$A$28,F277)</f>
        <v>0</v>
      </c>
      <c r="AL277" s="32">
        <f t="shared" si="66"/>
        <v>0</v>
      </c>
      <c r="AM277" s="12">
        <f t="shared" si="68"/>
        <v>0</v>
      </c>
      <c r="AN277" s="24">
        <f>SUMIFS(инфо!$G$15:$G$28,инфо!$A$15:$A$28,F277)</f>
        <v>0</v>
      </c>
      <c r="AO277" s="32">
        <f t="shared" si="67"/>
        <v>0</v>
      </c>
      <c r="AP277" s="12">
        <f t="shared" si="69"/>
        <v>0</v>
      </c>
      <c r="AQ277" s="24">
        <f>SUMIFS(инфо!$H$15:$H$28,инфо!$A$15:$A$28,F277)</f>
        <v>0</v>
      </c>
      <c r="AR277" s="35">
        <f t="shared" si="73"/>
        <v>0</v>
      </c>
      <c r="AS277" s="12">
        <f t="shared" si="70"/>
        <v>0</v>
      </c>
      <c r="AT277" s="24">
        <f>SUMIFS(инфо!$I$15:$I$28,инфо!$A$15:$A$28,F277)</f>
        <v>0</v>
      </c>
      <c r="AU277" s="35">
        <f t="shared" si="76"/>
        <v>0</v>
      </c>
      <c r="AV277" s="12">
        <f t="shared" si="71"/>
        <v>0</v>
      </c>
      <c r="AX277" s="68">
        <f>SUMIFS(инфо!$C$15:$C$28,инфо!$A$15:$A$28,F277)*H276</f>
        <v>0</v>
      </c>
    </row>
    <row r="278" spans="1:50" x14ac:dyDescent="0.25">
      <c r="A278" s="70">
        <f t="shared" si="63"/>
        <v>46203</v>
      </c>
      <c r="B278" s="111"/>
      <c r="C278" s="17"/>
      <c r="D278" s="18"/>
      <c r="E278" s="83"/>
      <c r="F278" s="28"/>
      <c r="G278" s="81"/>
      <c r="H278" s="81"/>
      <c r="I278" s="118">
        <f>IFERROR(H278*VLOOKUP(F278,инфо!$A$15:$C$28,3,FALSE)/1000,0)</f>
        <v>0</v>
      </c>
      <c r="J278" s="20"/>
      <c r="K278" s="20"/>
      <c r="L278" s="20"/>
      <c r="M278" s="20"/>
      <c r="N278" s="23"/>
      <c r="O278" s="19"/>
      <c r="P278" s="19"/>
      <c r="Q278" s="19"/>
      <c r="R278" s="19"/>
      <c r="S278" s="69">
        <f t="shared" si="72"/>
        <v>0</v>
      </c>
      <c r="T278" s="17"/>
      <c r="U278" s="18"/>
      <c r="V278" s="19"/>
      <c r="W278" s="81"/>
      <c r="X278" s="19"/>
      <c r="Y278" s="17"/>
      <c r="Z278" s="19"/>
      <c r="AA278" s="19"/>
      <c r="AB278" s="19"/>
      <c r="AC278" s="117"/>
      <c r="AD278" s="18"/>
      <c r="AE278" s="25">
        <f>SUMIFS(инфо!$D$15:$D$28,инфо!$A$15:$A$28,F278)</f>
        <v>0</v>
      </c>
      <c r="AF278" s="35">
        <f t="shared" si="64"/>
        <v>0</v>
      </c>
      <c r="AG278" s="14">
        <f t="shared" si="74"/>
        <v>0</v>
      </c>
      <c r="AH278" s="25">
        <f>SUMIFS(инфо!$E$15:$E$28,инфо!$A$15:$A$28,F278)</f>
        <v>0</v>
      </c>
      <c r="AI278" s="32">
        <f t="shared" si="65"/>
        <v>0</v>
      </c>
      <c r="AJ278" s="14">
        <f t="shared" si="75"/>
        <v>0</v>
      </c>
      <c r="AK278" s="25">
        <f>SUMIFS(инфо!$F$15:$F$28,инфо!$A$15:$A$28,F278)</f>
        <v>0</v>
      </c>
      <c r="AL278" s="32">
        <f t="shared" si="66"/>
        <v>0</v>
      </c>
      <c r="AM278" s="14">
        <f t="shared" si="68"/>
        <v>0</v>
      </c>
      <c r="AN278" s="25">
        <f>SUMIFS(инфо!$G$15:$G$28,инфо!$A$15:$A$28,F278)</f>
        <v>0</v>
      </c>
      <c r="AO278" s="32">
        <f t="shared" si="67"/>
        <v>0</v>
      </c>
      <c r="AP278" s="14">
        <f t="shared" si="69"/>
        <v>0</v>
      </c>
      <c r="AQ278" s="25">
        <f>SUMIFS(инфо!$H$15:$H$28,инфо!$A$15:$A$28,F278)</f>
        <v>0</v>
      </c>
      <c r="AR278" s="26">
        <f t="shared" si="73"/>
        <v>0</v>
      </c>
      <c r="AS278" s="14">
        <f t="shared" si="70"/>
        <v>0</v>
      </c>
      <c r="AT278" s="25">
        <f>SUMIFS(инфо!$I$15:$I$28,инфо!$A$15:$A$28,F278)</f>
        <v>0</v>
      </c>
      <c r="AU278" s="35">
        <f t="shared" si="76"/>
        <v>0</v>
      </c>
      <c r="AV278" s="14">
        <f t="shared" si="71"/>
        <v>0</v>
      </c>
      <c r="AX278" s="69">
        <f>SUMIFS(инфо!$C$15:$C$28,инфо!$A$15:$A$28,F278)*H277</f>
        <v>0</v>
      </c>
    </row>
    <row r="279" spans="1:50" x14ac:dyDescent="0.25">
      <c r="A279" s="70">
        <f t="shared" si="63"/>
        <v>46203</v>
      </c>
      <c r="B279" s="111"/>
      <c r="C279" s="29"/>
      <c r="D279" s="30"/>
      <c r="E279" s="83"/>
      <c r="F279" s="28"/>
      <c r="G279" s="81"/>
      <c r="H279" s="81"/>
      <c r="I279" s="118">
        <f>IFERROR(H279*VLOOKUP(F279,инфо!$A$15:$C$28,3,FALSE)/1000,0)</f>
        <v>0</v>
      </c>
      <c r="J279" s="20"/>
      <c r="K279" s="20"/>
      <c r="L279" s="20"/>
      <c r="M279" s="20"/>
      <c r="N279" s="28"/>
      <c r="O279" s="27"/>
      <c r="P279" s="27"/>
      <c r="Q279" s="27"/>
      <c r="R279" s="27"/>
      <c r="S279" s="67">
        <f t="shared" si="72"/>
        <v>0</v>
      </c>
      <c r="T279" s="29"/>
      <c r="U279" s="30"/>
      <c r="V279" s="27"/>
      <c r="W279" s="81"/>
      <c r="X279" s="27"/>
      <c r="Y279" s="29"/>
      <c r="Z279" s="27"/>
      <c r="AA279" s="27"/>
      <c r="AB279" s="27"/>
      <c r="AC279" s="117"/>
      <c r="AD279" s="30"/>
      <c r="AE279" s="31">
        <f>SUMIFS(инфо!$D$15:$D$28,инфо!$A$15:$A$28,F279)</f>
        <v>0</v>
      </c>
      <c r="AF279" s="35">
        <f t="shared" si="64"/>
        <v>0</v>
      </c>
      <c r="AG279" s="33">
        <f t="shared" si="74"/>
        <v>0</v>
      </c>
      <c r="AH279" s="31">
        <f>SUMIFS(инфо!$E$15:$E$28,инфо!$A$15:$A$28,F279)</f>
        <v>0</v>
      </c>
      <c r="AI279" s="32">
        <f t="shared" si="65"/>
        <v>0</v>
      </c>
      <c r="AJ279" s="33">
        <f t="shared" si="75"/>
        <v>0</v>
      </c>
      <c r="AK279" s="31">
        <f>SUMIFS(инфо!$F$15:$F$28,инфо!$A$15:$A$28,F279)</f>
        <v>0</v>
      </c>
      <c r="AL279" s="32">
        <f t="shared" si="66"/>
        <v>0</v>
      </c>
      <c r="AM279" s="33">
        <f t="shared" si="68"/>
        <v>0</v>
      </c>
      <c r="AN279" s="31">
        <f>SUMIFS(инфо!$G$15:$G$28,инфо!$A$15:$A$28,F279)</f>
        <v>0</v>
      </c>
      <c r="AO279" s="32">
        <f t="shared" si="67"/>
        <v>0</v>
      </c>
      <c r="AP279" s="33">
        <f t="shared" si="69"/>
        <v>0</v>
      </c>
      <c r="AQ279" s="31">
        <f>SUMIFS(инфо!$H$15:$H$28,инфо!$A$15:$A$28,F279)</f>
        <v>0</v>
      </c>
      <c r="AR279" s="32">
        <f t="shared" si="73"/>
        <v>0</v>
      </c>
      <c r="AS279" s="33">
        <f t="shared" si="70"/>
        <v>0</v>
      </c>
      <c r="AT279" s="31">
        <f>SUMIFS(инфо!$I$15:$I$28,инфо!$A$15:$A$28,F279)</f>
        <v>0</v>
      </c>
      <c r="AU279" s="35">
        <f t="shared" si="76"/>
        <v>0</v>
      </c>
      <c r="AV279" s="33">
        <f t="shared" si="71"/>
        <v>0</v>
      </c>
      <c r="AX279" s="67">
        <f>SUMIFS(инфо!$C$15:$C$28,инфо!$A$15:$A$28,F279)*H278</f>
        <v>0</v>
      </c>
    </row>
    <row r="280" spans="1:50" x14ac:dyDescent="0.25">
      <c r="A280" s="70">
        <f t="shared" si="63"/>
        <v>46204</v>
      </c>
      <c r="B280" s="111"/>
      <c r="C280" s="15"/>
      <c r="D280" s="16"/>
      <c r="E280" s="83"/>
      <c r="F280" s="28"/>
      <c r="G280" s="81"/>
      <c r="H280" s="81"/>
      <c r="I280" s="118">
        <f>IFERROR(H280*VLOOKUP(F280,инфо!$A$15:$C$28,3,FALSE)/1000,0)</f>
        <v>0</v>
      </c>
      <c r="J280" s="20"/>
      <c r="K280" s="20"/>
      <c r="L280" s="20"/>
      <c r="M280" s="20"/>
      <c r="N280" s="20"/>
      <c r="O280" s="34"/>
      <c r="P280" s="34"/>
      <c r="Q280" s="34"/>
      <c r="R280" s="34"/>
      <c r="S280" s="68">
        <f t="shared" si="72"/>
        <v>0</v>
      </c>
      <c r="T280" s="15"/>
      <c r="U280" s="16"/>
      <c r="V280" s="34"/>
      <c r="W280" s="81"/>
      <c r="X280" s="34"/>
      <c r="Y280" s="15"/>
      <c r="Z280" s="34"/>
      <c r="AA280" s="34"/>
      <c r="AB280" s="34"/>
      <c r="AC280" s="117"/>
      <c r="AD280" s="16"/>
      <c r="AE280" s="24">
        <f>SUMIFS(инфо!$D$15:$D$28,инфо!$A$15:$A$28,F280)</f>
        <v>0</v>
      </c>
      <c r="AF280" s="35">
        <f t="shared" si="64"/>
        <v>0</v>
      </c>
      <c r="AG280" s="12">
        <f t="shared" si="74"/>
        <v>0</v>
      </c>
      <c r="AH280" s="24">
        <f>SUMIFS(инфо!$E$15:$E$28,инфо!$A$15:$A$28,F280)</f>
        <v>0</v>
      </c>
      <c r="AI280" s="32">
        <f t="shared" si="65"/>
        <v>0</v>
      </c>
      <c r="AJ280" s="12">
        <f t="shared" si="75"/>
        <v>0</v>
      </c>
      <c r="AK280" s="24">
        <f>SUMIFS(инфо!$F$15:$F$28,инфо!$A$15:$A$28,F280)</f>
        <v>0</v>
      </c>
      <c r="AL280" s="32">
        <f t="shared" si="66"/>
        <v>0</v>
      </c>
      <c r="AM280" s="12">
        <f t="shared" si="68"/>
        <v>0</v>
      </c>
      <c r="AN280" s="24">
        <f>SUMIFS(инфо!$G$15:$G$28,инфо!$A$15:$A$28,F280)</f>
        <v>0</v>
      </c>
      <c r="AO280" s="32">
        <f t="shared" si="67"/>
        <v>0</v>
      </c>
      <c r="AP280" s="12">
        <f t="shared" si="69"/>
        <v>0</v>
      </c>
      <c r="AQ280" s="24">
        <f>SUMIFS(инфо!$H$15:$H$28,инфо!$A$15:$A$28,F280)</f>
        <v>0</v>
      </c>
      <c r="AR280" s="35">
        <f t="shared" si="73"/>
        <v>0</v>
      </c>
      <c r="AS280" s="12">
        <f t="shared" si="70"/>
        <v>0</v>
      </c>
      <c r="AT280" s="24">
        <f>SUMIFS(инфо!$I$15:$I$28,инфо!$A$15:$A$28,F280)</f>
        <v>0</v>
      </c>
      <c r="AU280" s="35">
        <f t="shared" si="76"/>
        <v>0</v>
      </c>
      <c r="AV280" s="12">
        <f t="shared" si="71"/>
        <v>0</v>
      </c>
      <c r="AX280" s="68">
        <f>SUMIFS(инфо!$C$15:$C$28,инфо!$A$15:$A$28,F280)*H279</f>
        <v>0</v>
      </c>
    </row>
    <row r="281" spans="1:50" x14ac:dyDescent="0.25">
      <c r="A281" s="70">
        <f t="shared" si="63"/>
        <v>46204</v>
      </c>
      <c r="B281" s="111"/>
      <c r="C281" s="15"/>
      <c r="D281" s="16"/>
      <c r="E281" s="83"/>
      <c r="F281" s="28"/>
      <c r="G281" s="81"/>
      <c r="H281" s="81"/>
      <c r="I281" s="118">
        <f>IFERROR(H281*VLOOKUP(F281,инфо!$A$15:$C$28,3,FALSE)/1000,0)</f>
        <v>0</v>
      </c>
      <c r="J281" s="20"/>
      <c r="K281" s="20"/>
      <c r="L281" s="20"/>
      <c r="M281" s="20"/>
      <c r="N281" s="20"/>
      <c r="O281" s="34"/>
      <c r="P281" s="34"/>
      <c r="Q281" s="34"/>
      <c r="R281" s="34"/>
      <c r="S281" s="68">
        <f t="shared" si="72"/>
        <v>0</v>
      </c>
      <c r="T281" s="15"/>
      <c r="U281" s="16"/>
      <c r="V281" s="34"/>
      <c r="W281" s="81"/>
      <c r="X281" s="34"/>
      <c r="Y281" s="15"/>
      <c r="Z281" s="34"/>
      <c r="AA281" s="34"/>
      <c r="AB281" s="34"/>
      <c r="AC281" s="117"/>
      <c r="AD281" s="16"/>
      <c r="AE281" s="24">
        <f>SUMIFS(инфо!$D$15:$D$28,инфо!$A$15:$A$28,F281)</f>
        <v>0</v>
      </c>
      <c r="AF281" s="35">
        <f t="shared" si="64"/>
        <v>0</v>
      </c>
      <c r="AG281" s="12">
        <f t="shared" si="74"/>
        <v>0</v>
      </c>
      <c r="AH281" s="24">
        <f>SUMIFS(инфо!$E$15:$E$28,инфо!$A$15:$A$28,F281)</f>
        <v>0</v>
      </c>
      <c r="AI281" s="32">
        <f t="shared" si="65"/>
        <v>0</v>
      </c>
      <c r="AJ281" s="12">
        <f t="shared" si="75"/>
        <v>0</v>
      </c>
      <c r="AK281" s="24">
        <f>SUMIFS(инфо!$F$15:$F$28,инфо!$A$15:$A$28,F281)</f>
        <v>0</v>
      </c>
      <c r="AL281" s="32">
        <f t="shared" si="66"/>
        <v>0</v>
      </c>
      <c r="AM281" s="12">
        <f t="shared" si="68"/>
        <v>0</v>
      </c>
      <c r="AN281" s="24">
        <f>SUMIFS(инфо!$G$15:$G$28,инфо!$A$15:$A$28,F281)</f>
        <v>0</v>
      </c>
      <c r="AO281" s="32">
        <f t="shared" si="67"/>
        <v>0</v>
      </c>
      <c r="AP281" s="12">
        <f t="shared" si="69"/>
        <v>0</v>
      </c>
      <c r="AQ281" s="24">
        <f>SUMIFS(инфо!$H$15:$H$28,инфо!$A$15:$A$28,F281)</f>
        <v>0</v>
      </c>
      <c r="AR281" s="35">
        <f t="shared" si="73"/>
        <v>0</v>
      </c>
      <c r="AS281" s="12">
        <f t="shared" si="70"/>
        <v>0</v>
      </c>
      <c r="AT281" s="24">
        <f>SUMIFS(инфо!$I$15:$I$28,инфо!$A$15:$A$28,F281)</f>
        <v>0</v>
      </c>
      <c r="AU281" s="35">
        <f t="shared" si="76"/>
        <v>0</v>
      </c>
      <c r="AV281" s="12">
        <f t="shared" si="71"/>
        <v>0</v>
      </c>
      <c r="AX281" s="68">
        <f>SUMIFS(инфо!$C$15:$C$28,инфо!$A$15:$A$28,F281)*H280</f>
        <v>0</v>
      </c>
    </row>
    <row r="282" spans="1:50" x14ac:dyDescent="0.25">
      <c r="A282" s="70">
        <f t="shared" si="63"/>
        <v>46205</v>
      </c>
      <c r="B282" s="111"/>
      <c r="C282" s="17"/>
      <c r="D282" s="18"/>
      <c r="E282" s="83"/>
      <c r="F282" s="28"/>
      <c r="G282" s="81"/>
      <c r="H282" s="81"/>
      <c r="I282" s="118">
        <f>IFERROR(H282*VLOOKUP(F282,инфо!$A$15:$C$28,3,FALSE)/1000,0)</f>
        <v>0</v>
      </c>
      <c r="J282" s="20"/>
      <c r="K282" s="20"/>
      <c r="L282" s="20"/>
      <c r="M282" s="20"/>
      <c r="N282" s="23"/>
      <c r="O282" s="19"/>
      <c r="P282" s="19"/>
      <c r="Q282" s="19"/>
      <c r="R282" s="19"/>
      <c r="S282" s="69">
        <f t="shared" si="72"/>
        <v>0</v>
      </c>
      <c r="T282" s="17"/>
      <c r="U282" s="18"/>
      <c r="V282" s="19"/>
      <c r="W282" s="81"/>
      <c r="X282" s="19"/>
      <c r="Y282" s="17"/>
      <c r="Z282" s="19"/>
      <c r="AA282" s="19"/>
      <c r="AB282" s="19"/>
      <c r="AC282" s="117"/>
      <c r="AD282" s="18"/>
      <c r="AE282" s="25">
        <f>SUMIFS(инфо!$D$15:$D$28,инфо!$A$15:$A$28,F282)</f>
        <v>0</v>
      </c>
      <c r="AF282" s="35">
        <f t="shared" si="64"/>
        <v>0</v>
      </c>
      <c r="AG282" s="14">
        <f t="shared" si="74"/>
        <v>0</v>
      </c>
      <c r="AH282" s="25">
        <f>SUMIFS(инфо!$E$15:$E$28,инфо!$A$15:$A$28,F282)</f>
        <v>0</v>
      </c>
      <c r="AI282" s="32">
        <f t="shared" si="65"/>
        <v>0</v>
      </c>
      <c r="AJ282" s="14">
        <f t="shared" si="75"/>
        <v>0</v>
      </c>
      <c r="AK282" s="25">
        <f>SUMIFS(инфо!$F$15:$F$28,инфо!$A$15:$A$28,F282)</f>
        <v>0</v>
      </c>
      <c r="AL282" s="32">
        <f t="shared" si="66"/>
        <v>0</v>
      </c>
      <c r="AM282" s="14">
        <f t="shared" si="68"/>
        <v>0</v>
      </c>
      <c r="AN282" s="25">
        <f>SUMIFS(инфо!$G$15:$G$28,инфо!$A$15:$A$28,F282)</f>
        <v>0</v>
      </c>
      <c r="AO282" s="32">
        <f t="shared" si="67"/>
        <v>0</v>
      </c>
      <c r="AP282" s="14">
        <f t="shared" si="69"/>
        <v>0</v>
      </c>
      <c r="AQ282" s="25">
        <f>SUMIFS(инфо!$H$15:$H$28,инфо!$A$15:$A$28,F282)</f>
        <v>0</v>
      </c>
      <c r="AR282" s="26">
        <f t="shared" si="73"/>
        <v>0</v>
      </c>
      <c r="AS282" s="14">
        <f t="shared" si="70"/>
        <v>0</v>
      </c>
      <c r="AT282" s="25">
        <f>SUMIFS(инфо!$I$15:$I$28,инфо!$A$15:$A$28,F282)</f>
        <v>0</v>
      </c>
      <c r="AU282" s="35">
        <f t="shared" si="76"/>
        <v>0</v>
      </c>
      <c r="AV282" s="14">
        <f t="shared" si="71"/>
        <v>0</v>
      </c>
      <c r="AX282" s="69">
        <f>SUMIFS(инфо!$C$15:$C$28,инфо!$A$15:$A$28,F282)*H281</f>
        <v>0</v>
      </c>
    </row>
    <row r="283" spans="1:50" x14ac:dyDescent="0.25">
      <c r="A283" s="70">
        <f t="shared" si="63"/>
        <v>46205</v>
      </c>
      <c r="B283" s="111"/>
      <c r="C283" s="29"/>
      <c r="D283" s="30"/>
      <c r="E283" s="83"/>
      <c r="F283" s="28"/>
      <c r="G283" s="81"/>
      <c r="H283" s="81"/>
      <c r="I283" s="118">
        <f>IFERROR(H283*VLOOKUP(F283,инфо!$A$15:$C$28,3,FALSE)/1000,0)</f>
        <v>0</v>
      </c>
      <c r="J283" s="20"/>
      <c r="K283" s="20"/>
      <c r="L283" s="20"/>
      <c r="M283" s="20"/>
      <c r="N283" s="28"/>
      <c r="O283" s="27"/>
      <c r="P283" s="27"/>
      <c r="Q283" s="27"/>
      <c r="R283" s="27"/>
      <c r="S283" s="67">
        <f t="shared" si="72"/>
        <v>0</v>
      </c>
      <c r="T283" s="29"/>
      <c r="U283" s="30"/>
      <c r="V283" s="27"/>
      <c r="W283" s="81"/>
      <c r="X283" s="27"/>
      <c r="Y283" s="29"/>
      <c r="Z283" s="27"/>
      <c r="AA283" s="27"/>
      <c r="AB283" s="27"/>
      <c r="AC283" s="117"/>
      <c r="AD283" s="30"/>
      <c r="AE283" s="31">
        <f>SUMIFS(инфо!$D$15:$D$28,инфо!$A$15:$A$28,F283)</f>
        <v>0</v>
      </c>
      <c r="AF283" s="35">
        <f t="shared" si="64"/>
        <v>0</v>
      </c>
      <c r="AG283" s="33">
        <f t="shared" si="74"/>
        <v>0</v>
      </c>
      <c r="AH283" s="31">
        <f>SUMIFS(инфо!$E$15:$E$28,инфо!$A$15:$A$28,F283)</f>
        <v>0</v>
      </c>
      <c r="AI283" s="32">
        <f t="shared" si="65"/>
        <v>0</v>
      </c>
      <c r="AJ283" s="33">
        <f t="shared" si="75"/>
        <v>0</v>
      </c>
      <c r="AK283" s="31">
        <f>SUMIFS(инфо!$F$15:$F$28,инфо!$A$15:$A$28,F283)</f>
        <v>0</v>
      </c>
      <c r="AL283" s="32">
        <f t="shared" si="66"/>
        <v>0</v>
      </c>
      <c r="AM283" s="33">
        <f t="shared" si="68"/>
        <v>0</v>
      </c>
      <c r="AN283" s="31">
        <f>SUMIFS(инфо!$G$15:$G$28,инфо!$A$15:$A$28,F283)</f>
        <v>0</v>
      </c>
      <c r="AO283" s="32">
        <f t="shared" si="67"/>
        <v>0</v>
      </c>
      <c r="AP283" s="33">
        <f t="shared" si="69"/>
        <v>0</v>
      </c>
      <c r="AQ283" s="31">
        <f>SUMIFS(инфо!$H$15:$H$28,инфо!$A$15:$A$28,F283)</f>
        <v>0</v>
      </c>
      <c r="AR283" s="32">
        <f t="shared" si="73"/>
        <v>0</v>
      </c>
      <c r="AS283" s="33">
        <f t="shared" si="70"/>
        <v>0</v>
      </c>
      <c r="AT283" s="31">
        <f>SUMIFS(инфо!$I$15:$I$28,инфо!$A$15:$A$28,F283)</f>
        <v>0</v>
      </c>
      <c r="AU283" s="35">
        <f t="shared" si="76"/>
        <v>0</v>
      </c>
      <c r="AV283" s="33">
        <f t="shared" si="71"/>
        <v>0</v>
      </c>
      <c r="AX283" s="67">
        <f>SUMIFS(инфо!$C$15:$C$28,инфо!$A$15:$A$28,F283)*H282</f>
        <v>0</v>
      </c>
    </row>
    <row r="284" spans="1:50" x14ac:dyDescent="0.25">
      <c r="A284" s="70">
        <f t="shared" ref="A284:A347" si="77">A282+1</f>
        <v>46206</v>
      </c>
      <c r="B284" s="111"/>
      <c r="C284" s="15"/>
      <c r="D284" s="16"/>
      <c r="E284" s="83"/>
      <c r="F284" s="28"/>
      <c r="G284" s="81"/>
      <c r="H284" s="81"/>
      <c r="I284" s="118">
        <f>IFERROR(H284*VLOOKUP(F284,инфо!$A$15:$C$28,3,FALSE)/1000,0)</f>
        <v>0</v>
      </c>
      <c r="J284" s="20"/>
      <c r="K284" s="20"/>
      <c r="L284" s="20"/>
      <c r="M284" s="20"/>
      <c r="N284" s="20"/>
      <c r="O284" s="34"/>
      <c r="P284" s="34"/>
      <c r="Q284" s="34"/>
      <c r="R284" s="34"/>
      <c r="S284" s="68">
        <f t="shared" si="72"/>
        <v>0</v>
      </c>
      <c r="T284" s="15"/>
      <c r="U284" s="16"/>
      <c r="V284" s="34"/>
      <c r="W284" s="81"/>
      <c r="X284" s="34"/>
      <c r="Y284" s="15"/>
      <c r="Z284" s="34"/>
      <c r="AA284" s="34"/>
      <c r="AB284" s="34"/>
      <c r="AC284" s="117"/>
      <c r="AD284" s="16"/>
      <c r="AE284" s="24">
        <f>SUMIFS(инфо!$D$15:$D$28,инфо!$A$15:$A$28,F284)</f>
        <v>0</v>
      </c>
      <c r="AF284" s="35">
        <f t="shared" si="64"/>
        <v>0</v>
      </c>
      <c r="AG284" s="12">
        <f t="shared" si="74"/>
        <v>0</v>
      </c>
      <c r="AH284" s="24">
        <f>SUMIFS(инфо!$E$15:$E$28,инфо!$A$15:$A$28,F284)</f>
        <v>0</v>
      </c>
      <c r="AI284" s="32">
        <f t="shared" si="65"/>
        <v>0</v>
      </c>
      <c r="AJ284" s="12">
        <f t="shared" si="75"/>
        <v>0</v>
      </c>
      <c r="AK284" s="24">
        <f>SUMIFS(инфо!$F$15:$F$28,инфо!$A$15:$A$28,F284)</f>
        <v>0</v>
      </c>
      <c r="AL284" s="32">
        <f t="shared" si="66"/>
        <v>0</v>
      </c>
      <c r="AM284" s="12">
        <f t="shared" si="68"/>
        <v>0</v>
      </c>
      <c r="AN284" s="24">
        <f>SUMIFS(инфо!$G$15:$G$28,инфо!$A$15:$A$28,F284)</f>
        <v>0</v>
      </c>
      <c r="AO284" s="32">
        <f t="shared" si="67"/>
        <v>0</v>
      </c>
      <c r="AP284" s="12">
        <f t="shared" si="69"/>
        <v>0</v>
      </c>
      <c r="AQ284" s="24">
        <f>SUMIFS(инфо!$H$15:$H$28,инфо!$A$15:$A$28,F284)</f>
        <v>0</v>
      </c>
      <c r="AR284" s="35">
        <f t="shared" si="73"/>
        <v>0</v>
      </c>
      <c r="AS284" s="12">
        <f t="shared" si="70"/>
        <v>0</v>
      </c>
      <c r="AT284" s="24">
        <f>SUMIFS(инфо!$I$15:$I$28,инфо!$A$15:$A$28,F284)</f>
        <v>0</v>
      </c>
      <c r="AU284" s="35">
        <f t="shared" si="76"/>
        <v>0</v>
      </c>
      <c r="AV284" s="12">
        <f t="shared" si="71"/>
        <v>0</v>
      </c>
      <c r="AX284" s="68">
        <f>SUMIFS(инфо!$C$15:$C$28,инфо!$A$15:$A$28,F284)*H283</f>
        <v>0</v>
      </c>
    </row>
    <row r="285" spans="1:50" x14ac:dyDescent="0.25">
      <c r="A285" s="70">
        <f t="shared" si="77"/>
        <v>46206</v>
      </c>
      <c r="B285" s="111"/>
      <c r="C285" s="15"/>
      <c r="D285" s="16"/>
      <c r="E285" s="83"/>
      <c r="F285" s="28"/>
      <c r="G285" s="81"/>
      <c r="H285" s="81"/>
      <c r="I285" s="118">
        <f>IFERROR(H285*VLOOKUP(F285,инфо!$A$15:$C$28,3,FALSE)/1000,0)</f>
        <v>0</v>
      </c>
      <c r="J285" s="20"/>
      <c r="K285" s="20"/>
      <c r="L285" s="20"/>
      <c r="M285" s="20"/>
      <c r="N285" s="20"/>
      <c r="O285" s="34"/>
      <c r="P285" s="34"/>
      <c r="Q285" s="34"/>
      <c r="R285" s="34"/>
      <c r="S285" s="68">
        <f t="shared" si="72"/>
        <v>0</v>
      </c>
      <c r="T285" s="15"/>
      <c r="U285" s="16"/>
      <c r="V285" s="34"/>
      <c r="W285" s="81"/>
      <c r="X285" s="34"/>
      <c r="Y285" s="15"/>
      <c r="Z285" s="34"/>
      <c r="AA285" s="34"/>
      <c r="AB285" s="34"/>
      <c r="AC285" s="117"/>
      <c r="AD285" s="16"/>
      <c r="AE285" s="24">
        <f>SUMIFS(инфо!$D$15:$D$28,инфо!$A$15:$A$28,F285)</f>
        <v>0</v>
      </c>
      <c r="AF285" s="35">
        <f t="shared" si="64"/>
        <v>0</v>
      </c>
      <c r="AG285" s="12">
        <f t="shared" si="74"/>
        <v>0</v>
      </c>
      <c r="AH285" s="24">
        <f>SUMIFS(инфо!$E$15:$E$28,инфо!$A$15:$A$28,F285)</f>
        <v>0</v>
      </c>
      <c r="AI285" s="32">
        <f t="shared" si="65"/>
        <v>0</v>
      </c>
      <c r="AJ285" s="12">
        <f t="shared" si="75"/>
        <v>0</v>
      </c>
      <c r="AK285" s="24">
        <f>SUMIFS(инфо!$F$15:$F$28,инфо!$A$15:$A$28,F285)</f>
        <v>0</v>
      </c>
      <c r="AL285" s="32">
        <f t="shared" si="66"/>
        <v>0</v>
      </c>
      <c r="AM285" s="12">
        <f t="shared" si="68"/>
        <v>0</v>
      </c>
      <c r="AN285" s="24">
        <f>SUMIFS(инфо!$G$15:$G$28,инфо!$A$15:$A$28,F285)</f>
        <v>0</v>
      </c>
      <c r="AO285" s="32">
        <f t="shared" si="67"/>
        <v>0</v>
      </c>
      <c r="AP285" s="12">
        <f t="shared" si="69"/>
        <v>0</v>
      </c>
      <c r="AQ285" s="24">
        <f>SUMIFS(инфо!$H$15:$H$28,инфо!$A$15:$A$28,F285)</f>
        <v>0</v>
      </c>
      <c r="AR285" s="35">
        <f t="shared" si="73"/>
        <v>0</v>
      </c>
      <c r="AS285" s="12">
        <f t="shared" si="70"/>
        <v>0</v>
      </c>
      <c r="AT285" s="24">
        <f>SUMIFS(инфо!$I$15:$I$28,инфо!$A$15:$A$28,F285)</f>
        <v>0</v>
      </c>
      <c r="AU285" s="35">
        <f t="shared" si="76"/>
        <v>0</v>
      </c>
      <c r="AV285" s="12">
        <f t="shared" si="71"/>
        <v>0</v>
      </c>
      <c r="AX285" s="68">
        <f>SUMIFS(инфо!$C$15:$C$28,инфо!$A$15:$A$28,F285)*H284</f>
        <v>0</v>
      </c>
    </row>
    <row r="286" spans="1:50" x14ac:dyDescent="0.25">
      <c r="A286" s="70">
        <f t="shared" si="77"/>
        <v>46207</v>
      </c>
      <c r="B286" s="111"/>
      <c r="C286" s="17"/>
      <c r="D286" s="18"/>
      <c r="E286" s="83"/>
      <c r="F286" s="28"/>
      <c r="G286" s="81"/>
      <c r="H286" s="81"/>
      <c r="I286" s="118">
        <f>IFERROR(H286*VLOOKUP(F286,инфо!$A$15:$C$28,3,FALSE)/1000,0)</f>
        <v>0</v>
      </c>
      <c r="J286" s="20"/>
      <c r="K286" s="20"/>
      <c r="L286" s="20"/>
      <c r="M286" s="20"/>
      <c r="N286" s="23"/>
      <c r="O286" s="19"/>
      <c r="P286" s="19"/>
      <c r="Q286" s="19"/>
      <c r="R286" s="19"/>
      <c r="S286" s="69">
        <f t="shared" si="72"/>
        <v>0</v>
      </c>
      <c r="T286" s="17"/>
      <c r="U286" s="18"/>
      <c r="V286" s="19"/>
      <c r="W286" s="81"/>
      <c r="X286" s="19"/>
      <c r="Y286" s="17"/>
      <c r="Z286" s="19"/>
      <c r="AA286" s="19"/>
      <c r="AB286" s="19"/>
      <c r="AC286" s="117"/>
      <c r="AD286" s="18"/>
      <c r="AE286" s="25">
        <f>SUMIFS(инфо!$D$15:$D$28,инфо!$A$15:$A$28,F286)</f>
        <v>0</v>
      </c>
      <c r="AF286" s="35">
        <f t="shared" si="64"/>
        <v>0</v>
      </c>
      <c r="AG286" s="14">
        <f t="shared" si="74"/>
        <v>0</v>
      </c>
      <c r="AH286" s="25">
        <f>SUMIFS(инфо!$E$15:$E$28,инфо!$A$15:$A$28,F286)</f>
        <v>0</v>
      </c>
      <c r="AI286" s="32">
        <f t="shared" si="65"/>
        <v>0</v>
      </c>
      <c r="AJ286" s="14">
        <f t="shared" si="75"/>
        <v>0</v>
      </c>
      <c r="AK286" s="25">
        <f>SUMIFS(инфо!$F$15:$F$28,инфо!$A$15:$A$28,F286)</f>
        <v>0</v>
      </c>
      <c r="AL286" s="32">
        <f t="shared" si="66"/>
        <v>0</v>
      </c>
      <c r="AM286" s="14">
        <f t="shared" si="68"/>
        <v>0</v>
      </c>
      <c r="AN286" s="25">
        <f>SUMIFS(инфо!$G$15:$G$28,инфо!$A$15:$A$28,F286)</f>
        <v>0</v>
      </c>
      <c r="AO286" s="32">
        <f t="shared" si="67"/>
        <v>0</v>
      </c>
      <c r="AP286" s="14">
        <f t="shared" si="69"/>
        <v>0</v>
      </c>
      <c r="AQ286" s="25">
        <f>SUMIFS(инфо!$H$15:$H$28,инфо!$A$15:$A$28,F286)</f>
        <v>0</v>
      </c>
      <c r="AR286" s="26">
        <f t="shared" si="73"/>
        <v>0</v>
      </c>
      <c r="AS286" s="14">
        <f t="shared" si="70"/>
        <v>0</v>
      </c>
      <c r="AT286" s="25">
        <f>SUMIFS(инфо!$I$15:$I$28,инфо!$A$15:$A$28,F286)</f>
        <v>0</v>
      </c>
      <c r="AU286" s="35">
        <f t="shared" si="76"/>
        <v>0</v>
      </c>
      <c r="AV286" s="14">
        <f t="shared" si="71"/>
        <v>0</v>
      </c>
      <c r="AX286" s="69">
        <f>SUMIFS(инфо!$C$15:$C$28,инфо!$A$15:$A$28,F286)*H285</f>
        <v>0</v>
      </c>
    </row>
    <row r="287" spans="1:50" x14ac:dyDescent="0.25">
      <c r="A287" s="70">
        <f t="shared" si="77"/>
        <v>46207</v>
      </c>
      <c r="B287" s="111"/>
      <c r="C287" s="29"/>
      <c r="D287" s="30"/>
      <c r="E287" s="83"/>
      <c r="F287" s="28"/>
      <c r="G287" s="81"/>
      <c r="H287" s="81"/>
      <c r="I287" s="118">
        <f>IFERROR(H287*VLOOKUP(F287,инфо!$A$15:$C$28,3,FALSE)/1000,0)</f>
        <v>0</v>
      </c>
      <c r="J287" s="20"/>
      <c r="K287" s="20"/>
      <c r="L287" s="20"/>
      <c r="M287" s="20"/>
      <c r="N287" s="28"/>
      <c r="O287" s="27"/>
      <c r="P287" s="27"/>
      <c r="Q287" s="27"/>
      <c r="R287" s="27"/>
      <c r="S287" s="67">
        <f t="shared" si="72"/>
        <v>0</v>
      </c>
      <c r="T287" s="29"/>
      <c r="U287" s="30"/>
      <c r="V287" s="27"/>
      <c r="W287" s="81"/>
      <c r="X287" s="27"/>
      <c r="Y287" s="29"/>
      <c r="Z287" s="27"/>
      <c r="AA287" s="27"/>
      <c r="AB287" s="27"/>
      <c r="AC287" s="117"/>
      <c r="AD287" s="30"/>
      <c r="AE287" s="31">
        <f>SUMIFS(инфо!$D$15:$D$28,инфо!$A$15:$A$28,F287)</f>
        <v>0</v>
      </c>
      <c r="AF287" s="35">
        <f t="shared" si="64"/>
        <v>0</v>
      </c>
      <c r="AG287" s="33">
        <f t="shared" si="74"/>
        <v>0</v>
      </c>
      <c r="AH287" s="31">
        <f>SUMIFS(инфо!$E$15:$E$28,инфо!$A$15:$A$28,F287)</f>
        <v>0</v>
      </c>
      <c r="AI287" s="32">
        <f t="shared" si="65"/>
        <v>0</v>
      </c>
      <c r="AJ287" s="33">
        <f t="shared" si="75"/>
        <v>0</v>
      </c>
      <c r="AK287" s="31">
        <f>SUMIFS(инфо!$F$15:$F$28,инфо!$A$15:$A$28,F287)</f>
        <v>0</v>
      </c>
      <c r="AL287" s="32">
        <f t="shared" si="66"/>
        <v>0</v>
      </c>
      <c r="AM287" s="33">
        <f t="shared" si="68"/>
        <v>0</v>
      </c>
      <c r="AN287" s="31">
        <f>SUMIFS(инфо!$G$15:$G$28,инфо!$A$15:$A$28,F287)</f>
        <v>0</v>
      </c>
      <c r="AO287" s="32">
        <f t="shared" si="67"/>
        <v>0</v>
      </c>
      <c r="AP287" s="33">
        <f t="shared" si="69"/>
        <v>0</v>
      </c>
      <c r="AQ287" s="31">
        <f>SUMIFS(инфо!$H$15:$H$28,инфо!$A$15:$A$28,F287)</f>
        <v>0</v>
      </c>
      <c r="AR287" s="32">
        <f t="shared" si="73"/>
        <v>0</v>
      </c>
      <c r="AS287" s="33">
        <f t="shared" si="70"/>
        <v>0</v>
      </c>
      <c r="AT287" s="31">
        <f>SUMIFS(инфо!$I$15:$I$28,инфо!$A$15:$A$28,F287)</f>
        <v>0</v>
      </c>
      <c r="AU287" s="35">
        <f t="shared" si="76"/>
        <v>0</v>
      </c>
      <c r="AV287" s="33">
        <f t="shared" si="71"/>
        <v>0</v>
      </c>
      <c r="AX287" s="67">
        <f>SUMIFS(инфо!$C$15:$C$28,инфо!$A$15:$A$28,F287)*H286</f>
        <v>0</v>
      </c>
    </row>
    <row r="288" spans="1:50" x14ac:dyDescent="0.25">
      <c r="A288" s="70">
        <f t="shared" si="77"/>
        <v>46208</v>
      </c>
      <c r="B288" s="111"/>
      <c r="C288" s="15"/>
      <c r="D288" s="16"/>
      <c r="E288" s="83"/>
      <c r="F288" s="28"/>
      <c r="G288" s="81"/>
      <c r="H288" s="81"/>
      <c r="I288" s="118">
        <f>IFERROR(H288*VLOOKUP(F288,инфо!$A$15:$C$28,3,FALSE)/1000,0)</f>
        <v>0</v>
      </c>
      <c r="J288" s="20"/>
      <c r="K288" s="20"/>
      <c r="L288" s="20"/>
      <c r="M288" s="20"/>
      <c r="N288" s="20"/>
      <c r="O288" s="34"/>
      <c r="P288" s="34"/>
      <c r="Q288" s="34"/>
      <c r="R288" s="34"/>
      <c r="S288" s="68">
        <f t="shared" si="72"/>
        <v>0</v>
      </c>
      <c r="T288" s="15"/>
      <c r="U288" s="16"/>
      <c r="V288" s="34"/>
      <c r="W288" s="81"/>
      <c r="X288" s="34"/>
      <c r="Y288" s="15"/>
      <c r="Z288" s="34"/>
      <c r="AA288" s="34"/>
      <c r="AB288" s="34"/>
      <c r="AC288" s="117"/>
      <c r="AD288" s="16"/>
      <c r="AE288" s="24">
        <f>SUMIFS(инфо!$D$15:$D$28,инфо!$A$15:$A$28,F288)</f>
        <v>0</v>
      </c>
      <c r="AF288" s="35">
        <f t="shared" si="64"/>
        <v>0</v>
      </c>
      <c r="AG288" s="12">
        <f t="shared" si="74"/>
        <v>0</v>
      </c>
      <c r="AH288" s="24">
        <f>SUMIFS(инфо!$E$15:$E$28,инфо!$A$15:$A$28,F288)</f>
        <v>0</v>
      </c>
      <c r="AI288" s="32">
        <f t="shared" si="65"/>
        <v>0</v>
      </c>
      <c r="AJ288" s="12">
        <f t="shared" si="75"/>
        <v>0</v>
      </c>
      <c r="AK288" s="24">
        <f>SUMIFS(инфо!$F$15:$F$28,инфо!$A$15:$A$28,F288)</f>
        <v>0</v>
      </c>
      <c r="AL288" s="32">
        <f t="shared" si="66"/>
        <v>0</v>
      </c>
      <c r="AM288" s="12">
        <f t="shared" si="68"/>
        <v>0</v>
      </c>
      <c r="AN288" s="24">
        <f>SUMIFS(инфо!$G$15:$G$28,инфо!$A$15:$A$28,F288)</f>
        <v>0</v>
      </c>
      <c r="AO288" s="32">
        <f t="shared" si="67"/>
        <v>0</v>
      </c>
      <c r="AP288" s="12">
        <f t="shared" si="69"/>
        <v>0</v>
      </c>
      <c r="AQ288" s="24">
        <f>SUMIFS(инфо!$H$15:$H$28,инфо!$A$15:$A$28,F288)</f>
        <v>0</v>
      </c>
      <c r="AR288" s="35">
        <f t="shared" si="73"/>
        <v>0</v>
      </c>
      <c r="AS288" s="12">
        <f t="shared" si="70"/>
        <v>0</v>
      </c>
      <c r="AT288" s="24">
        <f>SUMIFS(инфо!$I$15:$I$28,инфо!$A$15:$A$28,F288)</f>
        <v>0</v>
      </c>
      <c r="AU288" s="35">
        <f t="shared" si="76"/>
        <v>0</v>
      </c>
      <c r="AV288" s="12">
        <f t="shared" si="71"/>
        <v>0</v>
      </c>
      <c r="AX288" s="68">
        <f>SUMIFS(инфо!$C$15:$C$28,инфо!$A$15:$A$28,F288)*H287</f>
        <v>0</v>
      </c>
    </row>
    <row r="289" spans="1:50" x14ac:dyDescent="0.25">
      <c r="A289" s="70">
        <f t="shared" si="77"/>
        <v>46208</v>
      </c>
      <c r="B289" s="111"/>
      <c r="C289" s="15"/>
      <c r="D289" s="16"/>
      <c r="E289" s="83"/>
      <c r="F289" s="28"/>
      <c r="G289" s="81"/>
      <c r="H289" s="81"/>
      <c r="I289" s="118">
        <f>IFERROR(H289*VLOOKUP(F289,инфо!$A$15:$C$28,3,FALSE)/1000,0)</f>
        <v>0</v>
      </c>
      <c r="J289" s="20"/>
      <c r="K289" s="20"/>
      <c r="L289" s="20"/>
      <c r="M289" s="20"/>
      <c r="N289" s="20"/>
      <c r="O289" s="34"/>
      <c r="P289" s="34"/>
      <c r="Q289" s="34"/>
      <c r="R289" s="34"/>
      <c r="S289" s="68">
        <f t="shared" si="72"/>
        <v>0</v>
      </c>
      <c r="T289" s="15"/>
      <c r="U289" s="16"/>
      <c r="V289" s="34"/>
      <c r="W289" s="81"/>
      <c r="X289" s="34"/>
      <c r="Y289" s="15"/>
      <c r="Z289" s="34"/>
      <c r="AA289" s="34"/>
      <c r="AB289" s="34"/>
      <c r="AC289" s="117"/>
      <c r="AD289" s="16"/>
      <c r="AE289" s="24">
        <f>SUMIFS(инфо!$D$15:$D$28,инфо!$A$15:$A$28,F289)</f>
        <v>0</v>
      </c>
      <c r="AF289" s="35">
        <f t="shared" si="64"/>
        <v>0</v>
      </c>
      <c r="AG289" s="12">
        <f t="shared" si="74"/>
        <v>0</v>
      </c>
      <c r="AH289" s="24">
        <f>SUMIFS(инфо!$E$15:$E$28,инфо!$A$15:$A$28,F289)</f>
        <v>0</v>
      </c>
      <c r="AI289" s="32">
        <f t="shared" si="65"/>
        <v>0</v>
      </c>
      <c r="AJ289" s="12">
        <f t="shared" si="75"/>
        <v>0</v>
      </c>
      <c r="AK289" s="24">
        <f>SUMIFS(инфо!$F$15:$F$28,инфо!$A$15:$A$28,F289)</f>
        <v>0</v>
      </c>
      <c r="AL289" s="32">
        <f t="shared" si="66"/>
        <v>0</v>
      </c>
      <c r="AM289" s="12">
        <f t="shared" si="68"/>
        <v>0</v>
      </c>
      <c r="AN289" s="24">
        <f>SUMIFS(инфо!$G$15:$G$28,инфо!$A$15:$A$28,F289)</f>
        <v>0</v>
      </c>
      <c r="AO289" s="32">
        <f t="shared" si="67"/>
        <v>0</v>
      </c>
      <c r="AP289" s="12">
        <f t="shared" si="69"/>
        <v>0</v>
      </c>
      <c r="AQ289" s="24">
        <f>SUMIFS(инфо!$H$15:$H$28,инфо!$A$15:$A$28,F289)</f>
        <v>0</v>
      </c>
      <c r="AR289" s="35">
        <f t="shared" si="73"/>
        <v>0</v>
      </c>
      <c r="AS289" s="12">
        <f t="shared" si="70"/>
        <v>0</v>
      </c>
      <c r="AT289" s="24">
        <f>SUMIFS(инфо!$I$15:$I$28,инфо!$A$15:$A$28,F289)</f>
        <v>0</v>
      </c>
      <c r="AU289" s="35">
        <f t="shared" si="76"/>
        <v>0</v>
      </c>
      <c r="AV289" s="12">
        <f t="shared" si="71"/>
        <v>0</v>
      </c>
      <c r="AX289" s="68">
        <f>SUMIFS(инфо!$C$15:$C$28,инфо!$A$15:$A$28,F289)*H288</f>
        <v>0</v>
      </c>
    </row>
    <row r="290" spans="1:50" x14ac:dyDescent="0.25">
      <c r="A290" s="70">
        <f t="shared" si="77"/>
        <v>46209</v>
      </c>
      <c r="B290" s="111"/>
      <c r="C290" s="17"/>
      <c r="D290" s="18"/>
      <c r="E290" s="83"/>
      <c r="F290" s="28"/>
      <c r="G290" s="81"/>
      <c r="H290" s="81"/>
      <c r="I290" s="118">
        <f>IFERROR(H290*VLOOKUP(F290,инфо!$A$15:$C$28,3,FALSE)/1000,0)</f>
        <v>0</v>
      </c>
      <c r="J290" s="20"/>
      <c r="K290" s="20"/>
      <c r="L290" s="20"/>
      <c r="M290" s="20"/>
      <c r="N290" s="23"/>
      <c r="O290" s="19"/>
      <c r="P290" s="19"/>
      <c r="Q290" s="19"/>
      <c r="R290" s="19"/>
      <c r="S290" s="69">
        <f t="shared" si="72"/>
        <v>0</v>
      </c>
      <c r="T290" s="17"/>
      <c r="U290" s="18"/>
      <c r="V290" s="19"/>
      <c r="W290" s="81"/>
      <c r="X290" s="19"/>
      <c r="Y290" s="17"/>
      <c r="Z290" s="19"/>
      <c r="AA290" s="19"/>
      <c r="AB290" s="19"/>
      <c r="AC290" s="117"/>
      <c r="AD290" s="18"/>
      <c r="AE290" s="25">
        <f>SUMIFS(инфо!$D$15:$D$28,инфо!$A$15:$A$28,F290)</f>
        <v>0</v>
      </c>
      <c r="AF290" s="35">
        <f t="shared" si="64"/>
        <v>0</v>
      </c>
      <c r="AG290" s="14">
        <f t="shared" si="74"/>
        <v>0</v>
      </c>
      <c r="AH290" s="25">
        <f>SUMIFS(инфо!$E$15:$E$28,инфо!$A$15:$A$28,F290)</f>
        <v>0</v>
      </c>
      <c r="AI290" s="32">
        <f t="shared" si="65"/>
        <v>0</v>
      </c>
      <c r="AJ290" s="14">
        <f t="shared" si="75"/>
        <v>0</v>
      </c>
      <c r="AK290" s="25">
        <f>SUMIFS(инфо!$F$15:$F$28,инфо!$A$15:$A$28,F290)</f>
        <v>0</v>
      </c>
      <c r="AL290" s="32">
        <f t="shared" si="66"/>
        <v>0</v>
      </c>
      <c r="AM290" s="14">
        <f t="shared" si="68"/>
        <v>0</v>
      </c>
      <c r="AN290" s="25">
        <f>SUMIFS(инфо!$G$15:$G$28,инфо!$A$15:$A$28,F290)</f>
        <v>0</v>
      </c>
      <c r="AO290" s="32">
        <f t="shared" si="67"/>
        <v>0</v>
      </c>
      <c r="AP290" s="14">
        <f t="shared" si="69"/>
        <v>0</v>
      </c>
      <c r="AQ290" s="25">
        <f>SUMIFS(инфо!$H$15:$H$28,инфо!$A$15:$A$28,F290)</f>
        <v>0</v>
      </c>
      <c r="AR290" s="26">
        <f t="shared" si="73"/>
        <v>0</v>
      </c>
      <c r="AS290" s="14">
        <f t="shared" si="70"/>
        <v>0</v>
      </c>
      <c r="AT290" s="25">
        <f>SUMIFS(инфо!$I$15:$I$28,инфо!$A$15:$A$28,F290)</f>
        <v>0</v>
      </c>
      <c r="AU290" s="35">
        <f t="shared" si="76"/>
        <v>0</v>
      </c>
      <c r="AV290" s="14">
        <f t="shared" si="71"/>
        <v>0</v>
      </c>
      <c r="AX290" s="69">
        <f>SUMIFS(инфо!$C$15:$C$28,инфо!$A$15:$A$28,F290)*H289</f>
        <v>0</v>
      </c>
    </row>
    <row r="291" spans="1:50" x14ac:dyDescent="0.25">
      <c r="A291" s="70">
        <f t="shared" si="77"/>
        <v>46209</v>
      </c>
      <c r="B291" s="111"/>
      <c r="C291" s="29"/>
      <c r="D291" s="30"/>
      <c r="E291" s="83"/>
      <c r="F291" s="28"/>
      <c r="G291" s="81"/>
      <c r="H291" s="81"/>
      <c r="I291" s="118">
        <f>IFERROR(H291*VLOOKUP(F291,инфо!$A$15:$C$28,3,FALSE)/1000,0)</f>
        <v>0</v>
      </c>
      <c r="J291" s="20"/>
      <c r="K291" s="20"/>
      <c r="L291" s="20"/>
      <c r="M291" s="20"/>
      <c r="N291" s="28"/>
      <c r="O291" s="27"/>
      <c r="P291" s="27"/>
      <c r="Q291" s="27"/>
      <c r="R291" s="27"/>
      <c r="S291" s="67">
        <f t="shared" si="72"/>
        <v>0</v>
      </c>
      <c r="T291" s="29"/>
      <c r="U291" s="30"/>
      <c r="V291" s="27"/>
      <c r="W291" s="81"/>
      <c r="X291" s="27"/>
      <c r="Y291" s="29"/>
      <c r="Z291" s="27"/>
      <c r="AA291" s="27"/>
      <c r="AB291" s="27"/>
      <c r="AC291" s="117"/>
      <c r="AD291" s="30"/>
      <c r="AE291" s="31">
        <f>SUMIFS(инфо!$D$15:$D$28,инфо!$A$15:$A$28,F291)</f>
        <v>0</v>
      </c>
      <c r="AF291" s="35">
        <f t="shared" si="64"/>
        <v>0</v>
      </c>
      <c r="AG291" s="33">
        <f t="shared" si="74"/>
        <v>0</v>
      </c>
      <c r="AH291" s="31">
        <f>SUMIFS(инфо!$E$15:$E$28,инфо!$A$15:$A$28,F291)</f>
        <v>0</v>
      </c>
      <c r="AI291" s="32">
        <f t="shared" si="65"/>
        <v>0</v>
      </c>
      <c r="AJ291" s="33">
        <f t="shared" si="75"/>
        <v>0</v>
      </c>
      <c r="AK291" s="31">
        <f>SUMIFS(инфо!$F$15:$F$28,инфо!$A$15:$A$28,F291)</f>
        <v>0</v>
      </c>
      <c r="AL291" s="32">
        <f t="shared" si="66"/>
        <v>0</v>
      </c>
      <c r="AM291" s="33">
        <f t="shared" si="68"/>
        <v>0</v>
      </c>
      <c r="AN291" s="31">
        <f>SUMIFS(инфо!$G$15:$G$28,инфо!$A$15:$A$28,F291)</f>
        <v>0</v>
      </c>
      <c r="AO291" s="32">
        <f t="shared" si="67"/>
        <v>0</v>
      </c>
      <c r="AP291" s="33">
        <f t="shared" si="69"/>
        <v>0</v>
      </c>
      <c r="AQ291" s="31">
        <f>SUMIFS(инфо!$H$15:$H$28,инфо!$A$15:$A$28,F291)</f>
        <v>0</v>
      </c>
      <c r="AR291" s="32">
        <f t="shared" si="73"/>
        <v>0</v>
      </c>
      <c r="AS291" s="33">
        <f t="shared" si="70"/>
        <v>0</v>
      </c>
      <c r="AT291" s="31">
        <f>SUMIFS(инфо!$I$15:$I$28,инфо!$A$15:$A$28,F291)</f>
        <v>0</v>
      </c>
      <c r="AU291" s="35">
        <f t="shared" si="76"/>
        <v>0</v>
      </c>
      <c r="AV291" s="33">
        <f t="shared" si="71"/>
        <v>0</v>
      </c>
      <c r="AX291" s="67">
        <f>SUMIFS(инфо!$C$15:$C$28,инфо!$A$15:$A$28,F291)*H290</f>
        <v>0</v>
      </c>
    </row>
    <row r="292" spans="1:50" x14ac:dyDescent="0.25">
      <c r="A292" s="70">
        <f t="shared" si="77"/>
        <v>46210</v>
      </c>
      <c r="B292" s="111"/>
      <c r="C292" s="15"/>
      <c r="D292" s="16"/>
      <c r="E292" s="83"/>
      <c r="F292" s="28"/>
      <c r="G292" s="81"/>
      <c r="H292" s="81"/>
      <c r="I292" s="118">
        <f>IFERROR(H292*VLOOKUP(F292,инфо!$A$15:$C$28,3,FALSE)/1000,0)</f>
        <v>0</v>
      </c>
      <c r="J292" s="20"/>
      <c r="K292" s="20"/>
      <c r="L292" s="20"/>
      <c r="M292" s="20"/>
      <c r="N292" s="20"/>
      <c r="O292" s="34"/>
      <c r="P292" s="34"/>
      <c r="Q292" s="34"/>
      <c r="R292" s="34"/>
      <c r="S292" s="68">
        <f t="shared" si="72"/>
        <v>0</v>
      </c>
      <c r="T292" s="15"/>
      <c r="U292" s="16"/>
      <c r="V292" s="34"/>
      <c r="W292" s="81"/>
      <c r="X292" s="34"/>
      <c r="Y292" s="15"/>
      <c r="Z292" s="34"/>
      <c r="AA292" s="34"/>
      <c r="AB292" s="34"/>
      <c r="AC292" s="117"/>
      <c r="AD292" s="16"/>
      <c r="AE292" s="24">
        <f>SUMIFS(инфо!$D$15:$D$28,инфо!$A$15:$A$28,F292)</f>
        <v>0</v>
      </c>
      <c r="AF292" s="35">
        <f t="shared" si="64"/>
        <v>0</v>
      </c>
      <c r="AG292" s="12">
        <f t="shared" si="74"/>
        <v>0</v>
      </c>
      <c r="AH292" s="24">
        <f>SUMIFS(инфо!$E$15:$E$28,инфо!$A$15:$A$28,F292)</f>
        <v>0</v>
      </c>
      <c r="AI292" s="32">
        <f t="shared" si="65"/>
        <v>0</v>
      </c>
      <c r="AJ292" s="12">
        <f t="shared" si="75"/>
        <v>0</v>
      </c>
      <c r="AK292" s="24">
        <f>SUMIFS(инфо!$F$15:$F$28,инфо!$A$15:$A$28,F292)</f>
        <v>0</v>
      </c>
      <c r="AL292" s="32">
        <f t="shared" si="66"/>
        <v>0</v>
      </c>
      <c r="AM292" s="12">
        <f t="shared" si="68"/>
        <v>0</v>
      </c>
      <c r="AN292" s="24">
        <f>SUMIFS(инфо!$G$15:$G$28,инфо!$A$15:$A$28,F292)</f>
        <v>0</v>
      </c>
      <c r="AO292" s="32">
        <f t="shared" si="67"/>
        <v>0</v>
      </c>
      <c r="AP292" s="12">
        <f t="shared" si="69"/>
        <v>0</v>
      </c>
      <c r="AQ292" s="24">
        <f>SUMIFS(инфо!$H$15:$H$28,инфо!$A$15:$A$28,F292)</f>
        <v>0</v>
      </c>
      <c r="AR292" s="35">
        <f t="shared" si="73"/>
        <v>0</v>
      </c>
      <c r="AS292" s="12">
        <f t="shared" si="70"/>
        <v>0</v>
      </c>
      <c r="AT292" s="24">
        <f>SUMIFS(инфо!$I$15:$I$28,инфо!$A$15:$A$28,F292)</f>
        <v>0</v>
      </c>
      <c r="AU292" s="35">
        <f t="shared" si="76"/>
        <v>0</v>
      </c>
      <c r="AV292" s="12">
        <f t="shared" si="71"/>
        <v>0</v>
      </c>
      <c r="AX292" s="68">
        <f>SUMIFS(инфо!$C$15:$C$28,инфо!$A$15:$A$28,F292)*H291</f>
        <v>0</v>
      </c>
    </row>
    <row r="293" spans="1:50" x14ac:dyDescent="0.25">
      <c r="A293" s="70">
        <f t="shared" si="77"/>
        <v>46210</v>
      </c>
      <c r="B293" s="111"/>
      <c r="C293" s="15"/>
      <c r="D293" s="16"/>
      <c r="E293" s="83"/>
      <c r="F293" s="28"/>
      <c r="G293" s="81"/>
      <c r="H293" s="81"/>
      <c r="I293" s="118">
        <f>IFERROR(H293*VLOOKUP(F293,инфо!$A$15:$C$28,3,FALSE)/1000,0)</f>
        <v>0</v>
      </c>
      <c r="J293" s="20"/>
      <c r="K293" s="20"/>
      <c r="L293" s="20"/>
      <c r="M293" s="20"/>
      <c r="N293" s="20"/>
      <c r="O293" s="34"/>
      <c r="P293" s="34"/>
      <c r="Q293" s="34"/>
      <c r="R293" s="34"/>
      <c r="S293" s="68">
        <f t="shared" si="72"/>
        <v>0</v>
      </c>
      <c r="T293" s="15"/>
      <c r="U293" s="16"/>
      <c r="V293" s="34"/>
      <c r="W293" s="81"/>
      <c r="X293" s="34"/>
      <c r="Y293" s="15"/>
      <c r="Z293" s="34"/>
      <c r="AA293" s="34"/>
      <c r="AB293" s="34"/>
      <c r="AC293" s="117"/>
      <c r="AD293" s="16"/>
      <c r="AE293" s="24">
        <f>SUMIFS(инфо!$D$15:$D$28,инфо!$A$15:$A$28,F293)</f>
        <v>0</v>
      </c>
      <c r="AF293" s="35">
        <f t="shared" si="64"/>
        <v>0</v>
      </c>
      <c r="AG293" s="12">
        <f t="shared" si="74"/>
        <v>0</v>
      </c>
      <c r="AH293" s="24">
        <f>SUMIFS(инфо!$E$15:$E$28,инфо!$A$15:$A$28,F293)</f>
        <v>0</v>
      </c>
      <c r="AI293" s="32">
        <f t="shared" si="65"/>
        <v>0</v>
      </c>
      <c r="AJ293" s="12">
        <f t="shared" si="75"/>
        <v>0</v>
      </c>
      <c r="AK293" s="24">
        <f>SUMIFS(инфо!$F$15:$F$28,инфо!$A$15:$A$28,F293)</f>
        <v>0</v>
      </c>
      <c r="AL293" s="32">
        <f t="shared" si="66"/>
        <v>0</v>
      </c>
      <c r="AM293" s="12">
        <f t="shared" si="68"/>
        <v>0</v>
      </c>
      <c r="AN293" s="24">
        <f>SUMIFS(инфо!$G$15:$G$28,инфо!$A$15:$A$28,F293)</f>
        <v>0</v>
      </c>
      <c r="AO293" s="32">
        <f t="shared" si="67"/>
        <v>0</v>
      </c>
      <c r="AP293" s="12">
        <f t="shared" si="69"/>
        <v>0</v>
      </c>
      <c r="AQ293" s="24">
        <f>SUMIFS(инфо!$H$15:$H$28,инфо!$A$15:$A$28,F293)</f>
        <v>0</v>
      </c>
      <c r="AR293" s="35">
        <f t="shared" si="73"/>
        <v>0</v>
      </c>
      <c r="AS293" s="12">
        <f t="shared" si="70"/>
        <v>0</v>
      </c>
      <c r="AT293" s="24">
        <f>SUMIFS(инфо!$I$15:$I$28,инфо!$A$15:$A$28,F293)</f>
        <v>0</v>
      </c>
      <c r="AU293" s="35">
        <f t="shared" si="76"/>
        <v>0</v>
      </c>
      <c r="AV293" s="12">
        <f t="shared" si="71"/>
        <v>0</v>
      </c>
      <c r="AX293" s="68">
        <f>SUMIFS(инфо!$C$15:$C$28,инфо!$A$15:$A$28,F293)*H292</f>
        <v>0</v>
      </c>
    </row>
    <row r="294" spans="1:50" x14ac:dyDescent="0.25">
      <c r="A294" s="70">
        <f t="shared" si="77"/>
        <v>46211</v>
      </c>
      <c r="B294" s="111"/>
      <c r="C294" s="17"/>
      <c r="D294" s="18"/>
      <c r="E294" s="83"/>
      <c r="F294" s="28"/>
      <c r="G294" s="81"/>
      <c r="H294" s="81"/>
      <c r="I294" s="118">
        <f>IFERROR(H294*VLOOKUP(F294,инфо!$A$15:$C$28,3,FALSE)/1000,0)</f>
        <v>0</v>
      </c>
      <c r="J294" s="20"/>
      <c r="K294" s="20"/>
      <c r="L294" s="20"/>
      <c r="M294" s="20"/>
      <c r="N294" s="23"/>
      <c r="O294" s="19"/>
      <c r="P294" s="19"/>
      <c r="Q294" s="19"/>
      <c r="R294" s="19"/>
      <c r="S294" s="69">
        <f t="shared" si="72"/>
        <v>0</v>
      </c>
      <c r="T294" s="17"/>
      <c r="U294" s="18"/>
      <c r="V294" s="19"/>
      <c r="W294" s="81"/>
      <c r="X294" s="19"/>
      <c r="Y294" s="17"/>
      <c r="Z294" s="19"/>
      <c r="AA294" s="19"/>
      <c r="AB294" s="19"/>
      <c r="AC294" s="117"/>
      <c r="AD294" s="18"/>
      <c r="AE294" s="25">
        <f>SUMIFS(инфо!$D$15:$D$28,инфо!$A$15:$A$28,F294)</f>
        <v>0</v>
      </c>
      <c r="AF294" s="35">
        <f t="shared" si="64"/>
        <v>0</v>
      </c>
      <c r="AG294" s="14">
        <f t="shared" si="74"/>
        <v>0</v>
      </c>
      <c r="AH294" s="25">
        <f>SUMIFS(инфо!$E$15:$E$28,инфо!$A$15:$A$28,F294)</f>
        <v>0</v>
      </c>
      <c r="AI294" s="32">
        <f t="shared" si="65"/>
        <v>0</v>
      </c>
      <c r="AJ294" s="14">
        <f t="shared" si="75"/>
        <v>0</v>
      </c>
      <c r="AK294" s="25">
        <f>SUMIFS(инфо!$F$15:$F$28,инфо!$A$15:$A$28,F294)</f>
        <v>0</v>
      </c>
      <c r="AL294" s="32">
        <f t="shared" si="66"/>
        <v>0</v>
      </c>
      <c r="AM294" s="14">
        <f t="shared" si="68"/>
        <v>0</v>
      </c>
      <c r="AN294" s="25">
        <f>SUMIFS(инфо!$G$15:$G$28,инфо!$A$15:$A$28,F294)</f>
        <v>0</v>
      </c>
      <c r="AO294" s="32">
        <f t="shared" si="67"/>
        <v>0</v>
      </c>
      <c r="AP294" s="14">
        <f t="shared" si="69"/>
        <v>0</v>
      </c>
      <c r="AQ294" s="25">
        <f>SUMIFS(инфо!$H$15:$H$28,инфо!$A$15:$A$28,F294)</f>
        <v>0</v>
      </c>
      <c r="AR294" s="26">
        <f t="shared" si="73"/>
        <v>0</v>
      </c>
      <c r="AS294" s="14">
        <f t="shared" si="70"/>
        <v>0</v>
      </c>
      <c r="AT294" s="25">
        <f>SUMIFS(инфо!$I$15:$I$28,инфо!$A$15:$A$28,F294)</f>
        <v>0</v>
      </c>
      <c r="AU294" s="35">
        <f t="shared" si="76"/>
        <v>0</v>
      </c>
      <c r="AV294" s="14">
        <f t="shared" si="71"/>
        <v>0</v>
      </c>
      <c r="AX294" s="69">
        <f>SUMIFS(инфо!$C$15:$C$28,инфо!$A$15:$A$28,F294)*H293</f>
        <v>0</v>
      </c>
    </row>
    <row r="295" spans="1:50" x14ac:dyDescent="0.25">
      <c r="A295" s="70">
        <f t="shared" si="77"/>
        <v>46211</v>
      </c>
      <c r="B295" s="111"/>
      <c r="C295" s="29"/>
      <c r="D295" s="30"/>
      <c r="E295" s="83"/>
      <c r="F295" s="28"/>
      <c r="G295" s="81"/>
      <c r="H295" s="81"/>
      <c r="I295" s="118">
        <f>IFERROR(H295*VLOOKUP(F295,инфо!$A$15:$C$28,3,FALSE)/1000,0)</f>
        <v>0</v>
      </c>
      <c r="J295" s="20"/>
      <c r="K295" s="20"/>
      <c r="L295" s="20"/>
      <c r="M295" s="20"/>
      <c r="N295" s="28"/>
      <c r="O295" s="27"/>
      <c r="P295" s="27"/>
      <c r="Q295" s="27"/>
      <c r="R295" s="27"/>
      <c r="S295" s="67">
        <f t="shared" si="72"/>
        <v>0</v>
      </c>
      <c r="T295" s="29"/>
      <c r="U295" s="30"/>
      <c r="V295" s="27"/>
      <c r="W295" s="81"/>
      <c r="X295" s="27"/>
      <c r="Y295" s="29"/>
      <c r="Z295" s="27"/>
      <c r="AA295" s="27"/>
      <c r="AB295" s="27"/>
      <c r="AC295" s="117"/>
      <c r="AD295" s="30"/>
      <c r="AE295" s="31">
        <f>SUMIFS(инфо!$D$15:$D$28,инфо!$A$15:$A$28,F295)</f>
        <v>0</v>
      </c>
      <c r="AF295" s="35">
        <f t="shared" si="64"/>
        <v>0</v>
      </c>
      <c r="AG295" s="33">
        <f t="shared" si="74"/>
        <v>0</v>
      </c>
      <c r="AH295" s="31">
        <f>SUMIFS(инфо!$E$15:$E$28,инфо!$A$15:$A$28,F295)</f>
        <v>0</v>
      </c>
      <c r="AI295" s="32">
        <f t="shared" si="65"/>
        <v>0</v>
      </c>
      <c r="AJ295" s="33">
        <f t="shared" si="75"/>
        <v>0</v>
      </c>
      <c r="AK295" s="31">
        <f>SUMIFS(инфо!$F$15:$F$28,инфо!$A$15:$A$28,F295)</f>
        <v>0</v>
      </c>
      <c r="AL295" s="32">
        <f t="shared" si="66"/>
        <v>0</v>
      </c>
      <c r="AM295" s="33">
        <f t="shared" si="68"/>
        <v>0</v>
      </c>
      <c r="AN295" s="31">
        <f>SUMIFS(инфо!$G$15:$G$28,инфо!$A$15:$A$28,F295)</f>
        <v>0</v>
      </c>
      <c r="AO295" s="32">
        <f t="shared" si="67"/>
        <v>0</v>
      </c>
      <c r="AP295" s="33">
        <f t="shared" si="69"/>
        <v>0</v>
      </c>
      <c r="AQ295" s="31">
        <f>SUMIFS(инфо!$H$15:$H$28,инфо!$A$15:$A$28,F295)</f>
        <v>0</v>
      </c>
      <c r="AR295" s="32">
        <f t="shared" si="73"/>
        <v>0</v>
      </c>
      <c r="AS295" s="33">
        <f t="shared" si="70"/>
        <v>0</v>
      </c>
      <c r="AT295" s="31">
        <f>SUMIFS(инфо!$I$15:$I$28,инфо!$A$15:$A$28,F295)</f>
        <v>0</v>
      </c>
      <c r="AU295" s="35">
        <f t="shared" si="76"/>
        <v>0</v>
      </c>
      <c r="AV295" s="33">
        <f t="shared" si="71"/>
        <v>0</v>
      </c>
      <c r="AX295" s="67">
        <f>SUMIFS(инфо!$C$15:$C$28,инфо!$A$15:$A$28,F295)*H294</f>
        <v>0</v>
      </c>
    </row>
    <row r="296" spans="1:50" x14ac:dyDescent="0.25">
      <c r="A296" s="70">
        <f t="shared" si="77"/>
        <v>46212</v>
      </c>
      <c r="B296" s="111"/>
      <c r="C296" s="15"/>
      <c r="D296" s="16"/>
      <c r="E296" s="83"/>
      <c r="F296" s="28"/>
      <c r="G296" s="81"/>
      <c r="H296" s="81"/>
      <c r="I296" s="118">
        <f>IFERROR(H296*VLOOKUP(F296,инфо!$A$15:$C$28,3,FALSE)/1000,0)</f>
        <v>0</v>
      </c>
      <c r="J296" s="20"/>
      <c r="K296" s="20"/>
      <c r="L296" s="20"/>
      <c r="M296" s="20"/>
      <c r="N296" s="20"/>
      <c r="O296" s="34"/>
      <c r="P296" s="34"/>
      <c r="Q296" s="34"/>
      <c r="R296" s="34"/>
      <c r="S296" s="68">
        <f t="shared" si="72"/>
        <v>0</v>
      </c>
      <c r="T296" s="15"/>
      <c r="U296" s="16"/>
      <c r="V296" s="34"/>
      <c r="W296" s="81"/>
      <c r="X296" s="34"/>
      <c r="Y296" s="15"/>
      <c r="Z296" s="34"/>
      <c r="AA296" s="34"/>
      <c r="AB296" s="34"/>
      <c r="AC296" s="117"/>
      <c r="AD296" s="16"/>
      <c r="AE296" s="24">
        <f>SUMIFS(инфо!$D$15:$D$28,инфо!$A$15:$A$28,F296)</f>
        <v>0</v>
      </c>
      <c r="AF296" s="35">
        <f t="shared" si="64"/>
        <v>0</v>
      </c>
      <c r="AG296" s="12">
        <f t="shared" si="74"/>
        <v>0</v>
      </c>
      <c r="AH296" s="24">
        <f>SUMIFS(инфо!$E$15:$E$28,инфо!$A$15:$A$28,F296)</f>
        <v>0</v>
      </c>
      <c r="AI296" s="32">
        <f t="shared" si="65"/>
        <v>0</v>
      </c>
      <c r="AJ296" s="12">
        <f t="shared" si="75"/>
        <v>0</v>
      </c>
      <c r="AK296" s="24">
        <f>SUMIFS(инфо!$F$15:$F$28,инфо!$A$15:$A$28,F296)</f>
        <v>0</v>
      </c>
      <c r="AL296" s="32">
        <f t="shared" si="66"/>
        <v>0</v>
      </c>
      <c r="AM296" s="12">
        <f t="shared" si="68"/>
        <v>0</v>
      </c>
      <c r="AN296" s="24">
        <f>SUMIFS(инфо!$G$15:$G$28,инфо!$A$15:$A$28,F296)</f>
        <v>0</v>
      </c>
      <c r="AO296" s="32">
        <f t="shared" si="67"/>
        <v>0</v>
      </c>
      <c r="AP296" s="12">
        <f t="shared" si="69"/>
        <v>0</v>
      </c>
      <c r="AQ296" s="24">
        <f>SUMIFS(инфо!$H$15:$H$28,инфо!$A$15:$A$28,F296)</f>
        <v>0</v>
      </c>
      <c r="AR296" s="35">
        <f t="shared" si="73"/>
        <v>0</v>
      </c>
      <c r="AS296" s="12">
        <f t="shared" si="70"/>
        <v>0</v>
      </c>
      <c r="AT296" s="24">
        <f>SUMIFS(инфо!$I$15:$I$28,инфо!$A$15:$A$28,F296)</f>
        <v>0</v>
      </c>
      <c r="AU296" s="35">
        <f t="shared" si="76"/>
        <v>0</v>
      </c>
      <c r="AV296" s="12">
        <f t="shared" si="71"/>
        <v>0</v>
      </c>
      <c r="AX296" s="68">
        <f>SUMIFS(инфо!$C$15:$C$28,инфо!$A$15:$A$28,F296)*H295</f>
        <v>0</v>
      </c>
    </row>
    <row r="297" spans="1:50" x14ac:dyDescent="0.25">
      <c r="A297" s="70">
        <f t="shared" si="77"/>
        <v>46212</v>
      </c>
      <c r="B297" s="111"/>
      <c r="C297" s="15"/>
      <c r="D297" s="16"/>
      <c r="E297" s="83"/>
      <c r="F297" s="28"/>
      <c r="G297" s="81"/>
      <c r="H297" s="81"/>
      <c r="I297" s="118">
        <f>IFERROR(H297*VLOOKUP(F297,инфо!$A$15:$C$28,3,FALSE)/1000,0)</f>
        <v>0</v>
      </c>
      <c r="J297" s="20"/>
      <c r="K297" s="20"/>
      <c r="L297" s="20"/>
      <c r="M297" s="20"/>
      <c r="N297" s="20"/>
      <c r="O297" s="34"/>
      <c r="P297" s="34"/>
      <c r="Q297" s="34"/>
      <c r="R297" s="34"/>
      <c r="S297" s="68">
        <f t="shared" si="72"/>
        <v>0</v>
      </c>
      <c r="T297" s="15"/>
      <c r="U297" s="16"/>
      <c r="V297" s="34"/>
      <c r="W297" s="81"/>
      <c r="X297" s="34"/>
      <c r="Y297" s="15"/>
      <c r="Z297" s="34"/>
      <c r="AA297" s="34"/>
      <c r="AB297" s="34"/>
      <c r="AC297" s="117"/>
      <c r="AD297" s="16"/>
      <c r="AE297" s="24">
        <f>SUMIFS(инфо!$D$15:$D$28,инфо!$A$15:$A$28,F297)</f>
        <v>0</v>
      </c>
      <c r="AF297" s="35">
        <f t="shared" si="64"/>
        <v>0</v>
      </c>
      <c r="AG297" s="12">
        <f t="shared" si="74"/>
        <v>0</v>
      </c>
      <c r="AH297" s="24">
        <f>SUMIFS(инфо!$E$15:$E$28,инфо!$A$15:$A$28,F297)</f>
        <v>0</v>
      </c>
      <c r="AI297" s="32">
        <f t="shared" si="65"/>
        <v>0</v>
      </c>
      <c r="AJ297" s="12">
        <f t="shared" si="75"/>
        <v>0</v>
      </c>
      <c r="AK297" s="24">
        <f>SUMIFS(инфо!$F$15:$F$28,инфо!$A$15:$A$28,F297)</f>
        <v>0</v>
      </c>
      <c r="AL297" s="32">
        <f t="shared" si="66"/>
        <v>0</v>
      </c>
      <c r="AM297" s="12">
        <f t="shared" si="68"/>
        <v>0</v>
      </c>
      <c r="AN297" s="24">
        <f>SUMIFS(инфо!$G$15:$G$28,инфо!$A$15:$A$28,F297)</f>
        <v>0</v>
      </c>
      <c r="AO297" s="32">
        <f t="shared" si="67"/>
        <v>0</v>
      </c>
      <c r="AP297" s="12">
        <f t="shared" si="69"/>
        <v>0</v>
      </c>
      <c r="AQ297" s="24">
        <f>SUMIFS(инфо!$H$15:$H$28,инфо!$A$15:$A$28,F297)</f>
        <v>0</v>
      </c>
      <c r="AR297" s="35">
        <f t="shared" si="73"/>
        <v>0</v>
      </c>
      <c r="AS297" s="12">
        <f t="shared" si="70"/>
        <v>0</v>
      </c>
      <c r="AT297" s="24">
        <f>SUMIFS(инфо!$I$15:$I$28,инфо!$A$15:$A$28,F297)</f>
        <v>0</v>
      </c>
      <c r="AU297" s="35">
        <f t="shared" si="76"/>
        <v>0</v>
      </c>
      <c r="AV297" s="12">
        <f t="shared" si="71"/>
        <v>0</v>
      </c>
      <c r="AX297" s="68">
        <f>SUMIFS(инфо!$C$15:$C$28,инфо!$A$15:$A$28,F297)*H296</f>
        <v>0</v>
      </c>
    </row>
    <row r="298" spans="1:50" x14ac:dyDescent="0.25">
      <c r="A298" s="70">
        <f t="shared" si="77"/>
        <v>46213</v>
      </c>
      <c r="B298" s="111"/>
      <c r="C298" s="17"/>
      <c r="D298" s="18"/>
      <c r="E298" s="83"/>
      <c r="F298" s="28"/>
      <c r="G298" s="81"/>
      <c r="H298" s="81"/>
      <c r="I298" s="118">
        <f>IFERROR(H298*VLOOKUP(F298,инфо!$A$15:$C$28,3,FALSE)/1000,0)</f>
        <v>0</v>
      </c>
      <c r="J298" s="20"/>
      <c r="K298" s="20"/>
      <c r="L298" s="20"/>
      <c r="M298" s="20"/>
      <c r="N298" s="23"/>
      <c r="O298" s="19"/>
      <c r="P298" s="19"/>
      <c r="Q298" s="19"/>
      <c r="R298" s="19"/>
      <c r="S298" s="69">
        <f t="shared" si="72"/>
        <v>0</v>
      </c>
      <c r="T298" s="17"/>
      <c r="U298" s="18"/>
      <c r="V298" s="19"/>
      <c r="W298" s="81"/>
      <c r="X298" s="19"/>
      <c r="Y298" s="17"/>
      <c r="Z298" s="19"/>
      <c r="AA298" s="19"/>
      <c r="AB298" s="19"/>
      <c r="AC298" s="117"/>
      <c r="AD298" s="18"/>
      <c r="AE298" s="25">
        <f>SUMIFS(инфо!$D$15:$D$28,инфо!$A$15:$A$28,F298)</f>
        <v>0</v>
      </c>
      <c r="AF298" s="35">
        <f t="shared" si="64"/>
        <v>0</v>
      </c>
      <c r="AG298" s="14">
        <f t="shared" si="74"/>
        <v>0</v>
      </c>
      <c r="AH298" s="25">
        <f>SUMIFS(инфо!$E$15:$E$28,инфо!$A$15:$A$28,F298)</f>
        <v>0</v>
      </c>
      <c r="AI298" s="32">
        <f t="shared" si="65"/>
        <v>0</v>
      </c>
      <c r="AJ298" s="14">
        <f t="shared" si="75"/>
        <v>0</v>
      </c>
      <c r="AK298" s="25">
        <f>SUMIFS(инфо!$F$15:$F$28,инфо!$A$15:$A$28,F298)</f>
        <v>0</v>
      </c>
      <c r="AL298" s="32">
        <f t="shared" si="66"/>
        <v>0</v>
      </c>
      <c r="AM298" s="14">
        <f t="shared" si="68"/>
        <v>0</v>
      </c>
      <c r="AN298" s="25">
        <f>SUMIFS(инфо!$G$15:$G$28,инфо!$A$15:$A$28,F298)</f>
        <v>0</v>
      </c>
      <c r="AO298" s="32">
        <f t="shared" si="67"/>
        <v>0</v>
      </c>
      <c r="AP298" s="14">
        <f t="shared" si="69"/>
        <v>0</v>
      </c>
      <c r="AQ298" s="25">
        <f>SUMIFS(инфо!$H$15:$H$28,инфо!$A$15:$A$28,F298)</f>
        <v>0</v>
      </c>
      <c r="AR298" s="26">
        <f t="shared" si="73"/>
        <v>0</v>
      </c>
      <c r="AS298" s="14">
        <f t="shared" si="70"/>
        <v>0</v>
      </c>
      <c r="AT298" s="25">
        <f>SUMIFS(инфо!$I$15:$I$28,инфо!$A$15:$A$28,F298)</f>
        <v>0</v>
      </c>
      <c r="AU298" s="35">
        <f t="shared" si="76"/>
        <v>0</v>
      </c>
      <c r="AV298" s="14">
        <f t="shared" si="71"/>
        <v>0</v>
      </c>
      <c r="AX298" s="69">
        <f>SUMIFS(инфо!$C$15:$C$28,инфо!$A$15:$A$28,F298)*H297</f>
        <v>0</v>
      </c>
    </row>
    <row r="299" spans="1:50" x14ac:dyDescent="0.25">
      <c r="A299" s="70">
        <f t="shared" si="77"/>
        <v>46213</v>
      </c>
      <c r="B299" s="111"/>
      <c r="C299" s="29"/>
      <c r="D299" s="30"/>
      <c r="E299" s="83"/>
      <c r="F299" s="28"/>
      <c r="G299" s="81"/>
      <c r="H299" s="81"/>
      <c r="I299" s="118">
        <f>IFERROR(H299*VLOOKUP(F299,инфо!$A$15:$C$28,3,FALSE)/1000,0)</f>
        <v>0</v>
      </c>
      <c r="J299" s="20"/>
      <c r="K299" s="20"/>
      <c r="L299" s="20"/>
      <c r="M299" s="20"/>
      <c r="N299" s="28"/>
      <c r="O299" s="27"/>
      <c r="P299" s="27"/>
      <c r="Q299" s="27"/>
      <c r="R299" s="27"/>
      <c r="S299" s="67">
        <f t="shared" si="72"/>
        <v>0</v>
      </c>
      <c r="T299" s="29"/>
      <c r="U299" s="30"/>
      <c r="V299" s="27"/>
      <c r="W299" s="81"/>
      <c r="X299" s="27"/>
      <c r="Y299" s="29"/>
      <c r="Z299" s="27"/>
      <c r="AA299" s="27"/>
      <c r="AB299" s="27"/>
      <c r="AC299" s="117"/>
      <c r="AD299" s="30"/>
      <c r="AE299" s="31">
        <f>SUMIFS(инфо!$D$15:$D$28,инфо!$A$15:$A$28,F299)</f>
        <v>0</v>
      </c>
      <c r="AF299" s="35">
        <f t="shared" si="64"/>
        <v>0</v>
      </c>
      <c r="AG299" s="33">
        <f t="shared" si="74"/>
        <v>0</v>
      </c>
      <c r="AH299" s="31">
        <f>SUMIFS(инфо!$E$15:$E$28,инфо!$A$15:$A$28,F299)</f>
        <v>0</v>
      </c>
      <c r="AI299" s="32">
        <f t="shared" si="65"/>
        <v>0</v>
      </c>
      <c r="AJ299" s="33">
        <f t="shared" si="75"/>
        <v>0</v>
      </c>
      <c r="AK299" s="31">
        <f>SUMIFS(инфо!$F$15:$F$28,инфо!$A$15:$A$28,F299)</f>
        <v>0</v>
      </c>
      <c r="AL299" s="32">
        <f t="shared" si="66"/>
        <v>0</v>
      </c>
      <c r="AM299" s="33">
        <f t="shared" si="68"/>
        <v>0</v>
      </c>
      <c r="AN299" s="31">
        <f>SUMIFS(инфо!$G$15:$G$28,инфо!$A$15:$A$28,F299)</f>
        <v>0</v>
      </c>
      <c r="AO299" s="32">
        <f t="shared" si="67"/>
        <v>0</v>
      </c>
      <c r="AP299" s="33">
        <f t="shared" si="69"/>
        <v>0</v>
      </c>
      <c r="AQ299" s="31">
        <f>SUMIFS(инфо!$H$15:$H$28,инфо!$A$15:$A$28,F299)</f>
        <v>0</v>
      </c>
      <c r="AR299" s="32">
        <f t="shared" si="73"/>
        <v>0</v>
      </c>
      <c r="AS299" s="33">
        <f t="shared" si="70"/>
        <v>0</v>
      </c>
      <c r="AT299" s="31">
        <f>SUMIFS(инфо!$I$15:$I$28,инфо!$A$15:$A$28,F299)</f>
        <v>0</v>
      </c>
      <c r="AU299" s="35">
        <f t="shared" si="76"/>
        <v>0</v>
      </c>
      <c r="AV299" s="33">
        <f t="shared" si="71"/>
        <v>0</v>
      </c>
      <c r="AX299" s="67">
        <f>SUMIFS(инфо!$C$15:$C$28,инфо!$A$15:$A$28,F299)*H298</f>
        <v>0</v>
      </c>
    </row>
    <row r="300" spans="1:50" x14ac:dyDescent="0.25">
      <c r="A300" s="70">
        <f t="shared" si="77"/>
        <v>46214</v>
      </c>
      <c r="B300" s="78"/>
      <c r="C300" s="15"/>
      <c r="D300" s="16"/>
      <c r="E300" s="83"/>
      <c r="F300" s="28"/>
      <c r="G300" s="81"/>
      <c r="H300" s="81"/>
      <c r="I300" s="118">
        <f>IFERROR(H300*VLOOKUP(F300,инфо!$A$15:$C$28,3,FALSE)/1000,0)</f>
        <v>0</v>
      </c>
      <c r="J300" s="20"/>
      <c r="K300" s="20"/>
      <c r="L300" s="20"/>
      <c r="M300" s="20"/>
      <c r="N300" s="20"/>
      <c r="O300" s="34"/>
      <c r="P300" s="34"/>
      <c r="Q300" s="34"/>
      <c r="R300" s="34"/>
      <c r="S300" s="68">
        <f t="shared" si="72"/>
        <v>0</v>
      </c>
      <c r="T300" s="15"/>
      <c r="U300" s="16"/>
      <c r="V300" s="34"/>
      <c r="W300" s="81"/>
      <c r="X300" s="34"/>
      <c r="Y300" s="15"/>
      <c r="Z300" s="34"/>
      <c r="AA300" s="34"/>
      <c r="AB300" s="34"/>
      <c r="AC300" s="117"/>
      <c r="AD300" s="16"/>
      <c r="AE300" s="24">
        <f>SUMIFS(инфо!$D$15:$D$28,инфо!$A$15:$A$28,F300)</f>
        <v>0</v>
      </c>
      <c r="AF300" s="35">
        <f t="shared" si="64"/>
        <v>0</v>
      </c>
      <c r="AG300" s="12">
        <f t="shared" si="74"/>
        <v>0</v>
      </c>
      <c r="AH300" s="24">
        <f>SUMIFS(инфо!$E$15:$E$28,инфо!$A$15:$A$28,F300)</f>
        <v>0</v>
      </c>
      <c r="AI300" s="32">
        <f t="shared" si="65"/>
        <v>0</v>
      </c>
      <c r="AJ300" s="12">
        <f t="shared" si="75"/>
        <v>0</v>
      </c>
      <c r="AK300" s="24">
        <f>SUMIFS(инфо!$F$15:$F$28,инфо!$A$15:$A$28,F300)</f>
        <v>0</v>
      </c>
      <c r="AL300" s="32">
        <f t="shared" si="66"/>
        <v>0</v>
      </c>
      <c r="AM300" s="12">
        <f t="shared" si="68"/>
        <v>0</v>
      </c>
      <c r="AN300" s="24">
        <f>SUMIFS(инфо!$G$15:$G$28,инфо!$A$15:$A$28,F300)</f>
        <v>0</v>
      </c>
      <c r="AO300" s="32">
        <f t="shared" si="67"/>
        <v>0</v>
      </c>
      <c r="AP300" s="12">
        <f t="shared" si="69"/>
        <v>0</v>
      </c>
      <c r="AQ300" s="24">
        <f>SUMIFS(инфо!$H$15:$H$28,инфо!$A$15:$A$28,F300)</f>
        <v>0</v>
      </c>
      <c r="AR300" s="35">
        <f t="shared" si="73"/>
        <v>0</v>
      </c>
      <c r="AS300" s="12">
        <f t="shared" si="70"/>
        <v>0</v>
      </c>
      <c r="AT300" s="24">
        <f>SUMIFS(инфо!$I$15:$I$28,инфо!$A$15:$A$28,F300)</f>
        <v>0</v>
      </c>
      <c r="AU300" s="35">
        <f t="shared" si="76"/>
        <v>0</v>
      </c>
      <c r="AV300" s="12">
        <f t="shared" si="71"/>
        <v>0</v>
      </c>
      <c r="AX300" s="68">
        <f>SUMIFS(инфо!$C$15:$C$28,инфо!$A$15:$A$28,F300)*H299</f>
        <v>0</v>
      </c>
    </row>
    <row r="301" spans="1:50" x14ac:dyDescent="0.25">
      <c r="A301" s="70">
        <f t="shared" si="77"/>
        <v>46214</v>
      </c>
      <c r="B301" s="78"/>
      <c r="C301" s="15"/>
      <c r="D301" s="16"/>
      <c r="E301" s="83"/>
      <c r="F301" s="28"/>
      <c r="G301" s="81"/>
      <c r="H301" s="81"/>
      <c r="I301" s="118">
        <f>IFERROR(H301*VLOOKUP(F301,инфо!$A$15:$C$28,3,FALSE)/1000,0)</f>
        <v>0</v>
      </c>
      <c r="J301" s="20"/>
      <c r="K301" s="20"/>
      <c r="L301" s="20"/>
      <c r="M301" s="20"/>
      <c r="N301" s="20"/>
      <c r="O301" s="34"/>
      <c r="P301" s="34"/>
      <c r="Q301" s="34"/>
      <c r="R301" s="34"/>
      <c r="S301" s="68">
        <f t="shared" si="72"/>
        <v>0</v>
      </c>
      <c r="T301" s="15"/>
      <c r="U301" s="16"/>
      <c r="V301" s="34"/>
      <c r="W301" s="81"/>
      <c r="X301" s="34"/>
      <c r="Y301" s="15"/>
      <c r="Z301" s="34"/>
      <c r="AA301" s="34"/>
      <c r="AB301" s="34"/>
      <c r="AC301" s="117"/>
      <c r="AD301" s="16"/>
      <c r="AE301" s="24">
        <f>SUMIFS(инфо!$D$15:$D$28,инфо!$A$15:$A$28,F301)</f>
        <v>0</v>
      </c>
      <c r="AF301" s="35">
        <f t="shared" ref="AF301:AF364" si="78">IF(H301=0,0,N301/H301)</f>
        <v>0</v>
      </c>
      <c r="AG301" s="12">
        <f t="shared" si="74"/>
        <v>0</v>
      </c>
      <c r="AH301" s="24">
        <f>SUMIFS(инфо!$E$15:$E$28,инфо!$A$15:$A$28,F301)</f>
        <v>0</v>
      </c>
      <c r="AI301" s="32">
        <f t="shared" ref="AI301:AI364" si="79">IF(H301=0,0,S301/H301)</f>
        <v>0</v>
      </c>
      <c r="AJ301" s="12">
        <f t="shared" si="75"/>
        <v>0</v>
      </c>
      <c r="AK301" s="24">
        <f>SUMIFS(инфо!$F$15:$F$28,инфо!$A$15:$A$28,F301)</f>
        <v>0</v>
      </c>
      <c r="AL301" s="32">
        <f t="shared" ref="AL301:AL364" si="80">IF(H301=0,0,Y301/H301)</f>
        <v>0</v>
      </c>
      <c r="AM301" s="12">
        <f t="shared" si="68"/>
        <v>0</v>
      </c>
      <c r="AN301" s="24">
        <f>SUMIFS(инфо!$G$15:$G$28,инфо!$A$15:$A$28,F301)</f>
        <v>0</v>
      </c>
      <c r="AO301" s="32">
        <f t="shared" ref="AO301:AO364" si="81">IF(H301=0,0,AA301/H301)</f>
        <v>0</v>
      </c>
      <c r="AP301" s="12">
        <f t="shared" si="69"/>
        <v>0</v>
      </c>
      <c r="AQ301" s="24">
        <f>SUMIFS(инфо!$H$15:$H$28,инфо!$A$15:$A$28,F301)</f>
        <v>0</v>
      </c>
      <c r="AR301" s="35">
        <f t="shared" si="73"/>
        <v>0</v>
      </c>
      <c r="AS301" s="12">
        <f t="shared" si="70"/>
        <v>0</v>
      </c>
      <c r="AT301" s="24">
        <f>SUMIFS(инфо!$I$15:$I$28,инфо!$A$15:$A$28,F301)</f>
        <v>0</v>
      </c>
      <c r="AU301" s="35">
        <f t="shared" si="76"/>
        <v>0</v>
      </c>
      <c r="AV301" s="12">
        <f t="shared" si="71"/>
        <v>0</v>
      </c>
      <c r="AX301" s="68">
        <f>SUMIFS(инфо!$C$15:$C$28,инфо!$A$15:$A$28,F301)*H300</f>
        <v>0</v>
      </c>
    </row>
    <row r="302" spans="1:50" x14ac:dyDescent="0.25">
      <c r="A302" s="70">
        <f t="shared" si="77"/>
        <v>46215</v>
      </c>
      <c r="B302" s="78"/>
      <c r="C302" s="17"/>
      <c r="D302" s="18"/>
      <c r="E302" s="83"/>
      <c r="F302" s="28"/>
      <c r="G302" s="81"/>
      <c r="H302" s="81"/>
      <c r="I302" s="118">
        <f>IFERROR(H302*VLOOKUP(F302,инфо!$A$15:$C$28,3,FALSE)/1000,0)</f>
        <v>0</v>
      </c>
      <c r="J302" s="20"/>
      <c r="K302" s="20"/>
      <c r="L302" s="20"/>
      <c r="M302" s="20"/>
      <c r="N302" s="23"/>
      <c r="O302" s="19"/>
      <c r="P302" s="19"/>
      <c r="Q302" s="19"/>
      <c r="R302" s="19"/>
      <c r="S302" s="69">
        <f t="shared" si="72"/>
        <v>0</v>
      </c>
      <c r="T302" s="17"/>
      <c r="U302" s="18"/>
      <c r="V302" s="19"/>
      <c r="W302" s="81"/>
      <c r="X302" s="19"/>
      <c r="Y302" s="17"/>
      <c r="Z302" s="19"/>
      <c r="AA302" s="19"/>
      <c r="AB302" s="19"/>
      <c r="AC302" s="117"/>
      <c r="AD302" s="18"/>
      <c r="AE302" s="25">
        <f>SUMIFS(инфо!$D$15:$D$28,инфо!$A$15:$A$28,F302)</f>
        <v>0</v>
      </c>
      <c r="AF302" s="35">
        <f t="shared" si="78"/>
        <v>0</v>
      </c>
      <c r="AG302" s="14">
        <f t="shared" si="74"/>
        <v>0</v>
      </c>
      <c r="AH302" s="25">
        <f>SUMIFS(инфо!$E$15:$E$28,инфо!$A$15:$A$28,F302)</f>
        <v>0</v>
      </c>
      <c r="AI302" s="32">
        <f t="shared" si="79"/>
        <v>0</v>
      </c>
      <c r="AJ302" s="14">
        <f t="shared" si="75"/>
        <v>0</v>
      </c>
      <c r="AK302" s="25">
        <f>SUMIFS(инфо!$F$15:$F$28,инфо!$A$15:$A$28,F302)</f>
        <v>0</v>
      </c>
      <c r="AL302" s="32">
        <f t="shared" si="80"/>
        <v>0</v>
      </c>
      <c r="AM302" s="14">
        <f t="shared" si="68"/>
        <v>0</v>
      </c>
      <c r="AN302" s="25">
        <f>SUMIFS(инфо!$G$15:$G$28,инфо!$A$15:$A$28,F302)</f>
        <v>0</v>
      </c>
      <c r="AO302" s="32">
        <f t="shared" si="81"/>
        <v>0</v>
      </c>
      <c r="AP302" s="14">
        <f t="shared" si="69"/>
        <v>0</v>
      </c>
      <c r="AQ302" s="25">
        <f>SUMIFS(инфо!$H$15:$H$28,инфо!$A$15:$A$28,F302)</f>
        <v>0</v>
      </c>
      <c r="AR302" s="26">
        <f t="shared" ref="AR302:AR365" si="82">IF(H301=0,0,AC302/H301)</f>
        <v>0</v>
      </c>
      <c r="AS302" s="14">
        <f t="shared" si="70"/>
        <v>0</v>
      </c>
      <c r="AT302" s="25">
        <f>SUMIFS(инфо!$I$15:$I$28,инфо!$A$15:$A$28,F302)</f>
        <v>0</v>
      </c>
      <c r="AU302" s="35">
        <f t="shared" si="76"/>
        <v>0</v>
      </c>
      <c r="AV302" s="14">
        <f t="shared" si="71"/>
        <v>0</v>
      </c>
      <c r="AX302" s="69">
        <f>SUMIFS(инфо!$C$15:$C$28,инфо!$A$15:$A$28,F302)*H301</f>
        <v>0</v>
      </c>
    </row>
    <row r="303" spans="1:50" x14ac:dyDescent="0.25">
      <c r="A303" s="70">
        <f t="shared" si="77"/>
        <v>46215</v>
      </c>
      <c r="B303" s="78"/>
      <c r="C303" s="29"/>
      <c r="D303" s="30"/>
      <c r="E303" s="83"/>
      <c r="F303" s="28"/>
      <c r="G303" s="81"/>
      <c r="H303" s="81"/>
      <c r="I303" s="118">
        <f>IFERROR(H303*VLOOKUP(F303,инфо!$A$15:$C$28,3,FALSE)/1000,0)</f>
        <v>0</v>
      </c>
      <c r="J303" s="20"/>
      <c r="K303" s="20"/>
      <c r="L303" s="20"/>
      <c r="M303" s="20"/>
      <c r="N303" s="28"/>
      <c r="O303" s="27"/>
      <c r="P303" s="27"/>
      <c r="Q303" s="27"/>
      <c r="R303" s="27"/>
      <c r="S303" s="67">
        <f t="shared" si="72"/>
        <v>0</v>
      </c>
      <c r="T303" s="29"/>
      <c r="U303" s="30"/>
      <c r="V303" s="27"/>
      <c r="W303" s="81"/>
      <c r="X303" s="27"/>
      <c r="Y303" s="29"/>
      <c r="Z303" s="27"/>
      <c r="AA303" s="27"/>
      <c r="AB303" s="27"/>
      <c r="AC303" s="117"/>
      <c r="AD303" s="30"/>
      <c r="AE303" s="31">
        <f>SUMIFS(инфо!$D$15:$D$28,инфо!$A$15:$A$28,F303)</f>
        <v>0</v>
      </c>
      <c r="AF303" s="35">
        <f t="shared" si="78"/>
        <v>0</v>
      </c>
      <c r="AG303" s="33">
        <f t="shared" si="74"/>
        <v>0</v>
      </c>
      <c r="AH303" s="31">
        <f>SUMIFS(инфо!$E$15:$E$28,инфо!$A$15:$A$28,F303)</f>
        <v>0</v>
      </c>
      <c r="AI303" s="32">
        <f t="shared" si="79"/>
        <v>0</v>
      </c>
      <c r="AJ303" s="33">
        <f t="shared" si="75"/>
        <v>0</v>
      </c>
      <c r="AK303" s="31">
        <f>SUMIFS(инфо!$F$15:$F$28,инфо!$A$15:$A$28,F303)</f>
        <v>0</v>
      </c>
      <c r="AL303" s="32">
        <f t="shared" si="80"/>
        <v>0</v>
      </c>
      <c r="AM303" s="33">
        <f t="shared" ref="AM303:AM366" si="83">AL303-AK303</f>
        <v>0</v>
      </c>
      <c r="AN303" s="31">
        <f>SUMIFS(инфо!$G$15:$G$28,инфо!$A$15:$A$28,F303)</f>
        <v>0</v>
      </c>
      <c r="AO303" s="32">
        <f t="shared" si="81"/>
        <v>0</v>
      </c>
      <c r="AP303" s="33">
        <f t="shared" ref="AP303:AP366" si="84">AO303-AN303</f>
        <v>0</v>
      </c>
      <c r="AQ303" s="31">
        <f>SUMIFS(инфо!$H$15:$H$28,инфо!$A$15:$A$28,F303)</f>
        <v>0</v>
      </c>
      <c r="AR303" s="32">
        <f t="shared" si="82"/>
        <v>0</v>
      </c>
      <c r="AS303" s="33">
        <f t="shared" ref="AS303:AS366" si="85">AR303-AQ303</f>
        <v>0</v>
      </c>
      <c r="AT303" s="31">
        <f>SUMIFS(инфо!$I$15:$I$28,инфо!$A$15:$A$28,F303)</f>
        <v>0</v>
      </c>
      <c r="AU303" s="35">
        <f t="shared" si="76"/>
        <v>0</v>
      </c>
      <c r="AV303" s="33">
        <f t="shared" ref="AV303:AV366" si="86">AU303-AT303</f>
        <v>0</v>
      </c>
      <c r="AX303" s="67">
        <f>SUMIFS(инфо!$C$15:$C$28,инфо!$A$15:$A$28,F303)*H302</f>
        <v>0</v>
      </c>
    </row>
    <row r="304" spans="1:50" x14ac:dyDescent="0.25">
      <c r="A304" s="70">
        <f t="shared" si="77"/>
        <v>46216</v>
      </c>
      <c r="B304" s="78"/>
      <c r="C304" s="15"/>
      <c r="D304" s="16"/>
      <c r="E304" s="83"/>
      <c r="F304" s="28"/>
      <c r="G304" s="81"/>
      <c r="H304" s="81"/>
      <c r="I304" s="118">
        <f>IFERROR(H304*VLOOKUP(F304,инфо!$A$15:$C$28,3,FALSE)/1000,0)</f>
        <v>0</v>
      </c>
      <c r="J304" s="20"/>
      <c r="K304" s="20"/>
      <c r="L304" s="20"/>
      <c r="M304" s="20"/>
      <c r="N304" s="20"/>
      <c r="O304" s="34"/>
      <c r="P304" s="34"/>
      <c r="Q304" s="34"/>
      <c r="R304" s="34"/>
      <c r="S304" s="68">
        <f t="shared" ref="S304:S367" si="87">SUM(O304:R304)</f>
        <v>0</v>
      </c>
      <c r="T304" s="15"/>
      <c r="U304" s="16"/>
      <c r="V304" s="34"/>
      <c r="W304" s="81"/>
      <c r="X304" s="34"/>
      <c r="Y304" s="15"/>
      <c r="Z304" s="34"/>
      <c r="AA304" s="34"/>
      <c r="AB304" s="34"/>
      <c r="AC304" s="117"/>
      <c r="AD304" s="16"/>
      <c r="AE304" s="24">
        <f>SUMIFS(инфо!$D$15:$D$28,инфо!$A$15:$A$28,F304)</f>
        <v>0</v>
      </c>
      <c r="AF304" s="35">
        <f t="shared" si="78"/>
        <v>0</v>
      </c>
      <c r="AG304" s="12">
        <f t="shared" si="74"/>
        <v>0</v>
      </c>
      <c r="AH304" s="24">
        <f>SUMIFS(инфо!$E$15:$E$28,инфо!$A$15:$A$28,F304)</f>
        <v>0</v>
      </c>
      <c r="AI304" s="32">
        <f t="shared" si="79"/>
        <v>0</v>
      </c>
      <c r="AJ304" s="12">
        <f t="shared" si="75"/>
        <v>0</v>
      </c>
      <c r="AK304" s="24">
        <f>SUMIFS(инфо!$F$15:$F$28,инфо!$A$15:$A$28,F304)</f>
        <v>0</v>
      </c>
      <c r="AL304" s="32">
        <f t="shared" si="80"/>
        <v>0</v>
      </c>
      <c r="AM304" s="12">
        <f t="shared" si="83"/>
        <v>0</v>
      </c>
      <c r="AN304" s="24">
        <f>SUMIFS(инфо!$G$15:$G$28,инфо!$A$15:$A$28,F304)</f>
        <v>0</v>
      </c>
      <c r="AO304" s="32">
        <f t="shared" si="81"/>
        <v>0</v>
      </c>
      <c r="AP304" s="12">
        <f t="shared" si="84"/>
        <v>0</v>
      </c>
      <c r="AQ304" s="24">
        <f>SUMIFS(инфо!$H$15:$H$28,инфо!$A$15:$A$28,F304)</f>
        <v>0</v>
      </c>
      <c r="AR304" s="35">
        <f t="shared" si="82"/>
        <v>0</v>
      </c>
      <c r="AS304" s="12">
        <f t="shared" si="85"/>
        <v>0</v>
      </c>
      <c r="AT304" s="24">
        <f>SUMIFS(инфо!$I$15:$I$28,инфо!$A$15:$A$28,F304)</f>
        <v>0</v>
      </c>
      <c r="AU304" s="35">
        <f t="shared" si="76"/>
        <v>0</v>
      </c>
      <c r="AV304" s="12">
        <f t="shared" si="86"/>
        <v>0</v>
      </c>
      <c r="AX304" s="68">
        <f>SUMIFS(инфо!$C$15:$C$28,инфо!$A$15:$A$28,F304)*H303</f>
        <v>0</v>
      </c>
    </row>
    <row r="305" spans="1:50" x14ac:dyDescent="0.25">
      <c r="A305" s="70">
        <f t="shared" si="77"/>
        <v>46216</v>
      </c>
      <c r="B305" s="78"/>
      <c r="C305" s="15"/>
      <c r="D305" s="16"/>
      <c r="E305" s="83"/>
      <c r="F305" s="28"/>
      <c r="G305" s="81"/>
      <c r="H305" s="81"/>
      <c r="I305" s="118">
        <f>IFERROR(H305*VLOOKUP(F305,инфо!$A$15:$C$28,3,FALSE)/1000,0)</f>
        <v>0</v>
      </c>
      <c r="J305" s="20"/>
      <c r="K305" s="20"/>
      <c r="L305" s="20"/>
      <c r="M305" s="20"/>
      <c r="N305" s="20"/>
      <c r="O305" s="34"/>
      <c r="P305" s="34"/>
      <c r="Q305" s="34"/>
      <c r="R305" s="34"/>
      <c r="S305" s="68">
        <f t="shared" si="87"/>
        <v>0</v>
      </c>
      <c r="T305" s="15"/>
      <c r="U305" s="16"/>
      <c r="V305" s="34"/>
      <c r="W305" s="81"/>
      <c r="X305" s="34"/>
      <c r="Y305" s="15"/>
      <c r="Z305" s="34"/>
      <c r="AA305" s="34"/>
      <c r="AB305" s="34"/>
      <c r="AC305" s="117"/>
      <c r="AD305" s="16"/>
      <c r="AE305" s="24">
        <f>SUMIFS(инфо!$D$15:$D$28,инфо!$A$15:$A$28,F305)</f>
        <v>0</v>
      </c>
      <c r="AF305" s="35">
        <f t="shared" si="78"/>
        <v>0</v>
      </c>
      <c r="AG305" s="12">
        <f t="shared" si="74"/>
        <v>0</v>
      </c>
      <c r="AH305" s="24">
        <f>SUMIFS(инфо!$E$15:$E$28,инфо!$A$15:$A$28,F305)</f>
        <v>0</v>
      </c>
      <c r="AI305" s="32">
        <f t="shared" si="79"/>
        <v>0</v>
      </c>
      <c r="AJ305" s="12">
        <f t="shared" si="75"/>
        <v>0</v>
      </c>
      <c r="AK305" s="24">
        <f>SUMIFS(инфо!$F$15:$F$28,инфо!$A$15:$A$28,F305)</f>
        <v>0</v>
      </c>
      <c r="AL305" s="32">
        <f t="shared" si="80"/>
        <v>0</v>
      </c>
      <c r="AM305" s="12">
        <f t="shared" si="83"/>
        <v>0</v>
      </c>
      <c r="AN305" s="24">
        <f>SUMIFS(инфо!$G$15:$G$28,инфо!$A$15:$A$28,F305)</f>
        <v>0</v>
      </c>
      <c r="AO305" s="32">
        <f t="shared" si="81"/>
        <v>0</v>
      </c>
      <c r="AP305" s="12">
        <f t="shared" si="84"/>
        <v>0</v>
      </c>
      <c r="AQ305" s="24">
        <f>SUMIFS(инфо!$H$15:$H$28,инфо!$A$15:$A$28,F305)</f>
        <v>0</v>
      </c>
      <c r="AR305" s="35">
        <f t="shared" si="82"/>
        <v>0</v>
      </c>
      <c r="AS305" s="12">
        <f t="shared" si="85"/>
        <v>0</v>
      </c>
      <c r="AT305" s="24">
        <f>SUMIFS(инфо!$I$15:$I$28,инфо!$A$15:$A$28,F305)</f>
        <v>0</v>
      </c>
      <c r="AU305" s="35">
        <f t="shared" si="76"/>
        <v>0</v>
      </c>
      <c r="AV305" s="12">
        <f t="shared" si="86"/>
        <v>0</v>
      </c>
      <c r="AX305" s="68">
        <f>SUMIFS(инфо!$C$15:$C$28,инфо!$A$15:$A$28,F305)*H304</f>
        <v>0</v>
      </c>
    </row>
    <row r="306" spans="1:50" x14ac:dyDescent="0.25">
      <c r="A306" s="70">
        <f t="shared" si="77"/>
        <v>46217</v>
      </c>
      <c r="B306" s="78"/>
      <c r="C306" s="17"/>
      <c r="D306" s="18"/>
      <c r="E306" s="83"/>
      <c r="F306" s="28"/>
      <c r="G306" s="81"/>
      <c r="H306" s="81"/>
      <c r="I306" s="118">
        <f>IFERROR(H306*VLOOKUP(F306,инфо!$A$15:$C$28,3,FALSE)/1000,0)</f>
        <v>0</v>
      </c>
      <c r="J306" s="20"/>
      <c r="K306" s="20"/>
      <c r="L306" s="20"/>
      <c r="M306" s="20"/>
      <c r="N306" s="23"/>
      <c r="O306" s="19"/>
      <c r="P306" s="19"/>
      <c r="Q306" s="19"/>
      <c r="R306" s="19"/>
      <c r="S306" s="69">
        <f t="shared" si="87"/>
        <v>0</v>
      </c>
      <c r="T306" s="17"/>
      <c r="U306" s="18"/>
      <c r="V306" s="19"/>
      <c r="W306" s="81"/>
      <c r="X306" s="19"/>
      <c r="Y306" s="17"/>
      <c r="Z306" s="19"/>
      <c r="AA306" s="19"/>
      <c r="AB306" s="19"/>
      <c r="AC306" s="117"/>
      <c r="AD306" s="18"/>
      <c r="AE306" s="25">
        <f>SUMIFS(инфо!$D$15:$D$28,инфо!$A$15:$A$28,F306)</f>
        <v>0</v>
      </c>
      <c r="AF306" s="35">
        <f t="shared" si="78"/>
        <v>0</v>
      </c>
      <c r="AG306" s="14">
        <f t="shared" si="74"/>
        <v>0</v>
      </c>
      <c r="AH306" s="25">
        <f>SUMIFS(инфо!$E$15:$E$28,инфо!$A$15:$A$28,F306)</f>
        <v>0</v>
      </c>
      <c r="AI306" s="32">
        <f t="shared" si="79"/>
        <v>0</v>
      </c>
      <c r="AJ306" s="14">
        <f t="shared" si="75"/>
        <v>0</v>
      </c>
      <c r="AK306" s="25">
        <f>SUMIFS(инфо!$F$15:$F$28,инфо!$A$15:$A$28,F306)</f>
        <v>0</v>
      </c>
      <c r="AL306" s="32">
        <f t="shared" si="80"/>
        <v>0</v>
      </c>
      <c r="AM306" s="14">
        <f t="shared" si="83"/>
        <v>0</v>
      </c>
      <c r="AN306" s="25">
        <f>SUMIFS(инфо!$G$15:$G$28,инфо!$A$15:$A$28,F306)</f>
        <v>0</v>
      </c>
      <c r="AO306" s="32">
        <f t="shared" si="81"/>
        <v>0</v>
      </c>
      <c r="AP306" s="14">
        <f t="shared" si="84"/>
        <v>0</v>
      </c>
      <c r="AQ306" s="25">
        <f>SUMIFS(инфо!$H$15:$H$28,инфо!$A$15:$A$28,F306)</f>
        <v>0</v>
      </c>
      <c r="AR306" s="26">
        <f t="shared" si="82"/>
        <v>0</v>
      </c>
      <c r="AS306" s="14">
        <f t="shared" si="85"/>
        <v>0</v>
      </c>
      <c r="AT306" s="25">
        <f>SUMIFS(инфо!$I$15:$I$28,инфо!$A$15:$A$28,F306)</f>
        <v>0</v>
      </c>
      <c r="AU306" s="35">
        <f t="shared" si="76"/>
        <v>0</v>
      </c>
      <c r="AV306" s="14">
        <f t="shared" si="86"/>
        <v>0</v>
      </c>
      <c r="AX306" s="69">
        <f>SUMIFS(инфо!$C$15:$C$28,инфо!$A$15:$A$28,F306)*H305</f>
        <v>0</v>
      </c>
    </row>
    <row r="307" spans="1:50" x14ac:dyDescent="0.25">
      <c r="A307" s="70">
        <f t="shared" si="77"/>
        <v>46217</v>
      </c>
      <c r="B307" s="78"/>
      <c r="C307" s="29"/>
      <c r="D307" s="30"/>
      <c r="E307" s="83"/>
      <c r="F307" s="28"/>
      <c r="G307" s="81"/>
      <c r="H307" s="81"/>
      <c r="I307" s="118">
        <f>IFERROR(H307*VLOOKUP(F307,инфо!$A$15:$C$28,3,FALSE)/1000,0)</f>
        <v>0</v>
      </c>
      <c r="J307" s="20"/>
      <c r="K307" s="20"/>
      <c r="L307" s="20"/>
      <c r="M307" s="20"/>
      <c r="N307" s="28"/>
      <c r="O307" s="27"/>
      <c r="P307" s="27"/>
      <c r="Q307" s="27"/>
      <c r="R307" s="27"/>
      <c r="S307" s="67">
        <f t="shared" si="87"/>
        <v>0</v>
      </c>
      <c r="T307" s="29"/>
      <c r="U307" s="30"/>
      <c r="V307" s="27"/>
      <c r="W307" s="81"/>
      <c r="X307" s="27"/>
      <c r="Y307" s="29"/>
      <c r="Z307" s="27"/>
      <c r="AA307" s="27"/>
      <c r="AB307" s="27"/>
      <c r="AC307" s="117"/>
      <c r="AD307" s="30"/>
      <c r="AE307" s="31">
        <f>SUMIFS(инфо!$D$15:$D$28,инфо!$A$15:$A$28,F307)</f>
        <v>0</v>
      </c>
      <c r="AF307" s="35">
        <f t="shared" si="78"/>
        <v>0</v>
      </c>
      <c r="AG307" s="33">
        <f t="shared" si="74"/>
        <v>0</v>
      </c>
      <c r="AH307" s="31">
        <f>SUMIFS(инфо!$E$15:$E$28,инфо!$A$15:$A$28,F307)</f>
        <v>0</v>
      </c>
      <c r="AI307" s="32">
        <f t="shared" si="79"/>
        <v>0</v>
      </c>
      <c r="AJ307" s="33">
        <f t="shared" si="75"/>
        <v>0</v>
      </c>
      <c r="AK307" s="31">
        <f>SUMIFS(инфо!$F$15:$F$28,инфо!$A$15:$A$28,F307)</f>
        <v>0</v>
      </c>
      <c r="AL307" s="32">
        <f t="shared" si="80"/>
        <v>0</v>
      </c>
      <c r="AM307" s="33">
        <f t="shared" si="83"/>
        <v>0</v>
      </c>
      <c r="AN307" s="31">
        <f>SUMIFS(инфо!$G$15:$G$28,инфо!$A$15:$A$28,F307)</f>
        <v>0</v>
      </c>
      <c r="AO307" s="32">
        <f t="shared" si="81"/>
        <v>0</v>
      </c>
      <c r="AP307" s="33">
        <f t="shared" si="84"/>
        <v>0</v>
      </c>
      <c r="AQ307" s="31">
        <f>SUMIFS(инфо!$H$15:$H$28,инфо!$A$15:$A$28,F307)</f>
        <v>0</v>
      </c>
      <c r="AR307" s="32">
        <f t="shared" si="82"/>
        <v>0</v>
      </c>
      <c r="AS307" s="33">
        <f t="shared" si="85"/>
        <v>0</v>
      </c>
      <c r="AT307" s="31">
        <f>SUMIFS(инфо!$I$15:$I$28,инфо!$A$15:$A$28,F307)</f>
        <v>0</v>
      </c>
      <c r="AU307" s="35">
        <f t="shared" si="76"/>
        <v>0</v>
      </c>
      <c r="AV307" s="33">
        <f t="shared" si="86"/>
        <v>0</v>
      </c>
      <c r="AX307" s="67">
        <f>SUMIFS(инфо!$C$15:$C$28,инфо!$A$15:$A$28,F307)*H306</f>
        <v>0</v>
      </c>
    </row>
    <row r="308" spans="1:50" x14ac:dyDescent="0.25">
      <c r="A308" s="70">
        <f t="shared" si="77"/>
        <v>46218</v>
      </c>
      <c r="B308" s="78"/>
      <c r="C308" s="15"/>
      <c r="D308" s="16"/>
      <c r="E308" s="83"/>
      <c r="F308" s="28"/>
      <c r="G308" s="81"/>
      <c r="H308" s="81"/>
      <c r="I308" s="118">
        <f>IFERROR(H308*VLOOKUP(F308,инфо!$A$15:$C$28,3,FALSE)/1000,0)</f>
        <v>0</v>
      </c>
      <c r="J308" s="20"/>
      <c r="K308" s="20"/>
      <c r="L308" s="20"/>
      <c r="M308" s="20"/>
      <c r="N308" s="20"/>
      <c r="O308" s="34"/>
      <c r="P308" s="34"/>
      <c r="Q308" s="34"/>
      <c r="R308" s="34"/>
      <c r="S308" s="68">
        <f t="shared" si="87"/>
        <v>0</v>
      </c>
      <c r="T308" s="15"/>
      <c r="U308" s="16"/>
      <c r="V308" s="34"/>
      <c r="W308" s="81"/>
      <c r="X308" s="34"/>
      <c r="Y308" s="15"/>
      <c r="Z308" s="34"/>
      <c r="AA308" s="34"/>
      <c r="AB308" s="34"/>
      <c r="AC308" s="117"/>
      <c r="AD308" s="16"/>
      <c r="AE308" s="24">
        <f>SUMIFS(инфо!$D$15:$D$28,инфо!$A$15:$A$28,F308)</f>
        <v>0</v>
      </c>
      <c r="AF308" s="35">
        <f t="shared" si="78"/>
        <v>0</v>
      </c>
      <c r="AG308" s="12">
        <f t="shared" si="74"/>
        <v>0</v>
      </c>
      <c r="AH308" s="24">
        <f>SUMIFS(инфо!$E$15:$E$28,инфо!$A$15:$A$28,F308)</f>
        <v>0</v>
      </c>
      <c r="AI308" s="32">
        <f t="shared" si="79"/>
        <v>0</v>
      </c>
      <c r="AJ308" s="12">
        <f t="shared" si="75"/>
        <v>0</v>
      </c>
      <c r="AK308" s="24">
        <f>SUMIFS(инфо!$F$15:$F$28,инфо!$A$15:$A$28,F308)</f>
        <v>0</v>
      </c>
      <c r="AL308" s="32">
        <f t="shared" si="80"/>
        <v>0</v>
      </c>
      <c r="AM308" s="12">
        <f t="shared" si="83"/>
        <v>0</v>
      </c>
      <c r="AN308" s="24">
        <f>SUMIFS(инфо!$G$15:$G$28,инфо!$A$15:$A$28,F308)</f>
        <v>0</v>
      </c>
      <c r="AO308" s="32">
        <f t="shared" si="81"/>
        <v>0</v>
      </c>
      <c r="AP308" s="12">
        <f t="shared" si="84"/>
        <v>0</v>
      </c>
      <c r="AQ308" s="24">
        <f>SUMIFS(инфо!$H$15:$H$28,инфо!$A$15:$A$28,F308)</f>
        <v>0</v>
      </c>
      <c r="AR308" s="35">
        <f t="shared" si="82"/>
        <v>0</v>
      </c>
      <c r="AS308" s="12">
        <f t="shared" si="85"/>
        <v>0</v>
      </c>
      <c r="AT308" s="24">
        <f>SUMIFS(инфо!$I$15:$I$28,инфо!$A$15:$A$28,F308)</f>
        <v>0</v>
      </c>
      <c r="AU308" s="35">
        <f t="shared" si="76"/>
        <v>0</v>
      </c>
      <c r="AV308" s="12">
        <f t="shared" si="86"/>
        <v>0</v>
      </c>
      <c r="AX308" s="68">
        <f>SUMIFS(инфо!$C$15:$C$28,инфо!$A$15:$A$28,F308)*H307</f>
        <v>0</v>
      </c>
    </row>
    <row r="309" spans="1:50" x14ac:dyDescent="0.25">
      <c r="A309" s="70">
        <f t="shared" si="77"/>
        <v>46218</v>
      </c>
      <c r="B309" s="78"/>
      <c r="C309" s="15"/>
      <c r="D309" s="16"/>
      <c r="E309" s="83"/>
      <c r="F309" s="28"/>
      <c r="G309" s="81"/>
      <c r="H309" s="81"/>
      <c r="I309" s="118">
        <f>IFERROR(H309*VLOOKUP(F309,инфо!$A$15:$C$28,3,FALSE)/1000,0)</f>
        <v>0</v>
      </c>
      <c r="J309" s="20"/>
      <c r="K309" s="20"/>
      <c r="L309" s="20"/>
      <c r="M309" s="20"/>
      <c r="N309" s="20"/>
      <c r="O309" s="34"/>
      <c r="P309" s="34"/>
      <c r="Q309" s="34"/>
      <c r="R309" s="34"/>
      <c r="S309" s="68">
        <f t="shared" si="87"/>
        <v>0</v>
      </c>
      <c r="T309" s="15"/>
      <c r="U309" s="16"/>
      <c r="V309" s="34"/>
      <c r="W309" s="81"/>
      <c r="X309" s="34"/>
      <c r="Y309" s="15"/>
      <c r="Z309" s="34"/>
      <c r="AA309" s="34"/>
      <c r="AB309" s="34"/>
      <c r="AC309" s="117"/>
      <c r="AD309" s="16"/>
      <c r="AE309" s="24">
        <f>SUMIFS(инфо!$D$15:$D$28,инфо!$A$15:$A$28,F309)</f>
        <v>0</v>
      </c>
      <c r="AF309" s="35">
        <f t="shared" si="78"/>
        <v>0</v>
      </c>
      <c r="AG309" s="12">
        <f t="shared" si="74"/>
        <v>0</v>
      </c>
      <c r="AH309" s="24">
        <f>SUMIFS(инфо!$E$15:$E$28,инфо!$A$15:$A$28,F309)</f>
        <v>0</v>
      </c>
      <c r="AI309" s="32">
        <f t="shared" si="79"/>
        <v>0</v>
      </c>
      <c r="AJ309" s="12">
        <f t="shared" si="75"/>
        <v>0</v>
      </c>
      <c r="AK309" s="24">
        <f>SUMIFS(инфо!$F$15:$F$28,инфо!$A$15:$A$28,F309)</f>
        <v>0</v>
      </c>
      <c r="AL309" s="32">
        <f t="shared" si="80"/>
        <v>0</v>
      </c>
      <c r="AM309" s="12">
        <f t="shared" si="83"/>
        <v>0</v>
      </c>
      <c r="AN309" s="24">
        <f>SUMIFS(инфо!$G$15:$G$28,инфо!$A$15:$A$28,F309)</f>
        <v>0</v>
      </c>
      <c r="AO309" s="32">
        <f t="shared" si="81"/>
        <v>0</v>
      </c>
      <c r="AP309" s="12">
        <f t="shared" si="84"/>
        <v>0</v>
      </c>
      <c r="AQ309" s="24">
        <f>SUMIFS(инфо!$H$15:$H$28,инфо!$A$15:$A$28,F309)</f>
        <v>0</v>
      </c>
      <c r="AR309" s="35">
        <f t="shared" si="82"/>
        <v>0</v>
      </c>
      <c r="AS309" s="12">
        <f t="shared" si="85"/>
        <v>0</v>
      </c>
      <c r="AT309" s="24">
        <f>SUMIFS(инфо!$I$15:$I$28,инфо!$A$15:$A$28,F309)</f>
        <v>0</v>
      </c>
      <c r="AU309" s="35">
        <f t="shared" si="76"/>
        <v>0</v>
      </c>
      <c r="AV309" s="12">
        <f t="shared" si="86"/>
        <v>0</v>
      </c>
      <c r="AX309" s="68">
        <f>SUMIFS(инфо!$C$15:$C$28,инфо!$A$15:$A$28,F309)*H308</f>
        <v>0</v>
      </c>
    </row>
    <row r="310" spans="1:50" x14ac:dyDescent="0.25">
      <c r="A310" s="70">
        <f t="shared" si="77"/>
        <v>46219</v>
      </c>
      <c r="B310" s="78"/>
      <c r="C310" s="17"/>
      <c r="D310" s="18"/>
      <c r="E310" s="83"/>
      <c r="F310" s="28"/>
      <c r="G310" s="81"/>
      <c r="H310" s="81"/>
      <c r="I310" s="118">
        <f>IFERROR(H310*VLOOKUP(F310,инфо!$A$15:$C$28,3,FALSE)/1000,0)</f>
        <v>0</v>
      </c>
      <c r="J310" s="20"/>
      <c r="K310" s="20"/>
      <c r="L310" s="20"/>
      <c r="M310" s="20"/>
      <c r="N310" s="23"/>
      <c r="O310" s="19"/>
      <c r="P310" s="19"/>
      <c r="Q310" s="19"/>
      <c r="R310" s="19"/>
      <c r="S310" s="69">
        <f t="shared" si="87"/>
        <v>0</v>
      </c>
      <c r="T310" s="17"/>
      <c r="U310" s="18"/>
      <c r="V310" s="19"/>
      <c r="W310" s="81"/>
      <c r="X310" s="19"/>
      <c r="Y310" s="17"/>
      <c r="Z310" s="19"/>
      <c r="AA310" s="19"/>
      <c r="AB310" s="19"/>
      <c r="AC310" s="117"/>
      <c r="AD310" s="18"/>
      <c r="AE310" s="25">
        <f>SUMIFS(инфо!$D$15:$D$28,инфо!$A$15:$A$28,F310)</f>
        <v>0</v>
      </c>
      <c r="AF310" s="35">
        <f t="shared" si="78"/>
        <v>0</v>
      </c>
      <c r="AG310" s="14">
        <f t="shared" si="74"/>
        <v>0</v>
      </c>
      <c r="AH310" s="25">
        <f>SUMIFS(инфо!$E$15:$E$28,инфо!$A$15:$A$28,F310)</f>
        <v>0</v>
      </c>
      <c r="AI310" s="32">
        <f t="shared" si="79"/>
        <v>0</v>
      </c>
      <c r="AJ310" s="14">
        <f t="shared" si="75"/>
        <v>0</v>
      </c>
      <c r="AK310" s="25">
        <f>SUMIFS(инфо!$F$15:$F$28,инфо!$A$15:$A$28,F310)</f>
        <v>0</v>
      </c>
      <c r="AL310" s="32">
        <f t="shared" si="80"/>
        <v>0</v>
      </c>
      <c r="AM310" s="14">
        <f t="shared" si="83"/>
        <v>0</v>
      </c>
      <c r="AN310" s="25">
        <f>SUMIFS(инфо!$G$15:$G$28,инфо!$A$15:$A$28,F310)</f>
        <v>0</v>
      </c>
      <c r="AO310" s="32">
        <f t="shared" si="81"/>
        <v>0</v>
      </c>
      <c r="AP310" s="14">
        <f t="shared" si="84"/>
        <v>0</v>
      </c>
      <c r="AQ310" s="25">
        <f>SUMIFS(инфо!$H$15:$H$28,инфо!$A$15:$A$28,F310)</f>
        <v>0</v>
      </c>
      <c r="AR310" s="26">
        <f t="shared" si="82"/>
        <v>0</v>
      </c>
      <c r="AS310" s="14">
        <f t="shared" si="85"/>
        <v>0</v>
      </c>
      <c r="AT310" s="25">
        <f>SUMIFS(инфо!$I$15:$I$28,инфо!$A$15:$A$28,F310)</f>
        <v>0</v>
      </c>
      <c r="AU310" s="35">
        <f t="shared" si="76"/>
        <v>0</v>
      </c>
      <c r="AV310" s="14">
        <f t="shared" si="86"/>
        <v>0</v>
      </c>
      <c r="AX310" s="69">
        <f>SUMIFS(инфо!$C$15:$C$28,инфо!$A$15:$A$28,F310)*H309</f>
        <v>0</v>
      </c>
    </row>
    <row r="311" spans="1:50" x14ac:dyDescent="0.25">
      <c r="A311" s="70">
        <f t="shared" si="77"/>
        <v>46219</v>
      </c>
      <c r="B311" s="78"/>
      <c r="C311" s="29"/>
      <c r="D311" s="30"/>
      <c r="E311" s="83"/>
      <c r="F311" s="28"/>
      <c r="G311" s="81"/>
      <c r="H311" s="81"/>
      <c r="I311" s="118">
        <f>IFERROR(H311*VLOOKUP(F311,инфо!$A$15:$C$28,3,FALSE)/1000,0)</f>
        <v>0</v>
      </c>
      <c r="J311" s="20"/>
      <c r="K311" s="20"/>
      <c r="L311" s="20"/>
      <c r="M311" s="20"/>
      <c r="N311" s="28"/>
      <c r="O311" s="27"/>
      <c r="P311" s="27"/>
      <c r="Q311" s="27"/>
      <c r="R311" s="27"/>
      <c r="S311" s="67">
        <f t="shared" si="87"/>
        <v>0</v>
      </c>
      <c r="T311" s="29"/>
      <c r="U311" s="30"/>
      <c r="V311" s="27"/>
      <c r="W311" s="81"/>
      <c r="X311" s="27"/>
      <c r="Y311" s="29"/>
      <c r="Z311" s="27"/>
      <c r="AA311" s="27"/>
      <c r="AB311" s="27"/>
      <c r="AC311" s="117"/>
      <c r="AD311" s="30"/>
      <c r="AE311" s="31">
        <f>SUMIFS(инфо!$D$15:$D$28,инфо!$A$15:$A$28,F311)</f>
        <v>0</v>
      </c>
      <c r="AF311" s="35">
        <f t="shared" si="78"/>
        <v>0</v>
      </c>
      <c r="AG311" s="33">
        <f t="shared" si="74"/>
        <v>0</v>
      </c>
      <c r="AH311" s="31">
        <f>SUMIFS(инфо!$E$15:$E$28,инфо!$A$15:$A$28,F311)</f>
        <v>0</v>
      </c>
      <c r="AI311" s="32">
        <f t="shared" si="79"/>
        <v>0</v>
      </c>
      <c r="AJ311" s="33">
        <f t="shared" si="75"/>
        <v>0</v>
      </c>
      <c r="AK311" s="31">
        <f>SUMIFS(инфо!$F$15:$F$28,инфо!$A$15:$A$28,F311)</f>
        <v>0</v>
      </c>
      <c r="AL311" s="32">
        <f t="shared" si="80"/>
        <v>0</v>
      </c>
      <c r="AM311" s="33">
        <f t="shared" si="83"/>
        <v>0</v>
      </c>
      <c r="AN311" s="31">
        <f>SUMIFS(инфо!$G$15:$G$28,инфо!$A$15:$A$28,F311)</f>
        <v>0</v>
      </c>
      <c r="AO311" s="32">
        <f t="shared" si="81"/>
        <v>0</v>
      </c>
      <c r="AP311" s="33">
        <f t="shared" si="84"/>
        <v>0</v>
      </c>
      <c r="AQ311" s="31">
        <f>SUMIFS(инфо!$H$15:$H$28,инфо!$A$15:$A$28,F311)</f>
        <v>0</v>
      </c>
      <c r="AR311" s="32">
        <f t="shared" si="82"/>
        <v>0</v>
      </c>
      <c r="AS311" s="33">
        <f t="shared" si="85"/>
        <v>0</v>
      </c>
      <c r="AT311" s="31">
        <f>SUMIFS(инфо!$I$15:$I$28,инфо!$A$15:$A$28,F311)</f>
        <v>0</v>
      </c>
      <c r="AU311" s="35">
        <f t="shared" si="76"/>
        <v>0</v>
      </c>
      <c r="AV311" s="33">
        <f t="shared" si="86"/>
        <v>0</v>
      </c>
      <c r="AX311" s="67">
        <f>SUMIFS(инфо!$C$15:$C$28,инфо!$A$15:$A$28,F311)*H310</f>
        <v>0</v>
      </c>
    </row>
    <row r="312" spans="1:50" x14ac:dyDescent="0.25">
      <c r="A312" s="70">
        <f t="shared" si="77"/>
        <v>46220</v>
      </c>
      <c r="B312" s="78"/>
      <c r="C312" s="15"/>
      <c r="D312" s="16"/>
      <c r="E312" s="83"/>
      <c r="F312" s="28"/>
      <c r="G312" s="34"/>
      <c r="H312" s="20"/>
      <c r="I312" s="118">
        <f>IFERROR(H312*VLOOKUP(F312,инфо!$A$15:$C$28,3,FALSE)/1000,0)</f>
        <v>0</v>
      </c>
      <c r="J312" s="20"/>
      <c r="K312" s="20"/>
      <c r="L312" s="20"/>
      <c r="M312" s="20"/>
      <c r="N312" s="20"/>
      <c r="O312" s="34"/>
      <c r="P312" s="34"/>
      <c r="Q312" s="34"/>
      <c r="R312" s="34"/>
      <c r="S312" s="68">
        <f t="shared" si="87"/>
        <v>0</v>
      </c>
      <c r="T312" s="15"/>
      <c r="U312" s="16"/>
      <c r="V312" s="34"/>
      <c r="W312" s="81"/>
      <c r="X312" s="34"/>
      <c r="Y312" s="15"/>
      <c r="Z312" s="34"/>
      <c r="AA312" s="34"/>
      <c r="AB312" s="34"/>
      <c r="AC312" s="117"/>
      <c r="AD312" s="16"/>
      <c r="AE312" s="24">
        <f>SUMIFS(инфо!$D$15:$D$28,инфо!$A$15:$A$28,F312)</f>
        <v>0</v>
      </c>
      <c r="AF312" s="35">
        <f t="shared" si="78"/>
        <v>0</v>
      </c>
      <c r="AG312" s="12">
        <f t="shared" si="74"/>
        <v>0</v>
      </c>
      <c r="AH312" s="24">
        <f>SUMIFS(инфо!$E$15:$E$28,инфо!$A$15:$A$28,F312)</f>
        <v>0</v>
      </c>
      <c r="AI312" s="32">
        <f t="shared" si="79"/>
        <v>0</v>
      </c>
      <c r="AJ312" s="12">
        <f t="shared" si="75"/>
        <v>0</v>
      </c>
      <c r="AK312" s="24">
        <f>SUMIFS(инфо!$F$15:$F$28,инфо!$A$15:$A$28,F312)</f>
        <v>0</v>
      </c>
      <c r="AL312" s="32">
        <f t="shared" si="80"/>
        <v>0</v>
      </c>
      <c r="AM312" s="12">
        <f t="shared" si="83"/>
        <v>0</v>
      </c>
      <c r="AN312" s="24">
        <f>SUMIFS(инфо!$G$15:$G$28,инфо!$A$15:$A$28,F312)</f>
        <v>0</v>
      </c>
      <c r="AO312" s="32">
        <f t="shared" si="81"/>
        <v>0</v>
      </c>
      <c r="AP312" s="12">
        <f t="shared" si="84"/>
        <v>0</v>
      </c>
      <c r="AQ312" s="24">
        <f>SUMIFS(инфо!$H$15:$H$28,инфо!$A$15:$A$28,F312)</f>
        <v>0</v>
      </c>
      <c r="AR312" s="35">
        <f t="shared" si="82"/>
        <v>0</v>
      </c>
      <c r="AS312" s="12">
        <f t="shared" si="85"/>
        <v>0</v>
      </c>
      <c r="AT312" s="24">
        <f>SUMIFS(инфо!$I$15:$I$28,инфо!$A$15:$A$28,F312)</f>
        <v>0</v>
      </c>
      <c r="AU312" s="35">
        <f t="shared" si="76"/>
        <v>0</v>
      </c>
      <c r="AV312" s="12">
        <f t="shared" si="86"/>
        <v>0</v>
      </c>
      <c r="AX312" s="68">
        <f>SUMIFS(инфо!$C$15:$C$28,инфо!$A$15:$A$28,F312)*H311</f>
        <v>0</v>
      </c>
    </row>
    <row r="313" spans="1:50" x14ac:dyDescent="0.25">
      <c r="A313" s="70">
        <f t="shared" si="77"/>
        <v>46220</v>
      </c>
      <c r="B313" s="78"/>
      <c r="C313" s="15"/>
      <c r="D313" s="16"/>
      <c r="E313" s="83"/>
      <c r="F313" s="28"/>
      <c r="G313" s="34"/>
      <c r="H313" s="23"/>
      <c r="I313" s="118">
        <f>IFERROR(H313*VLOOKUP(F313,инфо!$A$15:$C$28,3,FALSE)/1000,0)</f>
        <v>0</v>
      </c>
      <c r="J313" s="20"/>
      <c r="K313" s="20"/>
      <c r="L313" s="20"/>
      <c r="M313" s="20"/>
      <c r="N313" s="20"/>
      <c r="O313" s="34"/>
      <c r="P313" s="34"/>
      <c r="Q313" s="34"/>
      <c r="R313" s="34"/>
      <c r="S313" s="68">
        <f t="shared" si="87"/>
        <v>0</v>
      </c>
      <c r="T313" s="15"/>
      <c r="U313" s="16"/>
      <c r="V313" s="34"/>
      <c r="W313" s="81"/>
      <c r="X313" s="34"/>
      <c r="Y313" s="15"/>
      <c r="Z313" s="34"/>
      <c r="AA313" s="34"/>
      <c r="AB313" s="34"/>
      <c r="AC313" s="117"/>
      <c r="AD313" s="16"/>
      <c r="AE313" s="24">
        <f>SUMIFS(инфо!$D$15:$D$28,инфо!$A$15:$A$28,F313)</f>
        <v>0</v>
      </c>
      <c r="AF313" s="35">
        <f t="shared" si="78"/>
        <v>0</v>
      </c>
      <c r="AG313" s="12">
        <f t="shared" si="74"/>
        <v>0</v>
      </c>
      <c r="AH313" s="24">
        <f>SUMIFS(инфо!$E$15:$E$28,инфо!$A$15:$A$28,F313)</f>
        <v>0</v>
      </c>
      <c r="AI313" s="32">
        <f t="shared" si="79"/>
        <v>0</v>
      </c>
      <c r="AJ313" s="12">
        <f t="shared" si="75"/>
        <v>0</v>
      </c>
      <c r="AK313" s="24">
        <f>SUMIFS(инфо!$F$15:$F$28,инфо!$A$15:$A$28,F313)</f>
        <v>0</v>
      </c>
      <c r="AL313" s="32">
        <f t="shared" si="80"/>
        <v>0</v>
      </c>
      <c r="AM313" s="12">
        <f t="shared" si="83"/>
        <v>0</v>
      </c>
      <c r="AN313" s="24">
        <f>SUMIFS(инфо!$G$15:$G$28,инфо!$A$15:$A$28,F313)</f>
        <v>0</v>
      </c>
      <c r="AO313" s="32">
        <f t="shared" si="81"/>
        <v>0</v>
      </c>
      <c r="AP313" s="12">
        <f t="shared" si="84"/>
        <v>0</v>
      </c>
      <c r="AQ313" s="24">
        <f>SUMIFS(инфо!$H$15:$H$28,инфо!$A$15:$A$28,F313)</f>
        <v>0</v>
      </c>
      <c r="AR313" s="35">
        <f t="shared" si="82"/>
        <v>0</v>
      </c>
      <c r="AS313" s="12">
        <f t="shared" si="85"/>
        <v>0</v>
      </c>
      <c r="AT313" s="24">
        <f>SUMIFS(инфо!$I$15:$I$28,инфо!$A$15:$A$28,F313)</f>
        <v>0</v>
      </c>
      <c r="AU313" s="35">
        <f t="shared" si="76"/>
        <v>0</v>
      </c>
      <c r="AV313" s="12">
        <f t="shared" si="86"/>
        <v>0</v>
      </c>
      <c r="AX313" s="68">
        <f>SUMIFS(инфо!$C$15:$C$28,инфо!$A$15:$A$28,F313)*H312</f>
        <v>0</v>
      </c>
    </row>
    <row r="314" spans="1:50" x14ac:dyDescent="0.25">
      <c r="A314" s="70">
        <f t="shared" si="77"/>
        <v>46221</v>
      </c>
      <c r="B314" s="78"/>
      <c r="C314" s="17"/>
      <c r="D314" s="18"/>
      <c r="E314" s="83"/>
      <c r="F314" s="28"/>
      <c r="G314" s="19"/>
      <c r="H314" s="28"/>
      <c r="I314" s="118">
        <f>IFERROR(H314*VLOOKUP(F314,инфо!$A$15:$C$28,3,FALSE)/1000,0)</f>
        <v>0</v>
      </c>
      <c r="J314" s="20"/>
      <c r="K314" s="20"/>
      <c r="L314" s="20"/>
      <c r="M314" s="20"/>
      <c r="N314" s="23"/>
      <c r="O314" s="19"/>
      <c r="P314" s="19"/>
      <c r="Q314" s="19"/>
      <c r="R314" s="19"/>
      <c r="S314" s="69">
        <f t="shared" si="87"/>
        <v>0</v>
      </c>
      <c r="T314" s="17"/>
      <c r="U314" s="18"/>
      <c r="V314" s="19"/>
      <c r="W314" s="81"/>
      <c r="X314" s="19"/>
      <c r="Y314" s="17"/>
      <c r="Z314" s="19"/>
      <c r="AA314" s="19"/>
      <c r="AB314" s="19"/>
      <c r="AC314" s="117"/>
      <c r="AD314" s="18"/>
      <c r="AE314" s="25">
        <f>SUMIFS(инфо!$D$15:$D$28,инфо!$A$15:$A$28,F314)</f>
        <v>0</v>
      </c>
      <c r="AF314" s="35">
        <f t="shared" si="78"/>
        <v>0</v>
      </c>
      <c r="AG314" s="14">
        <f t="shared" si="74"/>
        <v>0</v>
      </c>
      <c r="AH314" s="25">
        <f>SUMIFS(инфо!$E$15:$E$28,инфо!$A$15:$A$28,F314)</f>
        <v>0</v>
      </c>
      <c r="AI314" s="32">
        <f t="shared" si="79"/>
        <v>0</v>
      </c>
      <c r="AJ314" s="14">
        <f t="shared" si="75"/>
        <v>0</v>
      </c>
      <c r="AK314" s="25">
        <f>SUMIFS(инфо!$F$15:$F$28,инфо!$A$15:$A$28,F314)</f>
        <v>0</v>
      </c>
      <c r="AL314" s="32">
        <f t="shared" si="80"/>
        <v>0</v>
      </c>
      <c r="AM314" s="14">
        <f t="shared" si="83"/>
        <v>0</v>
      </c>
      <c r="AN314" s="25">
        <f>SUMIFS(инфо!$G$15:$G$28,инфо!$A$15:$A$28,F314)</f>
        <v>0</v>
      </c>
      <c r="AO314" s="32">
        <f t="shared" si="81"/>
        <v>0</v>
      </c>
      <c r="AP314" s="14">
        <f t="shared" si="84"/>
        <v>0</v>
      </c>
      <c r="AQ314" s="25">
        <f>SUMIFS(инфо!$H$15:$H$28,инфо!$A$15:$A$28,F314)</f>
        <v>0</v>
      </c>
      <c r="AR314" s="26">
        <f t="shared" si="82"/>
        <v>0</v>
      </c>
      <c r="AS314" s="14">
        <f t="shared" si="85"/>
        <v>0</v>
      </c>
      <c r="AT314" s="25">
        <f>SUMIFS(инфо!$I$15:$I$28,инфо!$A$15:$A$28,F314)</f>
        <v>0</v>
      </c>
      <c r="AU314" s="35">
        <f t="shared" si="76"/>
        <v>0</v>
      </c>
      <c r="AV314" s="14">
        <f t="shared" si="86"/>
        <v>0</v>
      </c>
      <c r="AX314" s="69">
        <f>SUMIFS(инфо!$C$15:$C$28,инфо!$A$15:$A$28,F314)*H313</f>
        <v>0</v>
      </c>
    </row>
    <row r="315" spans="1:50" x14ac:dyDescent="0.25">
      <c r="A315" s="70">
        <f t="shared" si="77"/>
        <v>46221</v>
      </c>
      <c r="B315" s="78"/>
      <c r="C315" s="29"/>
      <c r="D315" s="30"/>
      <c r="E315" s="83"/>
      <c r="F315" s="28"/>
      <c r="G315" s="27"/>
      <c r="H315" s="20"/>
      <c r="I315" s="118">
        <f>IFERROR(H315*VLOOKUP(F315,инфо!$A$15:$C$28,3,FALSE)/1000,0)</f>
        <v>0</v>
      </c>
      <c r="J315" s="20"/>
      <c r="K315" s="20"/>
      <c r="L315" s="20"/>
      <c r="M315" s="20"/>
      <c r="N315" s="28"/>
      <c r="O315" s="27"/>
      <c r="P315" s="27"/>
      <c r="Q315" s="27"/>
      <c r="R315" s="27"/>
      <c r="S315" s="67">
        <f t="shared" si="87"/>
        <v>0</v>
      </c>
      <c r="T315" s="29"/>
      <c r="U315" s="30"/>
      <c r="V315" s="27"/>
      <c r="W315" s="81"/>
      <c r="X315" s="27"/>
      <c r="Y315" s="29"/>
      <c r="Z315" s="27"/>
      <c r="AA315" s="27"/>
      <c r="AB315" s="27"/>
      <c r="AC315" s="117"/>
      <c r="AD315" s="30"/>
      <c r="AE315" s="31">
        <f>SUMIFS(инфо!$D$15:$D$28,инфо!$A$15:$A$28,F315)</f>
        <v>0</v>
      </c>
      <c r="AF315" s="35">
        <f t="shared" si="78"/>
        <v>0</v>
      </c>
      <c r="AG315" s="33">
        <f t="shared" si="74"/>
        <v>0</v>
      </c>
      <c r="AH315" s="31">
        <f>SUMIFS(инфо!$E$15:$E$28,инфо!$A$15:$A$28,F315)</f>
        <v>0</v>
      </c>
      <c r="AI315" s="32">
        <f t="shared" si="79"/>
        <v>0</v>
      </c>
      <c r="AJ315" s="33">
        <f t="shared" si="75"/>
        <v>0</v>
      </c>
      <c r="AK315" s="31">
        <f>SUMIFS(инфо!$F$15:$F$28,инфо!$A$15:$A$28,F315)</f>
        <v>0</v>
      </c>
      <c r="AL315" s="32">
        <f t="shared" si="80"/>
        <v>0</v>
      </c>
      <c r="AM315" s="33">
        <f t="shared" si="83"/>
        <v>0</v>
      </c>
      <c r="AN315" s="31">
        <f>SUMIFS(инфо!$G$15:$G$28,инфо!$A$15:$A$28,F315)</f>
        <v>0</v>
      </c>
      <c r="AO315" s="32">
        <f t="shared" si="81"/>
        <v>0</v>
      </c>
      <c r="AP315" s="33">
        <f t="shared" si="84"/>
        <v>0</v>
      </c>
      <c r="AQ315" s="31">
        <f>SUMIFS(инфо!$H$15:$H$28,инфо!$A$15:$A$28,F315)</f>
        <v>0</v>
      </c>
      <c r="AR315" s="32">
        <f t="shared" si="82"/>
        <v>0</v>
      </c>
      <c r="AS315" s="33">
        <f t="shared" si="85"/>
        <v>0</v>
      </c>
      <c r="AT315" s="31">
        <f>SUMIFS(инфо!$I$15:$I$28,инфо!$A$15:$A$28,F315)</f>
        <v>0</v>
      </c>
      <c r="AU315" s="35">
        <f t="shared" si="76"/>
        <v>0</v>
      </c>
      <c r="AV315" s="33">
        <f t="shared" si="86"/>
        <v>0</v>
      </c>
      <c r="AX315" s="67">
        <f>SUMIFS(инфо!$C$15:$C$28,инфо!$A$15:$A$28,F315)*H314</f>
        <v>0</v>
      </c>
    </row>
    <row r="316" spans="1:50" x14ac:dyDescent="0.25">
      <c r="A316" s="70">
        <f t="shared" si="77"/>
        <v>46222</v>
      </c>
      <c r="B316" s="78"/>
      <c r="C316" s="15"/>
      <c r="D316" s="16"/>
      <c r="E316" s="83"/>
      <c r="F316" s="28"/>
      <c r="G316" s="34"/>
      <c r="H316" s="20"/>
      <c r="I316" s="118">
        <f>IFERROR(H316*VLOOKUP(F316,инфо!$A$15:$C$28,3,FALSE)/1000,0)</f>
        <v>0</v>
      </c>
      <c r="J316" s="20"/>
      <c r="K316" s="20"/>
      <c r="L316" s="20"/>
      <c r="M316" s="20"/>
      <c r="N316" s="20"/>
      <c r="O316" s="34"/>
      <c r="P316" s="34"/>
      <c r="Q316" s="34"/>
      <c r="R316" s="34"/>
      <c r="S316" s="68">
        <f t="shared" si="87"/>
        <v>0</v>
      </c>
      <c r="T316" s="15"/>
      <c r="U316" s="16"/>
      <c r="V316" s="34"/>
      <c r="W316" s="81"/>
      <c r="X316" s="34"/>
      <c r="Y316" s="15"/>
      <c r="Z316" s="34"/>
      <c r="AA316" s="34"/>
      <c r="AB316" s="34"/>
      <c r="AC316" s="117"/>
      <c r="AD316" s="16"/>
      <c r="AE316" s="24">
        <f>SUMIFS(инфо!$D$15:$D$28,инфо!$A$15:$A$28,F316)</f>
        <v>0</v>
      </c>
      <c r="AF316" s="35">
        <f t="shared" si="78"/>
        <v>0</v>
      </c>
      <c r="AG316" s="12">
        <f t="shared" si="74"/>
        <v>0</v>
      </c>
      <c r="AH316" s="24">
        <f>SUMIFS(инфо!$E$15:$E$28,инфо!$A$15:$A$28,F316)</f>
        <v>0</v>
      </c>
      <c r="AI316" s="32">
        <f t="shared" si="79"/>
        <v>0</v>
      </c>
      <c r="AJ316" s="12">
        <f t="shared" si="75"/>
        <v>0</v>
      </c>
      <c r="AK316" s="24">
        <f>SUMIFS(инфо!$F$15:$F$28,инфо!$A$15:$A$28,F316)</f>
        <v>0</v>
      </c>
      <c r="AL316" s="32">
        <f t="shared" si="80"/>
        <v>0</v>
      </c>
      <c r="AM316" s="12">
        <f t="shared" si="83"/>
        <v>0</v>
      </c>
      <c r="AN316" s="24">
        <f>SUMIFS(инфо!$G$15:$G$28,инфо!$A$15:$A$28,F316)</f>
        <v>0</v>
      </c>
      <c r="AO316" s="32">
        <f t="shared" si="81"/>
        <v>0</v>
      </c>
      <c r="AP316" s="12">
        <f t="shared" si="84"/>
        <v>0</v>
      </c>
      <c r="AQ316" s="24">
        <f>SUMIFS(инфо!$H$15:$H$28,инфо!$A$15:$A$28,F316)</f>
        <v>0</v>
      </c>
      <c r="AR316" s="35">
        <f t="shared" si="82"/>
        <v>0</v>
      </c>
      <c r="AS316" s="12">
        <f t="shared" si="85"/>
        <v>0</v>
      </c>
      <c r="AT316" s="24">
        <f>SUMIFS(инфо!$I$15:$I$28,инфо!$A$15:$A$28,F316)</f>
        <v>0</v>
      </c>
      <c r="AU316" s="35">
        <f t="shared" si="76"/>
        <v>0</v>
      </c>
      <c r="AV316" s="12">
        <f t="shared" si="86"/>
        <v>0</v>
      </c>
      <c r="AX316" s="68">
        <f>SUMIFS(инфо!$C$15:$C$28,инфо!$A$15:$A$28,F316)*H315</f>
        <v>0</v>
      </c>
    </row>
    <row r="317" spans="1:50" x14ac:dyDescent="0.25">
      <c r="A317" s="70">
        <f t="shared" si="77"/>
        <v>46222</v>
      </c>
      <c r="B317" s="78"/>
      <c r="C317" s="15"/>
      <c r="D317" s="16"/>
      <c r="E317" s="83"/>
      <c r="F317" s="28"/>
      <c r="G317" s="34"/>
      <c r="H317" s="23"/>
      <c r="I317" s="118">
        <f>IFERROR(H317*VLOOKUP(F317,инфо!$A$15:$C$28,3,FALSE)/1000,0)</f>
        <v>0</v>
      </c>
      <c r="J317" s="20"/>
      <c r="K317" s="20"/>
      <c r="L317" s="20"/>
      <c r="M317" s="20"/>
      <c r="N317" s="20"/>
      <c r="O317" s="34"/>
      <c r="P317" s="34"/>
      <c r="Q317" s="34"/>
      <c r="R317" s="34"/>
      <c r="S317" s="68">
        <f t="shared" si="87"/>
        <v>0</v>
      </c>
      <c r="T317" s="15"/>
      <c r="U317" s="16"/>
      <c r="V317" s="34"/>
      <c r="W317" s="81"/>
      <c r="X317" s="34"/>
      <c r="Y317" s="15"/>
      <c r="Z317" s="34"/>
      <c r="AA317" s="34"/>
      <c r="AB317" s="34"/>
      <c r="AC317" s="117"/>
      <c r="AD317" s="16"/>
      <c r="AE317" s="24">
        <f>SUMIFS(инфо!$D$15:$D$28,инфо!$A$15:$A$28,F317)</f>
        <v>0</v>
      </c>
      <c r="AF317" s="35">
        <f t="shared" si="78"/>
        <v>0</v>
      </c>
      <c r="AG317" s="12">
        <f t="shared" ref="AG317:AG380" si="88">AF317-AE317</f>
        <v>0</v>
      </c>
      <c r="AH317" s="24">
        <f>SUMIFS(инфо!$E$15:$E$28,инфо!$A$15:$A$28,F317)</f>
        <v>0</v>
      </c>
      <c r="AI317" s="32">
        <f t="shared" si="79"/>
        <v>0</v>
      </c>
      <c r="AJ317" s="12">
        <f t="shared" ref="AJ317:AJ380" si="89">AI317-AH317</f>
        <v>0</v>
      </c>
      <c r="AK317" s="24">
        <f>SUMIFS(инфо!$F$15:$F$28,инфо!$A$15:$A$28,F317)</f>
        <v>0</v>
      </c>
      <c r="AL317" s="32">
        <f t="shared" si="80"/>
        <v>0</v>
      </c>
      <c r="AM317" s="12">
        <f t="shared" si="83"/>
        <v>0</v>
      </c>
      <c r="AN317" s="24">
        <f>SUMIFS(инфо!$G$15:$G$28,инфо!$A$15:$A$28,F317)</f>
        <v>0</v>
      </c>
      <c r="AO317" s="32">
        <f t="shared" si="81"/>
        <v>0</v>
      </c>
      <c r="AP317" s="12">
        <f t="shared" si="84"/>
        <v>0</v>
      </c>
      <c r="AQ317" s="24">
        <f>SUMIFS(инфо!$H$15:$H$28,инфо!$A$15:$A$28,F317)</f>
        <v>0</v>
      </c>
      <c r="AR317" s="35">
        <f t="shared" si="82"/>
        <v>0</v>
      </c>
      <c r="AS317" s="12">
        <f t="shared" si="85"/>
        <v>0</v>
      </c>
      <c r="AT317" s="24">
        <f>SUMIFS(инфо!$I$15:$I$28,инфо!$A$15:$A$28,F317)</f>
        <v>0</v>
      </c>
      <c r="AU317" s="35">
        <f t="shared" si="76"/>
        <v>0</v>
      </c>
      <c r="AV317" s="12">
        <f t="shared" si="86"/>
        <v>0</v>
      </c>
      <c r="AX317" s="68">
        <f>SUMIFS(инфо!$C$15:$C$28,инфо!$A$15:$A$28,F317)*H316</f>
        <v>0</v>
      </c>
    </row>
    <row r="318" spans="1:50" x14ac:dyDescent="0.25">
      <c r="A318" s="70">
        <f t="shared" si="77"/>
        <v>46223</v>
      </c>
      <c r="B318" s="78"/>
      <c r="C318" s="17"/>
      <c r="D318" s="18"/>
      <c r="E318" s="83"/>
      <c r="F318" s="28"/>
      <c r="G318" s="19"/>
      <c r="H318" s="28"/>
      <c r="I318" s="118">
        <f>IFERROR(H318*VLOOKUP(F318,инфо!$A$15:$C$28,3,FALSE)/1000,0)</f>
        <v>0</v>
      </c>
      <c r="J318" s="20"/>
      <c r="K318" s="20"/>
      <c r="L318" s="20"/>
      <c r="M318" s="20"/>
      <c r="N318" s="23"/>
      <c r="O318" s="19"/>
      <c r="P318" s="19"/>
      <c r="Q318" s="19"/>
      <c r="R318" s="19"/>
      <c r="S318" s="69">
        <f t="shared" si="87"/>
        <v>0</v>
      </c>
      <c r="T318" s="17"/>
      <c r="U318" s="18"/>
      <c r="V318" s="19"/>
      <c r="W318" s="81"/>
      <c r="X318" s="19"/>
      <c r="Y318" s="17"/>
      <c r="Z318" s="19"/>
      <c r="AA318" s="19"/>
      <c r="AB318" s="19"/>
      <c r="AC318" s="117"/>
      <c r="AD318" s="18"/>
      <c r="AE318" s="25">
        <f>SUMIFS(инфо!$D$15:$D$28,инфо!$A$15:$A$28,F318)</f>
        <v>0</v>
      </c>
      <c r="AF318" s="35">
        <f t="shared" si="78"/>
        <v>0</v>
      </c>
      <c r="AG318" s="14">
        <f t="shared" si="88"/>
        <v>0</v>
      </c>
      <c r="AH318" s="25">
        <f>SUMIFS(инфо!$E$15:$E$28,инфо!$A$15:$A$28,F318)</f>
        <v>0</v>
      </c>
      <c r="AI318" s="32">
        <f t="shared" si="79"/>
        <v>0</v>
      </c>
      <c r="AJ318" s="14">
        <f t="shared" si="89"/>
        <v>0</v>
      </c>
      <c r="AK318" s="25">
        <f>SUMIFS(инфо!$F$15:$F$28,инфо!$A$15:$A$28,F318)</f>
        <v>0</v>
      </c>
      <c r="AL318" s="32">
        <f t="shared" si="80"/>
        <v>0</v>
      </c>
      <c r="AM318" s="14">
        <f t="shared" si="83"/>
        <v>0</v>
      </c>
      <c r="AN318" s="25">
        <f>SUMIFS(инфо!$G$15:$G$28,инфо!$A$15:$A$28,F318)</f>
        <v>0</v>
      </c>
      <c r="AO318" s="32">
        <f t="shared" si="81"/>
        <v>0</v>
      </c>
      <c r="AP318" s="14">
        <f t="shared" si="84"/>
        <v>0</v>
      </c>
      <c r="AQ318" s="25">
        <f>SUMIFS(инфо!$H$15:$H$28,инфо!$A$15:$A$28,F318)</f>
        <v>0</v>
      </c>
      <c r="AR318" s="26">
        <f t="shared" si="82"/>
        <v>0</v>
      </c>
      <c r="AS318" s="14">
        <f t="shared" si="85"/>
        <v>0</v>
      </c>
      <c r="AT318" s="25">
        <f>SUMIFS(инфо!$I$15:$I$28,инфо!$A$15:$A$28,F318)</f>
        <v>0</v>
      </c>
      <c r="AU318" s="35">
        <f t="shared" si="76"/>
        <v>0</v>
      </c>
      <c r="AV318" s="14">
        <f t="shared" si="86"/>
        <v>0</v>
      </c>
      <c r="AX318" s="69">
        <f>SUMIFS(инфо!$C$15:$C$28,инфо!$A$15:$A$28,F318)*H317</f>
        <v>0</v>
      </c>
    </row>
    <row r="319" spans="1:50" x14ac:dyDescent="0.25">
      <c r="A319" s="70">
        <f t="shared" si="77"/>
        <v>46223</v>
      </c>
      <c r="B319" s="78"/>
      <c r="C319" s="29"/>
      <c r="D319" s="30"/>
      <c r="E319" s="83"/>
      <c r="F319" s="28"/>
      <c r="G319" s="27"/>
      <c r="H319" s="20"/>
      <c r="I319" s="118">
        <f>IFERROR(H319*VLOOKUP(F319,инфо!$A$15:$C$28,3,FALSE)/1000,0)</f>
        <v>0</v>
      </c>
      <c r="J319" s="20"/>
      <c r="K319" s="20"/>
      <c r="L319" s="20"/>
      <c r="M319" s="20"/>
      <c r="N319" s="28"/>
      <c r="O319" s="27"/>
      <c r="P319" s="27"/>
      <c r="Q319" s="27"/>
      <c r="R319" s="27"/>
      <c r="S319" s="67">
        <f t="shared" si="87"/>
        <v>0</v>
      </c>
      <c r="T319" s="29"/>
      <c r="U319" s="30"/>
      <c r="V319" s="27"/>
      <c r="W319" s="81"/>
      <c r="X319" s="27"/>
      <c r="Y319" s="29"/>
      <c r="Z319" s="27"/>
      <c r="AA319" s="27"/>
      <c r="AB319" s="27"/>
      <c r="AC319" s="117"/>
      <c r="AD319" s="30"/>
      <c r="AE319" s="31">
        <f>SUMIFS(инфо!$D$15:$D$28,инфо!$A$15:$A$28,F319)</f>
        <v>0</v>
      </c>
      <c r="AF319" s="35">
        <f t="shared" si="78"/>
        <v>0</v>
      </c>
      <c r="AG319" s="33">
        <f t="shared" si="88"/>
        <v>0</v>
      </c>
      <c r="AH319" s="31">
        <f>SUMIFS(инфо!$E$15:$E$28,инфо!$A$15:$A$28,F319)</f>
        <v>0</v>
      </c>
      <c r="AI319" s="32">
        <f t="shared" si="79"/>
        <v>0</v>
      </c>
      <c r="AJ319" s="33">
        <f t="shared" si="89"/>
        <v>0</v>
      </c>
      <c r="AK319" s="31">
        <f>SUMIFS(инфо!$F$15:$F$28,инфо!$A$15:$A$28,F319)</f>
        <v>0</v>
      </c>
      <c r="AL319" s="32">
        <f t="shared" si="80"/>
        <v>0</v>
      </c>
      <c r="AM319" s="33">
        <f t="shared" si="83"/>
        <v>0</v>
      </c>
      <c r="AN319" s="31">
        <f>SUMIFS(инфо!$G$15:$G$28,инфо!$A$15:$A$28,F319)</f>
        <v>0</v>
      </c>
      <c r="AO319" s="32">
        <f t="shared" si="81"/>
        <v>0</v>
      </c>
      <c r="AP319" s="33">
        <f t="shared" si="84"/>
        <v>0</v>
      </c>
      <c r="AQ319" s="31">
        <f>SUMIFS(инфо!$H$15:$H$28,инфо!$A$15:$A$28,F319)</f>
        <v>0</v>
      </c>
      <c r="AR319" s="32">
        <f t="shared" si="82"/>
        <v>0</v>
      </c>
      <c r="AS319" s="33">
        <f t="shared" si="85"/>
        <v>0</v>
      </c>
      <c r="AT319" s="31">
        <f>SUMIFS(инфо!$I$15:$I$28,инфо!$A$15:$A$28,F319)</f>
        <v>0</v>
      </c>
      <c r="AU319" s="35">
        <f t="shared" si="76"/>
        <v>0</v>
      </c>
      <c r="AV319" s="33">
        <f t="shared" si="86"/>
        <v>0</v>
      </c>
      <c r="AX319" s="67">
        <f>SUMIFS(инфо!$C$15:$C$28,инфо!$A$15:$A$28,F319)*H318</f>
        <v>0</v>
      </c>
    </row>
    <row r="320" spans="1:50" x14ac:dyDescent="0.25">
      <c r="A320" s="70">
        <f t="shared" si="77"/>
        <v>46224</v>
      </c>
      <c r="B320" s="78"/>
      <c r="C320" s="15"/>
      <c r="D320" s="16"/>
      <c r="E320" s="83"/>
      <c r="F320" s="28"/>
      <c r="G320" s="34"/>
      <c r="H320" s="20"/>
      <c r="I320" s="118">
        <f>IFERROR(H320*VLOOKUP(F320,инфо!$A$15:$C$28,3,FALSE)/1000,0)</f>
        <v>0</v>
      </c>
      <c r="J320" s="20"/>
      <c r="K320" s="20"/>
      <c r="L320" s="20"/>
      <c r="M320" s="20"/>
      <c r="N320" s="20"/>
      <c r="O320" s="34"/>
      <c r="P320" s="34"/>
      <c r="Q320" s="34"/>
      <c r="R320" s="34"/>
      <c r="S320" s="68">
        <f t="shared" si="87"/>
        <v>0</v>
      </c>
      <c r="T320" s="15"/>
      <c r="U320" s="16"/>
      <c r="V320" s="34"/>
      <c r="W320" s="81"/>
      <c r="X320" s="34"/>
      <c r="Y320" s="15"/>
      <c r="Z320" s="34"/>
      <c r="AA320" s="34"/>
      <c r="AB320" s="34"/>
      <c r="AC320" s="117"/>
      <c r="AD320" s="16"/>
      <c r="AE320" s="24">
        <f>SUMIFS(инфо!$D$15:$D$28,инфо!$A$15:$A$28,F320)</f>
        <v>0</v>
      </c>
      <c r="AF320" s="35">
        <f t="shared" si="78"/>
        <v>0</v>
      </c>
      <c r="AG320" s="12">
        <f t="shared" si="88"/>
        <v>0</v>
      </c>
      <c r="AH320" s="24">
        <f>SUMIFS(инфо!$E$15:$E$28,инфо!$A$15:$A$28,F320)</f>
        <v>0</v>
      </c>
      <c r="AI320" s="32">
        <f t="shared" si="79"/>
        <v>0</v>
      </c>
      <c r="AJ320" s="12">
        <f t="shared" si="89"/>
        <v>0</v>
      </c>
      <c r="AK320" s="24">
        <f>SUMIFS(инфо!$F$15:$F$28,инфо!$A$15:$A$28,F320)</f>
        <v>0</v>
      </c>
      <c r="AL320" s="32">
        <f t="shared" si="80"/>
        <v>0</v>
      </c>
      <c r="AM320" s="12">
        <f t="shared" si="83"/>
        <v>0</v>
      </c>
      <c r="AN320" s="24">
        <f>SUMIFS(инфо!$G$15:$G$28,инфо!$A$15:$A$28,F320)</f>
        <v>0</v>
      </c>
      <c r="AO320" s="32">
        <f t="shared" si="81"/>
        <v>0</v>
      </c>
      <c r="AP320" s="12">
        <f t="shared" si="84"/>
        <v>0</v>
      </c>
      <c r="AQ320" s="24">
        <f>SUMIFS(инфо!$H$15:$H$28,инфо!$A$15:$A$28,F320)</f>
        <v>0</v>
      </c>
      <c r="AR320" s="35">
        <f t="shared" si="82"/>
        <v>0</v>
      </c>
      <c r="AS320" s="12">
        <f t="shared" si="85"/>
        <v>0</v>
      </c>
      <c r="AT320" s="24">
        <f>SUMIFS(инфо!$I$15:$I$28,инфо!$A$15:$A$28,F320)</f>
        <v>0</v>
      </c>
      <c r="AU320" s="35">
        <f t="shared" si="76"/>
        <v>0</v>
      </c>
      <c r="AV320" s="12">
        <f t="shared" si="86"/>
        <v>0</v>
      </c>
      <c r="AX320" s="68">
        <f>SUMIFS(инфо!$C$15:$C$28,инфо!$A$15:$A$28,F320)*H319</f>
        <v>0</v>
      </c>
    </row>
    <row r="321" spans="1:50" x14ac:dyDescent="0.25">
      <c r="A321" s="70">
        <f t="shared" si="77"/>
        <v>46224</v>
      </c>
      <c r="B321" s="78"/>
      <c r="C321" s="15"/>
      <c r="D321" s="16"/>
      <c r="E321" s="83"/>
      <c r="F321" s="28"/>
      <c r="G321" s="34"/>
      <c r="H321" s="23"/>
      <c r="I321" s="118">
        <f>IFERROR(H321*VLOOKUP(F321,инфо!$A$15:$C$28,3,FALSE)/1000,0)</f>
        <v>0</v>
      </c>
      <c r="J321" s="20"/>
      <c r="K321" s="20"/>
      <c r="L321" s="20"/>
      <c r="M321" s="20"/>
      <c r="N321" s="20"/>
      <c r="O321" s="34"/>
      <c r="P321" s="34"/>
      <c r="Q321" s="34"/>
      <c r="R321" s="34"/>
      <c r="S321" s="68">
        <f t="shared" si="87"/>
        <v>0</v>
      </c>
      <c r="T321" s="15"/>
      <c r="U321" s="16"/>
      <c r="V321" s="34"/>
      <c r="W321" s="81"/>
      <c r="X321" s="34"/>
      <c r="Y321" s="15"/>
      <c r="Z321" s="34"/>
      <c r="AA321" s="34"/>
      <c r="AB321" s="34"/>
      <c r="AC321" s="117"/>
      <c r="AD321" s="16"/>
      <c r="AE321" s="24">
        <f>SUMIFS(инфо!$D$15:$D$28,инфо!$A$15:$A$28,F321)</f>
        <v>0</v>
      </c>
      <c r="AF321" s="35">
        <f t="shared" si="78"/>
        <v>0</v>
      </c>
      <c r="AG321" s="12">
        <f t="shared" si="88"/>
        <v>0</v>
      </c>
      <c r="AH321" s="24">
        <f>SUMIFS(инфо!$E$15:$E$28,инфо!$A$15:$A$28,F321)</f>
        <v>0</v>
      </c>
      <c r="AI321" s="32">
        <f t="shared" si="79"/>
        <v>0</v>
      </c>
      <c r="AJ321" s="12">
        <f t="shared" si="89"/>
        <v>0</v>
      </c>
      <c r="AK321" s="24">
        <f>SUMIFS(инфо!$F$15:$F$28,инфо!$A$15:$A$28,F321)</f>
        <v>0</v>
      </c>
      <c r="AL321" s="32">
        <f t="shared" si="80"/>
        <v>0</v>
      </c>
      <c r="AM321" s="12">
        <f t="shared" si="83"/>
        <v>0</v>
      </c>
      <c r="AN321" s="24">
        <f>SUMIFS(инфо!$G$15:$G$28,инфо!$A$15:$A$28,F321)</f>
        <v>0</v>
      </c>
      <c r="AO321" s="32">
        <f t="shared" si="81"/>
        <v>0</v>
      </c>
      <c r="AP321" s="12">
        <f t="shared" si="84"/>
        <v>0</v>
      </c>
      <c r="AQ321" s="24">
        <f>SUMIFS(инфо!$H$15:$H$28,инфо!$A$15:$A$28,F321)</f>
        <v>0</v>
      </c>
      <c r="AR321" s="35">
        <f t="shared" si="82"/>
        <v>0</v>
      </c>
      <c r="AS321" s="12">
        <f t="shared" si="85"/>
        <v>0</v>
      </c>
      <c r="AT321" s="24">
        <f>SUMIFS(инфо!$I$15:$I$28,инфо!$A$15:$A$28,F321)</f>
        <v>0</v>
      </c>
      <c r="AU321" s="35">
        <f t="shared" si="76"/>
        <v>0</v>
      </c>
      <c r="AV321" s="12">
        <f t="shared" si="86"/>
        <v>0</v>
      </c>
      <c r="AX321" s="68">
        <f>SUMIFS(инфо!$C$15:$C$28,инфо!$A$15:$A$28,F321)*H320</f>
        <v>0</v>
      </c>
    </row>
    <row r="322" spans="1:50" x14ac:dyDescent="0.25">
      <c r="A322" s="70">
        <f t="shared" si="77"/>
        <v>46225</v>
      </c>
      <c r="B322" s="78"/>
      <c r="C322" s="17"/>
      <c r="D322" s="18"/>
      <c r="E322" s="83"/>
      <c r="F322" s="28"/>
      <c r="G322" s="19"/>
      <c r="H322" s="28"/>
      <c r="I322" s="118">
        <f>IFERROR(H322*VLOOKUP(F322,инфо!$A$15:$C$28,3,FALSE)/1000,0)</f>
        <v>0</v>
      </c>
      <c r="J322" s="20"/>
      <c r="K322" s="20"/>
      <c r="L322" s="20"/>
      <c r="M322" s="20"/>
      <c r="N322" s="23"/>
      <c r="O322" s="19"/>
      <c r="P322" s="19"/>
      <c r="Q322" s="19"/>
      <c r="R322" s="19"/>
      <c r="S322" s="69">
        <f t="shared" si="87"/>
        <v>0</v>
      </c>
      <c r="T322" s="17"/>
      <c r="U322" s="18"/>
      <c r="V322" s="19"/>
      <c r="W322" s="81"/>
      <c r="X322" s="19"/>
      <c r="Y322" s="17"/>
      <c r="Z322" s="19"/>
      <c r="AA322" s="19"/>
      <c r="AB322" s="19"/>
      <c r="AC322" s="117"/>
      <c r="AD322" s="18"/>
      <c r="AE322" s="25">
        <f>SUMIFS(инфо!$D$15:$D$28,инфо!$A$15:$A$28,F322)</f>
        <v>0</v>
      </c>
      <c r="AF322" s="35">
        <f t="shared" si="78"/>
        <v>0</v>
      </c>
      <c r="AG322" s="14">
        <f t="shared" si="88"/>
        <v>0</v>
      </c>
      <c r="AH322" s="25">
        <f>SUMIFS(инфо!$E$15:$E$28,инфо!$A$15:$A$28,F322)</f>
        <v>0</v>
      </c>
      <c r="AI322" s="32">
        <f t="shared" si="79"/>
        <v>0</v>
      </c>
      <c r="AJ322" s="14">
        <f t="shared" si="89"/>
        <v>0</v>
      </c>
      <c r="AK322" s="25">
        <f>SUMIFS(инфо!$F$15:$F$28,инфо!$A$15:$A$28,F322)</f>
        <v>0</v>
      </c>
      <c r="AL322" s="32">
        <f t="shared" si="80"/>
        <v>0</v>
      </c>
      <c r="AM322" s="14">
        <f t="shared" si="83"/>
        <v>0</v>
      </c>
      <c r="AN322" s="25">
        <f>SUMIFS(инфо!$G$15:$G$28,инфо!$A$15:$A$28,F322)</f>
        <v>0</v>
      </c>
      <c r="AO322" s="32">
        <f t="shared" si="81"/>
        <v>0</v>
      </c>
      <c r="AP322" s="14">
        <f t="shared" si="84"/>
        <v>0</v>
      </c>
      <c r="AQ322" s="25">
        <f>SUMIFS(инфо!$H$15:$H$28,инфо!$A$15:$A$28,F322)</f>
        <v>0</v>
      </c>
      <c r="AR322" s="26">
        <f t="shared" si="82"/>
        <v>0</v>
      </c>
      <c r="AS322" s="14">
        <f t="shared" si="85"/>
        <v>0</v>
      </c>
      <c r="AT322" s="25">
        <f>SUMIFS(инфо!$I$15:$I$28,инфо!$A$15:$A$28,F322)</f>
        <v>0</v>
      </c>
      <c r="AU322" s="35">
        <f t="shared" si="76"/>
        <v>0</v>
      </c>
      <c r="AV322" s="14">
        <f t="shared" si="86"/>
        <v>0</v>
      </c>
      <c r="AX322" s="69">
        <f>SUMIFS(инфо!$C$15:$C$28,инфо!$A$15:$A$28,F322)*H321</f>
        <v>0</v>
      </c>
    </row>
    <row r="323" spans="1:50" x14ac:dyDescent="0.25">
      <c r="A323" s="70">
        <f t="shared" si="77"/>
        <v>46225</v>
      </c>
      <c r="B323" s="78"/>
      <c r="C323" s="29"/>
      <c r="D323" s="30"/>
      <c r="E323" s="83"/>
      <c r="F323" s="28"/>
      <c r="G323" s="27"/>
      <c r="H323" s="20"/>
      <c r="I323" s="118">
        <f>IFERROR(H323*VLOOKUP(F323,инфо!$A$15:$C$28,3,FALSE)/1000,0)</f>
        <v>0</v>
      </c>
      <c r="J323" s="20"/>
      <c r="K323" s="20"/>
      <c r="L323" s="20"/>
      <c r="M323" s="20"/>
      <c r="N323" s="28"/>
      <c r="O323" s="27"/>
      <c r="P323" s="27"/>
      <c r="Q323" s="27"/>
      <c r="R323" s="27"/>
      <c r="S323" s="67">
        <f t="shared" si="87"/>
        <v>0</v>
      </c>
      <c r="T323" s="29"/>
      <c r="U323" s="30"/>
      <c r="V323" s="27"/>
      <c r="W323" s="81"/>
      <c r="X323" s="27"/>
      <c r="Y323" s="29"/>
      <c r="Z323" s="27"/>
      <c r="AA323" s="27"/>
      <c r="AB323" s="27"/>
      <c r="AC323" s="117"/>
      <c r="AD323" s="30"/>
      <c r="AE323" s="31">
        <f>SUMIFS(инфо!$D$15:$D$28,инфо!$A$15:$A$28,F323)</f>
        <v>0</v>
      </c>
      <c r="AF323" s="35">
        <f t="shared" si="78"/>
        <v>0</v>
      </c>
      <c r="AG323" s="33">
        <f t="shared" si="88"/>
        <v>0</v>
      </c>
      <c r="AH323" s="31">
        <f>SUMIFS(инфо!$E$15:$E$28,инфо!$A$15:$A$28,F323)</f>
        <v>0</v>
      </c>
      <c r="AI323" s="32">
        <f t="shared" si="79"/>
        <v>0</v>
      </c>
      <c r="AJ323" s="33">
        <f t="shared" si="89"/>
        <v>0</v>
      </c>
      <c r="AK323" s="31">
        <f>SUMIFS(инфо!$F$15:$F$28,инфо!$A$15:$A$28,F323)</f>
        <v>0</v>
      </c>
      <c r="AL323" s="32">
        <f t="shared" si="80"/>
        <v>0</v>
      </c>
      <c r="AM323" s="33">
        <f t="shared" si="83"/>
        <v>0</v>
      </c>
      <c r="AN323" s="31">
        <f>SUMIFS(инфо!$G$15:$G$28,инфо!$A$15:$A$28,F323)</f>
        <v>0</v>
      </c>
      <c r="AO323" s="32">
        <f t="shared" si="81"/>
        <v>0</v>
      </c>
      <c r="AP323" s="33">
        <f t="shared" si="84"/>
        <v>0</v>
      </c>
      <c r="AQ323" s="31">
        <f>SUMIFS(инфо!$H$15:$H$28,инфо!$A$15:$A$28,F323)</f>
        <v>0</v>
      </c>
      <c r="AR323" s="32">
        <f t="shared" si="82"/>
        <v>0</v>
      </c>
      <c r="AS323" s="33">
        <f t="shared" si="85"/>
        <v>0</v>
      </c>
      <c r="AT323" s="31">
        <f>SUMIFS(инфо!$I$15:$I$28,инфо!$A$15:$A$28,F323)</f>
        <v>0</v>
      </c>
      <c r="AU323" s="35">
        <f t="shared" si="76"/>
        <v>0</v>
      </c>
      <c r="AV323" s="33">
        <f t="shared" si="86"/>
        <v>0</v>
      </c>
      <c r="AX323" s="67">
        <f>SUMIFS(инфо!$C$15:$C$28,инфо!$A$15:$A$28,F323)*H322</f>
        <v>0</v>
      </c>
    </row>
    <row r="324" spans="1:50" x14ac:dyDescent="0.25">
      <c r="A324" s="70">
        <f t="shared" si="77"/>
        <v>46226</v>
      </c>
      <c r="B324" s="78"/>
      <c r="C324" s="15"/>
      <c r="D324" s="16"/>
      <c r="E324" s="83"/>
      <c r="F324" s="28"/>
      <c r="G324" s="34"/>
      <c r="H324" s="20"/>
      <c r="I324" s="118">
        <f>IFERROR(H324*VLOOKUP(F324,инфо!$A$15:$C$28,3,FALSE)/1000,0)</f>
        <v>0</v>
      </c>
      <c r="J324" s="20"/>
      <c r="K324" s="20"/>
      <c r="L324" s="20"/>
      <c r="M324" s="20"/>
      <c r="N324" s="20"/>
      <c r="O324" s="34"/>
      <c r="P324" s="34"/>
      <c r="Q324" s="34"/>
      <c r="R324" s="34"/>
      <c r="S324" s="68">
        <f t="shared" si="87"/>
        <v>0</v>
      </c>
      <c r="T324" s="15"/>
      <c r="U324" s="16"/>
      <c r="V324" s="34"/>
      <c r="W324" s="81"/>
      <c r="X324" s="34"/>
      <c r="Y324" s="15"/>
      <c r="Z324" s="34"/>
      <c r="AA324" s="34"/>
      <c r="AB324" s="34"/>
      <c r="AC324" s="117"/>
      <c r="AD324" s="16"/>
      <c r="AE324" s="24">
        <f>SUMIFS(инфо!$D$15:$D$28,инфо!$A$15:$A$28,F324)</f>
        <v>0</v>
      </c>
      <c r="AF324" s="35">
        <f t="shared" si="78"/>
        <v>0</v>
      </c>
      <c r="AG324" s="12">
        <f t="shared" si="88"/>
        <v>0</v>
      </c>
      <c r="AH324" s="24">
        <f>SUMIFS(инфо!$E$15:$E$28,инфо!$A$15:$A$28,F324)</f>
        <v>0</v>
      </c>
      <c r="AI324" s="32">
        <f t="shared" si="79"/>
        <v>0</v>
      </c>
      <c r="AJ324" s="12">
        <f t="shared" si="89"/>
        <v>0</v>
      </c>
      <c r="AK324" s="24">
        <f>SUMIFS(инфо!$F$15:$F$28,инфо!$A$15:$A$28,F324)</f>
        <v>0</v>
      </c>
      <c r="AL324" s="32">
        <f t="shared" si="80"/>
        <v>0</v>
      </c>
      <c r="AM324" s="12">
        <f t="shared" si="83"/>
        <v>0</v>
      </c>
      <c r="AN324" s="24">
        <f>SUMIFS(инфо!$G$15:$G$28,инфо!$A$15:$A$28,F324)</f>
        <v>0</v>
      </c>
      <c r="AO324" s="32">
        <f t="shared" si="81"/>
        <v>0</v>
      </c>
      <c r="AP324" s="12">
        <f t="shared" si="84"/>
        <v>0</v>
      </c>
      <c r="AQ324" s="24">
        <f>SUMIFS(инфо!$H$15:$H$28,инфо!$A$15:$A$28,F324)</f>
        <v>0</v>
      </c>
      <c r="AR324" s="35">
        <f t="shared" si="82"/>
        <v>0</v>
      </c>
      <c r="AS324" s="12">
        <f t="shared" si="85"/>
        <v>0</v>
      </c>
      <c r="AT324" s="24">
        <f>SUMIFS(инфо!$I$15:$I$28,инфо!$A$15:$A$28,F324)</f>
        <v>0</v>
      </c>
      <c r="AU324" s="35">
        <f t="shared" si="76"/>
        <v>0</v>
      </c>
      <c r="AV324" s="12">
        <f t="shared" si="86"/>
        <v>0</v>
      </c>
      <c r="AX324" s="68">
        <f>SUMIFS(инфо!$C$15:$C$28,инфо!$A$15:$A$28,F324)*H323</f>
        <v>0</v>
      </c>
    </row>
    <row r="325" spans="1:50" x14ac:dyDescent="0.25">
      <c r="A325" s="70">
        <f t="shared" si="77"/>
        <v>46226</v>
      </c>
      <c r="B325" s="78"/>
      <c r="C325" s="15"/>
      <c r="D325" s="16"/>
      <c r="E325" s="83"/>
      <c r="F325" s="28"/>
      <c r="G325" s="34"/>
      <c r="H325" s="23"/>
      <c r="I325" s="118">
        <f>IFERROR(H325*VLOOKUP(F325,инфо!$A$15:$C$28,3,FALSE)/1000,0)</f>
        <v>0</v>
      </c>
      <c r="J325" s="20"/>
      <c r="K325" s="20"/>
      <c r="L325" s="20"/>
      <c r="M325" s="20"/>
      <c r="N325" s="20"/>
      <c r="O325" s="34"/>
      <c r="P325" s="34"/>
      <c r="Q325" s="34"/>
      <c r="R325" s="34"/>
      <c r="S325" s="68">
        <f t="shared" si="87"/>
        <v>0</v>
      </c>
      <c r="T325" s="15"/>
      <c r="U325" s="16"/>
      <c r="V325" s="34"/>
      <c r="W325" s="81"/>
      <c r="X325" s="34"/>
      <c r="Y325" s="15"/>
      <c r="Z325" s="34"/>
      <c r="AA325" s="34"/>
      <c r="AB325" s="34"/>
      <c r="AC325" s="117"/>
      <c r="AD325" s="16"/>
      <c r="AE325" s="24">
        <f>SUMIFS(инфо!$D$15:$D$28,инфо!$A$15:$A$28,F325)</f>
        <v>0</v>
      </c>
      <c r="AF325" s="35">
        <f t="shared" si="78"/>
        <v>0</v>
      </c>
      <c r="AG325" s="12">
        <f t="shared" si="88"/>
        <v>0</v>
      </c>
      <c r="AH325" s="24">
        <f>SUMIFS(инфо!$E$15:$E$28,инфо!$A$15:$A$28,F325)</f>
        <v>0</v>
      </c>
      <c r="AI325" s="32">
        <f t="shared" si="79"/>
        <v>0</v>
      </c>
      <c r="AJ325" s="12">
        <f t="shared" si="89"/>
        <v>0</v>
      </c>
      <c r="AK325" s="24">
        <f>SUMIFS(инфо!$F$15:$F$28,инфо!$A$15:$A$28,F325)</f>
        <v>0</v>
      </c>
      <c r="AL325" s="32">
        <f t="shared" si="80"/>
        <v>0</v>
      </c>
      <c r="AM325" s="12">
        <f t="shared" si="83"/>
        <v>0</v>
      </c>
      <c r="AN325" s="24">
        <f>SUMIFS(инфо!$G$15:$G$28,инфо!$A$15:$A$28,F325)</f>
        <v>0</v>
      </c>
      <c r="AO325" s="32">
        <f t="shared" si="81"/>
        <v>0</v>
      </c>
      <c r="AP325" s="12">
        <f t="shared" si="84"/>
        <v>0</v>
      </c>
      <c r="AQ325" s="24">
        <f>SUMIFS(инфо!$H$15:$H$28,инфо!$A$15:$A$28,F325)</f>
        <v>0</v>
      </c>
      <c r="AR325" s="35">
        <f t="shared" si="82"/>
        <v>0</v>
      </c>
      <c r="AS325" s="12">
        <f t="shared" si="85"/>
        <v>0</v>
      </c>
      <c r="AT325" s="24">
        <f>SUMIFS(инфо!$I$15:$I$28,инфо!$A$15:$A$28,F325)</f>
        <v>0</v>
      </c>
      <c r="AU325" s="35">
        <f t="shared" si="76"/>
        <v>0</v>
      </c>
      <c r="AV325" s="12">
        <f t="shared" si="86"/>
        <v>0</v>
      </c>
      <c r="AX325" s="68">
        <f>SUMIFS(инфо!$C$15:$C$28,инфо!$A$15:$A$28,F325)*H324</f>
        <v>0</v>
      </c>
    </row>
    <row r="326" spans="1:50" x14ac:dyDescent="0.25">
      <c r="A326" s="70">
        <f t="shared" si="77"/>
        <v>46227</v>
      </c>
      <c r="B326" s="78"/>
      <c r="C326" s="17"/>
      <c r="D326" s="18"/>
      <c r="E326" s="83"/>
      <c r="F326" s="28"/>
      <c r="G326" s="19"/>
      <c r="H326" s="28"/>
      <c r="I326" s="118">
        <f>IFERROR(H326*VLOOKUP(F326,инфо!$A$15:$C$28,3,FALSE)/1000,0)</f>
        <v>0</v>
      </c>
      <c r="J326" s="20"/>
      <c r="K326" s="20"/>
      <c r="L326" s="20"/>
      <c r="M326" s="20"/>
      <c r="N326" s="23"/>
      <c r="O326" s="19"/>
      <c r="P326" s="19"/>
      <c r="Q326" s="19"/>
      <c r="R326" s="19"/>
      <c r="S326" s="69">
        <f t="shared" si="87"/>
        <v>0</v>
      </c>
      <c r="T326" s="17"/>
      <c r="U326" s="18"/>
      <c r="V326" s="19"/>
      <c r="W326" s="81"/>
      <c r="X326" s="19"/>
      <c r="Y326" s="17"/>
      <c r="Z326" s="19"/>
      <c r="AA326" s="19"/>
      <c r="AB326" s="19"/>
      <c r="AC326" s="117"/>
      <c r="AD326" s="18"/>
      <c r="AE326" s="25">
        <f>SUMIFS(инфо!$D$15:$D$28,инфо!$A$15:$A$28,F326)</f>
        <v>0</v>
      </c>
      <c r="AF326" s="35">
        <f t="shared" si="78"/>
        <v>0</v>
      </c>
      <c r="AG326" s="14">
        <f t="shared" si="88"/>
        <v>0</v>
      </c>
      <c r="AH326" s="25">
        <f>SUMIFS(инфо!$E$15:$E$28,инфо!$A$15:$A$28,F326)</f>
        <v>0</v>
      </c>
      <c r="AI326" s="32">
        <f t="shared" si="79"/>
        <v>0</v>
      </c>
      <c r="AJ326" s="14">
        <f t="shared" si="89"/>
        <v>0</v>
      </c>
      <c r="AK326" s="25">
        <f>SUMIFS(инфо!$F$15:$F$28,инфо!$A$15:$A$28,F326)</f>
        <v>0</v>
      </c>
      <c r="AL326" s="32">
        <f t="shared" si="80"/>
        <v>0</v>
      </c>
      <c r="AM326" s="14">
        <f t="shared" si="83"/>
        <v>0</v>
      </c>
      <c r="AN326" s="25">
        <f>SUMIFS(инфо!$G$15:$G$28,инфо!$A$15:$A$28,F326)</f>
        <v>0</v>
      </c>
      <c r="AO326" s="32">
        <f t="shared" si="81"/>
        <v>0</v>
      </c>
      <c r="AP326" s="14">
        <f t="shared" si="84"/>
        <v>0</v>
      </c>
      <c r="AQ326" s="25">
        <f>SUMIFS(инфо!$H$15:$H$28,инфо!$A$15:$A$28,F326)</f>
        <v>0</v>
      </c>
      <c r="AR326" s="26">
        <f t="shared" si="82"/>
        <v>0</v>
      </c>
      <c r="AS326" s="14">
        <f t="shared" si="85"/>
        <v>0</v>
      </c>
      <c r="AT326" s="25">
        <f>SUMIFS(инфо!$I$15:$I$28,инфо!$A$15:$A$28,F326)</f>
        <v>0</v>
      </c>
      <c r="AU326" s="35">
        <f t="shared" si="76"/>
        <v>0</v>
      </c>
      <c r="AV326" s="14">
        <f t="shared" si="86"/>
        <v>0</v>
      </c>
      <c r="AX326" s="69">
        <f>SUMIFS(инфо!$C$15:$C$28,инфо!$A$15:$A$28,F326)*H325</f>
        <v>0</v>
      </c>
    </row>
    <row r="327" spans="1:50" x14ac:dyDescent="0.25">
      <c r="A327" s="70">
        <f t="shared" si="77"/>
        <v>46227</v>
      </c>
      <c r="B327" s="78"/>
      <c r="C327" s="29"/>
      <c r="D327" s="30"/>
      <c r="E327" s="83"/>
      <c r="F327" s="28"/>
      <c r="G327" s="27"/>
      <c r="H327" s="20"/>
      <c r="I327" s="118">
        <f>IFERROR(H327*VLOOKUP(F327,инфо!$A$15:$C$28,3,FALSE)/1000,0)</f>
        <v>0</v>
      </c>
      <c r="J327" s="20"/>
      <c r="K327" s="20"/>
      <c r="L327" s="20"/>
      <c r="M327" s="20"/>
      <c r="N327" s="28"/>
      <c r="O327" s="27"/>
      <c r="P327" s="27"/>
      <c r="Q327" s="27"/>
      <c r="R327" s="27"/>
      <c r="S327" s="67">
        <f t="shared" si="87"/>
        <v>0</v>
      </c>
      <c r="T327" s="29"/>
      <c r="U327" s="30"/>
      <c r="V327" s="27"/>
      <c r="W327" s="81"/>
      <c r="X327" s="27"/>
      <c r="Y327" s="29"/>
      <c r="Z327" s="27"/>
      <c r="AA327" s="27"/>
      <c r="AB327" s="27"/>
      <c r="AC327" s="117"/>
      <c r="AD327" s="30"/>
      <c r="AE327" s="31">
        <f>SUMIFS(инфо!$D$15:$D$28,инфо!$A$15:$A$28,F327)</f>
        <v>0</v>
      </c>
      <c r="AF327" s="35">
        <f t="shared" si="78"/>
        <v>0</v>
      </c>
      <c r="AG327" s="33">
        <f t="shared" si="88"/>
        <v>0</v>
      </c>
      <c r="AH327" s="31">
        <f>SUMIFS(инфо!$E$15:$E$28,инфо!$A$15:$A$28,F327)</f>
        <v>0</v>
      </c>
      <c r="AI327" s="32">
        <f t="shared" si="79"/>
        <v>0</v>
      </c>
      <c r="AJ327" s="33">
        <f t="shared" si="89"/>
        <v>0</v>
      </c>
      <c r="AK327" s="31">
        <f>SUMIFS(инфо!$F$15:$F$28,инфо!$A$15:$A$28,F327)</f>
        <v>0</v>
      </c>
      <c r="AL327" s="32">
        <f t="shared" si="80"/>
        <v>0</v>
      </c>
      <c r="AM327" s="33">
        <f t="shared" si="83"/>
        <v>0</v>
      </c>
      <c r="AN327" s="31">
        <f>SUMIFS(инфо!$G$15:$G$28,инфо!$A$15:$A$28,F327)</f>
        <v>0</v>
      </c>
      <c r="AO327" s="32">
        <f t="shared" si="81"/>
        <v>0</v>
      </c>
      <c r="AP327" s="33">
        <f t="shared" si="84"/>
        <v>0</v>
      </c>
      <c r="AQ327" s="31">
        <f>SUMIFS(инфо!$H$15:$H$28,инфо!$A$15:$A$28,F327)</f>
        <v>0</v>
      </c>
      <c r="AR327" s="32">
        <f t="shared" si="82"/>
        <v>0</v>
      </c>
      <c r="AS327" s="33">
        <f t="shared" si="85"/>
        <v>0</v>
      </c>
      <c r="AT327" s="31">
        <f>SUMIFS(инфо!$I$15:$I$28,инфо!$A$15:$A$28,F327)</f>
        <v>0</v>
      </c>
      <c r="AU327" s="35">
        <f t="shared" si="76"/>
        <v>0</v>
      </c>
      <c r="AV327" s="33">
        <f t="shared" si="86"/>
        <v>0</v>
      </c>
      <c r="AX327" s="67">
        <f>SUMIFS(инфо!$C$15:$C$28,инфо!$A$15:$A$28,F327)*H326</f>
        <v>0</v>
      </c>
    </row>
    <row r="328" spans="1:50" x14ac:dyDescent="0.25">
      <c r="A328" s="70">
        <f t="shared" si="77"/>
        <v>46228</v>
      </c>
      <c r="B328" s="78"/>
      <c r="C328" s="15"/>
      <c r="D328" s="16"/>
      <c r="E328" s="83"/>
      <c r="F328" s="28"/>
      <c r="G328" s="34"/>
      <c r="H328" s="20"/>
      <c r="I328" s="118">
        <f>IFERROR(H328*VLOOKUP(F328,инфо!$A$15:$C$28,3,FALSE)/1000,0)</f>
        <v>0</v>
      </c>
      <c r="J328" s="20"/>
      <c r="K328" s="20"/>
      <c r="L328" s="20"/>
      <c r="M328" s="20"/>
      <c r="N328" s="20"/>
      <c r="O328" s="34"/>
      <c r="P328" s="34"/>
      <c r="Q328" s="34"/>
      <c r="R328" s="34"/>
      <c r="S328" s="68">
        <f t="shared" si="87"/>
        <v>0</v>
      </c>
      <c r="T328" s="15"/>
      <c r="U328" s="16"/>
      <c r="V328" s="34"/>
      <c r="W328" s="81"/>
      <c r="X328" s="34"/>
      <c r="Y328" s="15"/>
      <c r="Z328" s="34"/>
      <c r="AA328" s="34"/>
      <c r="AB328" s="34"/>
      <c r="AC328" s="117"/>
      <c r="AD328" s="16"/>
      <c r="AE328" s="24">
        <f>SUMIFS(инфо!$D$15:$D$28,инфо!$A$15:$A$28,F328)</f>
        <v>0</v>
      </c>
      <c r="AF328" s="35">
        <f t="shared" si="78"/>
        <v>0</v>
      </c>
      <c r="AG328" s="12">
        <f t="shared" si="88"/>
        <v>0</v>
      </c>
      <c r="AH328" s="24">
        <f>SUMIFS(инфо!$E$15:$E$28,инфо!$A$15:$A$28,F328)</f>
        <v>0</v>
      </c>
      <c r="AI328" s="32">
        <f t="shared" si="79"/>
        <v>0</v>
      </c>
      <c r="AJ328" s="12">
        <f t="shared" si="89"/>
        <v>0</v>
      </c>
      <c r="AK328" s="24">
        <f>SUMIFS(инфо!$F$15:$F$28,инфо!$A$15:$A$28,F328)</f>
        <v>0</v>
      </c>
      <c r="AL328" s="32">
        <f t="shared" si="80"/>
        <v>0</v>
      </c>
      <c r="AM328" s="12">
        <f t="shared" si="83"/>
        <v>0</v>
      </c>
      <c r="AN328" s="24">
        <f>SUMIFS(инфо!$G$15:$G$28,инфо!$A$15:$A$28,F328)</f>
        <v>0</v>
      </c>
      <c r="AO328" s="32">
        <f t="shared" si="81"/>
        <v>0</v>
      </c>
      <c r="AP328" s="12">
        <f t="shared" si="84"/>
        <v>0</v>
      </c>
      <c r="AQ328" s="24">
        <f>SUMIFS(инфо!$H$15:$H$28,инфо!$A$15:$A$28,F328)</f>
        <v>0</v>
      </c>
      <c r="AR328" s="35">
        <f t="shared" si="82"/>
        <v>0</v>
      </c>
      <c r="AS328" s="12">
        <f t="shared" si="85"/>
        <v>0</v>
      </c>
      <c r="AT328" s="24">
        <f>SUMIFS(инфо!$I$15:$I$28,инфо!$A$15:$A$28,F328)</f>
        <v>0</v>
      </c>
      <c r="AU328" s="35">
        <f t="shared" si="76"/>
        <v>0</v>
      </c>
      <c r="AV328" s="12">
        <f t="shared" si="86"/>
        <v>0</v>
      </c>
      <c r="AX328" s="68">
        <f>SUMIFS(инфо!$C$15:$C$28,инфо!$A$15:$A$28,F328)*H327</f>
        <v>0</v>
      </c>
    </row>
    <row r="329" spans="1:50" x14ac:dyDescent="0.25">
      <c r="A329" s="70">
        <f t="shared" si="77"/>
        <v>46228</v>
      </c>
      <c r="B329" s="78"/>
      <c r="C329" s="15"/>
      <c r="D329" s="16"/>
      <c r="E329" s="83"/>
      <c r="F329" s="28"/>
      <c r="G329" s="34"/>
      <c r="H329" s="23"/>
      <c r="I329" s="118">
        <f>IFERROR(H329*VLOOKUP(F329,инфо!$A$15:$C$28,3,FALSE)/1000,0)</f>
        <v>0</v>
      </c>
      <c r="J329" s="20"/>
      <c r="K329" s="20"/>
      <c r="L329" s="20"/>
      <c r="M329" s="20"/>
      <c r="N329" s="20"/>
      <c r="O329" s="34"/>
      <c r="P329" s="34"/>
      <c r="Q329" s="34"/>
      <c r="R329" s="34"/>
      <c r="S329" s="68">
        <f t="shared" si="87"/>
        <v>0</v>
      </c>
      <c r="T329" s="15"/>
      <c r="U329" s="16"/>
      <c r="V329" s="34"/>
      <c r="W329" s="81"/>
      <c r="X329" s="34"/>
      <c r="Y329" s="15"/>
      <c r="Z329" s="34"/>
      <c r="AA329" s="34"/>
      <c r="AB329" s="34"/>
      <c r="AC329" s="117"/>
      <c r="AD329" s="16"/>
      <c r="AE329" s="24">
        <f>SUMIFS(инфо!$D$15:$D$28,инфо!$A$15:$A$28,F329)</f>
        <v>0</v>
      </c>
      <c r="AF329" s="35">
        <f t="shared" si="78"/>
        <v>0</v>
      </c>
      <c r="AG329" s="12">
        <f t="shared" si="88"/>
        <v>0</v>
      </c>
      <c r="AH329" s="24">
        <f>SUMIFS(инфо!$E$15:$E$28,инфо!$A$15:$A$28,F329)</f>
        <v>0</v>
      </c>
      <c r="AI329" s="32">
        <f t="shared" si="79"/>
        <v>0</v>
      </c>
      <c r="AJ329" s="12">
        <f t="shared" si="89"/>
        <v>0</v>
      </c>
      <c r="AK329" s="24">
        <f>SUMIFS(инфо!$F$15:$F$28,инфо!$A$15:$A$28,F329)</f>
        <v>0</v>
      </c>
      <c r="AL329" s="32">
        <f t="shared" si="80"/>
        <v>0</v>
      </c>
      <c r="AM329" s="12">
        <f t="shared" si="83"/>
        <v>0</v>
      </c>
      <c r="AN329" s="24">
        <f>SUMIFS(инфо!$G$15:$G$28,инфо!$A$15:$A$28,F329)</f>
        <v>0</v>
      </c>
      <c r="AO329" s="32">
        <f t="shared" si="81"/>
        <v>0</v>
      </c>
      <c r="AP329" s="12">
        <f t="shared" si="84"/>
        <v>0</v>
      </c>
      <c r="AQ329" s="24">
        <f>SUMIFS(инфо!$H$15:$H$28,инфо!$A$15:$A$28,F329)</f>
        <v>0</v>
      </c>
      <c r="AR329" s="35">
        <f t="shared" si="82"/>
        <v>0</v>
      </c>
      <c r="AS329" s="12">
        <f t="shared" si="85"/>
        <v>0</v>
      </c>
      <c r="AT329" s="24">
        <f>SUMIFS(инфо!$I$15:$I$28,инфо!$A$15:$A$28,F329)</f>
        <v>0</v>
      </c>
      <c r="AU329" s="35">
        <f t="shared" ref="AU329:AU392" si="90">IF(H329=0,0,AD329/H329)</f>
        <v>0</v>
      </c>
      <c r="AV329" s="12">
        <f t="shared" si="86"/>
        <v>0</v>
      </c>
      <c r="AX329" s="68">
        <f>SUMIFS(инфо!$C$15:$C$28,инфо!$A$15:$A$28,F329)*H328</f>
        <v>0</v>
      </c>
    </row>
    <row r="330" spans="1:50" x14ac:dyDescent="0.25">
      <c r="A330" s="70">
        <f t="shared" si="77"/>
        <v>46229</v>
      </c>
      <c r="B330" s="78"/>
      <c r="C330" s="17"/>
      <c r="D330" s="18"/>
      <c r="E330" s="83"/>
      <c r="F330" s="28"/>
      <c r="G330" s="19"/>
      <c r="H330" s="28"/>
      <c r="I330" s="118">
        <f>IFERROR(H330*VLOOKUP(F330,инфо!$A$15:$C$28,3,FALSE)/1000,0)</f>
        <v>0</v>
      </c>
      <c r="J330" s="20"/>
      <c r="K330" s="20"/>
      <c r="L330" s="20"/>
      <c r="M330" s="20"/>
      <c r="N330" s="23"/>
      <c r="O330" s="19"/>
      <c r="P330" s="19"/>
      <c r="Q330" s="19"/>
      <c r="R330" s="19"/>
      <c r="S330" s="69">
        <f t="shared" si="87"/>
        <v>0</v>
      </c>
      <c r="T330" s="17"/>
      <c r="U330" s="18"/>
      <c r="V330" s="19"/>
      <c r="W330" s="81"/>
      <c r="X330" s="19"/>
      <c r="Y330" s="17"/>
      <c r="Z330" s="19"/>
      <c r="AA330" s="19"/>
      <c r="AB330" s="19"/>
      <c r="AC330" s="117"/>
      <c r="AD330" s="18"/>
      <c r="AE330" s="25">
        <f>SUMIFS(инфо!$D$15:$D$28,инфо!$A$15:$A$28,F330)</f>
        <v>0</v>
      </c>
      <c r="AF330" s="35">
        <f t="shared" si="78"/>
        <v>0</v>
      </c>
      <c r="AG330" s="14">
        <f t="shared" si="88"/>
        <v>0</v>
      </c>
      <c r="AH330" s="25">
        <f>SUMIFS(инфо!$E$15:$E$28,инфо!$A$15:$A$28,F330)</f>
        <v>0</v>
      </c>
      <c r="AI330" s="32">
        <f t="shared" si="79"/>
        <v>0</v>
      </c>
      <c r="AJ330" s="14">
        <f t="shared" si="89"/>
        <v>0</v>
      </c>
      <c r="AK330" s="25">
        <f>SUMIFS(инфо!$F$15:$F$28,инфо!$A$15:$A$28,F330)</f>
        <v>0</v>
      </c>
      <c r="AL330" s="32">
        <f t="shared" si="80"/>
        <v>0</v>
      </c>
      <c r="AM330" s="14">
        <f t="shared" si="83"/>
        <v>0</v>
      </c>
      <c r="AN330" s="25">
        <f>SUMIFS(инфо!$G$15:$G$28,инфо!$A$15:$A$28,F330)</f>
        <v>0</v>
      </c>
      <c r="AO330" s="32">
        <f t="shared" si="81"/>
        <v>0</v>
      </c>
      <c r="AP330" s="14">
        <f t="shared" si="84"/>
        <v>0</v>
      </c>
      <c r="AQ330" s="25">
        <f>SUMIFS(инфо!$H$15:$H$28,инфо!$A$15:$A$28,F330)</f>
        <v>0</v>
      </c>
      <c r="AR330" s="26">
        <f t="shared" si="82"/>
        <v>0</v>
      </c>
      <c r="AS330" s="14">
        <f t="shared" si="85"/>
        <v>0</v>
      </c>
      <c r="AT330" s="25">
        <f>SUMIFS(инфо!$I$15:$I$28,инфо!$A$15:$A$28,F330)</f>
        <v>0</v>
      </c>
      <c r="AU330" s="35">
        <f t="shared" si="90"/>
        <v>0</v>
      </c>
      <c r="AV330" s="14">
        <f t="shared" si="86"/>
        <v>0</v>
      </c>
      <c r="AX330" s="69">
        <f>SUMIFS(инфо!$C$15:$C$28,инфо!$A$15:$A$28,F330)*H329</f>
        <v>0</v>
      </c>
    </row>
    <row r="331" spans="1:50" x14ac:dyDescent="0.25">
      <c r="A331" s="70">
        <f t="shared" si="77"/>
        <v>46229</v>
      </c>
      <c r="B331" s="78"/>
      <c r="C331" s="29"/>
      <c r="D331" s="30"/>
      <c r="E331" s="83"/>
      <c r="F331" s="28"/>
      <c r="G331" s="27"/>
      <c r="H331" s="20"/>
      <c r="I331" s="118">
        <f>IFERROR(H331*VLOOKUP(F331,инфо!$A$15:$C$28,3,FALSE)/1000,0)</f>
        <v>0</v>
      </c>
      <c r="J331" s="20"/>
      <c r="K331" s="20"/>
      <c r="L331" s="20"/>
      <c r="M331" s="20"/>
      <c r="N331" s="28"/>
      <c r="O331" s="27"/>
      <c r="P331" s="27"/>
      <c r="Q331" s="27"/>
      <c r="R331" s="27"/>
      <c r="S331" s="67">
        <f t="shared" si="87"/>
        <v>0</v>
      </c>
      <c r="T331" s="29"/>
      <c r="U331" s="30"/>
      <c r="V331" s="27"/>
      <c r="W331" s="81"/>
      <c r="X331" s="27"/>
      <c r="Y331" s="29"/>
      <c r="Z331" s="27"/>
      <c r="AA331" s="27"/>
      <c r="AB331" s="27"/>
      <c r="AC331" s="117"/>
      <c r="AD331" s="30"/>
      <c r="AE331" s="31">
        <f>SUMIFS(инфо!$D$15:$D$28,инфо!$A$15:$A$28,F331)</f>
        <v>0</v>
      </c>
      <c r="AF331" s="35">
        <f t="shared" si="78"/>
        <v>0</v>
      </c>
      <c r="AG331" s="33">
        <f t="shared" si="88"/>
        <v>0</v>
      </c>
      <c r="AH331" s="31">
        <f>SUMIFS(инфо!$E$15:$E$28,инфо!$A$15:$A$28,F331)</f>
        <v>0</v>
      </c>
      <c r="AI331" s="32">
        <f t="shared" si="79"/>
        <v>0</v>
      </c>
      <c r="AJ331" s="33">
        <f t="shared" si="89"/>
        <v>0</v>
      </c>
      <c r="AK331" s="31">
        <f>SUMIFS(инфо!$F$15:$F$28,инфо!$A$15:$A$28,F331)</f>
        <v>0</v>
      </c>
      <c r="AL331" s="32">
        <f t="shared" si="80"/>
        <v>0</v>
      </c>
      <c r="AM331" s="33">
        <f t="shared" si="83"/>
        <v>0</v>
      </c>
      <c r="AN331" s="31">
        <f>SUMIFS(инфо!$G$15:$G$28,инфо!$A$15:$A$28,F331)</f>
        <v>0</v>
      </c>
      <c r="AO331" s="32">
        <f t="shared" si="81"/>
        <v>0</v>
      </c>
      <c r="AP331" s="33">
        <f t="shared" si="84"/>
        <v>0</v>
      </c>
      <c r="AQ331" s="31">
        <f>SUMIFS(инфо!$H$15:$H$28,инфо!$A$15:$A$28,F331)</f>
        <v>0</v>
      </c>
      <c r="AR331" s="32">
        <f t="shared" si="82"/>
        <v>0</v>
      </c>
      <c r="AS331" s="33">
        <f t="shared" si="85"/>
        <v>0</v>
      </c>
      <c r="AT331" s="31">
        <f>SUMIFS(инфо!$I$15:$I$28,инфо!$A$15:$A$28,F331)</f>
        <v>0</v>
      </c>
      <c r="AU331" s="35">
        <f t="shared" si="90"/>
        <v>0</v>
      </c>
      <c r="AV331" s="33">
        <f t="shared" si="86"/>
        <v>0</v>
      </c>
      <c r="AX331" s="67">
        <f>SUMIFS(инфо!$C$15:$C$28,инфо!$A$15:$A$28,F331)*H330</f>
        <v>0</v>
      </c>
    </row>
    <row r="332" spans="1:50" x14ac:dyDescent="0.25">
      <c r="A332" s="70">
        <f t="shared" si="77"/>
        <v>46230</v>
      </c>
      <c r="B332" s="78"/>
      <c r="C332" s="15"/>
      <c r="D332" s="16"/>
      <c r="E332" s="83"/>
      <c r="F332" s="28"/>
      <c r="G332" s="34"/>
      <c r="H332" s="20"/>
      <c r="I332" s="118">
        <f>IFERROR(H332*VLOOKUP(F332,инфо!$A$15:$C$28,3,FALSE)/1000,0)</f>
        <v>0</v>
      </c>
      <c r="J332" s="20"/>
      <c r="K332" s="20"/>
      <c r="L332" s="20"/>
      <c r="M332" s="20"/>
      <c r="N332" s="20"/>
      <c r="O332" s="34"/>
      <c r="P332" s="34"/>
      <c r="Q332" s="34"/>
      <c r="R332" s="34"/>
      <c r="S332" s="68">
        <f t="shared" si="87"/>
        <v>0</v>
      </c>
      <c r="T332" s="15"/>
      <c r="U332" s="16"/>
      <c r="V332" s="34"/>
      <c r="W332" s="81"/>
      <c r="X332" s="34"/>
      <c r="Y332" s="15"/>
      <c r="Z332" s="34"/>
      <c r="AA332" s="34"/>
      <c r="AB332" s="34"/>
      <c r="AC332" s="117"/>
      <c r="AD332" s="16"/>
      <c r="AE332" s="24">
        <f>SUMIFS(инфо!$D$15:$D$28,инфо!$A$15:$A$28,F332)</f>
        <v>0</v>
      </c>
      <c r="AF332" s="35">
        <f t="shared" si="78"/>
        <v>0</v>
      </c>
      <c r="AG332" s="12">
        <f t="shared" si="88"/>
        <v>0</v>
      </c>
      <c r="AH332" s="24">
        <f>SUMIFS(инфо!$E$15:$E$28,инфо!$A$15:$A$28,F332)</f>
        <v>0</v>
      </c>
      <c r="AI332" s="32">
        <f t="shared" si="79"/>
        <v>0</v>
      </c>
      <c r="AJ332" s="12">
        <f t="shared" si="89"/>
        <v>0</v>
      </c>
      <c r="AK332" s="24">
        <f>SUMIFS(инфо!$F$15:$F$28,инфо!$A$15:$A$28,F332)</f>
        <v>0</v>
      </c>
      <c r="AL332" s="32">
        <f t="shared" si="80"/>
        <v>0</v>
      </c>
      <c r="AM332" s="12">
        <f t="shared" si="83"/>
        <v>0</v>
      </c>
      <c r="AN332" s="24">
        <f>SUMIFS(инфо!$G$15:$G$28,инфо!$A$15:$A$28,F332)</f>
        <v>0</v>
      </c>
      <c r="AO332" s="32">
        <f t="shared" si="81"/>
        <v>0</v>
      </c>
      <c r="AP332" s="12">
        <f t="shared" si="84"/>
        <v>0</v>
      </c>
      <c r="AQ332" s="24">
        <f>SUMIFS(инфо!$H$15:$H$28,инфо!$A$15:$A$28,F332)</f>
        <v>0</v>
      </c>
      <c r="AR332" s="35">
        <f t="shared" si="82"/>
        <v>0</v>
      </c>
      <c r="AS332" s="12">
        <f t="shared" si="85"/>
        <v>0</v>
      </c>
      <c r="AT332" s="24">
        <f>SUMIFS(инфо!$I$15:$I$28,инфо!$A$15:$A$28,F332)</f>
        <v>0</v>
      </c>
      <c r="AU332" s="35">
        <f t="shared" si="90"/>
        <v>0</v>
      </c>
      <c r="AV332" s="12">
        <f t="shared" si="86"/>
        <v>0</v>
      </c>
      <c r="AX332" s="68">
        <f>SUMIFS(инфо!$C$15:$C$28,инфо!$A$15:$A$28,F332)*H331</f>
        <v>0</v>
      </c>
    </row>
    <row r="333" spans="1:50" x14ac:dyDescent="0.25">
      <c r="A333" s="70">
        <f t="shared" si="77"/>
        <v>46230</v>
      </c>
      <c r="B333" s="78"/>
      <c r="C333" s="15"/>
      <c r="D333" s="16"/>
      <c r="E333" s="83"/>
      <c r="F333" s="28"/>
      <c r="G333" s="34"/>
      <c r="H333" s="23"/>
      <c r="I333" s="118">
        <f>IFERROR(H333*VLOOKUP(F333,инфо!$A$15:$C$28,3,FALSE)/1000,0)</f>
        <v>0</v>
      </c>
      <c r="J333" s="20"/>
      <c r="K333" s="20"/>
      <c r="L333" s="20"/>
      <c r="M333" s="20"/>
      <c r="N333" s="20"/>
      <c r="O333" s="34"/>
      <c r="P333" s="34"/>
      <c r="Q333" s="34"/>
      <c r="R333" s="34"/>
      <c r="S333" s="68">
        <f t="shared" si="87"/>
        <v>0</v>
      </c>
      <c r="T333" s="15"/>
      <c r="U333" s="16"/>
      <c r="V333" s="34"/>
      <c r="W333" s="81"/>
      <c r="X333" s="34"/>
      <c r="Y333" s="15"/>
      <c r="Z333" s="34"/>
      <c r="AA333" s="34"/>
      <c r="AB333" s="34"/>
      <c r="AC333" s="117"/>
      <c r="AD333" s="16"/>
      <c r="AE333" s="24">
        <f>SUMIFS(инфо!$D$15:$D$28,инфо!$A$15:$A$28,F333)</f>
        <v>0</v>
      </c>
      <c r="AF333" s="35">
        <f t="shared" si="78"/>
        <v>0</v>
      </c>
      <c r="AG333" s="12">
        <f t="shared" si="88"/>
        <v>0</v>
      </c>
      <c r="AH333" s="24">
        <f>SUMIFS(инфо!$E$15:$E$28,инфо!$A$15:$A$28,F333)</f>
        <v>0</v>
      </c>
      <c r="AI333" s="32">
        <f t="shared" si="79"/>
        <v>0</v>
      </c>
      <c r="AJ333" s="12">
        <f t="shared" si="89"/>
        <v>0</v>
      </c>
      <c r="AK333" s="24">
        <f>SUMIFS(инфо!$F$15:$F$28,инфо!$A$15:$A$28,F333)</f>
        <v>0</v>
      </c>
      <c r="AL333" s="32">
        <f t="shared" si="80"/>
        <v>0</v>
      </c>
      <c r="AM333" s="12">
        <f t="shared" si="83"/>
        <v>0</v>
      </c>
      <c r="AN333" s="24">
        <f>SUMIFS(инфо!$G$15:$G$28,инфо!$A$15:$A$28,F333)</f>
        <v>0</v>
      </c>
      <c r="AO333" s="32">
        <f t="shared" si="81"/>
        <v>0</v>
      </c>
      <c r="AP333" s="12">
        <f t="shared" si="84"/>
        <v>0</v>
      </c>
      <c r="AQ333" s="24">
        <f>SUMIFS(инфо!$H$15:$H$28,инфо!$A$15:$A$28,F333)</f>
        <v>0</v>
      </c>
      <c r="AR333" s="35">
        <f t="shared" si="82"/>
        <v>0</v>
      </c>
      <c r="AS333" s="12">
        <f t="shared" si="85"/>
        <v>0</v>
      </c>
      <c r="AT333" s="24">
        <f>SUMIFS(инфо!$I$15:$I$28,инфо!$A$15:$A$28,F333)</f>
        <v>0</v>
      </c>
      <c r="AU333" s="35">
        <f t="shared" si="90"/>
        <v>0</v>
      </c>
      <c r="AV333" s="12">
        <f t="shared" si="86"/>
        <v>0</v>
      </c>
      <c r="AX333" s="68">
        <f>SUMIFS(инфо!$C$15:$C$28,инфо!$A$15:$A$28,F333)*H332</f>
        <v>0</v>
      </c>
    </row>
    <row r="334" spans="1:50" x14ac:dyDescent="0.25">
      <c r="A334" s="70">
        <f t="shared" si="77"/>
        <v>46231</v>
      </c>
      <c r="B334" s="78"/>
      <c r="C334" s="17"/>
      <c r="D334" s="18"/>
      <c r="E334" s="83"/>
      <c r="F334" s="28"/>
      <c r="G334" s="19"/>
      <c r="H334" s="28"/>
      <c r="I334" s="118">
        <f>IFERROR(H334*VLOOKUP(F334,инфо!$A$15:$C$28,3,FALSE)/1000,0)</f>
        <v>0</v>
      </c>
      <c r="J334" s="20"/>
      <c r="K334" s="20"/>
      <c r="L334" s="20"/>
      <c r="M334" s="20"/>
      <c r="N334" s="23"/>
      <c r="O334" s="19"/>
      <c r="P334" s="19"/>
      <c r="Q334" s="19"/>
      <c r="R334" s="19"/>
      <c r="S334" s="69">
        <f t="shared" si="87"/>
        <v>0</v>
      </c>
      <c r="T334" s="17"/>
      <c r="U334" s="18"/>
      <c r="V334" s="19"/>
      <c r="W334" s="81"/>
      <c r="X334" s="19"/>
      <c r="Y334" s="17"/>
      <c r="Z334" s="19"/>
      <c r="AA334" s="19"/>
      <c r="AB334" s="19"/>
      <c r="AC334" s="117"/>
      <c r="AD334" s="18"/>
      <c r="AE334" s="25">
        <f>SUMIFS(инфо!$D$15:$D$28,инфо!$A$15:$A$28,F334)</f>
        <v>0</v>
      </c>
      <c r="AF334" s="35">
        <f t="shared" si="78"/>
        <v>0</v>
      </c>
      <c r="AG334" s="14">
        <f t="shared" si="88"/>
        <v>0</v>
      </c>
      <c r="AH334" s="25">
        <f>SUMIFS(инфо!$E$15:$E$28,инфо!$A$15:$A$28,F334)</f>
        <v>0</v>
      </c>
      <c r="AI334" s="32">
        <f t="shared" si="79"/>
        <v>0</v>
      </c>
      <c r="AJ334" s="14">
        <f t="shared" si="89"/>
        <v>0</v>
      </c>
      <c r="AK334" s="25">
        <f>SUMIFS(инфо!$F$15:$F$28,инфо!$A$15:$A$28,F334)</f>
        <v>0</v>
      </c>
      <c r="AL334" s="32">
        <f t="shared" si="80"/>
        <v>0</v>
      </c>
      <c r="AM334" s="14">
        <f t="shared" si="83"/>
        <v>0</v>
      </c>
      <c r="AN334" s="25">
        <f>SUMIFS(инфо!$G$15:$G$28,инфо!$A$15:$A$28,F334)</f>
        <v>0</v>
      </c>
      <c r="AO334" s="32">
        <f t="shared" si="81"/>
        <v>0</v>
      </c>
      <c r="AP334" s="14">
        <f t="shared" si="84"/>
        <v>0</v>
      </c>
      <c r="AQ334" s="25">
        <f>SUMIFS(инфо!$H$15:$H$28,инфо!$A$15:$A$28,F334)</f>
        <v>0</v>
      </c>
      <c r="AR334" s="26">
        <f t="shared" si="82"/>
        <v>0</v>
      </c>
      <c r="AS334" s="14">
        <f t="shared" si="85"/>
        <v>0</v>
      </c>
      <c r="AT334" s="25">
        <f>SUMIFS(инфо!$I$15:$I$28,инфо!$A$15:$A$28,F334)</f>
        <v>0</v>
      </c>
      <c r="AU334" s="35">
        <f t="shared" si="90"/>
        <v>0</v>
      </c>
      <c r="AV334" s="14">
        <f t="shared" si="86"/>
        <v>0</v>
      </c>
      <c r="AX334" s="69">
        <f>SUMIFS(инфо!$C$15:$C$28,инфо!$A$15:$A$28,F334)*H333</f>
        <v>0</v>
      </c>
    </row>
    <row r="335" spans="1:50" x14ac:dyDescent="0.25">
      <c r="A335" s="70">
        <f t="shared" si="77"/>
        <v>46231</v>
      </c>
      <c r="B335" s="78"/>
      <c r="C335" s="29"/>
      <c r="D335" s="30"/>
      <c r="E335" s="83"/>
      <c r="F335" s="28"/>
      <c r="G335" s="27"/>
      <c r="H335" s="20"/>
      <c r="I335" s="118">
        <f>IFERROR(H335*VLOOKUP(F335,инфо!$A$15:$C$28,3,FALSE)/1000,0)</f>
        <v>0</v>
      </c>
      <c r="J335" s="20"/>
      <c r="K335" s="20"/>
      <c r="L335" s="20"/>
      <c r="M335" s="20"/>
      <c r="N335" s="28"/>
      <c r="O335" s="27"/>
      <c r="P335" s="27"/>
      <c r="Q335" s="27"/>
      <c r="R335" s="27"/>
      <c r="S335" s="67">
        <f t="shared" si="87"/>
        <v>0</v>
      </c>
      <c r="T335" s="29"/>
      <c r="U335" s="30"/>
      <c r="V335" s="27"/>
      <c r="W335" s="81"/>
      <c r="X335" s="27"/>
      <c r="Y335" s="29"/>
      <c r="Z335" s="27"/>
      <c r="AA335" s="27"/>
      <c r="AB335" s="27"/>
      <c r="AC335" s="117"/>
      <c r="AD335" s="30"/>
      <c r="AE335" s="31">
        <f>SUMIFS(инфо!$D$15:$D$28,инфо!$A$15:$A$28,F335)</f>
        <v>0</v>
      </c>
      <c r="AF335" s="35">
        <f t="shared" si="78"/>
        <v>0</v>
      </c>
      <c r="AG335" s="33">
        <f t="shared" si="88"/>
        <v>0</v>
      </c>
      <c r="AH335" s="31">
        <f>SUMIFS(инфо!$E$15:$E$28,инфо!$A$15:$A$28,F335)</f>
        <v>0</v>
      </c>
      <c r="AI335" s="32">
        <f t="shared" si="79"/>
        <v>0</v>
      </c>
      <c r="AJ335" s="33">
        <f t="shared" si="89"/>
        <v>0</v>
      </c>
      <c r="AK335" s="31">
        <f>SUMIFS(инфо!$F$15:$F$28,инфо!$A$15:$A$28,F335)</f>
        <v>0</v>
      </c>
      <c r="AL335" s="32">
        <f t="shared" si="80"/>
        <v>0</v>
      </c>
      <c r="AM335" s="33">
        <f t="shared" si="83"/>
        <v>0</v>
      </c>
      <c r="AN335" s="31">
        <f>SUMIFS(инфо!$G$15:$G$28,инфо!$A$15:$A$28,F335)</f>
        <v>0</v>
      </c>
      <c r="AO335" s="32">
        <f t="shared" si="81"/>
        <v>0</v>
      </c>
      <c r="AP335" s="33">
        <f t="shared" si="84"/>
        <v>0</v>
      </c>
      <c r="AQ335" s="31">
        <f>SUMIFS(инфо!$H$15:$H$28,инфо!$A$15:$A$28,F335)</f>
        <v>0</v>
      </c>
      <c r="AR335" s="32">
        <f t="shared" si="82"/>
        <v>0</v>
      </c>
      <c r="AS335" s="33">
        <f t="shared" si="85"/>
        <v>0</v>
      </c>
      <c r="AT335" s="31">
        <f>SUMIFS(инфо!$I$15:$I$28,инфо!$A$15:$A$28,F335)</f>
        <v>0</v>
      </c>
      <c r="AU335" s="35">
        <f t="shared" si="90"/>
        <v>0</v>
      </c>
      <c r="AV335" s="33">
        <f t="shared" si="86"/>
        <v>0</v>
      </c>
      <c r="AX335" s="67">
        <f>SUMIFS(инфо!$C$15:$C$28,инфо!$A$15:$A$28,F335)*H334</f>
        <v>0</v>
      </c>
    </row>
    <row r="336" spans="1:50" x14ac:dyDescent="0.25">
      <c r="A336" s="70">
        <f t="shared" si="77"/>
        <v>46232</v>
      </c>
      <c r="B336" s="78"/>
      <c r="C336" s="15"/>
      <c r="D336" s="16"/>
      <c r="E336" s="83"/>
      <c r="F336" s="28"/>
      <c r="G336" s="34"/>
      <c r="H336" s="20"/>
      <c r="I336" s="118">
        <f>IFERROR(H336*VLOOKUP(F336,инфо!$A$15:$C$28,3,FALSE)/1000,0)</f>
        <v>0</v>
      </c>
      <c r="J336" s="20"/>
      <c r="K336" s="20"/>
      <c r="L336" s="20"/>
      <c r="M336" s="20"/>
      <c r="N336" s="20"/>
      <c r="O336" s="34"/>
      <c r="P336" s="34"/>
      <c r="Q336" s="34"/>
      <c r="R336" s="34"/>
      <c r="S336" s="68">
        <f t="shared" si="87"/>
        <v>0</v>
      </c>
      <c r="T336" s="15"/>
      <c r="U336" s="16"/>
      <c r="V336" s="34"/>
      <c r="W336" s="81"/>
      <c r="X336" s="34"/>
      <c r="Y336" s="15"/>
      <c r="Z336" s="34"/>
      <c r="AA336" s="34"/>
      <c r="AB336" s="34"/>
      <c r="AC336" s="117"/>
      <c r="AD336" s="16"/>
      <c r="AE336" s="24">
        <f>SUMIFS(инфо!$D$15:$D$28,инфо!$A$15:$A$28,F336)</f>
        <v>0</v>
      </c>
      <c r="AF336" s="35">
        <f t="shared" si="78"/>
        <v>0</v>
      </c>
      <c r="AG336" s="12">
        <f t="shared" si="88"/>
        <v>0</v>
      </c>
      <c r="AH336" s="24">
        <f>SUMIFS(инфо!$E$15:$E$28,инфо!$A$15:$A$28,F336)</f>
        <v>0</v>
      </c>
      <c r="AI336" s="32">
        <f t="shared" si="79"/>
        <v>0</v>
      </c>
      <c r="AJ336" s="12">
        <f t="shared" si="89"/>
        <v>0</v>
      </c>
      <c r="AK336" s="24">
        <f>SUMIFS(инфо!$F$15:$F$28,инфо!$A$15:$A$28,F336)</f>
        <v>0</v>
      </c>
      <c r="AL336" s="32">
        <f t="shared" si="80"/>
        <v>0</v>
      </c>
      <c r="AM336" s="12">
        <f t="shared" si="83"/>
        <v>0</v>
      </c>
      <c r="AN336" s="24">
        <f>SUMIFS(инфо!$G$15:$G$28,инфо!$A$15:$A$28,F336)</f>
        <v>0</v>
      </c>
      <c r="AO336" s="32">
        <f t="shared" si="81"/>
        <v>0</v>
      </c>
      <c r="AP336" s="12">
        <f t="shared" si="84"/>
        <v>0</v>
      </c>
      <c r="AQ336" s="24">
        <f>SUMIFS(инфо!$H$15:$H$28,инфо!$A$15:$A$28,F336)</f>
        <v>0</v>
      </c>
      <c r="AR336" s="35">
        <f t="shared" si="82"/>
        <v>0</v>
      </c>
      <c r="AS336" s="12">
        <f t="shared" si="85"/>
        <v>0</v>
      </c>
      <c r="AT336" s="24">
        <f>SUMIFS(инфо!$I$15:$I$28,инфо!$A$15:$A$28,F336)</f>
        <v>0</v>
      </c>
      <c r="AU336" s="35">
        <f t="shared" si="90"/>
        <v>0</v>
      </c>
      <c r="AV336" s="12">
        <f t="shared" si="86"/>
        <v>0</v>
      </c>
      <c r="AX336" s="68">
        <f>SUMIFS(инфо!$C$15:$C$28,инфо!$A$15:$A$28,F336)*H335</f>
        <v>0</v>
      </c>
    </row>
    <row r="337" spans="1:50" x14ac:dyDescent="0.25">
      <c r="A337" s="70">
        <f t="shared" si="77"/>
        <v>46232</v>
      </c>
      <c r="B337" s="78"/>
      <c r="C337" s="15"/>
      <c r="D337" s="16"/>
      <c r="E337" s="83"/>
      <c r="F337" s="28"/>
      <c r="G337" s="34"/>
      <c r="H337" s="23"/>
      <c r="I337" s="118">
        <f>IFERROR(H337*VLOOKUP(F337,инфо!$A$15:$C$28,3,FALSE)/1000,0)</f>
        <v>0</v>
      </c>
      <c r="J337" s="20"/>
      <c r="K337" s="20"/>
      <c r="L337" s="20"/>
      <c r="M337" s="20"/>
      <c r="N337" s="20"/>
      <c r="O337" s="34"/>
      <c r="P337" s="34"/>
      <c r="Q337" s="34"/>
      <c r="R337" s="34"/>
      <c r="S337" s="68">
        <f t="shared" si="87"/>
        <v>0</v>
      </c>
      <c r="T337" s="15"/>
      <c r="U337" s="16"/>
      <c r="V337" s="34"/>
      <c r="W337" s="81"/>
      <c r="X337" s="34"/>
      <c r="Y337" s="15"/>
      <c r="Z337" s="34"/>
      <c r="AA337" s="34"/>
      <c r="AB337" s="34"/>
      <c r="AC337" s="117"/>
      <c r="AD337" s="16"/>
      <c r="AE337" s="24">
        <f>SUMIFS(инфо!$D$15:$D$28,инфо!$A$15:$A$28,F337)</f>
        <v>0</v>
      </c>
      <c r="AF337" s="35">
        <f t="shared" si="78"/>
        <v>0</v>
      </c>
      <c r="AG337" s="12">
        <f t="shared" si="88"/>
        <v>0</v>
      </c>
      <c r="AH337" s="24">
        <f>SUMIFS(инфо!$E$15:$E$28,инфо!$A$15:$A$28,F337)</f>
        <v>0</v>
      </c>
      <c r="AI337" s="32">
        <f t="shared" si="79"/>
        <v>0</v>
      </c>
      <c r="AJ337" s="12">
        <f t="shared" si="89"/>
        <v>0</v>
      </c>
      <c r="AK337" s="24">
        <f>SUMIFS(инфо!$F$15:$F$28,инфо!$A$15:$A$28,F337)</f>
        <v>0</v>
      </c>
      <c r="AL337" s="32">
        <f t="shared" si="80"/>
        <v>0</v>
      </c>
      <c r="AM337" s="12">
        <f t="shared" si="83"/>
        <v>0</v>
      </c>
      <c r="AN337" s="24">
        <f>SUMIFS(инфо!$G$15:$G$28,инфо!$A$15:$A$28,F337)</f>
        <v>0</v>
      </c>
      <c r="AO337" s="32">
        <f t="shared" si="81"/>
        <v>0</v>
      </c>
      <c r="AP337" s="12">
        <f t="shared" si="84"/>
        <v>0</v>
      </c>
      <c r="AQ337" s="24">
        <f>SUMIFS(инфо!$H$15:$H$28,инфо!$A$15:$A$28,F337)</f>
        <v>0</v>
      </c>
      <c r="AR337" s="35">
        <f t="shared" si="82"/>
        <v>0</v>
      </c>
      <c r="AS337" s="12">
        <f t="shared" si="85"/>
        <v>0</v>
      </c>
      <c r="AT337" s="24">
        <f>SUMIFS(инфо!$I$15:$I$28,инфо!$A$15:$A$28,F337)</f>
        <v>0</v>
      </c>
      <c r="AU337" s="35">
        <f t="shared" si="90"/>
        <v>0</v>
      </c>
      <c r="AV337" s="12">
        <f t="shared" si="86"/>
        <v>0</v>
      </c>
      <c r="AX337" s="68">
        <f>SUMIFS(инфо!$C$15:$C$28,инфо!$A$15:$A$28,F337)*H336</f>
        <v>0</v>
      </c>
    </row>
    <row r="338" spans="1:50" x14ac:dyDescent="0.25">
      <c r="A338" s="70">
        <f t="shared" si="77"/>
        <v>46233</v>
      </c>
      <c r="B338" s="78"/>
      <c r="C338" s="17"/>
      <c r="D338" s="18"/>
      <c r="E338" s="83"/>
      <c r="F338" s="28"/>
      <c r="G338" s="19"/>
      <c r="H338" s="28"/>
      <c r="I338" s="118">
        <f>IFERROR(H338*VLOOKUP(F338,инфо!$A$15:$C$28,3,FALSE)/1000,0)</f>
        <v>0</v>
      </c>
      <c r="J338" s="20"/>
      <c r="K338" s="20"/>
      <c r="L338" s="20"/>
      <c r="M338" s="20"/>
      <c r="N338" s="23"/>
      <c r="O338" s="19"/>
      <c r="P338" s="19"/>
      <c r="Q338" s="19"/>
      <c r="R338" s="19"/>
      <c r="S338" s="69">
        <f t="shared" si="87"/>
        <v>0</v>
      </c>
      <c r="T338" s="17"/>
      <c r="U338" s="18"/>
      <c r="V338" s="19"/>
      <c r="W338" s="81"/>
      <c r="X338" s="19"/>
      <c r="Y338" s="17"/>
      <c r="Z338" s="19"/>
      <c r="AA338" s="19"/>
      <c r="AB338" s="19"/>
      <c r="AC338" s="117"/>
      <c r="AD338" s="18"/>
      <c r="AE338" s="25">
        <f>SUMIFS(инфо!$D$15:$D$28,инфо!$A$15:$A$28,F338)</f>
        <v>0</v>
      </c>
      <c r="AF338" s="35">
        <f t="shared" si="78"/>
        <v>0</v>
      </c>
      <c r="AG338" s="14">
        <f t="shared" si="88"/>
        <v>0</v>
      </c>
      <c r="AH338" s="25">
        <f>SUMIFS(инфо!$E$15:$E$28,инфо!$A$15:$A$28,F338)</f>
        <v>0</v>
      </c>
      <c r="AI338" s="32">
        <f t="shared" si="79"/>
        <v>0</v>
      </c>
      <c r="AJ338" s="14">
        <f t="shared" si="89"/>
        <v>0</v>
      </c>
      <c r="AK338" s="25">
        <f>SUMIFS(инфо!$F$15:$F$28,инфо!$A$15:$A$28,F338)</f>
        <v>0</v>
      </c>
      <c r="AL338" s="32">
        <f t="shared" si="80"/>
        <v>0</v>
      </c>
      <c r="AM338" s="14">
        <f t="shared" si="83"/>
        <v>0</v>
      </c>
      <c r="AN338" s="25">
        <f>SUMIFS(инфо!$G$15:$G$28,инфо!$A$15:$A$28,F338)</f>
        <v>0</v>
      </c>
      <c r="AO338" s="32">
        <f t="shared" si="81"/>
        <v>0</v>
      </c>
      <c r="AP338" s="14">
        <f t="shared" si="84"/>
        <v>0</v>
      </c>
      <c r="AQ338" s="25">
        <f>SUMIFS(инфо!$H$15:$H$28,инфо!$A$15:$A$28,F338)</f>
        <v>0</v>
      </c>
      <c r="AR338" s="26">
        <f t="shared" si="82"/>
        <v>0</v>
      </c>
      <c r="AS338" s="14">
        <f t="shared" si="85"/>
        <v>0</v>
      </c>
      <c r="AT338" s="25">
        <f>SUMIFS(инфо!$I$15:$I$28,инфо!$A$15:$A$28,F338)</f>
        <v>0</v>
      </c>
      <c r="AU338" s="35">
        <f t="shared" si="90"/>
        <v>0</v>
      </c>
      <c r="AV338" s="14">
        <f t="shared" si="86"/>
        <v>0</v>
      </c>
      <c r="AX338" s="69">
        <f>SUMIFS(инфо!$C$15:$C$28,инфо!$A$15:$A$28,F338)*H337</f>
        <v>0</v>
      </c>
    </row>
    <row r="339" spans="1:50" x14ac:dyDescent="0.25">
      <c r="A339" s="70">
        <f t="shared" si="77"/>
        <v>46233</v>
      </c>
      <c r="B339" s="78"/>
      <c r="C339" s="29"/>
      <c r="D339" s="30"/>
      <c r="E339" s="83"/>
      <c r="F339" s="28"/>
      <c r="G339" s="27"/>
      <c r="H339" s="20"/>
      <c r="I339" s="118">
        <f>IFERROR(H339*VLOOKUP(F339,инфо!$A$15:$C$28,3,FALSE)/1000,0)</f>
        <v>0</v>
      </c>
      <c r="J339" s="20"/>
      <c r="K339" s="20"/>
      <c r="L339" s="20"/>
      <c r="M339" s="20"/>
      <c r="N339" s="28"/>
      <c r="O339" s="27"/>
      <c r="P339" s="27"/>
      <c r="Q339" s="27"/>
      <c r="R339" s="27"/>
      <c r="S339" s="67">
        <f t="shared" si="87"/>
        <v>0</v>
      </c>
      <c r="T339" s="29"/>
      <c r="U339" s="30"/>
      <c r="V339" s="27"/>
      <c r="W339" s="81"/>
      <c r="X339" s="27"/>
      <c r="Y339" s="29"/>
      <c r="Z339" s="27"/>
      <c r="AA339" s="27"/>
      <c r="AB339" s="27"/>
      <c r="AC339" s="117"/>
      <c r="AD339" s="30"/>
      <c r="AE339" s="31">
        <f>SUMIFS(инфо!$D$15:$D$28,инфо!$A$15:$A$28,F339)</f>
        <v>0</v>
      </c>
      <c r="AF339" s="35">
        <f t="shared" si="78"/>
        <v>0</v>
      </c>
      <c r="AG339" s="33">
        <f t="shared" si="88"/>
        <v>0</v>
      </c>
      <c r="AH339" s="31">
        <f>SUMIFS(инфо!$E$15:$E$28,инфо!$A$15:$A$28,F339)</f>
        <v>0</v>
      </c>
      <c r="AI339" s="32">
        <f t="shared" si="79"/>
        <v>0</v>
      </c>
      <c r="AJ339" s="33">
        <f t="shared" si="89"/>
        <v>0</v>
      </c>
      <c r="AK339" s="31">
        <f>SUMIFS(инфо!$F$15:$F$28,инфо!$A$15:$A$28,F339)</f>
        <v>0</v>
      </c>
      <c r="AL339" s="32">
        <f t="shared" si="80"/>
        <v>0</v>
      </c>
      <c r="AM339" s="33">
        <f t="shared" si="83"/>
        <v>0</v>
      </c>
      <c r="AN339" s="31">
        <f>SUMIFS(инфо!$G$15:$G$28,инфо!$A$15:$A$28,F339)</f>
        <v>0</v>
      </c>
      <c r="AO339" s="32">
        <f t="shared" si="81"/>
        <v>0</v>
      </c>
      <c r="AP339" s="33">
        <f t="shared" si="84"/>
        <v>0</v>
      </c>
      <c r="AQ339" s="31">
        <f>SUMIFS(инфо!$H$15:$H$28,инфо!$A$15:$A$28,F339)</f>
        <v>0</v>
      </c>
      <c r="AR339" s="32">
        <f t="shared" si="82"/>
        <v>0</v>
      </c>
      <c r="AS339" s="33">
        <f t="shared" si="85"/>
        <v>0</v>
      </c>
      <c r="AT339" s="31">
        <f>SUMIFS(инфо!$I$15:$I$28,инфо!$A$15:$A$28,F339)</f>
        <v>0</v>
      </c>
      <c r="AU339" s="35">
        <f t="shared" si="90"/>
        <v>0</v>
      </c>
      <c r="AV339" s="33">
        <f t="shared" si="86"/>
        <v>0</v>
      </c>
      <c r="AX339" s="67">
        <f>SUMIFS(инфо!$C$15:$C$28,инфо!$A$15:$A$28,F339)*H338</f>
        <v>0</v>
      </c>
    </row>
    <row r="340" spans="1:50" x14ac:dyDescent="0.25">
      <c r="A340" s="70">
        <f t="shared" si="77"/>
        <v>46234</v>
      </c>
      <c r="B340" s="78"/>
      <c r="C340" s="15"/>
      <c r="D340" s="16"/>
      <c r="E340" s="83"/>
      <c r="F340" s="28"/>
      <c r="G340" s="34"/>
      <c r="H340" s="20"/>
      <c r="I340" s="118">
        <f>IFERROR(H340*VLOOKUP(F340,инфо!$A$15:$C$28,3,FALSE)/1000,0)</f>
        <v>0</v>
      </c>
      <c r="J340" s="20"/>
      <c r="K340" s="20"/>
      <c r="L340" s="20"/>
      <c r="M340" s="20"/>
      <c r="N340" s="20"/>
      <c r="O340" s="34"/>
      <c r="P340" s="34"/>
      <c r="Q340" s="34"/>
      <c r="R340" s="34"/>
      <c r="S340" s="68">
        <f t="shared" si="87"/>
        <v>0</v>
      </c>
      <c r="T340" s="15"/>
      <c r="U340" s="16"/>
      <c r="V340" s="34"/>
      <c r="W340" s="81"/>
      <c r="X340" s="34"/>
      <c r="Y340" s="15"/>
      <c r="Z340" s="34"/>
      <c r="AA340" s="34"/>
      <c r="AB340" s="34"/>
      <c r="AC340" s="117"/>
      <c r="AD340" s="16"/>
      <c r="AE340" s="24">
        <f>SUMIFS(инфо!$D$15:$D$28,инфо!$A$15:$A$28,F340)</f>
        <v>0</v>
      </c>
      <c r="AF340" s="35">
        <f t="shared" si="78"/>
        <v>0</v>
      </c>
      <c r="AG340" s="12">
        <f t="shared" si="88"/>
        <v>0</v>
      </c>
      <c r="AH340" s="24">
        <f>SUMIFS(инфо!$E$15:$E$28,инфо!$A$15:$A$28,F340)</f>
        <v>0</v>
      </c>
      <c r="AI340" s="32">
        <f t="shared" si="79"/>
        <v>0</v>
      </c>
      <c r="AJ340" s="12">
        <f t="shared" si="89"/>
        <v>0</v>
      </c>
      <c r="AK340" s="24">
        <f>SUMIFS(инфо!$F$15:$F$28,инфо!$A$15:$A$28,F340)</f>
        <v>0</v>
      </c>
      <c r="AL340" s="32">
        <f t="shared" si="80"/>
        <v>0</v>
      </c>
      <c r="AM340" s="12">
        <f t="shared" si="83"/>
        <v>0</v>
      </c>
      <c r="AN340" s="24">
        <f>SUMIFS(инфо!$G$15:$G$28,инфо!$A$15:$A$28,F340)</f>
        <v>0</v>
      </c>
      <c r="AO340" s="32">
        <f t="shared" si="81"/>
        <v>0</v>
      </c>
      <c r="AP340" s="12">
        <f t="shared" si="84"/>
        <v>0</v>
      </c>
      <c r="AQ340" s="24">
        <f>SUMIFS(инфо!$H$15:$H$28,инфо!$A$15:$A$28,F340)</f>
        <v>0</v>
      </c>
      <c r="AR340" s="35">
        <f t="shared" si="82"/>
        <v>0</v>
      </c>
      <c r="AS340" s="12">
        <f t="shared" si="85"/>
        <v>0</v>
      </c>
      <c r="AT340" s="24">
        <f>SUMIFS(инфо!$I$15:$I$28,инфо!$A$15:$A$28,F340)</f>
        <v>0</v>
      </c>
      <c r="AU340" s="35">
        <f t="shared" si="90"/>
        <v>0</v>
      </c>
      <c r="AV340" s="12">
        <f t="shared" si="86"/>
        <v>0</v>
      </c>
      <c r="AX340" s="68">
        <f>SUMIFS(инфо!$C$15:$C$28,инфо!$A$15:$A$28,F340)*H339</f>
        <v>0</v>
      </c>
    </row>
    <row r="341" spans="1:50" x14ac:dyDescent="0.25">
      <c r="A341" s="70">
        <f t="shared" si="77"/>
        <v>46234</v>
      </c>
      <c r="B341" s="78"/>
      <c r="C341" s="15"/>
      <c r="D341" s="16"/>
      <c r="E341" s="83"/>
      <c r="F341" s="28"/>
      <c r="G341" s="34"/>
      <c r="H341" s="23"/>
      <c r="I341" s="118">
        <f>IFERROR(H341*VLOOKUP(F341,инфо!$A$15:$C$28,3,FALSE)/1000,0)</f>
        <v>0</v>
      </c>
      <c r="J341" s="20"/>
      <c r="K341" s="20"/>
      <c r="L341" s="20"/>
      <c r="M341" s="20"/>
      <c r="N341" s="20"/>
      <c r="O341" s="34"/>
      <c r="P341" s="34"/>
      <c r="Q341" s="34"/>
      <c r="R341" s="34"/>
      <c r="S341" s="68">
        <f t="shared" si="87"/>
        <v>0</v>
      </c>
      <c r="T341" s="15"/>
      <c r="U341" s="16"/>
      <c r="V341" s="34"/>
      <c r="W341" s="81"/>
      <c r="X341" s="34"/>
      <c r="Y341" s="15"/>
      <c r="Z341" s="34"/>
      <c r="AA341" s="34"/>
      <c r="AB341" s="34"/>
      <c r="AC341" s="117"/>
      <c r="AD341" s="16"/>
      <c r="AE341" s="24">
        <f>SUMIFS(инфо!$D$15:$D$28,инфо!$A$15:$A$28,F341)</f>
        <v>0</v>
      </c>
      <c r="AF341" s="35">
        <f t="shared" si="78"/>
        <v>0</v>
      </c>
      <c r="AG341" s="12">
        <f t="shared" si="88"/>
        <v>0</v>
      </c>
      <c r="AH341" s="24">
        <f>SUMIFS(инфо!$E$15:$E$28,инфо!$A$15:$A$28,F341)</f>
        <v>0</v>
      </c>
      <c r="AI341" s="32">
        <f t="shared" si="79"/>
        <v>0</v>
      </c>
      <c r="AJ341" s="12">
        <f t="shared" si="89"/>
        <v>0</v>
      </c>
      <c r="AK341" s="24">
        <f>SUMIFS(инфо!$F$15:$F$28,инфо!$A$15:$A$28,F341)</f>
        <v>0</v>
      </c>
      <c r="AL341" s="32">
        <f t="shared" si="80"/>
        <v>0</v>
      </c>
      <c r="AM341" s="12">
        <f t="shared" si="83"/>
        <v>0</v>
      </c>
      <c r="AN341" s="24">
        <f>SUMIFS(инфо!$G$15:$G$28,инфо!$A$15:$A$28,F341)</f>
        <v>0</v>
      </c>
      <c r="AO341" s="32">
        <f t="shared" si="81"/>
        <v>0</v>
      </c>
      <c r="AP341" s="12">
        <f t="shared" si="84"/>
        <v>0</v>
      </c>
      <c r="AQ341" s="24">
        <f>SUMIFS(инфо!$H$15:$H$28,инфо!$A$15:$A$28,F341)</f>
        <v>0</v>
      </c>
      <c r="AR341" s="35">
        <f t="shared" si="82"/>
        <v>0</v>
      </c>
      <c r="AS341" s="12">
        <f t="shared" si="85"/>
        <v>0</v>
      </c>
      <c r="AT341" s="24">
        <f>SUMIFS(инфо!$I$15:$I$28,инфо!$A$15:$A$28,F341)</f>
        <v>0</v>
      </c>
      <c r="AU341" s="35">
        <f t="shared" si="90"/>
        <v>0</v>
      </c>
      <c r="AV341" s="12">
        <f t="shared" si="86"/>
        <v>0</v>
      </c>
      <c r="AX341" s="68">
        <f>SUMIFS(инфо!$C$15:$C$28,инфо!$A$15:$A$28,F341)*H340</f>
        <v>0</v>
      </c>
    </row>
    <row r="342" spans="1:50" x14ac:dyDescent="0.25">
      <c r="A342" s="70">
        <f t="shared" si="77"/>
        <v>46235</v>
      </c>
      <c r="B342" s="78"/>
      <c r="C342" s="17"/>
      <c r="D342" s="18"/>
      <c r="E342" s="83"/>
      <c r="F342" s="28"/>
      <c r="G342" s="19"/>
      <c r="H342" s="28"/>
      <c r="I342" s="118">
        <f>IFERROR(H342*VLOOKUP(F342,инфо!$A$15:$C$28,3,FALSE)/1000,0)</f>
        <v>0</v>
      </c>
      <c r="J342" s="20"/>
      <c r="K342" s="20"/>
      <c r="L342" s="20"/>
      <c r="M342" s="20"/>
      <c r="N342" s="23"/>
      <c r="O342" s="19"/>
      <c r="P342" s="19"/>
      <c r="Q342" s="19"/>
      <c r="R342" s="19"/>
      <c r="S342" s="69">
        <f t="shared" si="87"/>
        <v>0</v>
      </c>
      <c r="T342" s="17"/>
      <c r="U342" s="18"/>
      <c r="V342" s="19"/>
      <c r="W342" s="81"/>
      <c r="X342" s="19"/>
      <c r="Y342" s="17"/>
      <c r="Z342" s="19"/>
      <c r="AA342" s="19"/>
      <c r="AB342" s="19"/>
      <c r="AC342" s="117"/>
      <c r="AD342" s="18"/>
      <c r="AE342" s="25">
        <f>SUMIFS(инфо!$D$15:$D$28,инфо!$A$15:$A$28,F342)</f>
        <v>0</v>
      </c>
      <c r="AF342" s="35">
        <f t="shared" si="78"/>
        <v>0</v>
      </c>
      <c r="AG342" s="14">
        <f t="shared" si="88"/>
        <v>0</v>
      </c>
      <c r="AH342" s="25">
        <f>SUMIFS(инфо!$E$15:$E$28,инфо!$A$15:$A$28,F342)</f>
        <v>0</v>
      </c>
      <c r="AI342" s="32">
        <f t="shared" si="79"/>
        <v>0</v>
      </c>
      <c r="AJ342" s="14">
        <f t="shared" si="89"/>
        <v>0</v>
      </c>
      <c r="AK342" s="25">
        <f>SUMIFS(инфо!$F$15:$F$28,инфо!$A$15:$A$28,F342)</f>
        <v>0</v>
      </c>
      <c r="AL342" s="32">
        <f t="shared" si="80"/>
        <v>0</v>
      </c>
      <c r="AM342" s="14">
        <f t="shared" si="83"/>
        <v>0</v>
      </c>
      <c r="AN342" s="25">
        <f>SUMIFS(инфо!$G$15:$G$28,инфо!$A$15:$A$28,F342)</f>
        <v>0</v>
      </c>
      <c r="AO342" s="32">
        <f t="shared" si="81"/>
        <v>0</v>
      </c>
      <c r="AP342" s="14">
        <f t="shared" si="84"/>
        <v>0</v>
      </c>
      <c r="AQ342" s="25">
        <f>SUMIFS(инфо!$H$15:$H$28,инфо!$A$15:$A$28,F342)</f>
        <v>0</v>
      </c>
      <c r="AR342" s="26">
        <f t="shared" si="82"/>
        <v>0</v>
      </c>
      <c r="AS342" s="14">
        <f t="shared" si="85"/>
        <v>0</v>
      </c>
      <c r="AT342" s="25">
        <f>SUMIFS(инфо!$I$15:$I$28,инфо!$A$15:$A$28,F342)</f>
        <v>0</v>
      </c>
      <c r="AU342" s="35">
        <f t="shared" si="90"/>
        <v>0</v>
      </c>
      <c r="AV342" s="14">
        <f t="shared" si="86"/>
        <v>0</v>
      </c>
      <c r="AX342" s="69">
        <f>SUMIFS(инфо!$C$15:$C$28,инфо!$A$15:$A$28,F342)*H341</f>
        <v>0</v>
      </c>
    </row>
    <row r="343" spans="1:50" x14ac:dyDescent="0.25">
      <c r="A343" s="70">
        <f t="shared" si="77"/>
        <v>46235</v>
      </c>
      <c r="B343" s="78"/>
      <c r="C343" s="29"/>
      <c r="D343" s="30"/>
      <c r="E343" s="83"/>
      <c r="F343" s="28"/>
      <c r="G343" s="27"/>
      <c r="H343" s="20"/>
      <c r="I343" s="118">
        <f>IFERROR(H343*VLOOKUP(F343,инфо!$A$15:$C$28,3,FALSE)/1000,0)</f>
        <v>0</v>
      </c>
      <c r="J343" s="20"/>
      <c r="K343" s="20"/>
      <c r="L343" s="20"/>
      <c r="M343" s="20"/>
      <c r="N343" s="28"/>
      <c r="O343" s="27"/>
      <c r="P343" s="27"/>
      <c r="Q343" s="27"/>
      <c r="R343" s="27"/>
      <c r="S343" s="67">
        <f t="shared" si="87"/>
        <v>0</v>
      </c>
      <c r="T343" s="29"/>
      <c r="U343" s="30"/>
      <c r="V343" s="27"/>
      <c r="W343" s="81"/>
      <c r="X343" s="27"/>
      <c r="Y343" s="29"/>
      <c r="Z343" s="27"/>
      <c r="AA343" s="27"/>
      <c r="AB343" s="27"/>
      <c r="AC343" s="117"/>
      <c r="AD343" s="30"/>
      <c r="AE343" s="31">
        <f>SUMIFS(инфо!$D$15:$D$28,инфо!$A$15:$A$28,F343)</f>
        <v>0</v>
      </c>
      <c r="AF343" s="35">
        <f t="shared" si="78"/>
        <v>0</v>
      </c>
      <c r="AG343" s="33">
        <f t="shared" si="88"/>
        <v>0</v>
      </c>
      <c r="AH343" s="31">
        <f>SUMIFS(инфо!$E$15:$E$28,инфо!$A$15:$A$28,F343)</f>
        <v>0</v>
      </c>
      <c r="AI343" s="32">
        <f t="shared" si="79"/>
        <v>0</v>
      </c>
      <c r="AJ343" s="33">
        <f t="shared" si="89"/>
        <v>0</v>
      </c>
      <c r="AK343" s="31">
        <f>SUMIFS(инфо!$F$15:$F$28,инфо!$A$15:$A$28,F343)</f>
        <v>0</v>
      </c>
      <c r="AL343" s="32">
        <f t="shared" si="80"/>
        <v>0</v>
      </c>
      <c r="AM343" s="33">
        <f t="shared" si="83"/>
        <v>0</v>
      </c>
      <c r="AN343" s="31">
        <f>SUMIFS(инфо!$G$15:$G$28,инфо!$A$15:$A$28,F343)</f>
        <v>0</v>
      </c>
      <c r="AO343" s="32">
        <f t="shared" si="81"/>
        <v>0</v>
      </c>
      <c r="AP343" s="33">
        <f t="shared" si="84"/>
        <v>0</v>
      </c>
      <c r="AQ343" s="31">
        <f>SUMIFS(инфо!$H$15:$H$28,инфо!$A$15:$A$28,F343)</f>
        <v>0</v>
      </c>
      <c r="AR343" s="32">
        <f t="shared" si="82"/>
        <v>0</v>
      </c>
      <c r="AS343" s="33">
        <f t="shared" si="85"/>
        <v>0</v>
      </c>
      <c r="AT343" s="31">
        <f>SUMIFS(инфо!$I$15:$I$28,инфо!$A$15:$A$28,F343)</f>
        <v>0</v>
      </c>
      <c r="AU343" s="35">
        <f t="shared" si="90"/>
        <v>0</v>
      </c>
      <c r="AV343" s="33">
        <f t="shared" si="86"/>
        <v>0</v>
      </c>
      <c r="AX343" s="67">
        <f>SUMIFS(инфо!$C$15:$C$28,инфо!$A$15:$A$28,F343)*H342</f>
        <v>0</v>
      </c>
    </row>
    <row r="344" spans="1:50" x14ac:dyDescent="0.25">
      <c r="A344" s="70">
        <f t="shared" si="77"/>
        <v>46236</v>
      </c>
      <c r="B344" s="78"/>
      <c r="C344" s="15"/>
      <c r="D344" s="16"/>
      <c r="E344" s="83"/>
      <c r="F344" s="28"/>
      <c r="G344" s="34"/>
      <c r="H344" s="20"/>
      <c r="I344" s="118">
        <f>IFERROR(H344*VLOOKUP(F344,инфо!$A$15:$C$28,3,FALSE)/1000,0)</f>
        <v>0</v>
      </c>
      <c r="J344" s="20"/>
      <c r="K344" s="20"/>
      <c r="L344" s="20"/>
      <c r="M344" s="20"/>
      <c r="N344" s="20"/>
      <c r="O344" s="34"/>
      <c r="P344" s="34"/>
      <c r="Q344" s="34"/>
      <c r="R344" s="34"/>
      <c r="S344" s="68">
        <f t="shared" si="87"/>
        <v>0</v>
      </c>
      <c r="T344" s="15"/>
      <c r="U344" s="16"/>
      <c r="V344" s="34"/>
      <c r="W344" s="81"/>
      <c r="X344" s="34"/>
      <c r="Y344" s="15"/>
      <c r="Z344" s="34"/>
      <c r="AA344" s="34"/>
      <c r="AB344" s="34"/>
      <c r="AC344" s="117"/>
      <c r="AD344" s="16"/>
      <c r="AE344" s="24">
        <f>SUMIFS(инфо!$D$15:$D$28,инфо!$A$15:$A$28,F344)</f>
        <v>0</v>
      </c>
      <c r="AF344" s="35">
        <f t="shared" si="78"/>
        <v>0</v>
      </c>
      <c r="AG344" s="12">
        <f t="shared" si="88"/>
        <v>0</v>
      </c>
      <c r="AH344" s="24">
        <f>SUMIFS(инфо!$E$15:$E$28,инфо!$A$15:$A$28,F344)</f>
        <v>0</v>
      </c>
      <c r="AI344" s="32">
        <f t="shared" si="79"/>
        <v>0</v>
      </c>
      <c r="AJ344" s="12">
        <f t="shared" si="89"/>
        <v>0</v>
      </c>
      <c r="AK344" s="24">
        <f>SUMIFS(инфо!$F$15:$F$28,инфо!$A$15:$A$28,F344)</f>
        <v>0</v>
      </c>
      <c r="AL344" s="32">
        <f t="shared" si="80"/>
        <v>0</v>
      </c>
      <c r="AM344" s="12">
        <f t="shared" si="83"/>
        <v>0</v>
      </c>
      <c r="AN344" s="24">
        <f>SUMIFS(инфо!$G$15:$G$28,инфо!$A$15:$A$28,F344)</f>
        <v>0</v>
      </c>
      <c r="AO344" s="32">
        <f t="shared" si="81"/>
        <v>0</v>
      </c>
      <c r="AP344" s="12">
        <f t="shared" si="84"/>
        <v>0</v>
      </c>
      <c r="AQ344" s="24">
        <f>SUMIFS(инфо!$H$15:$H$28,инфо!$A$15:$A$28,F344)</f>
        <v>0</v>
      </c>
      <c r="AR344" s="35">
        <f t="shared" si="82"/>
        <v>0</v>
      </c>
      <c r="AS344" s="12">
        <f t="shared" si="85"/>
        <v>0</v>
      </c>
      <c r="AT344" s="24">
        <f>SUMIFS(инфо!$I$15:$I$28,инфо!$A$15:$A$28,F344)</f>
        <v>0</v>
      </c>
      <c r="AU344" s="35">
        <f t="shared" si="90"/>
        <v>0</v>
      </c>
      <c r="AV344" s="12">
        <f t="shared" si="86"/>
        <v>0</v>
      </c>
      <c r="AX344" s="68">
        <f>SUMIFS(инфо!$C$15:$C$28,инфо!$A$15:$A$28,F344)*H343</f>
        <v>0</v>
      </c>
    </row>
    <row r="345" spans="1:50" x14ac:dyDescent="0.25">
      <c r="A345" s="70">
        <f t="shared" si="77"/>
        <v>46236</v>
      </c>
      <c r="B345" s="78"/>
      <c r="C345" s="15"/>
      <c r="D345" s="16"/>
      <c r="E345" s="83"/>
      <c r="F345" s="28"/>
      <c r="G345" s="34"/>
      <c r="H345" s="23"/>
      <c r="I345" s="118">
        <f>IFERROR(H345*VLOOKUP(F345,инфо!$A$15:$C$28,3,FALSE)/1000,0)</f>
        <v>0</v>
      </c>
      <c r="J345" s="20"/>
      <c r="K345" s="20"/>
      <c r="L345" s="20"/>
      <c r="M345" s="20"/>
      <c r="N345" s="20"/>
      <c r="O345" s="34"/>
      <c r="P345" s="34"/>
      <c r="Q345" s="34"/>
      <c r="R345" s="34"/>
      <c r="S345" s="68">
        <f t="shared" si="87"/>
        <v>0</v>
      </c>
      <c r="T345" s="15"/>
      <c r="U345" s="16"/>
      <c r="V345" s="34"/>
      <c r="W345" s="81"/>
      <c r="X345" s="34"/>
      <c r="Y345" s="15"/>
      <c r="Z345" s="34"/>
      <c r="AA345" s="34"/>
      <c r="AB345" s="34"/>
      <c r="AC345" s="117"/>
      <c r="AD345" s="16"/>
      <c r="AE345" s="24">
        <f>SUMIFS(инфо!$D$15:$D$28,инфо!$A$15:$A$28,F345)</f>
        <v>0</v>
      </c>
      <c r="AF345" s="35">
        <f t="shared" si="78"/>
        <v>0</v>
      </c>
      <c r="AG345" s="12">
        <f t="shared" si="88"/>
        <v>0</v>
      </c>
      <c r="AH345" s="24">
        <f>SUMIFS(инфо!$E$15:$E$28,инфо!$A$15:$A$28,F345)</f>
        <v>0</v>
      </c>
      <c r="AI345" s="32">
        <f t="shared" si="79"/>
        <v>0</v>
      </c>
      <c r="AJ345" s="12">
        <f t="shared" si="89"/>
        <v>0</v>
      </c>
      <c r="AK345" s="24">
        <f>SUMIFS(инфо!$F$15:$F$28,инфо!$A$15:$A$28,F345)</f>
        <v>0</v>
      </c>
      <c r="AL345" s="32">
        <f t="shared" si="80"/>
        <v>0</v>
      </c>
      <c r="AM345" s="12">
        <f t="shared" si="83"/>
        <v>0</v>
      </c>
      <c r="AN345" s="24">
        <f>SUMIFS(инфо!$G$15:$G$28,инфо!$A$15:$A$28,F345)</f>
        <v>0</v>
      </c>
      <c r="AO345" s="32">
        <f t="shared" si="81"/>
        <v>0</v>
      </c>
      <c r="AP345" s="12">
        <f t="shared" si="84"/>
        <v>0</v>
      </c>
      <c r="AQ345" s="24">
        <f>SUMIFS(инфо!$H$15:$H$28,инфо!$A$15:$A$28,F345)</f>
        <v>0</v>
      </c>
      <c r="AR345" s="35">
        <f t="shared" si="82"/>
        <v>0</v>
      </c>
      <c r="AS345" s="12">
        <f t="shared" si="85"/>
        <v>0</v>
      </c>
      <c r="AT345" s="24">
        <f>SUMIFS(инфо!$I$15:$I$28,инфо!$A$15:$A$28,F345)</f>
        <v>0</v>
      </c>
      <c r="AU345" s="35">
        <f t="shared" si="90"/>
        <v>0</v>
      </c>
      <c r="AV345" s="12">
        <f t="shared" si="86"/>
        <v>0</v>
      </c>
      <c r="AX345" s="68">
        <f>SUMIFS(инфо!$C$15:$C$28,инфо!$A$15:$A$28,F345)*H344</f>
        <v>0</v>
      </c>
    </row>
    <row r="346" spans="1:50" x14ac:dyDescent="0.25">
      <c r="A346" s="70">
        <f t="shared" si="77"/>
        <v>46237</v>
      </c>
      <c r="B346" s="78"/>
      <c r="C346" s="17"/>
      <c r="D346" s="18"/>
      <c r="E346" s="83"/>
      <c r="F346" s="28"/>
      <c r="G346" s="19"/>
      <c r="H346" s="28"/>
      <c r="I346" s="118">
        <f>IFERROR(H346*VLOOKUP(F346,инфо!$A$15:$C$28,3,FALSE)/1000,0)</f>
        <v>0</v>
      </c>
      <c r="J346" s="20"/>
      <c r="K346" s="20"/>
      <c r="L346" s="20"/>
      <c r="M346" s="20"/>
      <c r="N346" s="23"/>
      <c r="O346" s="19"/>
      <c r="P346" s="19"/>
      <c r="Q346" s="19"/>
      <c r="R346" s="19"/>
      <c r="S346" s="69">
        <f t="shared" si="87"/>
        <v>0</v>
      </c>
      <c r="T346" s="17"/>
      <c r="U346" s="18"/>
      <c r="V346" s="19"/>
      <c r="W346" s="81"/>
      <c r="X346" s="19"/>
      <c r="Y346" s="17"/>
      <c r="Z346" s="19"/>
      <c r="AA346" s="19"/>
      <c r="AB346" s="19"/>
      <c r="AC346" s="117"/>
      <c r="AD346" s="18"/>
      <c r="AE346" s="25">
        <f>SUMIFS(инфо!$D$15:$D$28,инфо!$A$15:$A$28,F346)</f>
        <v>0</v>
      </c>
      <c r="AF346" s="35">
        <f t="shared" si="78"/>
        <v>0</v>
      </c>
      <c r="AG346" s="14">
        <f t="shared" si="88"/>
        <v>0</v>
      </c>
      <c r="AH346" s="25">
        <f>SUMIFS(инфо!$E$15:$E$28,инфо!$A$15:$A$28,F346)</f>
        <v>0</v>
      </c>
      <c r="AI346" s="32">
        <f t="shared" si="79"/>
        <v>0</v>
      </c>
      <c r="AJ346" s="14">
        <f t="shared" si="89"/>
        <v>0</v>
      </c>
      <c r="AK346" s="25">
        <f>SUMIFS(инфо!$F$15:$F$28,инфо!$A$15:$A$28,F346)</f>
        <v>0</v>
      </c>
      <c r="AL346" s="32">
        <f t="shared" si="80"/>
        <v>0</v>
      </c>
      <c r="AM346" s="14">
        <f t="shared" si="83"/>
        <v>0</v>
      </c>
      <c r="AN346" s="25">
        <f>SUMIFS(инфо!$G$15:$G$28,инфо!$A$15:$A$28,F346)</f>
        <v>0</v>
      </c>
      <c r="AO346" s="32">
        <f t="shared" si="81"/>
        <v>0</v>
      </c>
      <c r="AP346" s="14">
        <f t="shared" si="84"/>
        <v>0</v>
      </c>
      <c r="AQ346" s="25">
        <f>SUMIFS(инфо!$H$15:$H$28,инфо!$A$15:$A$28,F346)</f>
        <v>0</v>
      </c>
      <c r="AR346" s="26">
        <f t="shared" si="82"/>
        <v>0</v>
      </c>
      <c r="AS346" s="14">
        <f t="shared" si="85"/>
        <v>0</v>
      </c>
      <c r="AT346" s="25">
        <f>SUMIFS(инфо!$I$15:$I$28,инфо!$A$15:$A$28,F346)</f>
        <v>0</v>
      </c>
      <c r="AU346" s="35">
        <f t="shared" si="90"/>
        <v>0</v>
      </c>
      <c r="AV346" s="14">
        <f t="shared" si="86"/>
        <v>0</v>
      </c>
      <c r="AX346" s="69">
        <f>SUMIFS(инфо!$C$15:$C$28,инфо!$A$15:$A$28,F346)*H345</f>
        <v>0</v>
      </c>
    </row>
    <row r="347" spans="1:50" x14ac:dyDescent="0.25">
      <c r="A347" s="70">
        <f t="shared" si="77"/>
        <v>46237</v>
      </c>
      <c r="B347" s="78"/>
      <c r="C347" s="29"/>
      <c r="D347" s="30"/>
      <c r="E347" s="83"/>
      <c r="F347" s="28"/>
      <c r="G347" s="27"/>
      <c r="H347" s="20"/>
      <c r="I347" s="118">
        <f>IFERROR(H347*VLOOKUP(F347,инфо!$A$15:$C$28,3,FALSE)/1000,0)</f>
        <v>0</v>
      </c>
      <c r="J347" s="20"/>
      <c r="K347" s="20"/>
      <c r="L347" s="20"/>
      <c r="M347" s="20"/>
      <c r="N347" s="28"/>
      <c r="O347" s="27"/>
      <c r="P347" s="27"/>
      <c r="Q347" s="27"/>
      <c r="R347" s="27"/>
      <c r="S347" s="67">
        <f t="shared" si="87"/>
        <v>0</v>
      </c>
      <c r="T347" s="29"/>
      <c r="U347" s="30"/>
      <c r="V347" s="27"/>
      <c r="W347" s="81"/>
      <c r="X347" s="27"/>
      <c r="Y347" s="29"/>
      <c r="Z347" s="27"/>
      <c r="AA347" s="27"/>
      <c r="AB347" s="27"/>
      <c r="AC347" s="117"/>
      <c r="AD347" s="30"/>
      <c r="AE347" s="31">
        <f>SUMIFS(инфо!$D$15:$D$28,инфо!$A$15:$A$28,F347)</f>
        <v>0</v>
      </c>
      <c r="AF347" s="35">
        <f t="shared" si="78"/>
        <v>0</v>
      </c>
      <c r="AG347" s="33">
        <f t="shared" si="88"/>
        <v>0</v>
      </c>
      <c r="AH347" s="31">
        <f>SUMIFS(инфо!$E$15:$E$28,инфо!$A$15:$A$28,F347)</f>
        <v>0</v>
      </c>
      <c r="AI347" s="32">
        <f t="shared" si="79"/>
        <v>0</v>
      </c>
      <c r="AJ347" s="33">
        <f t="shared" si="89"/>
        <v>0</v>
      </c>
      <c r="AK347" s="31">
        <f>SUMIFS(инфо!$F$15:$F$28,инфо!$A$15:$A$28,F347)</f>
        <v>0</v>
      </c>
      <c r="AL347" s="32">
        <f t="shared" si="80"/>
        <v>0</v>
      </c>
      <c r="AM347" s="33">
        <f t="shared" si="83"/>
        <v>0</v>
      </c>
      <c r="AN347" s="31">
        <f>SUMIFS(инфо!$G$15:$G$28,инфо!$A$15:$A$28,F347)</f>
        <v>0</v>
      </c>
      <c r="AO347" s="32">
        <f t="shared" si="81"/>
        <v>0</v>
      </c>
      <c r="AP347" s="33">
        <f t="shared" si="84"/>
        <v>0</v>
      </c>
      <c r="AQ347" s="31">
        <f>SUMIFS(инфо!$H$15:$H$28,инфо!$A$15:$A$28,F347)</f>
        <v>0</v>
      </c>
      <c r="AR347" s="32">
        <f t="shared" si="82"/>
        <v>0</v>
      </c>
      <c r="AS347" s="33">
        <f t="shared" si="85"/>
        <v>0</v>
      </c>
      <c r="AT347" s="31">
        <f>SUMIFS(инфо!$I$15:$I$28,инфо!$A$15:$A$28,F347)</f>
        <v>0</v>
      </c>
      <c r="AU347" s="35">
        <f t="shared" si="90"/>
        <v>0</v>
      </c>
      <c r="AV347" s="33">
        <f t="shared" si="86"/>
        <v>0</v>
      </c>
      <c r="AX347" s="67">
        <f>SUMIFS(инфо!$C$15:$C$28,инфо!$A$15:$A$28,F347)*H346</f>
        <v>0</v>
      </c>
    </row>
    <row r="348" spans="1:50" x14ac:dyDescent="0.25">
      <c r="A348" s="70">
        <f t="shared" ref="A348:A411" si="91">A346+1</f>
        <v>46238</v>
      </c>
      <c r="B348" s="78"/>
      <c r="C348" s="15"/>
      <c r="D348" s="16"/>
      <c r="E348" s="83"/>
      <c r="F348" s="28"/>
      <c r="G348" s="34"/>
      <c r="H348" s="20"/>
      <c r="I348" s="118">
        <f>IFERROR(H348*VLOOKUP(F348,инфо!$A$15:$C$28,3,FALSE)/1000,0)</f>
        <v>0</v>
      </c>
      <c r="J348" s="20"/>
      <c r="K348" s="20"/>
      <c r="L348" s="20"/>
      <c r="M348" s="20"/>
      <c r="N348" s="20"/>
      <c r="O348" s="34"/>
      <c r="P348" s="34"/>
      <c r="Q348" s="34"/>
      <c r="R348" s="34"/>
      <c r="S348" s="68">
        <f t="shared" si="87"/>
        <v>0</v>
      </c>
      <c r="T348" s="15"/>
      <c r="U348" s="16"/>
      <c r="V348" s="34"/>
      <c r="W348" s="81"/>
      <c r="X348" s="34"/>
      <c r="Y348" s="15"/>
      <c r="Z348" s="34"/>
      <c r="AA348" s="34"/>
      <c r="AB348" s="34"/>
      <c r="AC348" s="117"/>
      <c r="AD348" s="16"/>
      <c r="AE348" s="24">
        <f>SUMIFS(инфо!$D$15:$D$28,инфо!$A$15:$A$28,F348)</f>
        <v>0</v>
      </c>
      <c r="AF348" s="35">
        <f t="shared" si="78"/>
        <v>0</v>
      </c>
      <c r="AG348" s="12">
        <f t="shared" si="88"/>
        <v>0</v>
      </c>
      <c r="AH348" s="24">
        <f>SUMIFS(инфо!$E$15:$E$28,инфо!$A$15:$A$28,F348)</f>
        <v>0</v>
      </c>
      <c r="AI348" s="32">
        <f t="shared" si="79"/>
        <v>0</v>
      </c>
      <c r="AJ348" s="12">
        <f t="shared" si="89"/>
        <v>0</v>
      </c>
      <c r="AK348" s="24">
        <f>SUMIFS(инфо!$F$15:$F$28,инфо!$A$15:$A$28,F348)</f>
        <v>0</v>
      </c>
      <c r="AL348" s="32">
        <f t="shared" si="80"/>
        <v>0</v>
      </c>
      <c r="AM348" s="12">
        <f t="shared" si="83"/>
        <v>0</v>
      </c>
      <c r="AN348" s="24">
        <f>SUMIFS(инфо!$G$15:$G$28,инфо!$A$15:$A$28,F348)</f>
        <v>0</v>
      </c>
      <c r="AO348" s="32">
        <f t="shared" si="81"/>
        <v>0</v>
      </c>
      <c r="AP348" s="12">
        <f t="shared" si="84"/>
        <v>0</v>
      </c>
      <c r="AQ348" s="24">
        <f>SUMIFS(инфо!$H$15:$H$28,инфо!$A$15:$A$28,F348)</f>
        <v>0</v>
      </c>
      <c r="AR348" s="35">
        <f t="shared" si="82"/>
        <v>0</v>
      </c>
      <c r="AS348" s="12">
        <f t="shared" si="85"/>
        <v>0</v>
      </c>
      <c r="AT348" s="24">
        <f>SUMIFS(инфо!$I$15:$I$28,инфо!$A$15:$A$28,F348)</f>
        <v>0</v>
      </c>
      <c r="AU348" s="35">
        <f t="shared" si="90"/>
        <v>0</v>
      </c>
      <c r="AV348" s="12">
        <f t="shared" si="86"/>
        <v>0</v>
      </c>
      <c r="AX348" s="68">
        <f>SUMIFS(инфо!$C$15:$C$28,инфо!$A$15:$A$28,F348)*H347</f>
        <v>0</v>
      </c>
    </row>
    <row r="349" spans="1:50" x14ac:dyDescent="0.25">
      <c r="A349" s="70">
        <f t="shared" si="91"/>
        <v>46238</v>
      </c>
      <c r="B349" s="78"/>
      <c r="C349" s="15"/>
      <c r="D349" s="16"/>
      <c r="E349" s="83"/>
      <c r="F349" s="28"/>
      <c r="G349" s="34"/>
      <c r="H349" s="23"/>
      <c r="I349" s="118">
        <f>IFERROR(H349*VLOOKUP(F349,инфо!$A$15:$C$28,3,FALSE)/1000,0)</f>
        <v>0</v>
      </c>
      <c r="J349" s="20"/>
      <c r="K349" s="20"/>
      <c r="L349" s="20"/>
      <c r="M349" s="20"/>
      <c r="N349" s="20"/>
      <c r="O349" s="34"/>
      <c r="P349" s="34"/>
      <c r="Q349" s="34"/>
      <c r="R349" s="34"/>
      <c r="S349" s="68">
        <f t="shared" si="87"/>
        <v>0</v>
      </c>
      <c r="T349" s="15"/>
      <c r="U349" s="16"/>
      <c r="V349" s="34"/>
      <c r="W349" s="81"/>
      <c r="X349" s="34"/>
      <c r="Y349" s="15"/>
      <c r="Z349" s="34"/>
      <c r="AA349" s="34"/>
      <c r="AB349" s="34"/>
      <c r="AC349" s="117"/>
      <c r="AD349" s="16"/>
      <c r="AE349" s="24">
        <f>SUMIFS(инфо!$D$15:$D$28,инфо!$A$15:$A$28,F349)</f>
        <v>0</v>
      </c>
      <c r="AF349" s="35">
        <f t="shared" si="78"/>
        <v>0</v>
      </c>
      <c r="AG349" s="12">
        <f t="shared" si="88"/>
        <v>0</v>
      </c>
      <c r="AH349" s="24">
        <f>SUMIFS(инфо!$E$15:$E$28,инфо!$A$15:$A$28,F349)</f>
        <v>0</v>
      </c>
      <c r="AI349" s="32">
        <f t="shared" si="79"/>
        <v>0</v>
      </c>
      <c r="AJ349" s="12">
        <f t="shared" si="89"/>
        <v>0</v>
      </c>
      <c r="AK349" s="24">
        <f>SUMIFS(инфо!$F$15:$F$28,инфо!$A$15:$A$28,F349)</f>
        <v>0</v>
      </c>
      <c r="AL349" s="32">
        <f t="shared" si="80"/>
        <v>0</v>
      </c>
      <c r="AM349" s="12">
        <f t="shared" si="83"/>
        <v>0</v>
      </c>
      <c r="AN349" s="24">
        <f>SUMIFS(инфо!$G$15:$G$28,инфо!$A$15:$A$28,F349)</f>
        <v>0</v>
      </c>
      <c r="AO349" s="32">
        <f t="shared" si="81"/>
        <v>0</v>
      </c>
      <c r="AP349" s="12">
        <f t="shared" si="84"/>
        <v>0</v>
      </c>
      <c r="AQ349" s="24">
        <f>SUMIFS(инфо!$H$15:$H$28,инфо!$A$15:$A$28,F349)</f>
        <v>0</v>
      </c>
      <c r="AR349" s="35">
        <f t="shared" si="82"/>
        <v>0</v>
      </c>
      <c r="AS349" s="12">
        <f t="shared" si="85"/>
        <v>0</v>
      </c>
      <c r="AT349" s="24">
        <f>SUMIFS(инфо!$I$15:$I$28,инфо!$A$15:$A$28,F349)</f>
        <v>0</v>
      </c>
      <c r="AU349" s="35">
        <f t="shared" si="90"/>
        <v>0</v>
      </c>
      <c r="AV349" s="12">
        <f t="shared" si="86"/>
        <v>0</v>
      </c>
      <c r="AX349" s="68">
        <f>SUMIFS(инфо!$C$15:$C$28,инфо!$A$15:$A$28,F349)*H348</f>
        <v>0</v>
      </c>
    </row>
    <row r="350" spans="1:50" x14ac:dyDescent="0.25">
      <c r="A350" s="70">
        <f t="shared" si="91"/>
        <v>46239</v>
      </c>
      <c r="B350" s="78"/>
      <c r="C350" s="17"/>
      <c r="D350" s="18"/>
      <c r="E350" s="83"/>
      <c r="F350" s="28"/>
      <c r="G350" s="19"/>
      <c r="H350" s="28"/>
      <c r="I350" s="118">
        <f>IFERROR(H350*VLOOKUP(F350,инфо!$A$15:$C$28,3,FALSE)/1000,0)</f>
        <v>0</v>
      </c>
      <c r="J350" s="20"/>
      <c r="K350" s="20"/>
      <c r="L350" s="20"/>
      <c r="M350" s="20"/>
      <c r="N350" s="23"/>
      <c r="O350" s="19"/>
      <c r="P350" s="19"/>
      <c r="Q350" s="19"/>
      <c r="R350" s="19"/>
      <c r="S350" s="69">
        <f t="shared" si="87"/>
        <v>0</v>
      </c>
      <c r="T350" s="17"/>
      <c r="U350" s="18"/>
      <c r="V350" s="19"/>
      <c r="W350" s="81"/>
      <c r="X350" s="19"/>
      <c r="Y350" s="17"/>
      <c r="Z350" s="19"/>
      <c r="AA350" s="19"/>
      <c r="AB350" s="19"/>
      <c r="AC350" s="117"/>
      <c r="AD350" s="18"/>
      <c r="AE350" s="25">
        <f>SUMIFS(инфо!$D$15:$D$28,инфо!$A$15:$A$28,F350)</f>
        <v>0</v>
      </c>
      <c r="AF350" s="35">
        <f t="shared" si="78"/>
        <v>0</v>
      </c>
      <c r="AG350" s="14">
        <f t="shared" si="88"/>
        <v>0</v>
      </c>
      <c r="AH350" s="25">
        <f>SUMIFS(инфо!$E$15:$E$28,инфо!$A$15:$A$28,F350)</f>
        <v>0</v>
      </c>
      <c r="AI350" s="32">
        <f t="shared" si="79"/>
        <v>0</v>
      </c>
      <c r="AJ350" s="14">
        <f t="shared" si="89"/>
        <v>0</v>
      </c>
      <c r="AK350" s="25">
        <f>SUMIFS(инфо!$F$15:$F$28,инфо!$A$15:$A$28,F350)</f>
        <v>0</v>
      </c>
      <c r="AL350" s="32">
        <f t="shared" si="80"/>
        <v>0</v>
      </c>
      <c r="AM350" s="14">
        <f t="shared" si="83"/>
        <v>0</v>
      </c>
      <c r="AN350" s="25">
        <f>SUMIFS(инфо!$G$15:$G$28,инфо!$A$15:$A$28,F350)</f>
        <v>0</v>
      </c>
      <c r="AO350" s="32">
        <f t="shared" si="81"/>
        <v>0</v>
      </c>
      <c r="AP350" s="14">
        <f t="shared" si="84"/>
        <v>0</v>
      </c>
      <c r="AQ350" s="25">
        <f>SUMIFS(инфо!$H$15:$H$28,инфо!$A$15:$A$28,F350)</f>
        <v>0</v>
      </c>
      <c r="AR350" s="26">
        <f t="shared" si="82"/>
        <v>0</v>
      </c>
      <c r="AS350" s="14">
        <f t="shared" si="85"/>
        <v>0</v>
      </c>
      <c r="AT350" s="25">
        <f>SUMIFS(инфо!$I$15:$I$28,инфо!$A$15:$A$28,F350)</f>
        <v>0</v>
      </c>
      <c r="AU350" s="35">
        <f t="shared" si="90"/>
        <v>0</v>
      </c>
      <c r="AV350" s="14">
        <f t="shared" si="86"/>
        <v>0</v>
      </c>
      <c r="AX350" s="69">
        <f>SUMIFS(инфо!$C$15:$C$28,инфо!$A$15:$A$28,F350)*H349</f>
        <v>0</v>
      </c>
    </row>
    <row r="351" spans="1:50" x14ac:dyDescent="0.25">
      <c r="A351" s="70">
        <f t="shared" si="91"/>
        <v>46239</v>
      </c>
      <c r="B351" s="78"/>
      <c r="C351" s="29"/>
      <c r="D351" s="30"/>
      <c r="E351" s="83"/>
      <c r="F351" s="28"/>
      <c r="G351" s="27"/>
      <c r="H351" s="20"/>
      <c r="I351" s="118">
        <f>IFERROR(H351*VLOOKUP(F351,инфо!$A$15:$C$28,3,FALSE)/1000,0)</f>
        <v>0</v>
      </c>
      <c r="J351" s="20"/>
      <c r="K351" s="20"/>
      <c r="L351" s="20"/>
      <c r="M351" s="20"/>
      <c r="N351" s="28"/>
      <c r="O351" s="27"/>
      <c r="P351" s="27"/>
      <c r="Q351" s="27"/>
      <c r="R351" s="27"/>
      <c r="S351" s="67">
        <f t="shared" si="87"/>
        <v>0</v>
      </c>
      <c r="T351" s="29"/>
      <c r="U351" s="30"/>
      <c r="V351" s="27"/>
      <c r="W351" s="81"/>
      <c r="X351" s="27"/>
      <c r="Y351" s="29"/>
      <c r="Z351" s="27"/>
      <c r="AA351" s="27"/>
      <c r="AB351" s="27"/>
      <c r="AC351" s="117"/>
      <c r="AD351" s="30"/>
      <c r="AE351" s="31">
        <f>SUMIFS(инфо!$D$15:$D$28,инфо!$A$15:$A$28,F351)</f>
        <v>0</v>
      </c>
      <c r="AF351" s="35">
        <f t="shared" si="78"/>
        <v>0</v>
      </c>
      <c r="AG351" s="33">
        <f t="shared" si="88"/>
        <v>0</v>
      </c>
      <c r="AH351" s="31">
        <f>SUMIFS(инфо!$E$15:$E$28,инфо!$A$15:$A$28,F351)</f>
        <v>0</v>
      </c>
      <c r="AI351" s="32">
        <f t="shared" si="79"/>
        <v>0</v>
      </c>
      <c r="AJ351" s="33">
        <f t="shared" si="89"/>
        <v>0</v>
      </c>
      <c r="AK351" s="31">
        <f>SUMIFS(инфо!$F$15:$F$28,инфо!$A$15:$A$28,F351)</f>
        <v>0</v>
      </c>
      <c r="AL351" s="32">
        <f t="shared" si="80"/>
        <v>0</v>
      </c>
      <c r="AM351" s="33">
        <f t="shared" si="83"/>
        <v>0</v>
      </c>
      <c r="AN351" s="31">
        <f>SUMIFS(инфо!$G$15:$G$28,инфо!$A$15:$A$28,F351)</f>
        <v>0</v>
      </c>
      <c r="AO351" s="32">
        <f t="shared" si="81"/>
        <v>0</v>
      </c>
      <c r="AP351" s="33">
        <f t="shared" si="84"/>
        <v>0</v>
      </c>
      <c r="AQ351" s="31">
        <f>SUMIFS(инфо!$H$15:$H$28,инфо!$A$15:$A$28,F351)</f>
        <v>0</v>
      </c>
      <c r="AR351" s="32">
        <f t="shared" si="82"/>
        <v>0</v>
      </c>
      <c r="AS351" s="33">
        <f t="shared" si="85"/>
        <v>0</v>
      </c>
      <c r="AT351" s="31">
        <f>SUMIFS(инфо!$I$15:$I$28,инфо!$A$15:$A$28,F351)</f>
        <v>0</v>
      </c>
      <c r="AU351" s="35">
        <f t="shared" si="90"/>
        <v>0</v>
      </c>
      <c r="AV351" s="33">
        <f t="shared" si="86"/>
        <v>0</v>
      </c>
      <c r="AX351" s="67">
        <f>SUMIFS(инфо!$C$15:$C$28,инфо!$A$15:$A$28,F351)*H350</f>
        <v>0</v>
      </c>
    </row>
    <row r="352" spans="1:50" x14ac:dyDescent="0.25">
      <c r="A352" s="70">
        <f t="shared" si="91"/>
        <v>46240</v>
      </c>
      <c r="B352" s="78"/>
      <c r="C352" s="15"/>
      <c r="D352" s="16"/>
      <c r="E352" s="83"/>
      <c r="F352" s="28"/>
      <c r="G352" s="34"/>
      <c r="H352" s="20"/>
      <c r="I352" s="118">
        <f>IFERROR(H352*VLOOKUP(F352,инфо!$A$15:$C$28,3,FALSE)/1000,0)</f>
        <v>0</v>
      </c>
      <c r="J352" s="20"/>
      <c r="K352" s="20"/>
      <c r="L352" s="20"/>
      <c r="M352" s="20"/>
      <c r="N352" s="20"/>
      <c r="O352" s="34"/>
      <c r="P352" s="34"/>
      <c r="Q352" s="34"/>
      <c r="R352" s="34"/>
      <c r="S352" s="68">
        <f t="shared" si="87"/>
        <v>0</v>
      </c>
      <c r="T352" s="15"/>
      <c r="U352" s="16"/>
      <c r="V352" s="34"/>
      <c r="W352" s="81"/>
      <c r="X352" s="34"/>
      <c r="Y352" s="15"/>
      <c r="Z352" s="34"/>
      <c r="AA352" s="34"/>
      <c r="AB352" s="34"/>
      <c r="AC352" s="117"/>
      <c r="AD352" s="16"/>
      <c r="AE352" s="24">
        <f>SUMIFS(инфо!$D$15:$D$28,инфо!$A$15:$A$28,F352)</f>
        <v>0</v>
      </c>
      <c r="AF352" s="35">
        <f t="shared" si="78"/>
        <v>0</v>
      </c>
      <c r="AG352" s="12">
        <f t="shared" si="88"/>
        <v>0</v>
      </c>
      <c r="AH352" s="24">
        <f>SUMIFS(инфо!$E$15:$E$28,инфо!$A$15:$A$28,F352)</f>
        <v>0</v>
      </c>
      <c r="AI352" s="32">
        <f t="shared" si="79"/>
        <v>0</v>
      </c>
      <c r="AJ352" s="12">
        <f t="shared" si="89"/>
        <v>0</v>
      </c>
      <c r="AK352" s="24">
        <f>SUMIFS(инфо!$F$15:$F$28,инфо!$A$15:$A$28,F352)</f>
        <v>0</v>
      </c>
      <c r="AL352" s="32">
        <f t="shared" si="80"/>
        <v>0</v>
      </c>
      <c r="AM352" s="12">
        <f t="shared" si="83"/>
        <v>0</v>
      </c>
      <c r="AN352" s="24">
        <f>SUMIFS(инфо!$G$15:$G$28,инфо!$A$15:$A$28,F352)</f>
        <v>0</v>
      </c>
      <c r="AO352" s="32">
        <f t="shared" si="81"/>
        <v>0</v>
      </c>
      <c r="AP352" s="12">
        <f t="shared" si="84"/>
        <v>0</v>
      </c>
      <c r="AQ352" s="24">
        <f>SUMIFS(инфо!$H$15:$H$28,инфо!$A$15:$A$28,F352)</f>
        <v>0</v>
      </c>
      <c r="AR352" s="35">
        <f t="shared" si="82"/>
        <v>0</v>
      </c>
      <c r="AS352" s="12">
        <f t="shared" si="85"/>
        <v>0</v>
      </c>
      <c r="AT352" s="24">
        <f>SUMIFS(инфо!$I$15:$I$28,инфо!$A$15:$A$28,F352)</f>
        <v>0</v>
      </c>
      <c r="AU352" s="35">
        <f t="shared" si="90"/>
        <v>0</v>
      </c>
      <c r="AV352" s="12">
        <f t="shared" si="86"/>
        <v>0</v>
      </c>
      <c r="AX352" s="68">
        <f>SUMIFS(инфо!$C$15:$C$28,инфо!$A$15:$A$28,F352)*H351</f>
        <v>0</v>
      </c>
    </row>
    <row r="353" spans="1:50" x14ac:dyDescent="0.25">
      <c r="A353" s="70">
        <f t="shared" si="91"/>
        <v>46240</v>
      </c>
      <c r="B353" s="78"/>
      <c r="C353" s="15"/>
      <c r="D353" s="16"/>
      <c r="E353" s="83"/>
      <c r="F353" s="28"/>
      <c r="G353" s="34"/>
      <c r="H353" s="23"/>
      <c r="I353" s="118">
        <f>IFERROR(H353*VLOOKUP(F353,инфо!$A$15:$C$28,3,FALSE)/1000,0)</f>
        <v>0</v>
      </c>
      <c r="J353" s="20"/>
      <c r="K353" s="20"/>
      <c r="L353" s="20"/>
      <c r="M353" s="20"/>
      <c r="N353" s="20"/>
      <c r="O353" s="34"/>
      <c r="P353" s="34"/>
      <c r="Q353" s="34"/>
      <c r="R353" s="34"/>
      <c r="S353" s="68">
        <f t="shared" si="87"/>
        <v>0</v>
      </c>
      <c r="T353" s="15"/>
      <c r="U353" s="16"/>
      <c r="V353" s="34"/>
      <c r="W353" s="81"/>
      <c r="X353" s="34"/>
      <c r="Y353" s="15"/>
      <c r="Z353" s="34"/>
      <c r="AA353" s="34"/>
      <c r="AB353" s="34"/>
      <c r="AC353" s="117"/>
      <c r="AD353" s="16"/>
      <c r="AE353" s="24">
        <f>SUMIFS(инфо!$D$15:$D$28,инфо!$A$15:$A$28,F353)</f>
        <v>0</v>
      </c>
      <c r="AF353" s="35">
        <f t="shared" si="78"/>
        <v>0</v>
      </c>
      <c r="AG353" s="12">
        <f t="shared" si="88"/>
        <v>0</v>
      </c>
      <c r="AH353" s="24">
        <f>SUMIFS(инфо!$E$15:$E$28,инфо!$A$15:$A$28,F353)</f>
        <v>0</v>
      </c>
      <c r="AI353" s="32">
        <f t="shared" si="79"/>
        <v>0</v>
      </c>
      <c r="AJ353" s="12">
        <f t="shared" si="89"/>
        <v>0</v>
      </c>
      <c r="AK353" s="24">
        <f>SUMIFS(инфо!$F$15:$F$28,инфо!$A$15:$A$28,F353)</f>
        <v>0</v>
      </c>
      <c r="AL353" s="32">
        <f t="shared" si="80"/>
        <v>0</v>
      </c>
      <c r="AM353" s="12">
        <f t="shared" si="83"/>
        <v>0</v>
      </c>
      <c r="AN353" s="24">
        <f>SUMIFS(инфо!$G$15:$G$28,инфо!$A$15:$A$28,F353)</f>
        <v>0</v>
      </c>
      <c r="AO353" s="32">
        <f t="shared" si="81"/>
        <v>0</v>
      </c>
      <c r="AP353" s="12">
        <f t="shared" si="84"/>
        <v>0</v>
      </c>
      <c r="AQ353" s="24">
        <f>SUMIFS(инфо!$H$15:$H$28,инфо!$A$15:$A$28,F353)</f>
        <v>0</v>
      </c>
      <c r="AR353" s="35">
        <f t="shared" si="82"/>
        <v>0</v>
      </c>
      <c r="AS353" s="12">
        <f t="shared" si="85"/>
        <v>0</v>
      </c>
      <c r="AT353" s="24">
        <f>SUMIFS(инфо!$I$15:$I$28,инфо!$A$15:$A$28,F353)</f>
        <v>0</v>
      </c>
      <c r="AU353" s="35">
        <f t="shared" si="90"/>
        <v>0</v>
      </c>
      <c r="AV353" s="12">
        <f t="shared" si="86"/>
        <v>0</v>
      </c>
      <c r="AX353" s="68">
        <f>SUMIFS(инфо!$C$15:$C$28,инфо!$A$15:$A$28,F353)*H352</f>
        <v>0</v>
      </c>
    </row>
    <row r="354" spans="1:50" x14ac:dyDescent="0.25">
      <c r="A354" s="70">
        <f t="shared" si="91"/>
        <v>46241</v>
      </c>
      <c r="B354" s="78"/>
      <c r="C354" s="17"/>
      <c r="D354" s="18"/>
      <c r="E354" s="83"/>
      <c r="F354" s="28"/>
      <c r="G354" s="19"/>
      <c r="H354" s="28"/>
      <c r="I354" s="118">
        <f>IFERROR(H354*VLOOKUP(F354,инфо!$A$15:$C$28,3,FALSE)/1000,0)</f>
        <v>0</v>
      </c>
      <c r="J354" s="20"/>
      <c r="K354" s="20"/>
      <c r="L354" s="20"/>
      <c r="M354" s="20"/>
      <c r="N354" s="23"/>
      <c r="O354" s="19"/>
      <c r="P354" s="19"/>
      <c r="Q354" s="19"/>
      <c r="R354" s="19"/>
      <c r="S354" s="69">
        <f t="shared" si="87"/>
        <v>0</v>
      </c>
      <c r="T354" s="17"/>
      <c r="U354" s="18"/>
      <c r="V354" s="19"/>
      <c r="W354" s="81"/>
      <c r="X354" s="19"/>
      <c r="Y354" s="17"/>
      <c r="Z354" s="19"/>
      <c r="AA354" s="19"/>
      <c r="AB354" s="19"/>
      <c r="AC354" s="117"/>
      <c r="AD354" s="18"/>
      <c r="AE354" s="25">
        <f>SUMIFS(инфо!$D$15:$D$28,инфо!$A$15:$A$28,F354)</f>
        <v>0</v>
      </c>
      <c r="AF354" s="35">
        <f t="shared" si="78"/>
        <v>0</v>
      </c>
      <c r="AG354" s="14">
        <f t="shared" si="88"/>
        <v>0</v>
      </c>
      <c r="AH354" s="25">
        <f>SUMIFS(инфо!$E$15:$E$28,инфо!$A$15:$A$28,F354)</f>
        <v>0</v>
      </c>
      <c r="AI354" s="32">
        <f t="shared" si="79"/>
        <v>0</v>
      </c>
      <c r="AJ354" s="14">
        <f t="shared" si="89"/>
        <v>0</v>
      </c>
      <c r="AK354" s="25">
        <f>SUMIFS(инфо!$F$15:$F$28,инфо!$A$15:$A$28,F354)</f>
        <v>0</v>
      </c>
      <c r="AL354" s="32">
        <f t="shared" si="80"/>
        <v>0</v>
      </c>
      <c r="AM354" s="14">
        <f t="shared" si="83"/>
        <v>0</v>
      </c>
      <c r="AN354" s="25">
        <f>SUMIFS(инфо!$G$15:$G$28,инфо!$A$15:$A$28,F354)</f>
        <v>0</v>
      </c>
      <c r="AO354" s="32">
        <f t="shared" si="81"/>
        <v>0</v>
      </c>
      <c r="AP354" s="14">
        <f t="shared" si="84"/>
        <v>0</v>
      </c>
      <c r="AQ354" s="25">
        <f>SUMIFS(инфо!$H$15:$H$28,инфо!$A$15:$A$28,F354)</f>
        <v>0</v>
      </c>
      <c r="AR354" s="26">
        <f t="shared" si="82"/>
        <v>0</v>
      </c>
      <c r="AS354" s="14">
        <f t="shared" si="85"/>
        <v>0</v>
      </c>
      <c r="AT354" s="25">
        <f>SUMIFS(инфо!$I$15:$I$28,инфо!$A$15:$A$28,F354)</f>
        <v>0</v>
      </c>
      <c r="AU354" s="35">
        <f t="shared" si="90"/>
        <v>0</v>
      </c>
      <c r="AV354" s="14">
        <f t="shared" si="86"/>
        <v>0</v>
      </c>
      <c r="AX354" s="69">
        <f>SUMIFS(инфо!$C$15:$C$28,инфо!$A$15:$A$28,F354)*H353</f>
        <v>0</v>
      </c>
    </row>
    <row r="355" spans="1:50" x14ac:dyDescent="0.25">
      <c r="A355" s="70">
        <f t="shared" si="91"/>
        <v>46241</v>
      </c>
      <c r="B355" s="78"/>
      <c r="C355" s="29"/>
      <c r="D355" s="30"/>
      <c r="E355" s="83"/>
      <c r="F355" s="28"/>
      <c r="G355" s="27"/>
      <c r="H355" s="20"/>
      <c r="I355" s="118">
        <f>IFERROR(H355*VLOOKUP(F355,инфо!$A$15:$C$28,3,FALSE)/1000,0)</f>
        <v>0</v>
      </c>
      <c r="J355" s="20"/>
      <c r="K355" s="20"/>
      <c r="L355" s="20"/>
      <c r="M355" s="20"/>
      <c r="N355" s="28"/>
      <c r="O355" s="27"/>
      <c r="P355" s="27"/>
      <c r="Q355" s="27"/>
      <c r="R355" s="27"/>
      <c r="S355" s="67">
        <f t="shared" si="87"/>
        <v>0</v>
      </c>
      <c r="T355" s="29"/>
      <c r="U355" s="30"/>
      <c r="V355" s="27"/>
      <c r="W355" s="81"/>
      <c r="X355" s="27"/>
      <c r="Y355" s="29"/>
      <c r="Z355" s="27"/>
      <c r="AA355" s="27"/>
      <c r="AB355" s="27"/>
      <c r="AC355" s="117"/>
      <c r="AD355" s="30"/>
      <c r="AE355" s="31">
        <f>SUMIFS(инфо!$D$15:$D$28,инфо!$A$15:$A$28,F355)</f>
        <v>0</v>
      </c>
      <c r="AF355" s="35">
        <f t="shared" si="78"/>
        <v>0</v>
      </c>
      <c r="AG355" s="33">
        <f t="shared" si="88"/>
        <v>0</v>
      </c>
      <c r="AH355" s="31">
        <f>SUMIFS(инфо!$E$15:$E$28,инфо!$A$15:$A$28,F355)</f>
        <v>0</v>
      </c>
      <c r="AI355" s="32">
        <f t="shared" si="79"/>
        <v>0</v>
      </c>
      <c r="AJ355" s="33">
        <f t="shared" si="89"/>
        <v>0</v>
      </c>
      <c r="AK355" s="31">
        <f>SUMIFS(инфо!$F$15:$F$28,инфо!$A$15:$A$28,F355)</f>
        <v>0</v>
      </c>
      <c r="AL355" s="32">
        <f t="shared" si="80"/>
        <v>0</v>
      </c>
      <c r="AM355" s="33">
        <f t="shared" si="83"/>
        <v>0</v>
      </c>
      <c r="AN355" s="31">
        <f>SUMIFS(инфо!$G$15:$G$28,инфо!$A$15:$A$28,F355)</f>
        <v>0</v>
      </c>
      <c r="AO355" s="32">
        <f t="shared" si="81"/>
        <v>0</v>
      </c>
      <c r="AP355" s="33">
        <f t="shared" si="84"/>
        <v>0</v>
      </c>
      <c r="AQ355" s="31">
        <f>SUMIFS(инфо!$H$15:$H$28,инфо!$A$15:$A$28,F355)</f>
        <v>0</v>
      </c>
      <c r="AR355" s="32">
        <f t="shared" si="82"/>
        <v>0</v>
      </c>
      <c r="AS355" s="33">
        <f t="shared" si="85"/>
        <v>0</v>
      </c>
      <c r="AT355" s="31">
        <f>SUMIFS(инфо!$I$15:$I$28,инфо!$A$15:$A$28,F355)</f>
        <v>0</v>
      </c>
      <c r="AU355" s="35">
        <f t="shared" si="90"/>
        <v>0</v>
      </c>
      <c r="AV355" s="33">
        <f t="shared" si="86"/>
        <v>0</v>
      </c>
      <c r="AX355" s="67">
        <f>SUMIFS(инфо!$C$15:$C$28,инфо!$A$15:$A$28,F355)*H354</f>
        <v>0</v>
      </c>
    </row>
    <row r="356" spans="1:50" x14ac:dyDescent="0.25">
      <c r="A356" s="70">
        <f t="shared" si="91"/>
        <v>46242</v>
      </c>
      <c r="B356" s="78"/>
      <c r="C356" s="15"/>
      <c r="D356" s="16"/>
      <c r="E356" s="83"/>
      <c r="F356" s="28"/>
      <c r="G356" s="34"/>
      <c r="H356" s="20"/>
      <c r="I356" s="118">
        <f>IFERROR(H356*VLOOKUP(F356,инфо!$A$15:$C$28,3,FALSE)/1000,0)</f>
        <v>0</v>
      </c>
      <c r="J356" s="20"/>
      <c r="K356" s="20"/>
      <c r="L356" s="20"/>
      <c r="M356" s="20"/>
      <c r="N356" s="20"/>
      <c r="O356" s="34"/>
      <c r="P356" s="34"/>
      <c r="Q356" s="34"/>
      <c r="R356" s="34"/>
      <c r="S356" s="68">
        <f t="shared" si="87"/>
        <v>0</v>
      </c>
      <c r="T356" s="15"/>
      <c r="U356" s="16"/>
      <c r="V356" s="34"/>
      <c r="W356" s="81"/>
      <c r="X356" s="34"/>
      <c r="Y356" s="15"/>
      <c r="Z356" s="34"/>
      <c r="AA356" s="34"/>
      <c r="AB356" s="34"/>
      <c r="AC356" s="117"/>
      <c r="AD356" s="16"/>
      <c r="AE356" s="24">
        <f>SUMIFS(инфо!$D$15:$D$28,инфо!$A$15:$A$28,F356)</f>
        <v>0</v>
      </c>
      <c r="AF356" s="35">
        <f t="shared" si="78"/>
        <v>0</v>
      </c>
      <c r="AG356" s="12">
        <f t="shared" si="88"/>
        <v>0</v>
      </c>
      <c r="AH356" s="24">
        <f>SUMIFS(инфо!$E$15:$E$28,инфо!$A$15:$A$28,F356)</f>
        <v>0</v>
      </c>
      <c r="AI356" s="32">
        <f t="shared" si="79"/>
        <v>0</v>
      </c>
      <c r="AJ356" s="12">
        <f t="shared" si="89"/>
        <v>0</v>
      </c>
      <c r="AK356" s="24">
        <f>SUMIFS(инфо!$F$15:$F$28,инфо!$A$15:$A$28,F356)</f>
        <v>0</v>
      </c>
      <c r="AL356" s="32">
        <f t="shared" si="80"/>
        <v>0</v>
      </c>
      <c r="AM356" s="12">
        <f t="shared" si="83"/>
        <v>0</v>
      </c>
      <c r="AN356" s="24">
        <f>SUMIFS(инфо!$G$15:$G$28,инфо!$A$15:$A$28,F356)</f>
        <v>0</v>
      </c>
      <c r="AO356" s="32">
        <f t="shared" si="81"/>
        <v>0</v>
      </c>
      <c r="AP356" s="12">
        <f t="shared" si="84"/>
        <v>0</v>
      </c>
      <c r="AQ356" s="24">
        <f>SUMIFS(инфо!$H$15:$H$28,инфо!$A$15:$A$28,F356)</f>
        <v>0</v>
      </c>
      <c r="AR356" s="35">
        <f t="shared" si="82"/>
        <v>0</v>
      </c>
      <c r="AS356" s="12">
        <f t="shared" si="85"/>
        <v>0</v>
      </c>
      <c r="AT356" s="24">
        <f>SUMIFS(инфо!$I$15:$I$28,инфо!$A$15:$A$28,F356)</f>
        <v>0</v>
      </c>
      <c r="AU356" s="35">
        <f t="shared" si="90"/>
        <v>0</v>
      </c>
      <c r="AV356" s="12">
        <f t="shared" si="86"/>
        <v>0</v>
      </c>
      <c r="AX356" s="68">
        <f>SUMIFS(инфо!$C$15:$C$28,инфо!$A$15:$A$28,F356)*H355</f>
        <v>0</v>
      </c>
    </row>
    <row r="357" spans="1:50" x14ac:dyDescent="0.25">
      <c r="A357" s="70">
        <f t="shared" si="91"/>
        <v>46242</v>
      </c>
      <c r="B357" s="78"/>
      <c r="C357" s="15"/>
      <c r="D357" s="16"/>
      <c r="E357" s="83"/>
      <c r="F357" s="28"/>
      <c r="G357" s="34"/>
      <c r="H357" s="23"/>
      <c r="I357" s="118">
        <f>IFERROR(H357*VLOOKUP(F357,инфо!$A$15:$C$28,3,FALSE)/1000,0)</f>
        <v>0</v>
      </c>
      <c r="J357" s="20"/>
      <c r="K357" s="20"/>
      <c r="L357" s="20"/>
      <c r="M357" s="20"/>
      <c r="N357" s="20"/>
      <c r="O357" s="34"/>
      <c r="P357" s="34"/>
      <c r="Q357" s="34"/>
      <c r="R357" s="34"/>
      <c r="S357" s="68">
        <f t="shared" si="87"/>
        <v>0</v>
      </c>
      <c r="T357" s="15"/>
      <c r="U357" s="16"/>
      <c r="V357" s="34"/>
      <c r="W357" s="81"/>
      <c r="X357" s="34"/>
      <c r="Y357" s="15"/>
      <c r="Z357" s="34"/>
      <c r="AA357" s="34"/>
      <c r="AB357" s="34"/>
      <c r="AC357" s="117"/>
      <c r="AD357" s="16"/>
      <c r="AE357" s="24">
        <f>SUMIFS(инфо!$D$15:$D$28,инфо!$A$15:$A$28,F357)</f>
        <v>0</v>
      </c>
      <c r="AF357" s="35">
        <f t="shared" si="78"/>
        <v>0</v>
      </c>
      <c r="AG357" s="12">
        <f t="shared" si="88"/>
        <v>0</v>
      </c>
      <c r="AH357" s="24">
        <f>SUMIFS(инфо!$E$15:$E$28,инфо!$A$15:$A$28,F357)</f>
        <v>0</v>
      </c>
      <c r="AI357" s="32">
        <f t="shared" si="79"/>
        <v>0</v>
      </c>
      <c r="AJ357" s="12">
        <f t="shared" si="89"/>
        <v>0</v>
      </c>
      <c r="AK357" s="24">
        <f>SUMIFS(инфо!$F$15:$F$28,инфо!$A$15:$A$28,F357)</f>
        <v>0</v>
      </c>
      <c r="AL357" s="32">
        <f t="shared" si="80"/>
        <v>0</v>
      </c>
      <c r="AM357" s="12">
        <f t="shared" si="83"/>
        <v>0</v>
      </c>
      <c r="AN357" s="24">
        <f>SUMIFS(инфо!$G$15:$G$28,инфо!$A$15:$A$28,F357)</f>
        <v>0</v>
      </c>
      <c r="AO357" s="32">
        <f t="shared" si="81"/>
        <v>0</v>
      </c>
      <c r="AP357" s="12">
        <f t="shared" si="84"/>
        <v>0</v>
      </c>
      <c r="AQ357" s="24">
        <f>SUMIFS(инфо!$H$15:$H$28,инфо!$A$15:$A$28,F357)</f>
        <v>0</v>
      </c>
      <c r="AR357" s="35">
        <f t="shared" si="82"/>
        <v>0</v>
      </c>
      <c r="AS357" s="12">
        <f t="shared" si="85"/>
        <v>0</v>
      </c>
      <c r="AT357" s="24">
        <f>SUMIFS(инфо!$I$15:$I$28,инфо!$A$15:$A$28,F357)</f>
        <v>0</v>
      </c>
      <c r="AU357" s="35">
        <f t="shared" si="90"/>
        <v>0</v>
      </c>
      <c r="AV357" s="12">
        <f t="shared" si="86"/>
        <v>0</v>
      </c>
      <c r="AX357" s="68">
        <f>SUMIFS(инфо!$C$15:$C$28,инфо!$A$15:$A$28,F357)*H356</f>
        <v>0</v>
      </c>
    </row>
    <row r="358" spans="1:50" x14ac:dyDescent="0.25">
      <c r="A358" s="70">
        <f t="shared" si="91"/>
        <v>46243</v>
      </c>
      <c r="B358" s="78"/>
      <c r="C358" s="17"/>
      <c r="D358" s="18"/>
      <c r="E358" s="83"/>
      <c r="F358" s="28"/>
      <c r="G358" s="19"/>
      <c r="H358" s="28"/>
      <c r="I358" s="118">
        <f>IFERROR(H358*VLOOKUP(F358,инфо!$A$15:$C$28,3,FALSE)/1000,0)</f>
        <v>0</v>
      </c>
      <c r="J358" s="20"/>
      <c r="K358" s="20"/>
      <c r="L358" s="20"/>
      <c r="M358" s="20"/>
      <c r="N358" s="23"/>
      <c r="O358" s="19"/>
      <c r="P358" s="19"/>
      <c r="Q358" s="19"/>
      <c r="R358" s="19"/>
      <c r="S358" s="69">
        <f t="shared" si="87"/>
        <v>0</v>
      </c>
      <c r="T358" s="17"/>
      <c r="U358" s="18"/>
      <c r="V358" s="19"/>
      <c r="W358" s="81"/>
      <c r="X358" s="19"/>
      <c r="Y358" s="17"/>
      <c r="Z358" s="19"/>
      <c r="AA358" s="19"/>
      <c r="AB358" s="19"/>
      <c r="AC358" s="117"/>
      <c r="AD358" s="18"/>
      <c r="AE358" s="25">
        <f>SUMIFS(инфо!$D$15:$D$28,инфо!$A$15:$A$28,F358)</f>
        <v>0</v>
      </c>
      <c r="AF358" s="35">
        <f t="shared" si="78"/>
        <v>0</v>
      </c>
      <c r="AG358" s="14">
        <f t="shared" si="88"/>
        <v>0</v>
      </c>
      <c r="AH358" s="25">
        <f>SUMIFS(инфо!$E$15:$E$28,инфо!$A$15:$A$28,F358)</f>
        <v>0</v>
      </c>
      <c r="AI358" s="32">
        <f t="shared" si="79"/>
        <v>0</v>
      </c>
      <c r="AJ358" s="14">
        <f t="shared" si="89"/>
        <v>0</v>
      </c>
      <c r="AK358" s="25">
        <f>SUMIFS(инфо!$F$15:$F$28,инфо!$A$15:$A$28,F358)</f>
        <v>0</v>
      </c>
      <c r="AL358" s="32">
        <f t="shared" si="80"/>
        <v>0</v>
      </c>
      <c r="AM358" s="14">
        <f t="shared" si="83"/>
        <v>0</v>
      </c>
      <c r="AN358" s="25">
        <f>SUMIFS(инфо!$G$15:$G$28,инфо!$A$15:$A$28,F358)</f>
        <v>0</v>
      </c>
      <c r="AO358" s="32">
        <f t="shared" si="81"/>
        <v>0</v>
      </c>
      <c r="AP358" s="14">
        <f t="shared" si="84"/>
        <v>0</v>
      </c>
      <c r="AQ358" s="25">
        <f>SUMIFS(инфо!$H$15:$H$28,инфо!$A$15:$A$28,F358)</f>
        <v>0</v>
      </c>
      <c r="AR358" s="26">
        <f t="shared" si="82"/>
        <v>0</v>
      </c>
      <c r="AS358" s="14">
        <f t="shared" si="85"/>
        <v>0</v>
      </c>
      <c r="AT358" s="25">
        <f>SUMIFS(инфо!$I$15:$I$28,инфо!$A$15:$A$28,F358)</f>
        <v>0</v>
      </c>
      <c r="AU358" s="35">
        <f t="shared" si="90"/>
        <v>0</v>
      </c>
      <c r="AV358" s="14">
        <f t="shared" si="86"/>
        <v>0</v>
      </c>
      <c r="AX358" s="69">
        <f>SUMIFS(инфо!$C$15:$C$28,инфо!$A$15:$A$28,F358)*H357</f>
        <v>0</v>
      </c>
    </row>
    <row r="359" spans="1:50" x14ac:dyDescent="0.25">
      <c r="A359" s="70">
        <f t="shared" si="91"/>
        <v>46243</v>
      </c>
      <c r="B359" s="78"/>
      <c r="C359" s="29"/>
      <c r="D359" s="30"/>
      <c r="E359" s="83"/>
      <c r="F359" s="28"/>
      <c r="G359" s="27"/>
      <c r="H359" s="20"/>
      <c r="I359" s="118">
        <f>IFERROR(H359*VLOOKUP(F359,инфо!$A$15:$C$28,3,FALSE)/1000,0)</f>
        <v>0</v>
      </c>
      <c r="J359" s="20"/>
      <c r="K359" s="20"/>
      <c r="L359" s="20"/>
      <c r="M359" s="20"/>
      <c r="N359" s="28"/>
      <c r="O359" s="27"/>
      <c r="P359" s="27"/>
      <c r="Q359" s="27"/>
      <c r="R359" s="27"/>
      <c r="S359" s="67">
        <f t="shared" si="87"/>
        <v>0</v>
      </c>
      <c r="T359" s="29"/>
      <c r="U359" s="30"/>
      <c r="V359" s="27"/>
      <c r="W359" s="81"/>
      <c r="X359" s="27"/>
      <c r="Y359" s="29"/>
      <c r="Z359" s="27"/>
      <c r="AA359" s="27"/>
      <c r="AB359" s="27"/>
      <c r="AC359" s="117"/>
      <c r="AD359" s="30"/>
      <c r="AE359" s="31">
        <f>SUMIFS(инфо!$D$15:$D$28,инфо!$A$15:$A$28,F359)</f>
        <v>0</v>
      </c>
      <c r="AF359" s="35">
        <f t="shared" si="78"/>
        <v>0</v>
      </c>
      <c r="AG359" s="33">
        <f t="shared" si="88"/>
        <v>0</v>
      </c>
      <c r="AH359" s="31">
        <f>SUMIFS(инфо!$E$15:$E$28,инфо!$A$15:$A$28,F359)</f>
        <v>0</v>
      </c>
      <c r="AI359" s="32">
        <f t="shared" si="79"/>
        <v>0</v>
      </c>
      <c r="AJ359" s="33">
        <f t="shared" si="89"/>
        <v>0</v>
      </c>
      <c r="AK359" s="31">
        <f>SUMIFS(инфо!$F$15:$F$28,инфо!$A$15:$A$28,F359)</f>
        <v>0</v>
      </c>
      <c r="AL359" s="32">
        <f t="shared" si="80"/>
        <v>0</v>
      </c>
      <c r="AM359" s="33">
        <f t="shared" si="83"/>
        <v>0</v>
      </c>
      <c r="AN359" s="31">
        <f>SUMIFS(инфо!$G$15:$G$28,инфо!$A$15:$A$28,F359)</f>
        <v>0</v>
      </c>
      <c r="AO359" s="32">
        <f t="shared" si="81"/>
        <v>0</v>
      </c>
      <c r="AP359" s="33">
        <f t="shared" si="84"/>
        <v>0</v>
      </c>
      <c r="AQ359" s="31">
        <f>SUMIFS(инфо!$H$15:$H$28,инфо!$A$15:$A$28,F359)</f>
        <v>0</v>
      </c>
      <c r="AR359" s="32">
        <f t="shared" si="82"/>
        <v>0</v>
      </c>
      <c r="AS359" s="33">
        <f t="shared" si="85"/>
        <v>0</v>
      </c>
      <c r="AT359" s="31">
        <f>SUMIFS(инфо!$I$15:$I$28,инфо!$A$15:$A$28,F359)</f>
        <v>0</v>
      </c>
      <c r="AU359" s="35">
        <f t="shared" si="90"/>
        <v>0</v>
      </c>
      <c r="AV359" s="33">
        <f t="shared" si="86"/>
        <v>0</v>
      </c>
      <c r="AX359" s="67">
        <f>SUMIFS(инфо!$C$15:$C$28,инфо!$A$15:$A$28,F359)*H358</f>
        <v>0</v>
      </c>
    </row>
    <row r="360" spans="1:50" x14ac:dyDescent="0.25">
      <c r="A360" s="70">
        <f t="shared" si="91"/>
        <v>46244</v>
      </c>
      <c r="B360" s="78"/>
      <c r="C360" s="15"/>
      <c r="D360" s="16"/>
      <c r="E360" s="83"/>
      <c r="F360" s="28"/>
      <c r="G360" s="34"/>
      <c r="H360" s="20"/>
      <c r="I360" s="118">
        <f>IFERROR(H360*VLOOKUP(F360,инфо!$A$15:$C$28,3,FALSE)/1000,0)</f>
        <v>0</v>
      </c>
      <c r="J360" s="20"/>
      <c r="K360" s="20"/>
      <c r="L360" s="20"/>
      <c r="M360" s="20"/>
      <c r="N360" s="20"/>
      <c r="O360" s="34"/>
      <c r="P360" s="34"/>
      <c r="Q360" s="34"/>
      <c r="R360" s="34"/>
      <c r="S360" s="68">
        <f t="shared" si="87"/>
        <v>0</v>
      </c>
      <c r="T360" s="15"/>
      <c r="U360" s="16"/>
      <c r="V360" s="34"/>
      <c r="W360" s="81"/>
      <c r="X360" s="34"/>
      <c r="Y360" s="15"/>
      <c r="Z360" s="34"/>
      <c r="AA360" s="34"/>
      <c r="AB360" s="34"/>
      <c r="AC360" s="117"/>
      <c r="AD360" s="16"/>
      <c r="AE360" s="24">
        <f>SUMIFS(инфо!$D$15:$D$28,инфо!$A$15:$A$28,F360)</f>
        <v>0</v>
      </c>
      <c r="AF360" s="35">
        <f t="shared" si="78"/>
        <v>0</v>
      </c>
      <c r="AG360" s="12">
        <f t="shared" si="88"/>
        <v>0</v>
      </c>
      <c r="AH360" s="24">
        <f>SUMIFS(инфо!$E$15:$E$28,инфо!$A$15:$A$28,F360)</f>
        <v>0</v>
      </c>
      <c r="AI360" s="32">
        <f t="shared" si="79"/>
        <v>0</v>
      </c>
      <c r="AJ360" s="12">
        <f t="shared" si="89"/>
        <v>0</v>
      </c>
      <c r="AK360" s="24">
        <f>SUMIFS(инфо!$F$15:$F$28,инфо!$A$15:$A$28,F360)</f>
        <v>0</v>
      </c>
      <c r="AL360" s="32">
        <f t="shared" si="80"/>
        <v>0</v>
      </c>
      <c r="AM360" s="12">
        <f t="shared" si="83"/>
        <v>0</v>
      </c>
      <c r="AN360" s="24">
        <f>SUMIFS(инфо!$G$15:$G$28,инфо!$A$15:$A$28,F360)</f>
        <v>0</v>
      </c>
      <c r="AO360" s="32">
        <f t="shared" si="81"/>
        <v>0</v>
      </c>
      <c r="AP360" s="12">
        <f t="shared" si="84"/>
        <v>0</v>
      </c>
      <c r="AQ360" s="24">
        <f>SUMIFS(инфо!$H$15:$H$28,инфо!$A$15:$A$28,F360)</f>
        <v>0</v>
      </c>
      <c r="AR360" s="35">
        <f t="shared" si="82"/>
        <v>0</v>
      </c>
      <c r="AS360" s="12">
        <f t="shared" si="85"/>
        <v>0</v>
      </c>
      <c r="AT360" s="24">
        <f>SUMIFS(инфо!$I$15:$I$28,инфо!$A$15:$A$28,F360)</f>
        <v>0</v>
      </c>
      <c r="AU360" s="35">
        <f t="shared" si="90"/>
        <v>0</v>
      </c>
      <c r="AV360" s="12">
        <f t="shared" si="86"/>
        <v>0</v>
      </c>
      <c r="AX360" s="68">
        <f>SUMIFS(инфо!$C$15:$C$28,инфо!$A$15:$A$28,F360)*H359</f>
        <v>0</v>
      </c>
    </row>
    <row r="361" spans="1:50" x14ac:dyDescent="0.25">
      <c r="A361" s="70">
        <f t="shared" si="91"/>
        <v>46244</v>
      </c>
      <c r="B361" s="78"/>
      <c r="C361" s="15"/>
      <c r="D361" s="16"/>
      <c r="E361" s="83"/>
      <c r="F361" s="28"/>
      <c r="G361" s="34"/>
      <c r="H361" s="23"/>
      <c r="I361" s="118">
        <f>IFERROR(H361*VLOOKUP(F361,инфо!$A$15:$C$28,3,FALSE)/1000,0)</f>
        <v>0</v>
      </c>
      <c r="J361" s="20"/>
      <c r="K361" s="20"/>
      <c r="L361" s="20"/>
      <c r="M361" s="20"/>
      <c r="N361" s="20"/>
      <c r="O361" s="34"/>
      <c r="P361" s="34"/>
      <c r="Q361" s="34"/>
      <c r="R361" s="34"/>
      <c r="S361" s="68">
        <f t="shared" si="87"/>
        <v>0</v>
      </c>
      <c r="T361" s="15"/>
      <c r="U361" s="16"/>
      <c r="V361" s="34"/>
      <c r="W361" s="81"/>
      <c r="X361" s="34"/>
      <c r="Y361" s="15"/>
      <c r="Z361" s="34"/>
      <c r="AA361" s="34"/>
      <c r="AB361" s="34"/>
      <c r="AC361" s="117"/>
      <c r="AD361" s="16"/>
      <c r="AE361" s="24">
        <f>SUMIFS(инфо!$D$15:$D$28,инфо!$A$15:$A$28,F361)</f>
        <v>0</v>
      </c>
      <c r="AF361" s="35">
        <f t="shared" si="78"/>
        <v>0</v>
      </c>
      <c r="AG361" s="12">
        <f t="shared" si="88"/>
        <v>0</v>
      </c>
      <c r="AH361" s="24">
        <f>SUMIFS(инфо!$E$15:$E$28,инфо!$A$15:$A$28,F361)</f>
        <v>0</v>
      </c>
      <c r="AI361" s="32">
        <f t="shared" si="79"/>
        <v>0</v>
      </c>
      <c r="AJ361" s="12">
        <f t="shared" si="89"/>
        <v>0</v>
      </c>
      <c r="AK361" s="24">
        <f>SUMIFS(инфо!$F$15:$F$28,инфо!$A$15:$A$28,F361)</f>
        <v>0</v>
      </c>
      <c r="AL361" s="32">
        <f t="shared" si="80"/>
        <v>0</v>
      </c>
      <c r="AM361" s="12">
        <f t="shared" si="83"/>
        <v>0</v>
      </c>
      <c r="AN361" s="24">
        <f>SUMIFS(инфо!$G$15:$G$28,инфо!$A$15:$A$28,F361)</f>
        <v>0</v>
      </c>
      <c r="AO361" s="32">
        <f t="shared" si="81"/>
        <v>0</v>
      </c>
      <c r="AP361" s="12">
        <f t="shared" si="84"/>
        <v>0</v>
      </c>
      <c r="AQ361" s="24">
        <f>SUMIFS(инфо!$H$15:$H$28,инфо!$A$15:$A$28,F361)</f>
        <v>0</v>
      </c>
      <c r="AR361" s="35">
        <f t="shared" si="82"/>
        <v>0</v>
      </c>
      <c r="AS361" s="12">
        <f t="shared" si="85"/>
        <v>0</v>
      </c>
      <c r="AT361" s="24">
        <f>SUMIFS(инфо!$I$15:$I$28,инфо!$A$15:$A$28,F361)</f>
        <v>0</v>
      </c>
      <c r="AU361" s="35">
        <f t="shared" si="90"/>
        <v>0</v>
      </c>
      <c r="AV361" s="12">
        <f t="shared" si="86"/>
        <v>0</v>
      </c>
      <c r="AX361" s="68">
        <f>SUMIFS(инфо!$C$15:$C$28,инфо!$A$15:$A$28,F361)*H360</f>
        <v>0</v>
      </c>
    </row>
    <row r="362" spans="1:50" x14ac:dyDescent="0.25">
      <c r="A362" s="70">
        <f t="shared" si="91"/>
        <v>46245</v>
      </c>
      <c r="B362" s="78"/>
      <c r="C362" s="17"/>
      <c r="D362" s="18"/>
      <c r="E362" s="83"/>
      <c r="F362" s="28"/>
      <c r="G362" s="19"/>
      <c r="H362" s="28"/>
      <c r="I362" s="118">
        <f>IFERROR(H362*VLOOKUP(F362,инфо!$A$15:$C$28,3,FALSE)/1000,0)</f>
        <v>0</v>
      </c>
      <c r="J362" s="20"/>
      <c r="K362" s="20"/>
      <c r="L362" s="20"/>
      <c r="M362" s="20"/>
      <c r="N362" s="23"/>
      <c r="O362" s="19"/>
      <c r="P362" s="19"/>
      <c r="Q362" s="19"/>
      <c r="R362" s="19"/>
      <c r="S362" s="69">
        <f t="shared" si="87"/>
        <v>0</v>
      </c>
      <c r="T362" s="17"/>
      <c r="U362" s="18"/>
      <c r="V362" s="19"/>
      <c r="W362" s="81"/>
      <c r="X362" s="19"/>
      <c r="Y362" s="17"/>
      <c r="Z362" s="19"/>
      <c r="AA362" s="19"/>
      <c r="AB362" s="19"/>
      <c r="AC362" s="117"/>
      <c r="AD362" s="18"/>
      <c r="AE362" s="25">
        <f>SUMIFS(инфо!$D$15:$D$28,инфо!$A$15:$A$28,F362)</f>
        <v>0</v>
      </c>
      <c r="AF362" s="35">
        <f t="shared" si="78"/>
        <v>0</v>
      </c>
      <c r="AG362" s="14">
        <f t="shared" si="88"/>
        <v>0</v>
      </c>
      <c r="AH362" s="25">
        <f>SUMIFS(инфо!$E$15:$E$28,инфо!$A$15:$A$28,F362)</f>
        <v>0</v>
      </c>
      <c r="AI362" s="32">
        <f t="shared" si="79"/>
        <v>0</v>
      </c>
      <c r="AJ362" s="14">
        <f t="shared" si="89"/>
        <v>0</v>
      </c>
      <c r="AK362" s="25">
        <f>SUMIFS(инфо!$F$15:$F$28,инфо!$A$15:$A$28,F362)</f>
        <v>0</v>
      </c>
      <c r="AL362" s="32">
        <f t="shared" si="80"/>
        <v>0</v>
      </c>
      <c r="AM362" s="14">
        <f t="shared" si="83"/>
        <v>0</v>
      </c>
      <c r="AN362" s="25">
        <f>SUMIFS(инфо!$G$15:$G$28,инфо!$A$15:$A$28,F362)</f>
        <v>0</v>
      </c>
      <c r="AO362" s="32">
        <f t="shared" si="81"/>
        <v>0</v>
      </c>
      <c r="AP362" s="14">
        <f t="shared" si="84"/>
        <v>0</v>
      </c>
      <c r="AQ362" s="25">
        <f>SUMIFS(инфо!$H$15:$H$28,инфо!$A$15:$A$28,F362)</f>
        <v>0</v>
      </c>
      <c r="AR362" s="26">
        <f t="shared" si="82"/>
        <v>0</v>
      </c>
      <c r="AS362" s="14">
        <f t="shared" si="85"/>
        <v>0</v>
      </c>
      <c r="AT362" s="25">
        <f>SUMIFS(инфо!$I$15:$I$28,инфо!$A$15:$A$28,F362)</f>
        <v>0</v>
      </c>
      <c r="AU362" s="35">
        <f t="shared" si="90"/>
        <v>0</v>
      </c>
      <c r="AV362" s="14">
        <f t="shared" si="86"/>
        <v>0</v>
      </c>
      <c r="AX362" s="69">
        <f>SUMIFS(инфо!$C$15:$C$28,инфо!$A$15:$A$28,F362)*H361</f>
        <v>0</v>
      </c>
    </row>
    <row r="363" spans="1:50" x14ac:dyDescent="0.25">
      <c r="A363" s="70">
        <f t="shared" si="91"/>
        <v>46245</v>
      </c>
      <c r="B363" s="78"/>
      <c r="C363" s="29"/>
      <c r="D363" s="30"/>
      <c r="E363" s="83"/>
      <c r="F363" s="28"/>
      <c r="G363" s="27"/>
      <c r="H363" s="20"/>
      <c r="I363" s="118">
        <f>IFERROR(H363*VLOOKUP(F363,инфо!$A$15:$C$28,3,FALSE)/1000,0)</f>
        <v>0</v>
      </c>
      <c r="J363" s="20"/>
      <c r="K363" s="20"/>
      <c r="L363" s="20"/>
      <c r="M363" s="20"/>
      <c r="N363" s="28"/>
      <c r="O363" s="27"/>
      <c r="P363" s="27"/>
      <c r="Q363" s="27"/>
      <c r="R363" s="27"/>
      <c r="S363" s="67">
        <f t="shared" si="87"/>
        <v>0</v>
      </c>
      <c r="T363" s="29"/>
      <c r="U363" s="30"/>
      <c r="V363" s="27"/>
      <c r="W363" s="81"/>
      <c r="X363" s="27"/>
      <c r="Y363" s="29"/>
      <c r="Z363" s="27"/>
      <c r="AA363" s="27"/>
      <c r="AB363" s="27"/>
      <c r="AC363" s="117"/>
      <c r="AD363" s="30"/>
      <c r="AE363" s="31">
        <f>SUMIFS(инфо!$D$15:$D$28,инфо!$A$15:$A$28,F363)</f>
        <v>0</v>
      </c>
      <c r="AF363" s="35">
        <f t="shared" si="78"/>
        <v>0</v>
      </c>
      <c r="AG363" s="33">
        <f t="shared" si="88"/>
        <v>0</v>
      </c>
      <c r="AH363" s="31">
        <f>SUMIFS(инфо!$E$15:$E$28,инфо!$A$15:$A$28,F363)</f>
        <v>0</v>
      </c>
      <c r="AI363" s="32">
        <f t="shared" si="79"/>
        <v>0</v>
      </c>
      <c r="AJ363" s="33">
        <f t="shared" si="89"/>
        <v>0</v>
      </c>
      <c r="AK363" s="31">
        <f>SUMIFS(инфо!$F$15:$F$28,инфо!$A$15:$A$28,F363)</f>
        <v>0</v>
      </c>
      <c r="AL363" s="32">
        <f t="shared" si="80"/>
        <v>0</v>
      </c>
      <c r="AM363" s="33">
        <f t="shared" si="83"/>
        <v>0</v>
      </c>
      <c r="AN363" s="31">
        <f>SUMIFS(инфо!$G$15:$G$28,инфо!$A$15:$A$28,F363)</f>
        <v>0</v>
      </c>
      <c r="AO363" s="32">
        <f t="shared" si="81"/>
        <v>0</v>
      </c>
      <c r="AP363" s="33">
        <f t="shared" si="84"/>
        <v>0</v>
      </c>
      <c r="AQ363" s="31">
        <f>SUMIFS(инфо!$H$15:$H$28,инфо!$A$15:$A$28,F363)</f>
        <v>0</v>
      </c>
      <c r="AR363" s="32">
        <f t="shared" si="82"/>
        <v>0</v>
      </c>
      <c r="AS363" s="33">
        <f t="shared" si="85"/>
        <v>0</v>
      </c>
      <c r="AT363" s="31">
        <f>SUMIFS(инфо!$I$15:$I$28,инфо!$A$15:$A$28,F363)</f>
        <v>0</v>
      </c>
      <c r="AU363" s="35">
        <f t="shared" si="90"/>
        <v>0</v>
      </c>
      <c r="AV363" s="33">
        <f t="shared" si="86"/>
        <v>0</v>
      </c>
      <c r="AX363" s="67">
        <f>SUMIFS(инфо!$C$15:$C$28,инфо!$A$15:$A$28,F363)*H362</f>
        <v>0</v>
      </c>
    </row>
    <row r="364" spans="1:50" x14ac:dyDescent="0.25">
      <c r="A364" s="70">
        <f t="shared" si="91"/>
        <v>46246</v>
      </c>
      <c r="B364" s="78"/>
      <c r="C364" s="15"/>
      <c r="D364" s="16"/>
      <c r="E364" s="83"/>
      <c r="F364" s="28"/>
      <c r="G364" s="34"/>
      <c r="H364" s="20"/>
      <c r="I364" s="118">
        <f>IFERROR(H364*VLOOKUP(F364,инфо!$A$15:$C$28,3,FALSE)/1000,0)</f>
        <v>0</v>
      </c>
      <c r="J364" s="20"/>
      <c r="K364" s="20"/>
      <c r="L364" s="20"/>
      <c r="M364" s="20"/>
      <c r="N364" s="20"/>
      <c r="O364" s="34"/>
      <c r="P364" s="34"/>
      <c r="Q364" s="34"/>
      <c r="R364" s="34"/>
      <c r="S364" s="68">
        <f t="shared" si="87"/>
        <v>0</v>
      </c>
      <c r="T364" s="15"/>
      <c r="U364" s="16"/>
      <c r="V364" s="34"/>
      <c r="W364" s="81"/>
      <c r="X364" s="34"/>
      <c r="Y364" s="15"/>
      <c r="Z364" s="34"/>
      <c r="AA364" s="34"/>
      <c r="AB364" s="34"/>
      <c r="AC364" s="117"/>
      <c r="AD364" s="16"/>
      <c r="AE364" s="24">
        <f>SUMIFS(инфо!$D$15:$D$28,инфо!$A$15:$A$28,F364)</f>
        <v>0</v>
      </c>
      <c r="AF364" s="35">
        <f t="shared" si="78"/>
        <v>0</v>
      </c>
      <c r="AG364" s="12">
        <f t="shared" si="88"/>
        <v>0</v>
      </c>
      <c r="AH364" s="24">
        <f>SUMIFS(инфо!$E$15:$E$28,инфо!$A$15:$A$28,F364)</f>
        <v>0</v>
      </c>
      <c r="AI364" s="32">
        <f t="shared" si="79"/>
        <v>0</v>
      </c>
      <c r="AJ364" s="12">
        <f t="shared" si="89"/>
        <v>0</v>
      </c>
      <c r="AK364" s="24">
        <f>SUMIFS(инфо!$F$15:$F$28,инфо!$A$15:$A$28,F364)</f>
        <v>0</v>
      </c>
      <c r="AL364" s="32">
        <f t="shared" si="80"/>
        <v>0</v>
      </c>
      <c r="AM364" s="12">
        <f t="shared" si="83"/>
        <v>0</v>
      </c>
      <c r="AN364" s="24">
        <f>SUMIFS(инфо!$G$15:$G$28,инфо!$A$15:$A$28,F364)</f>
        <v>0</v>
      </c>
      <c r="AO364" s="32">
        <f t="shared" si="81"/>
        <v>0</v>
      </c>
      <c r="AP364" s="12">
        <f t="shared" si="84"/>
        <v>0</v>
      </c>
      <c r="AQ364" s="24">
        <f>SUMIFS(инфо!$H$15:$H$28,инфо!$A$15:$A$28,F364)</f>
        <v>0</v>
      </c>
      <c r="AR364" s="35">
        <f t="shared" si="82"/>
        <v>0</v>
      </c>
      <c r="AS364" s="12">
        <f t="shared" si="85"/>
        <v>0</v>
      </c>
      <c r="AT364" s="24">
        <f>SUMIFS(инфо!$I$15:$I$28,инфо!$A$15:$A$28,F364)</f>
        <v>0</v>
      </c>
      <c r="AU364" s="35">
        <f t="shared" si="90"/>
        <v>0</v>
      </c>
      <c r="AV364" s="12">
        <f t="shared" si="86"/>
        <v>0</v>
      </c>
      <c r="AX364" s="68">
        <f>SUMIFS(инфо!$C$15:$C$28,инфо!$A$15:$A$28,F364)*H363</f>
        <v>0</v>
      </c>
    </row>
    <row r="365" spans="1:50" x14ac:dyDescent="0.25">
      <c r="A365" s="70">
        <f t="shared" si="91"/>
        <v>46246</v>
      </c>
      <c r="B365" s="78"/>
      <c r="C365" s="15"/>
      <c r="D365" s="16"/>
      <c r="E365" s="83"/>
      <c r="F365" s="28"/>
      <c r="G365" s="34"/>
      <c r="H365" s="23"/>
      <c r="I365" s="118">
        <f>IFERROR(H365*VLOOKUP(F365,инфо!$A$15:$C$28,3,FALSE)/1000,0)</f>
        <v>0</v>
      </c>
      <c r="J365" s="20"/>
      <c r="K365" s="20"/>
      <c r="L365" s="20"/>
      <c r="M365" s="20"/>
      <c r="N365" s="20"/>
      <c r="O365" s="34"/>
      <c r="P365" s="34"/>
      <c r="Q365" s="34"/>
      <c r="R365" s="34"/>
      <c r="S365" s="68">
        <f t="shared" si="87"/>
        <v>0</v>
      </c>
      <c r="T365" s="15"/>
      <c r="U365" s="16"/>
      <c r="V365" s="34"/>
      <c r="W365" s="81"/>
      <c r="X365" s="34"/>
      <c r="Y365" s="15"/>
      <c r="Z365" s="34"/>
      <c r="AA365" s="34"/>
      <c r="AB365" s="34"/>
      <c r="AC365" s="117"/>
      <c r="AD365" s="16"/>
      <c r="AE365" s="24">
        <f>SUMIFS(инфо!$D$15:$D$28,инфо!$A$15:$A$28,F365)</f>
        <v>0</v>
      </c>
      <c r="AF365" s="35">
        <f t="shared" ref="AF365:AF428" si="92">IF(H365=0,0,N365/H365)</f>
        <v>0</v>
      </c>
      <c r="AG365" s="12">
        <f t="shared" si="88"/>
        <v>0</v>
      </c>
      <c r="AH365" s="24">
        <f>SUMIFS(инфо!$E$15:$E$28,инфо!$A$15:$A$28,F365)</f>
        <v>0</v>
      </c>
      <c r="AI365" s="32">
        <f t="shared" ref="AI365:AI428" si="93">IF(H365=0,0,S365/H365)</f>
        <v>0</v>
      </c>
      <c r="AJ365" s="12">
        <f t="shared" si="89"/>
        <v>0</v>
      </c>
      <c r="AK365" s="24">
        <f>SUMIFS(инфо!$F$15:$F$28,инфо!$A$15:$A$28,F365)</f>
        <v>0</v>
      </c>
      <c r="AL365" s="32">
        <f t="shared" ref="AL365:AL428" si="94">IF(H365=0,0,Y365/H365)</f>
        <v>0</v>
      </c>
      <c r="AM365" s="12">
        <f t="shared" si="83"/>
        <v>0</v>
      </c>
      <c r="AN365" s="24">
        <f>SUMIFS(инфо!$G$15:$G$28,инфо!$A$15:$A$28,F365)</f>
        <v>0</v>
      </c>
      <c r="AO365" s="32">
        <f t="shared" ref="AO365:AO428" si="95">IF(H365=0,0,AA365/H365)</f>
        <v>0</v>
      </c>
      <c r="AP365" s="12">
        <f t="shared" si="84"/>
        <v>0</v>
      </c>
      <c r="AQ365" s="24">
        <f>SUMIFS(инфо!$H$15:$H$28,инфо!$A$15:$A$28,F365)</f>
        <v>0</v>
      </c>
      <c r="AR365" s="35">
        <f t="shared" si="82"/>
        <v>0</v>
      </c>
      <c r="AS365" s="12">
        <f t="shared" si="85"/>
        <v>0</v>
      </c>
      <c r="AT365" s="24">
        <f>SUMIFS(инфо!$I$15:$I$28,инфо!$A$15:$A$28,F365)</f>
        <v>0</v>
      </c>
      <c r="AU365" s="35">
        <f t="shared" si="90"/>
        <v>0</v>
      </c>
      <c r="AV365" s="12">
        <f t="shared" si="86"/>
        <v>0</v>
      </c>
      <c r="AX365" s="68">
        <f>SUMIFS(инфо!$C$15:$C$28,инфо!$A$15:$A$28,F365)*H364</f>
        <v>0</v>
      </c>
    </row>
    <row r="366" spans="1:50" x14ac:dyDescent="0.25">
      <c r="A366" s="70">
        <f t="shared" si="91"/>
        <v>46247</v>
      </c>
      <c r="B366" s="78"/>
      <c r="C366" s="17"/>
      <c r="D366" s="18"/>
      <c r="E366" s="83"/>
      <c r="F366" s="28"/>
      <c r="G366" s="19"/>
      <c r="H366" s="28"/>
      <c r="I366" s="118">
        <f>IFERROR(H366*VLOOKUP(F366,инфо!$A$15:$C$28,3,FALSE)/1000,0)</f>
        <v>0</v>
      </c>
      <c r="J366" s="20"/>
      <c r="K366" s="20"/>
      <c r="L366" s="20"/>
      <c r="M366" s="20"/>
      <c r="N366" s="23"/>
      <c r="O366" s="19"/>
      <c r="P366" s="19"/>
      <c r="Q366" s="19"/>
      <c r="R366" s="19"/>
      <c r="S366" s="69">
        <f t="shared" si="87"/>
        <v>0</v>
      </c>
      <c r="T366" s="17"/>
      <c r="U366" s="18"/>
      <c r="V366" s="19"/>
      <c r="W366" s="81"/>
      <c r="X366" s="19"/>
      <c r="Y366" s="17"/>
      <c r="Z366" s="19"/>
      <c r="AA366" s="19"/>
      <c r="AB366" s="19"/>
      <c r="AC366" s="117"/>
      <c r="AD366" s="18"/>
      <c r="AE366" s="25">
        <f>SUMIFS(инфо!$D$15:$D$28,инфо!$A$15:$A$28,F366)</f>
        <v>0</v>
      </c>
      <c r="AF366" s="35">
        <f t="shared" si="92"/>
        <v>0</v>
      </c>
      <c r="AG366" s="14">
        <f t="shared" si="88"/>
        <v>0</v>
      </c>
      <c r="AH366" s="25">
        <f>SUMIFS(инфо!$E$15:$E$28,инфо!$A$15:$A$28,F366)</f>
        <v>0</v>
      </c>
      <c r="AI366" s="32">
        <f t="shared" si="93"/>
        <v>0</v>
      </c>
      <c r="AJ366" s="14">
        <f t="shared" si="89"/>
        <v>0</v>
      </c>
      <c r="AK366" s="25">
        <f>SUMIFS(инфо!$F$15:$F$28,инфо!$A$15:$A$28,F366)</f>
        <v>0</v>
      </c>
      <c r="AL366" s="32">
        <f t="shared" si="94"/>
        <v>0</v>
      </c>
      <c r="AM366" s="14">
        <f t="shared" si="83"/>
        <v>0</v>
      </c>
      <c r="AN366" s="25">
        <f>SUMIFS(инфо!$G$15:$G$28,инфо!$A$15:$A$28,F366)</f>
        <v>0</v>
      </c>
      <c r="AO366" s="32">
        <f t="shared" si="95"/>
        <v>0</v>
      </c>
      <c r="AP366" s="14">
        <f t="shared" si="84"/>
        <v>0</v>
      </c>
      <c r="AQ366" s="25">
        <f>SUMIFS(инфо!$H$15:$H$28,инфо!$A$15:$A$28,F366)</f>
        <v>0</v>
      </c>
      <c r="AR366" s="26">
        <f t="shared" ref="AR366:AR429" si="96">IF(H365=0,0,AC366/H365)</f>
        <v>0</v>
      </c>
      <c r="AS366" s="14">
        <f t="shared" si="85"/>
        <v>0</v>
      </c>
      <c r="AT366" s="25">
        <f>SUMIFS(инфо!$I$15:$I$28,инфо!$A$15:$A$28,F366)</f>
        <v>0</v>
      </c>
      <c r="AU366" s="35">
        <f t="shared" si="90"/>
        <v>0</v>
      </c>
      <c r="AV366" s="14">
        <f t="shared" si="86"/>
        <v>0</v>
      </c>
      <c r="AX366" s="69">
        <f>SUMIFS(инфо!$C$15:$C$28,инфо!$A$15:$A$28,F366)*H365</f>
        <v>0</v>
      </c>
    </row>
    <row r="367" spans="1:50" x14ac:dyDescent="0.25">
      <c r="A367" s="70">
        <f t="shared" si="91"/>
        <v>46247</v>
      </c>
      <c r="B367" s="78"/>
      <c r="C367" s="29"/>
      <c r="D367" s="30"/>
      <c r="E367" s="83"/>
      <c r="F367" s="28"/>
      <c r="G367" s="27"/>
      <c r="H367" s="20"/>
      <c r="I367" s="118">
        <f>IFERROR(H367*VLOOKUP(F367,инфо!$A$15:$C$28,3,FALSE)/1000,0)</f>
        <v>0</v>
      </c>
      <c r="J367" s="20"/>
      <c r="K367" s="20"/>
      <c r="L367" s="20"/>
      <c r="M367" s="20"/>
      <c r="N367" s="28"/>
      <c r="O367" s="27"/>
      <c r="P367" s="27"/>
      <c r="Q367" s="27"/>
      <c r="R367" s="27"/>
      <c r="S367" s="67">
        <f t="shared" si="87"/>
        <v>0</v>
      </c>
      <c r="T367" s="29"/>
      <c r="U367" s="30"/>
      <c r="V367" s="27"/>
      <c r="W367" s="81"/>
      <c r="X367" s="27"/>
      <c r="Y367" s="29"/>
      <c r="Z367" s="27"/>
      <c r="AA367" s="27"/>
      <c r="AB367" s="27"/>
      <c r="AC367" s="81"/>
      <c r="AD367" s="30"/>
      <c r="AE367" s="31">
        <f>SUMIFS(инфо!$D$15:$D$28,инфо!$A$15:$A$28,F367)</f>
        <v>0</v>
      </c>
      <c r="AF367" s="35">
        <f t="shared" si="92"/>
        <v>0</v>
      </c>
      <c r="AG367" s="33">
        <f t="shared" si="88"/>
        <v>0</v>
      </c>
      <c r="AH367" s="31">
        <f>SUMIFS(инфо!$E$15:$E$28,инфо!$A$15:$A$28,F367)</f>
        <v>0</v>
      </c>
      <c r="AI367" s="32">
        <f t="shared" si="93"/>
        <v>0</v>
      </c>
      <c r="AJ367" s="33">
        <f t="shared" si="89"/>
        <v>0</v>
      </c>
      <c r="AK367" s="31">
        <f>SUMIFS(инфо!$F$15:$F$28,инфо!$A$15:$A$28,F367)</f>
        <v>0</v>
      </c>
      <c r="AL367" s="32">
        <f t="shared" si="94"/>
        <v>0</v>
      </c>
      <c r="AM367" s="33">
        <f t="shared" ref="AM367:AM430" si="97">AL367-AK367</f>
        <v>0</v>
      </c>
      <c r="AN367" s="31">
        <f>SUMIFS(инфо!$G$15:$G$28,инфо!$A$15:$A$28,F367)</f>
        <v>0</v>
      </c>
      <c r="AO367" s="32">
        <f t="shared" si="95"/>
        <v>0</v>
      </c>
      <c r="AP367" s="33">
        <f t="shared" ref="AP367:AP430" si="98">AO367-AN367</f>
        <v>0</v>
      </c>
      <c r="AQ367" s="31">
        <f>SUMIFS(инфо!$H$15:$H$28,инфо!$A$15:$A$28,F367)</f>
        <v>0</v>
      </c>
      <c r="AR367" s="32">
        <f t="shared" si="96"/>
        <v>0</v>
      </c>
      <c r="AS367" s="33">
        <f t="shared" ref="AS367:AS430" si="99">AR367-AQ367</f>
        <v>0</v>
      </c>
      <c r="AT367" s="31">
        <f>SUMIFS(инфо!$I$15:$I$28,инфо!$A$15:$A$28,F367)</f>
        <v>0</v>
      </c>
      <c r="AU367" s="35">
        <f t="shared" si="90"/>
        <v>0</v>
      </c>
      <c r="AV367" s="33">
        <f t="shared" ref="AV367:AV430" si="100">AU367-AT367</f>
        <v>0</v>
      </c>
      <c r="AX367" s="67">
        <f>SUMIFS(инфо!$C$15:$C$28,инфо!$A$15:$A$28,F367)*H366</f>
        <v>0</v>
      </c>
    </row>
    <row r="368" spans="1:50" x14ac:dyDescent="0.25">
      <c r="A368" s="70">
        <f t="shared" si="91"/>
        <v>46248</v>
      </c>
      <c r="B368" s="78"/>
      <c r="C368" s="15"/>
      <c r="D368" s="16"/>
      <c r="E368" s="83"/>
      <c r="F368" s="28"/>
      <c r="G368" s="34"/>
      <c r="H368" s="20"/>
      <c r="I368" s="118">
        <f>IFERROR(H368*VLOOKUP(F368,инфо!$A$15:$C$28,3,FALSE)/1000,0)</f>
        <v>0</v>
      </c>
      <c r="J368" s="20"/>
      <c r="K368" s="20"/>
      <c r="L368" s="20"/>
      <c r="M368" s="20"/>
      <c r="N368" s="20"/>
      <c r="O368" s="34"/>
      <c r="P368" s="34"/>
      <c r="Q368" s="34"/>
      <c r="R368" s="34"/>
      <c r="S368" s="68">
        <f t="shared" ref="S368:S431" si="101">SUM(O368:R368)</f>
        <v>0</v>
      </c>
      <c r="T368" s="15"/>
      <c r="U368" s="16"/>
      <c r="V368" s="34"/>
      <c r="W368" s="81"/>
      <c r="X368" s="34"/>
      <c r="Y368" s="15"/>
      <c r="Z368" s="34"/>
      <c r="AA368" s="34"/>
      <c r="AB368" s="34"/>
      <c r="AC368" s="81"/>
      <c r="AD368" s="16"/>
      <c r="AE368" s="24">
        <f>SUMIFS(инфо!$D$15:$D$28,инфо!$A$15:$A$28,F368)</f>
        <v>0</v>
      </c>
      <c r="AF368" s="35">
        <f t="shared" si="92"/>
        <v>0</v>
      </c>
      <c r="AG368" s="12">
        <f t="shared" si="88"/>
        <v>0</v>
      </c>
      <c r="AH368" s="24">
        <f>SUMIFS(инфо!$E$15:$E$28,инфо!$A$15:$A$28,F368)</f>
        <v>0</v>
      </c>
      <c r="AI368" s="32">
        <f t="shared" si="93"/>
        <v>0</v>
      </c>
      <c r="AJ368" s="12">
        <f t="shared" si="89"/>
        <v>0</v>
      </c>
      <c r="AK368" s="24">
        <f>SUMIFS(инфо!$F$15:$F$28,инфо!$A$15:$A$28,F368)</f>
        <v>0</v>
      </c>
      <c r="AL368" s="32">
        <f t="shared" si="94"/>
        <v>0</v>
      </c>
      <c r="AM368" s="12">
        <f t="shared" si="97"/>
        <v>0</v>
      </c>
      <c r="AN368" s="24">
        <f>SUMIFS(инфо!$G$15:$G$28,инфо!$A$15:$A$28,F368)</f>
        <v>0</v>
      </c>
      <c r="AO368" s="32">
        <f t="shared" si="95"/>
        <v>0</v>
      </c>
      <c r="AP368" s="12">
        <f t="shared" si="98"/>
        <v>0</v>
      </c>
      <c r="AQ368" s="24">
        <f>SUMIFS(инфо!$H$15:$H$28,инфо!$A$15:$A$28,F368)</f>
        <v>0</v>
      </c>
      <c r="AR368" s="35">
        <f t="shared" si="96"/>
        <v>0</v>
      </c>
      <c r="AS368" s="12">
        <f t="shared" si="99"/>
        <v>0</v>
      </c>
      <c r="AT368" s="24">
        <f>SUMIFS(инфо!$I$15:$I$28,инфо!$A$15:$A$28,F368)</f>
        <v>0</v>
      </c>
      <c r="AU368" s="35">
        <f t="shared" si="90"/>
        <v>0</v>
      </c>
      <c r="AV368" s="12">
        <f t="shared" si="100"/>
        <v>0</v>
      </c>
      <c r="AX368" s="68">
        <f>SUMIFS(инфо!$C$15:$C$28,инфо!$A$15:$A$28,F368)*H367</f>
        <v>0</v>
      </c>
    </row>
    <row r="369" spans="1:50" x14ac:dyDescent="0.25">
      <c r="A369" s="70">
        <f t="shared" si="91"/>
        <v>46248</v>
      </c>
      <c r="B369" s="78"/>
      <c r="C369" s="15"/>
      <c r="D369" s="16"/>
      <c r="E369" s="83"/>
      <c r="F369" s="28"/>
      <c r="G369" s="34"/>
      <c r="H369" s="23"/>
      <c r="I369" s="118">
        <f>IFERROR(H369*VLOOKUP(F369,инфо!$A$15:$C$28,3,FALSE)/1000,0)</f>
        <v>0</v>
      </c>
      <c r="J369" s="20"/>
      <c r="K369" s="20"/>
      <c r="L369" s="20"/>
      <c r="M369" s="20"/>
      <c r="N369" s="20"/>
      <c r="O369" s="34"/>
      <c r="P369" s="34"/>
      <c r="Q369" s="34"/>
      <c r="R369" s="34"/>
      <c r="S369" s="68">
        <f t="shared" si="101"/>
        <v>0</v>
      </c>
      <c r="T369" s="15"/>
      <c r="U369" s="16"/>
      <c r="V369" s="34"/>
      <c r="W369" s="81"/>
      <c r="X369" s="34"/>
      <c r="Y369" s="15"/>
      <c r="Z369" s="34"/>
      <c r="AA369" s="34"/>
      <c r="AB369" s="34"/>
      <c r="AC369" s="81"/>
      <c r="AD369" s="16"/>
      <c r="AE369" s="24">
        <f>SUMIFS(инфо!$D$15:$D$28,инфо!$A$15:$A$28,F369)</f>
        <v>0</v>
      </c>
      <c r="AF369" s="35">
        <f t="shared" si="92"/>
        <v>0</v>
      </c>
      <c r="AG369" s="12">
        <f t="shared" si="88"/>
        <v>0</v>
      </c>
      <c r="AH369" s="24">
        <f>SUMIFS(инфо!$E$15:$E$28,инфо!$A$15:$A$28,F369)</f>
        <v>0</v>
      </c>
      <c r="AI369" s="32">
        <f t="shared" si="93"/>
        <v>0</v>
      </c>
      <c r="AJ369" s="12">
        <f t="shared" si="89"/>
        <v>0</v>
      </c>
      <c r="AK369" s="24">
        <f>SUMIFS(инфо!$F$15:$F$28,инфо!$A$15:$A$28,F369)</f>
        <v>0</v>
      </c>
      <c r="AL369" s="32">
        <f t="shared" si="94"/>
        <v>0</v>
      </c>
      <c r="AM369" s="12">
        <f t="shared" si="97"/>
        <v>0</v>
      </c>
      <c r="AN369" s="24">
        <f>SUMIFS(инфо!$G$15:$G$28,инфо!$A$15:$A$28,F369)</f>
        <v>0</v>
      </c>
      <c r="AO369" s="32">
        <f t="shared" si="95"/>
        <v>0</v>
      </c>
      <c r="AP369" s="12">
        <f t="shared" si="98"/>
        <v>0</v>
      </c>
      <c r="AQ369" s="24">
        <f>SUMIFS(инфо!$H$15:$H$28,инфо!$A$15:$A$28,F369)</f>
        <v>0</v>
      </c>
      <c r="AR369" s="35">
        <f t="shared" si="96"/>
        <v>0</v>
      </c>
      <c r="AS369" s="12">
        <f t="shared" si="99"/>
        <v>0</v>
      </c>
      <c r="AT369" s="24">
        <f>SUMIFS(инфо!$I$15:$I$28,инфо!$A$15:$A$28,F369)</f>
        <v>0</v>
      </c>
      <c r="AU369" s="35">
        <f t="shared" si="90"/>
        <v>0</v>
      </c>
      <c r="AV369" s="12">
        <f t="shared" si="100"/>
        <v>0</v>
      </c>
      <c r="AX369" s="68">
        <f>SUMIFS(инфо!$C$15:$C$28,инфо!$A$15:$A$28,F369)*H368</f>
        <v>0</v>
      </c>
    </row>
    <row r="370" spans="1:50" x14ac:dyDescent="0.25">
      <c r="A370" s="70">
        <f t="shared" si="91"/>
        <v>46249</v>
      </c>
      <c r="B370" s="78"/>
      <c r="C370" s="17"/>
      <c r="D370" s="18"/>
      <c r="E370" s="83"/>
      <c r="F370" s="28"/>
      <c r="G370" s="19"/>
      <c r="H370" s="28"/>
      <c r="I370" s="118">
        <f>IFERROR(H370*VLOOKUP(F370,инфо!$A$15:$C$28,3,FALSE)/1000,0)</f>
        <v>0</v>
      </c>
      <c r="J370" s="20"/>
      <c r="K370" s="20"/>
      <c r="L370" s="20"/>
      <c r="M370" s="20"/>
      <c r="N370" s="23"/>
      <c r="O370" s="19"/>
      <c r="P370" s="19"/>
      <c r="Q370" s="19"/>
      <c r="R370" s="19"/>
      <c r="S370" s="69">
        <f t="shared" si="101"/>
        <v>0</v>
      </c>
      <c r="T370" s="17"/>
      <c r="U370" s="18"/>
      <c r="V370" s="19"/>
      <c r="W370" s="81"/>
      <c r="X370" s="19"/>
      <c r="Y370" s="17"/>
      <c r="Z370" s="19"/>
      <c r="AA370" s="19"/>
      <c r="AB370" s="19"/>
      <c r="AC370" s="81"/>
      <c r="AD370" s="18"/>
      <c r="AE370" s="25">
        <f>SUMIFS(инфо!$D$15:$D$28,инфо!$A$15:$A$28,F370)</f>
        <v>0</v>
      </c>
      <c r="AF370" s="35">
        <f t="shared" si="92"/>
        <v>0</v>
      </c>
      <c r="AG370" s="14">
        <f t="shared" si="88"/>
        <v>0</v>
      </c>
      <c r="AH370" s="25">
        <f>SUMIFS(инфо!$E$15:$E$28,инфо!$A$15:$A$28,F370)</f>
        <v>0</v>
      </c>
      <c r="AI370" s="32">
        <f t="shared" si="93"/>
        <v>0</v>
      </c>
      <c r="AJ370" s="14">
        <f t="shared" si="89"/>
        <v>0</v>
      </c>
      <c r="AK370" s="25">
        <f>SUMIFS(инфо!$F$15:$F$28,инфо!$A$15:$A$28,F370)</f>
        <v>0</v>
      </c>
      <c r="AL370" s="32">
        <f t="shared" si="94"/>
        <v>0</v>
      </c>
      <c r="AM370" s="14">
        <f t="shared" si="97"/>
        <v>0</v>
      </c>
      <c r="AN370" s="25">
        <f>SUMIFS(инфо!$G$15:$G$28,инфо!$A$15:$A$28,F370)</f>
        <v>0</v>
      </c>
      <c r="AO370" s="32">
        <f t="shared" si="95"/>
        <v>0</v>
      </c>
      <c r="AP370" s="14">
        <f t="shared" si="98"/>
        <v>0</v>
      </c>
      <c r="AQ370" s="25">
        <f>SUMIFS(инфо!$H$15:$H$28,инфо!$A$15:$A$28,F370)</f>
        <v>0</v>
      </c>
      <c r="AR370" s="26">
        <f t="shared" si="96"/>
        <v>0</v>
      </c>
      <c r="AS370" s="14">
        <f t="shared" si="99"/>
        <v>0</v>
      </c>
      <c r="AT370" s="25">
        <f>SUMIFS(инфо!$I$15:$I$28,инфо!$A$15:$A$28,F370)</f>
        <v>0</v>
      </c>
      <c r="AU370" s="35">
        <f t="shared" si="90"/>
        <v>0</v>
      </c>
      <c r="AV370" s="14">
        <f t="shared" si="100"/>
        <v>0</v>
      </c>
      <c r="AX370" s="69">
        <f>SUMIFS(инфо!$C$15:$C$28,инфо!$A$15:$A$28,F370)*H369</f>
        <v>0</v>
      </c>
    </row>
    <row r="371" spans="1:50" x14ac:dyDescent="0.25">
      <c r="A371" s="70">
        <f t="shared" si="91"/>
        <v>46249</v>
      </c>
      <c r="B371" s="78"/>
      <c r="C371" s="29"/>
      <c r="D371" s="30"/>
      <c r="E371" s="83"/>
      <c r="F371" s="28"/>
      <c r="G371" s="27"/>
      <c r="H371" s="20"/>
      <c r="I371" s="118">
        <f>IFERROR(H371*VLOOKUP(F371,инфо!$A$15:$C$28,3,FALSE)/1000,0)</f>
        <v>0</v>
      </c>
      <c r="J371" s="20"/>
      <c r="K371" s="20"/>
      <c r="L371" s="20"/>
      <c r="M371" s="20"/>
      <c r="N371" s="28"/>
      <c r="O371" s="27"/>
      <c r="P371" s="27"/>
      <c r="Q371" s="27"/>
      <c r="R371" s="27"/>
      <c r="S371" s="67">
        <f t="shared" si="101"/>
        <v>0</v>
      </c>
      <c r="T371" s="29"/>
      <c r="U371" s="30"/>
      <c r="V371" s="27"/>
      <c r="W371" s="81"/>
      <c r="X371" s="27"/>
      <c r="Y371" s="29"/>
      <c r="Z371" s="27"/>
      <c r="AA371" s="27"/>
      <c r="AB371" s="27"/>
      <c r="AC371" s="81"/>
      <c r="AD371" s="30"/>
      <c r="AE371" s="31">
        <f>SUMIFS(инфо!$D$15:$D$28,инфо!$A$15:$A$28,F371)</f>
        <v>0</v>
      </c>
      <c r="AF371" s="35">
        <f t="shared" si="92"/>
        <v>0</v>
      </c>
      <c r="AG371" s="33">
        <f t="shared" si="88"/>
        <v>0</v>
      </c>
      <c r="AH371" s="31">
        <f>SUMIFS(инфо!$E$15:$E$28,инфо!$A$15:$A$28,F371)</f>
        <v>0</v>
      </c>
      <c r="AI371" s="32">
        <f t="shared" si="93"/>
        <v>0</v>
      </c>
      <c r="AJ371" s="33">
        <f t="shared" si="89"/>
        <v>0</v>
      </c>
      <c r="AK371" s="31">
        <f>SUMIFS(инфо!$F$15:$F$28,инфо!$A$15:$A$28,F371)</f>
        <v>0</v>
      </c>
      <c r="AL371" s="32">
        <f t="shared" si="94"/>
        <v>0</v>
      </c>
      <c r="AM371" s="33">
        <f t="shared" si="97"/>
        <v>0</v>
      </c>
      <c r="AN371" s="31">
        <f>SUMIFS(инфо!$G$15:$G$28,инфо!$A$15:$A$28,F371)</f>
        <v>0</v>
      </c>
      <c r="AO371" s="32">
        <f t="shared" si="95"/>
        <v>0</v>
      </c>
      <c r="AP371" s="33">
        <f t="shared" si="98"/>
        <v>0</v>
      </c>
      <c r="AQ371" s="31">
        <f>SUMIFS(инфо!$H$15:$H$28,инфо!$A$15:$A$28,F371)</f>
        <v>0</v>
      </c>
      <c r="AR371" s="32">
        <f t="shared" si="96"/>
        <v>0</v>
      </c>
      <c r="AS371" s="33">
        <f t="shared" si="99"/>
        <v>0</v>
      </c>
      <c r="AT371" s="31">
        <f>SUMIFS(инфо!$I$15:$I$28,инфо!$A$15:$A$28,F371)</f>
        <v>0</v>
      </c>
      <c r="AU371" s="35">
        <f t="shared" si="90"/>
        <v>0</v>
      </c>
      <c r="AV371" s="33">
        <f t="shared" si="100"/>
        <v>0</v>
      </c>
      <c r="AX371" s="67">
        <f>SUMIFS(инфо!$C$15:$C$28,инфо!$A$15:$A$28,F371)*H370</f>
        <v>0</v>
      </c>
    </row>
    <row r="372" spans="1:50" x14ac:dyDescent="0.25">
      <c r="A372" s="70">
        <f t="shared" si="91"/>
        <v>46250</v>
      </c>
      <c r="B372" s="78"/>
      <c r="C372" s="15"/>
      <c r="D372" s="16"/>
      <c r="E372" s="83"/>
      <c r="F372" s="28"/>
      <c r="G372" s="34"/>
      <c r="H372" s="20"/>
      <c r="I372" s="118">
        <f>IFERROR(H372*VLOOKUP(F372,инфо!$A$15:$C$28,3,FALSE)/1000,0)</f>
        <v>0</v>
      </c>
      <c r="J372" s="20"/>
      <c r="K372" s="20"/>
      <c r="L372" s="20"/>
      <c r="M372" s="20"/>
      <c r="N372" s="20"/>
      <c r="O372" s="34"/>
      <c r="P372" s="34"/>
      <c r="Q372" s="34"/>
      <c r="R372" s="34"/>
      <c r="S372" s="68">
        <f t="shared" si="101"/>
        <v>0</v>
      </c>
      <c r="T372" s="15"/>
      <c r="U372" s="16"/>
      <c r="V372" s="34"/>
      <c r="W372" s="81"/>
      <c r="X372" s="34"/>
      <c r="Y372" s="15"/>
      <c r="Z372" s="34"/>
      <c r="AA372" s="34"/>
      <c r="AB372" s="34"/>
      <c r="AC372" s="81"/>
      <c r="AD372" s="16"/>
      <c r="AE372" s="24">
        <f>SUMIFS(инфо!$D$15:$D$28,инфо!$A$15:$A$28,F372)</f>
        <v>0</v>
      </c>
      <c r="AF372" s="35">
        <f t="shared" si="92"/>
        <v>0</v>
      </c>
      <c r="AG372" s="12">
        <f t="shared" si="88"/>
        <v>0</v>
      </c>
      <c r="AH372" s="24">
        <f>SUMIFS(инфо!$E$15:$E$28,инфо!$A$15:$A$28,F372)</f>
        <v>0</v>
      </c>
      <c r="AI372" s="32">
        <f t="shared" si="93"/>
        <v>0</v>
      </c>
      <c r="AJ372" s="12">
        <f t="shared" si="89"/>
        <v>0</v>
      </c>
      <c r="AK372" s="24">
        <f>SUMIFS(инфо!$F$15:$F$28,инфо!$A$15:$A$28,F372)</f>
        <v>0</v>
      </c>
      <c r="AL372" s="32">
        <f t="shared" si="94"/>
        <v>0</v>
      </c>
      <c r="AM372" s="12">
        <f t="shared" si="97"/>
        <v>0</v>
      </c>
      <c r="AN372" s="24">
        <f>SUMIFS(инфо!$G$15:$G$28,инфо!$A$15:$A$28,F372)</f>
        <v>0</v>
      </c>
      <c r="AO372" s="32">
        <f t="shared" si="95"/>
        <v>0</v>
      </c>
      <c r="AP372" s="12">
        <f t="shared" si="98"/>
        <v>0</v>
      </c>
      <c r="AQ372" s="24">
        <f>SUMIFS(инфо!$H$15:$H$28,инфо!$A$15:$A$28,F372)</f>
        <v>0</v>
      </c>
      <c r="AR372" s="35">
        <f t="shared" si="96"/>
        <v>0</v>
      </c>
      <c r="AS372" s="12">
        <f t="shared" si="99"/>
        <v>0</v>
      </c>
      <c r="AT372" s="24">
        <f>SUMIFS(инфо!$I$15:$I$28,инфо!$A$15:$A$28,F372)</f>
        <v>0</v>
      </c>
      <c r="AU372" s="35">
        <f t="shared" si="90"/>
        <v>0</v>
      </c>
      <c r="AV372" s="12">
        <f t="shared" si="100"/>
        <v>0</v>
      </c>
      <c r="AX372" s="68">
        <f>SUMIFS(инфо!$C$15:$C$28,инфо!$A$15:$A$28,F372)*H371</f>
        <v>0</v>
      </c>
    </row>
    <row r="373" spans="1:50" x14ac:dyDescent="0.25">
      <c r="A373" s="70">
        <f t="shared" si="91"/>
        <v>46250</v>
      </c>
      <c r="B373" s="78"/>
      <c r="C373" s="15"/>
      <c r="D373" s="16"/>
      <c r="E373" s="83"/>
      <c r="F373" s="28"/>
      <c r="G373" s="34"/>
      <c r="H373" s="23"/>
      <c r="I373" s="118">
        <f>IFERROR(H373*VLOOKUP(F373,инфо!$A$15:$C$28,3,FALSE)/1000,0)</f>
        <v>0</v>
      </c>
      <c r="J373" s="20"/>
      <c r="K373" s="20"/>
      <c r="L373" s="20"/>
      <c r="M373" s="20"/>
      <c r="N373" s="20"/>
      <c r="O373" s="34"/>
      <c r="P373" s="34"/>
      <c r="Q373" s="34"/>
      <c r="R373" s="34"/>
      <c r="S373" s="68">
        <f t="shared" si="101"/>
        <v>0</v>
      </c>
      <c r="T373" s="15"/>
      <c r="U373" s="16"/>
      <c r="V373" s="34"/>
      <c r="W373" s="81"/>
      <c r="X373" s="34"/>
      <c r="Y373" s="15"/>
      <c r="Z373" s="34"/>
      <c r="AA373" s="34"/>
      <c r="AB373" s="34"/>
      <c r="AC373" s="81"/>
      <c r="AD373" s="16"/>
      <c r="AE373" s="24">
        <f>SUMIFS(инфо!$D$15:$D$28,инфо!$A$15:$A$28,F373)</f>
        <v>0</v>
      </c>
      <c r="AF373" s="35">
        <f t="shared" si="92"/>
        <v>0</v>
      </c>
      <c r="AG373" s="12">
        <f t="shared" si="88"/>
        <v>0</v>
      </c>
      <c r="AH373" s="24">
        <f>SUMIFS(инфо!$E$15:$E$28,инфо!$A$15:$A$28,F373)</f>
        <v>0</v>
      </c>
      <c r="AI373" s="32">
        <f t="shared" si="93"/>
        <v>0</v>
      </c>
      <c r="AJ373" s="12">
        <f t="shared" si="89"/>
        <v>0</v>
      </c>
      <c r="AK373" s="24">
        <f>SUMIFS(инфо!$F$15:$F$28,инфо!$A$15:$A$28,F373)</f>
        <v>0</v>
      </c>
      <c r="AL373" s="32">
        <f t="shared" si="94"/>
        <v>0</v>
      </c>
      <c r="AM373" s="12">
        <f t="shared" si="97"/>
        <v>0</v>
      </c>
      <c r="AN373" s="24">
        <f>SUMIFS(инфо!$G$15:$G$28,инфо!$A$15:$A$28,F373)</f>
        <v>0</v>
      </c>
      <c r="AO373" s="32">
        <f t="shared" si="95"/>
        <v>0</v>
      </c>
      <c r="AP373" s="12">
        <f t="shared" si="98"/>
        <v>0</v>
      </c>
      <c r="AQ373" s="24">
        <f>SUMIFS(инфо!$H$15:$H$28,инфо!$A$15:$A$28,F373)</f>
        <v>0</v>
      </c>
      <c r="AR373" s="35">
        <f t="shared" si="96"/>
        <v>0</v>
      </c>
      <c r="AS373" s="12">
        <f t="shared" si="99"/>
        <v>0</v>
      </c>
      <c r="AT373" s="24">
        <f>SUMIFS(инфо!$I$15:$I$28,инфо!$A$15:$A$28,F373)</f>
        <v>0</v>
      </c>
      <c r="AU373" s="35">
        <f t="shared" si="90"/>
        <v>0</v>
      </c>
      <c r="AV373" s="12">
        <f t="shared" si="100"/>
        <v>0</v>
      </c>
      <c r="AX373" s="68">
        <f>SUMIFS(инфо!$C$15:$C$28,инфо!$A$15:$A$28,F373)*H372</f>
        <v>0</v>
      </c>
    </row>
    <row r="374" spans="1:50" x14ac:dyDescent="0.25">
      <c r="A374" s="70">
        <f t="shared" si="91"/>
        <v>46251</v>
      </c>
      <c r="B374" s="78"/>
      <c r="C374" s="17"/>
      <c r="D374" s="18"/>
      <c r="E374" s="83"/>
      <c r="F374" s="28"/>
      <c r="G374" s="19"/>
      <c r="H374" s="28"/>
      <c r="I374" s="118">
        <f>IFERROR(H374*VLOOKUP(F374,инфо!$A$15:$C$28,3,FALSE)/1000,0)</f>
        <v>0</v>
      </c>
      <c r="J374" s="20"/>
      <c r="K374" s="20"/>
      <c r="L374" s="20"/>
      <c r="M374" s="20"/>
      <c r="N374" s="23"/>
      <c r="O374" s="19"/>
      <c r="P374" s="19"/>
      <c r="Q374" s="19"/>
      <c r="R374" s="19"/>
      <c r="S374" s="69">
        <f t="shared" si="101"/>
        <v>0</v>
      </c>
      <c r="T374" s="17"/>
      <c r="U374" s="18"/>
      <c r="V374" s="19"/>
      <c r="W374" s="81"/>
      <c r="X374" s="19"/>
      <c r="Y374" s="17"/>
      <c r="Z374" s="19"/>
      <c r="AA374" s="19"/>
      <c r="AB374" s="19"/>
      <c r="AC374" s="81"/>
      <c r="AD374" s="18"/>
      <c r="AE374" s="25">
        <f>SUMIFS(инфо!$D$15:$D$28,инфо!$A$15:$A$28,F374)</f>
        <v>0</v>
      </c>
      <c r="AF374" s="35">
        <f t="shared" si="92"/>
        <v>0</v>
      </c>
      <c r="AG374" s="14">
        <f t="shared" si="88"/>
        <v>0</v>
      </c>
      <c r="AH374" s="25">
        <f>SUMIFS(инфо!$E$15:$E$28,инфо!$A$15:$A$28,F374)</f>
        <v>0</v>
      </c>
      <c r="AI374" s="32">
        <f t="shared" si="93"/>
        <v>0</v>
      </c>
      <c r="AJ374" s="14">
        <f t="shared" si="89"/>
        <v>0</v>
      </c>
      <c r="AK374" s="25">
        <f>SUMIFS(инфо!$F$15:$F$28,инфо!$A$15:$A$28,F374)</f>
        <v>0</v>
      </c>
      <c r="AL374" s="32">
        <f t="shared" si="94"/>
        <v>0</v>
      </c>
      <c r="AM374" s="14">
        <f t="shared" si="97"/>
        <v>0</v>
      </c>
      <c r="AN374" s="25">
        <f>SUMIFS(инфо!$G$15:$G$28,инфо!$A$15:$A$28,F374)</f>
        <v>0</v>
      </c>
      <c r="AO374" s="32">
        <f t="shared" si="95"/>
        <v>0</v>
      </c>
      <c r="AP374" s="14">
        <f t="shared" si="98"/>
        <v>0</v>
      </c>
      <c r="AQ374" s="25">
        <f>SUMIFS(инфо!$H$15:$H$28,инфо!$A$15:$A$28,F374)</f>
        <v>0</v>
      </c>
      <c r="AR374" s="26">
        <f t="shared" si="96"/>
        <v>0</v>
      </c>
      <c r="AS374" s="14">
        <f t="shared" si="99"/>
        <v>0</v>
      </c>
      <c r="AT374" s="25">
        <f>SUMIFS(инфо!$I$15:$I$28,инфо!$A$15:$A$28,F374)</f>
        <v>0</v>
      </c>
      <c r="AU374" s="35">
        <f t="shared" si="90"/>
        <v>0</v>
      </c>
      <c r="AV374" s="14">
        <f t="shared" si="100"/>
        <v>0</v>
      </c>
      <c r="AX374" s="69">
        <f>SUMIFS(инфо!$C$15:$C$28,инфо!$A$15:$A$28,F374)*H373</f>
        <v>0</v>
      </c>
    </row>
    <row r="375" spans="1:50" x14ac:dyDescent="0.25">
      <c r="A375" s="70">
        <f t="shared" si="91"/>
        <v>46251</v>
      </c>
      <c r="B375" s="78"/>
      <c r="C375" s="29"/>
      <c r="D375" s="30"/>
      <c r="E375" s="83"/>
      <c r="F375" s="28"/>
      <c r="G375" s="27"/>
      <c r="H375" s="20"/>
      <c r="I375" s="118">
        <f>IFERROR(H375*VLOOKUP(F375,инфо!$A$15:$C$28,3,FALSE)/1000,0)</f>
        <v>0</v>
      </c>
      <c r="J375" s="20"/>
      <c r="K375" s="20"/>
      <c r="L375" s="20"/>
      <c r="M375" s="20"/>
      <c r="N375" s="28"/>
      <c r="O375" s="27"/>
      <c r="P375" s="27"/>
      <c r="Q375" s="27"/>
      <c r="R375" s="27"/>
      <c r="S375" s="67">
        <f t="shared" si="101"/>
        <v>0</v>
      </c>
      <c r="T375" s="29"/>
      <c r="U375" s="30"/>
      <c r="V375" s="27"/>
      <c r="W375" s="81"/>
      <c r="X375" s="27"/>
      <c r="Y375" s="29"/>
      <c r="Z375" s="27"/>
      <c r="AA375" s="27"/>
      <c r="AB375" s="27"/>
      <c r="AC375" s="81"/>
      <c r="AD375" s="30"/>
      <c r="AE375" s="31">
        <f>SUMIFS(инфо!$D$15:$D$28,инфо!$A$15:$A$28,F375)</f>
        <v>0</v>
      </c>
      <c r="AF375" s="35">
        <f t="shared" si="92"/>
        <v>0</v>
      </c>
      <c r="AG375" s="33">
        <f t="shared" si="88"/>
        <v>0</v>
      </c>
      <c r="AH375" s="31">
        <f>SUMIFS(инфо!$E$15:$E$28,инфо!$A$15:$A$28,F375)</f>
        <v>0</v>
      </c>
      <c r="AI375" s="32">
        <f t="shared" si="93"/>
        <v>0</v>
      </c>
      <c r="AJ375" s="33">
        <f t="shared" si="89"/>
        <v>0</v>
      </c>
      <c r="AK375" s="31">
        <f>SUMIFS(инфо!$F$15:$F$28,инфо!$A$15:$A$28,F375)</f>
        <v>0</v>
      </c>
      <c r="AL375" s="32">
        <f t="shared" si="94"/>
        <v>0</v>
      </c>
      <c r="AM375" s="33">
        <f t="shared" si="97"/>
        <v>0</v>
      </c>
      <c r="AN375" s="31">
        <f>SUMIFS(инфо!$G$15:$G$28,инфо!$A$15:$A$28,F375)</f>
        <v>0</v>
      </c>
      <c r="AO375" s="32">
        <f t="shared" si="95"/>
        <v>0</v>
      </c>
      <c r="AP375" s="33">
        <f t="shared" si="98"/>
        <v>0</v>
      </c>
      <c r="AQ375" s="31">
        <f>SUMIFS(инфо!$H$15:$H$28,инфо!$A$15:$A$28,F375)</f>
        <v>0</v>
      </c>
      <c r="AR375" s="32">
        <f t="shared" si="96"/>
        <v>0</v>
      </c>
      <c r="AS375" s="33">
        <f t="shared" si="99"/>
        <v>0</v>
      </c>
      <c r="AT375" s="31">
        <f>SUMIFS(инфо!$I$15:$I$28,инфо!$A$15:$A$28,F375)</f>
        <v>0</v>
      </c>
      <c r="AU375" s="35">
        <f t="shared" si="90"/>
        <v>0</v>
      </c>
      <c r="AV375" s="33">
        <f t="shared" si="100"/>
        <v>0</v>
      </c>
      <c r="AX375" s="67">
        <f>SUMIFS(инфо!$C$15:$C$28,инфо!$A$15:$A$28,F375)*H374</f>
        <v>0</v>
      </c>
    </row>
    <row r="376" spans="1:50" x14ac:dyDescent="0.25">
      <c r="A376" s="70">
        <f t="shared" si="91"/>
        <v>46252</v>
      </c>
      <c r="B376" s="78"/>
      <c r="C376" s="15"/>
      <c r="D376" s="16"/>
      <c r="E376" s="83"/>
      <c r="F376" s="28"/>
      <c r="G376" s="34"/>
      <c r="H376" s="20"/>
      <c r="I376" s="118">
        <f>IFERROR(H376*VLOOKUP(F376,инфо!$A$15:$C$28,3,FALSE)/1000,0)</f>
        <v>0</v>
      </c>
      <c r="J376" s="20"/>
      <c r="K376" s="20"/>
      <c r="L376" s="20"/>
      <c r="M376" s="20"/>
      <c r="N376" s="20"/>
      <c r="O376" s="34"/>
      <c r="P376" s="34"/>
      <c r="Q376" s="34"/>
      <c r="R376" s="34"/>
      <c r="S376" s="68">
        <f t="shared" si="101"/>
        <v>0</v>
      </c>
      <c r="T376" s="15"/>
      <c r="U376" s="16"/>
      <c r="V376" s="34"/>
      <c r="W376" s="81"/>
      <c r="X376" s="34"/>
      <c r="Y376" s="15"/>
      <c r="Z376" s="34"/>
      <c r="AA376" s="34"/>
      <c r="AB376" s="34"/>
      <c r="AC376" s="81"/>
      <c r="AD376" s="16"/>
      <c r="AE376" s="24">
        <f>SUMIFS(инфо!$D$15:$D$28,инфо!$A$15:$A$28,F376)</f>
        <v>0</v>
      </c>
      <c r="AF376" s="35">
        <f t="shared" si="92"/>
        <v>0</v>
      </c>
      <c r="AG376" s="12">
        <f t="shared" si="88"/>
        <v>0</v>
      </c>
      <c r="AH376" s="24">
        <f>SUMIFS(инфо!$E$15:$E$28,инфо!$A$15:$A$28,F376)</f>
        <v>0</v>
      </c>
      <c r="AI376" s="32">
        <f t="shared" si="93"/>
        <v>0</v>
      </c>
      <c r="AJ376" s="12">
        <f t="shared" si="89"/>
        <v>0</v>
      </c>
      <c r="AK376" s="24">
        <f>SUMIFS(инфо!$F$15:$F$28,инфо!$A$15:$A$28,F376)</f>
        <v>0</v>
      </c>
      <c r="AL376" s="32">
        <f t="shared" si="94"/>
        <v>0</v>
      </c>
      <c r="AM376" s="12">
        <f t="shared" si="97"/>
        <v>0</v>
      </c>
      <c r="AN376" s="24">
        <f>SUMIFS(инфо!$G$15:$G$28,инфо!$A$15:$A$28,F376)</f>
        <v>0</v>
      </c>
      <c r="AO376" s="32">
        <f t="shared" si="95"/>
        <v>0</v>
      </c>
      <c r="AP376" s="12">
        <f t="shared" si="98"/>
        <v>0</v>
      </c>
      <c r="AQ376" s="24">
        <f>SUMIFS(инфо!$H$15:$H$28,инфо!$A$15:$A$28,F376)</f>
        <v>0</v>
      </c>
      <c r="AR376" s="35">
        <f t="shared" si="96"/>
        <v>0</v>
      </c>
      <c r="AS376" s="12">
        <f t="shared" si="99"/>
        <v>0</v>
      </c>
      <c r="AT376" s="24">
        <f>SUMIFS(инфо!$I$15:$I$28,инфо!$A$15:$A$28,F376)</f>
        <v>0</v>
      </c>
      <c r="AU376" s="35">
        <f t="shared" si="90"/>
        <v>0</v>
      </c>
      <c r="AV376" s="12">
        <f t="shared" si="100"/>
        <v>0</v>
      </c>
      <c r="AX376" s="68">
        <f>SUMIFS(инфо!$C$15:$C$28,инфо!$A$15:$A$28,F376)*H375</f>
        <v>0</v>
      </c>
    </row>
    <row r="377" spans="1:50" x14ac:dyDescent="0.25">
      <c r="A377" s="70">
        <f t="shared" si="91"/>
        <v>46252</v>
      </c>
      <c r="B377" s="78"/>
      <c r="C377" s="15"/>
      <c r="D377" s="16"/>
      <c r="E377" s="83"/>
      <c r="F377" s="28"/>
      <c r="G377" s="34"/>
      <c r="H377" s="23"/>
      <c r="I377" s="118">
        <f>IFERROR(H377*VLOOKUP(F377,инфо!$A$15:$C$28,3,FALSE)/1000,0)</f>
        <v>0</v>
      </c>
      <c r="J377" s="20"/>
      <c r="K377" s="20"/>
      <c r="L377" s="20"/>
      <c r="M377" s="20"/>
      <c r="N377" s="20"/>
      <c r="O377" s="34"/>
      <c r="P377" s="34"/>
      <c r="Q377" s="34"/>
      <c r="R377" s="34"/>
      <c r="S377" s="68">
        <f t="shared" si="101"/>
        <v>0</v>
      </c>
      <c r="T377" s="15"/>
      <c r="U377" s="16"/>
      <c r="V377" s="34"/>
      <c r="W377" s="81"/>
      <c r="X377" s="34"/>
      <c r="Y377" s="15"/>
      <c r="Z377" s="34"/>
      <c r="AA377" s="34"/>
      <c r="AB377" s="34"/>
      <c r="AC377" s="81"/>
      <c r="AD377" s="16"/>
      <c r="AE377" s="24">
        <f>SUMIFS(инфо!$D$15:$D$28,инфо!$A$15:$A$28,F377)</f>
        <v>0</v>
      </c>
      <c r="AF377" s="35">
        <f t="shared" si="92"/>
        <v>0</v>
      </c>
      <c r="AG377" s="12">
        <f t="shared" si="88"/>
        <v>0</v>
      </c>
      <c r="AH377" s="24">
        <f>SUMIFS(инфо!$E$15:$E$28,инфо!$A$15:$A$28,F377)</f>
        <v>0</v>
      </c>
      <c r="AI377" s="32">
        <f t="shared" si="93"/>
        <v>0</v>
      </c>
      <c r="AJ377" s="12">
        <f t="shared" si="89"/>
        <v>0</v>
      </c>
      <c r="AK377" s="24">
        <f>SUMIFS(инфо!$F$15:$F$28,инфо!$A$15:$A$28,F377)</f>
        <v>0</v>
      </c>
      <c r="AL377" s="32">
        <f t="shared" si="94"/>
        <v>0</v>
      </c>
      <c r="AM377" s="12">
        <f t="shared" si="97"/>
        <v>0</v>
      </c>
      <c r="AN377" s="24">
        <f>SUMIFS(инфо!$G$15:$G$28,инфо!$A$15:$A$28,F377)</f>
        <v>0</v>
      </c>
      <c r="AO377" s="32">
        <f t="shared" si="95"/>
        <v>0</v>
      </c>
      <c r="AP377" s="12">
        <f t="shared" si="98"/>
        <v>0</v>
      </c>
      <c r="AQ377" s="24">
        <f>SUMIFS(инфо!$H$15:$H$28,инфо!$A$15:$A$28,F377)</f>
        <v>0</v>
      </c>
      <c r="AR377" s="35">
        <f t="shared" si="96"/>
        <v>0</v>
      </c>
      <c r="AS377" s="12">
        <f t="shared" si="99"/>
        <v>0</v>
      </c>
      <c r="AT377" s="24">
        <f>SUMIFS(инфо!$I$15:$I$28,инфо!$A$15:$A$28,F377)</f>
        <v>0</v>
      </c>
      <c r="AU377" s="35">
        <f t="shared" si="90"/>
        <v>0</v>
      </c>
      <c r="AV377" s="12">
        <f t="shared" si="100"/>
        <v>0</v>
      </c>
      <c r="AX377" s="68">
        <f>SUMIFS(инфо!$C$15:$C$28,инфо!$A$15:$A$28,F377)*H376</f>
        <v>0</v>
      </c>
    </row>
    <row r="378" spans="1:50" x14ac:dyDescent="0.25">
      <c r="A378" s="70">
        <f t="shared" si="91"/>
        <v>46253</v>
      </c>
      <c r="B378" s="78"/>
      <c r="C378" s="17"/>
      <c r="D378" s="18"/>
      <c r="E378" s="83"/>
      <c r="F378" s="28"/>
      <c r="G378" s="19"/>
      <c r="H378" s="28"/>
      <c r="I378" s="118">
        <f>IFERROR(H378*VLOOKUP(F378,инфо!$A$15:$C$28,3,FALSE)/1000,0)</f>
        <v>0</v>
      </c>
      <c r="J378" s="20"/>
      <c r="K378" s="20"/>
      <c r="L378" s="20"/>
      <c r="M378" s="20"/>
      <c r="N378" s="23"/>
      <c r="O378" s="19"/>
      <c r="P378" s="19"/>
      <c r="Q378" s="19"/>
      <c r="R378" s="19"/>
      <c r="S378" s="69">
        <f t="shared" si="101"/>
        <v>0</v>
      </c>
      <c r="T378" s="17"/>
      <c r="U378" s="18"/>
      <c r="V378" s="19"/>
      <c r="W378" s="81"/>
      <c r="X378" s="19"/>
      <c r="Y378" s="17"/>
      <c r="Z378" s="19"/>
      <c r="AA378" s="19"/>
      <c r="AB378" s="19"/>
      <c r="AC378" s="81"/>
      <c r="AD378" s="18"/>
      <c r="AE378" s="25">
        <f>SUMIFS(инфо!$D$15:$D$28,инфо!$A$15:$A$28,F378)</f>
        <v>0</v>
      </c>
      <c r="AF378" s="35">
        <f t="shared" si="92"/>
        <v>0</v>
      </c>
      <c r="AG378" s="14">
        <f t="shared" si="88"/>
        <v>0</v>
      </c>
      <c r="AH378" s="25">
        <f>SUMIFS(инфо!$E$15:$E$28,инфо!$A$15:$A$28,F378)</f>
        <v>0</v>
      </c>
      <c r="AI378" s="32">
        <f t="shared" si="93"/>
        <v>0</v>
      </c>
      <c r="AJ378" s="14">
        <f t="shared" si="89"/>
        <v>0</v>
      </c>
      <c r="AK378" s="25">
        <f>SUMIFS(инфо!$F$15:$F$28,инфо!$A$15:$A$28,F378)</f>
        <v>0</v>
      </c>
      <c r="AL378" s="32">
        <f t="shared" si="94"/>
        <v>0</v>
      </c>
      <c r="AM378" s="14">
        <f t="shared" si="97"/>
        <v>0</v>
      </c>
      <c r="AN378" s="25">
        <f>SUMIFS(инфо!$G$15:$G$28,инфо!$A$15:$A$28,F378)</f>
        <v>0</v>
      </c>
      <c r="AO378" s="32">
        <f t="shared" si="95"/>
        <v>0</v>
      </c>
      <c r="AP378" s="14">
        <f t="shared" si="98"/>
        <v>0</v>
      </c>
      <c r="AQ378" s="25">
        <f>SUMIFS(инфо!$H$15:$H$28,инфо!$A$15:$A$28,F378)</f>
        <v>0</v>
      </c>
      <c r="AR378" s="26">
        <f t="shared" si="96"/>
        <v>0</v>
      </c>
      <c r="AS378" s="14">
        <f t="shared" si="99"/>
        <v>0</v>
      </c>
      <c r="AT378" s="25">
        <f>SUMIFS(инфо!$I$15:$I$28,инфо!$A$15:$A$28,F378)</f>
        <v>0</v>
      </c>
      <c r="AU378" s="35">
        <f t="shared" si="90"/>
        <v>0</v>
      </c>
      <c r="AV378" s="14">
        <f t="shared" si="100"/>
        <v>0</v>
      </c>
      <c r="AX378" s="69">
        <f>SUMIFS(инфо!$C$15:$C$28,инфо!$A$15:$A$28,F378)*H377</f>
        <v>0</v>
      </c>
    </row>
    <row r="379" spans="1:50" x14ac:dyDescent="0.25">
      <c r="A379" s="70">
        <f t="shared" si="91"/>
        <v>46253</v>
      </c>
      <c r="B379" s="78"/>
      <c r="C379" s="29"/>
      <c r="D379" s="30"/>
      <c r="E379" s="83"/>
      <c r="F379" s="28"/>
      <c r="G379" s="27"/>
      <c r="H379" s="20"/>
      <c r="I379" s="118">
        <f>IFERROR(H379*VLOOKUP(F379,инфо!$A$15:$C$28,3,FALSE)/1000,0)</f>
        <v>0</v>
      </c>
      <c r="J379" s="20"/>
      <c r="K379" s="20"/>
      <c r="L379" s="20"/>
      <c r="M379" s="20"/>
      <c r="N379" s="28"/>
      <c r="O379" s="27"/>
      <c r="P379" s="27"/>
      <c r="Q379" s="27"/>
      <c r="R379" s="27"/>
      <c r="S379" s="67">
        <f t="shared" si="101"/>
        <v>0</v>
      </c>
      <c r="T379" s="29"/>
      <c r="U379" s="30"/>
      <c r="V379" s="27"/>
      <c r="W379" s="81"/>
      <c r="X379" s="27"/>
      <c r="Y379" s="29"/>
      <c r="Z379" s="27"/>
      <c r="AA379" s="27"/>
      <c r="AB379" s="27"/>
      <c r="AC379" s="81"/>
      <c r="AD379" s="30"/>
      <c r="AE379" s="31">
        <f>SUMIFS(инфо!$D$15:$D$28,инфо!$A$15:$A$28,F379)</f>
        <v>0</v>
      </c>
      <c r="AF379" s="35">
        <f t="shared" si="92"/>
        <v>0</v>
      </c>
      <c r="AG379" s="33">
        <f t="shared" si="88"/>
        <v>0</v>
      </c>
      <c r="AH379" s="31">
        <f>SUMIFS(инфо!$E$15:$E$28,инфо!$A$15:$A$28,F379)</f>
        <v>0</v>
      </c>
      <c r="AI379" s="32">
        <f t="shared" si="93"/>
        <v>0</v>
      </c>
      <c r="AJ379" s="33">
        <f t="shared" si="89"/>
        <v>0</v>
      </c>
      <c r="AK379" s="31">
        <f>SUMIFS(инфо!$F$15:$F$28,инфо!$A$15:$A$28,F379)</f>
        <v>0</v>
      </c>
      <c r="AL379" s="32">
        <f t="shared" si="94"/>
        <v>0</v>
      </c>
      <c r="AM379" s="33">
        <f t="shared" si="97"/>
        <v>0</v>
      </c>
      <c r="AN379" s="31">
        <f>SUMIFS(инфо!$G$15:$G$28,инфо!$A$15:$A$28,F379)</f>
        <v>0</v>
      </c>
      <c r="AO379" s="32">
        <f t="shared" si="95"/>
        <v>0</v>
      </c>
      <c r="AP379" s="33">
        <f t="shared" si="98"/>
        <v>0</v>
      </c>
      <c r="AQ379" s="31">
        <f>SUMIFS(инфо!$H$15:$H$28,инфо!$A$15:$A$28,F379)</f>
        <v>0</v>
      </c>
      <c r="AR379" s="32">
        <f t="shared" si="96"/>
        <v>0</v>
      </c>
      <c r="AS379" s="33">
        <f t="shared" si="99"/>
        <v>0</v>
      </c>
      <c r="AT379" s="31">
        <f>SUMIFS(инфо!$I$15:$I$28,инфо!$A$15:$A$28,F379)</f>
        <v>0</v>
      </c>
      <c r="AU379" s="35">
        <f t="shared" si="90"/>
        <v>0</v>
      </c>
      <c r="AV379" s="33">
        <f t="shared" si="100"/>
        <v>0</v>
      </c>
      <c r="AX379" s="67">
        <f>SUMIFS(инфо!$C$15:$C$28,инфо!$A$15:$A$28,F379)*H378</f>
        <v>0</v>
      </c>
    </row>
    <row r="380" spans="1:50" x14ac:dyDescent="0.25">
      <c r="A380" s="70">
        <f t="shared" si="91"/>
        <v>46254</v>
      </c>
      <c r="B380" s="78"/>
      <c r="C380" s="15"/>
      <c r="D380" s="16"/>
      <c r="E380" s="83"/>
      <c r="F380" s="28"/>
      <c r="G380" s="34"/>
      <c r="H380" s="20"/>
      <c r="I380" s="118">
        <f>IFERROR(H380*VLOOKUP(F380,инфо!$A$15:$C$28,3,FALSE)/1000,0)</f>
        <v>0</v>
      </c>
      <c r="J380" s="20"/>
      <c r="K380" s="20"/>
      <c r="L380" s="20"/>
      <c r="M380" s="20"/>
      <c r="N380" s="20"/>
      <c r="O380" s="34"/>
      <c r="P380" s="34"/>
      <c r="Q380" s="34"/>
      <c r="R380" s="34"/>
      <c r="S380" s="68">
        <f t="shared" si="101"/>
        <v>0</v>
      </c>
      <c r="T380" s="15"/>
      <c r="U380" s="16"/>
      <c r="V380" s="34"/>
      <c r="W380" s="81"/>
      <c r="X380" s="34"/>
      <c r="Y380" s="15"/>
      <c r="Z380" s="34"/>
      <c r="AA380" s="34"/>
      <c r="AB380" s="34"/>
      <c r="AC380" s="81"/>
      <c r="AD380" s="16"/>
      <c r="AE380" s="24">
        <f>SUMIFS(инфо!$D$15:$D$28,инфо!$A$15:$A$28,F380)</f>
        <v>0</v>
      </c>
      <c r="AF380" s="35">
        <f t="shared" si="92"/>
        <v>0</v>
      </c>
      <c r="AG380" s="12">
        <f t="shared" si="88"/>
        <v>0</v>
      </c>
      <c r="AH380" s="24">
        <f>SUMIFS(инфо!$E$15:$E$28,инфо!$A$15:$A$28,F380)</f>
        <v>0</v>
      </c>
      <c r="AI380" s="32">
        <f t="shared" si="93"/>
        <v>0</v>
      </c>
      <c r="AJ380" s="12">
        <f t="shared" si="89"/>
        <v>0</v>
      </c>
      <c r="AK380" s="24">
        <f>SUMIFS(инфо!$F$15:$F$28,инфо!$A$15:$A$28,F380)</f>
        <v>0</v>
      </c>
      <c r="AL380" s="32">
        <f t="shared" si="94"/>
        <v>0</v>
      </c>
      <c r="AM380" s="12">
        <f t="shared" si="97"/>
        <v>0</v>
      </c>
      <c r="AN380" s="24">
        <f>SUMIFS(инфо!$G$15:$G$28,инфо!$A$15:$A$28,F380)</f>
        <v>0</v>
      </c>
      <c r="AO380" s="32">
        <f t="shared" si="95"/>
        <v>0</v>
      </c>
      <c r="AP380" s="12">
        <f t="shared" si="98"/>
        <v>0</v>
      </c>
      <c r="AQ380" s="24">
        <f>SUMIFS(инфо!$H$15:$H$28,инфо!$A$15:$A$28,F380)</f>
        <v>0</v>
      </c>
      <c r="AR380" s="35">
        <f t="shared" si="96"/>
        <v>0</v>
      </c>
      <c r="AS380" s="12">
        <f t="shared" si="99"/>
        <v>0</v>
      </c>
      <c r="AT380" s="24">
        <f>SUMIFS(инфо!$I$15:$I$28,инфо!$A$15:$A$28,F380)</f>
        <v>0</v>
      </c>
      <c r="AU380" s="35">
        <f t="shared" si="90"/>
        <v>0</v>
      </c>
      <c r="AV380" s="12">
        <f t="shared" si="100"/>
        <v>0</v>
      </c>
      <c r="AX380" s="68">
        <f>SUMIFS(инфо!$C$15:$C$28,инфо!$A$15:$A$28,F380)*H379</f>
        <v>0</v>
      </c>
    </row>
    <row r="381" spans="1:50" x14ac:dyDescent="0.25">
      <c r="A381" s="70">
        <f t="shared" si="91"/>
        <v>46254</v>
      </c>
      <c r="B381" s="78"/>
      <c r="C381" s="15"/>
      <c r="D381" s="16"/>
      <c r="E381" s="83"/>
      <c r="F381" s="28"/>
      <c r="G381" s="34"/>
      <c r="H381" s="23"/>
      <c r="I381" s="118">
        <f>IFERROR(H381*VLOOKUP(F381,инфо!$A$15:$C$28,3,FALSE)/1000,0)</f>
        <v>0</v>
      </c>
      <c r="J381" s="20"/>
      <c r="K381" s="20"/>
      <c r="L381" s="20"/>
      <c r="M381" s="20"/>
      <c r="N381" s="20"/>
      <c r="O381" s="34"/>
      <c r="P381" s="34"/>
      <c r="Q381" s="34"/>
      <c r="R381" s="34"/>
      <c r="S381" s="68">
        <f t="shared" si="101"/>
        <v>0</v>
      </c>
      <c r="T381" s="15"/>
      <c r="U381" s="16"/>
      <c r="V381" s="34"/>
      <c r="W381" s="81"/>
      <c r="X381" s="34"/>
      <c r="Y381" s="15"/>
      <c r="Z381" s="34"/>
      <c r="AA381" s="34"/>
      <c r="AB381" s="34"/>
      <c r="AC381" s="81"/>
      <c r="AD381" s="16"/>
      <c r="AE381" s="24">
        <f>SUMIFS(инфо!$D$15:$D$28,инфо!$A$15:$A$28,F381)</f>
        <v>0</v>
      </c>
      <c r="AF381" s="35">
        <f t="shared" si="92"/>
        <v>0</v>
      </c>
      <c r="AG381" s="12">
        <f t="shared" ref="AG381:AG444" si="102">AF381-AE381</f>
        <v>0</v>
      </c>
      <c r="AH381" s="24">
        <f>SUMIFS(инфо!$E$15:$E$28,инфо!$A$15:$A$28,F381)</f>
        <v>0</v>
      </c>
      <c r="AI381" s="32">
        <f t="shared" si="93"/>
        <v>0</v>
      </c>
      <c r="AJ381" s="12">
        <f t="shared" ref="AJ381:AJ444" si="103">AI381-AH381</f>
        <v>0</v>
      </c>
      <c r="AK381" s="24">
        <f>SUMIFS(инфо!$F$15:$F$28,инфо!$A$15:$A$28,F381)</f>
        <v>0</v>
      </c>
      <c r="AL381" s="32">
        <f t="shared" si="94"/>
        <v>0</v>
      </c>
      <c r="AM381" s="12">
        <f t="shared" si="97"/>
        <v>0</v>
      </c>
      <c r="AN381" s="24">
        <f>SUMIFS(инфо!$G$15:$G$28,инфо!$A$15:$A$28,F381)</f>
        <v>0</v>
      </c>
      <c r="AO381" s="32">
        <f t="shared" si="95"/>
        <v>0</v>
      </c>
      <c r="AP381" s="12">
        <f t="shared" si="98"/>
        <v>0</v>
      </c>
      <c r="AQ381" s="24">
        <f>SUMIFS(инфо!$H$15:$H$28,инфо!$A$15:$A$28,F381)</f>
        <v>0</v>
      </c>
      <c r="AR381" s="35">
        <f t="shared" si="96"/>
        <v>0</v>
      </c>
      <c r="AS381" s="12">
        <f t="shared" si="99"/>
        <v>0</v>
      </c>
      <c r="AT381" s="24">
        <f>SUMIFS(инфо!$I$15:$I$28,инфо!$A$15:$A$28,F381)</f>
        <v>0</v>
      </c>
      <c r="AU381" s="35">
        <f t="shared" si="90"/>
        <v>0</v>
      </c>
      <c r="AV381" s="12">
        <f t="shared" si="100"/>
        <v>0</v>
      </c>
      <c r="AX381" s="68">
        <f>SUMIFS(инфо!$C$15:$C$28,инфо!$A$15:$A$28,F381)*H380</f>
        <v>0</v>
      </c>
    </row>
    <row r="382" spans="1:50" x14ac:dyDescent="0.25">
      <c r="A382" s="70">
        <f t="shared" si="91"/>
        <v>46255</v>
      </c>
      <c r="B382" s="78"/>
      <c r="C382" s="17"/>
      <c r="D382" s="18"/>
      <c r="E382" s="83"/>
      <c r="F382" s="28"/>
      <c r="G382" s="19"/>
      <c r="H382" s="28"/>
      <c r="I382" s="118">
        <f>IFERROR(H382*VLOOKUP(F382,инфо!$A$15:$C$28,3,FALSE)/1000,0)</f>
        <v>0</v>
      </c>
      <c r="J382" s="20"/>
      <c r="K382" s="20"/>
      <c r="L382" s="20"/>
      <c r="M382" s="20"/>
      <c r="N382" s="23"/>
      <c r="O382" s="19"/>
      <c r="P382" s="19"/>
      <c r="Q382" s="19"/>
      <c r="R382" s="19"/>
      <c r="S382" s="69">
        <f t="shared" si="101"/>
        <v>0</v>
      </c>
      <c r="T382" s="17"/>
      <c r="U382" s="18"/>
      <c r="V382" s="19"/>
      <c r="W382" s="81"/>
      <c r="X382" s="19"/>
      <c r="Y382" s="17"/>
      <c r="Z382" s="19"/>
      <c r="AA382" s="19"/>
      <c r="AB382" s="19"/>
      <c r="AC382" s="81"/>
      <c r="AD382" s="18"/>
      <c r="AE382" s="25">
        <f>SUMIFS(инфо!$D$15:$D$28,инфо!$A$15:$A$28,F382)</f>
        <v>0</v>
      </c>
      <c r="AF382" s="35">
        <f t="shared" si="92"/>
        <v>0</v>
      </c>
      <c r="AG382" s="14">
        <f t="shared" si="102"/>
        <v>0</v>
      </c>
      <c r="AH382" s="25">
        <f>SUMIFS(инфо!$E$15:$E$28,инфо!$A$15:$A$28,F382)</f>
        <v>0</v>
      </c>
      <c r="AI382" s="32">
        <f t="shared" si="93"/>
        <v>0</v>
      </c>
      <c r="AJ382" s="14">
        <f t="shared" si="103"/>
        <v>0</v>
      </c>
      <c r="AK382" s="25">
        <f>SUMIFS(инфо!$F$15:$F$28,инфо!$A$15:$A$28,F382)</f>
        <v>0</v>
      </c>
      <c r="AL382" s="32">
        <f t="shared" si="94"/>
        <v>0</v>
      </c>
      <c r="AM382" s="14">
        <f t="shared" si="97"/>
        <v>0</v>
      </c>
      <c r="AN382" s="25">
        <f>SUMIFS(инфо!$G$15:$G$28,инфо!$A$15:$A$28,F382)</f>
        <v>0</v>
      </c>
      <c r="AO382" s="32">
        <f t="shared" si="95"/>
        <v>0</v>
      </c>
      <c r="AP382" s="14">
        <f t="shared" si="98"/>
        <v>0</v>
      </c>
      <c r="AQ382" s="25">
        <f>SUMIFS(инфо!$H$15:$H$28,инфо!$A$15:$A$28,F382)</f>
        <v>0</v>
      </c>
      <c r="AR382" s="26">
        <f t="shared" si="96"/>
        <v>0</v>
      </c>
      <c r="AS382" s="14">
        <f t="shared" si="99"/>
        <v>0</v>
      </c>
      <c r="AT382" s="25">
        <f>SUMIFS(инфо!$I$15:$I$28,инфо!$A$15:$A$28,F382)</f>
        <v>0</v>
      </c>
      <c r="AU382" s="35">
        <f t="shared" si="90"/>
        <v>0</v>
      </c>
      <c r="AV382" s="14">
        <f t="shared" si="100"/>
        <v>0</v>
      </c>
      <c r="AX382" s="69">
        <f>SUMIFS(инфо!$C$15:$C$28,инфо!$A$15:$A$28,F382)*H381</f>
        <v>0</v>
      </c>
    </row>
    <row r="383" spans="1:50" x14ac:dyDescent="0.25">
      <c r="A383" s="70">
        <f t="shared" si="91"/>
        <v>46255</v>
      </c>
      <c r="B383" s="78"/>
      <c r="C383" s="29"/>
      <c r="D383" s="30"/>
      <c r="E383" s="83"/>
      <c r="F383" s="28"/>
      <c r="G383" s="27"/>
      <c r="H383" s="20"/>
      <c r="I383" s="118">
        <f>IFERROR(H383*VLOOKUP(F383,инфо!$A$15:$C$28,3,FALSE)/1000,0)</f>
        <v>0</v>
      </c>
      <c r="J383" s="20"/>
      <c r="K383" s="20"/>
      <c r="L383" s="20"/>
      <c r="M383" s="20"/>
      <c r="N383" s="28"/>
      <c r="O383" s="27"/>
      <c r="P383" s="27"/>
      <c r="Q383" s="27"/>
      <c r="R383" s="27"/>
      <c r="S383" s="67">
        <f t="shared" si="101"/>
        <v>0</v>
      </c>
      <c r="T383" s="29"/>
      <c r="U383" s="30"/>
      <c r="V383" s="27"/>
      <c r="W383" s="81"/>
      <c r="X383" s="27"/>
      <c r="Y383" s="29"/>
      <c r="Z383" s="27"/>
      <c r="AA383" s="27"/>
      <c r="AB383" s="27"/>
      <c r="AC383" s="81"/>
      <c r="AD383" s="30"/>
      <c r="AE383" s="31">
        <f>SUMIFS(инфо!$D$15:$D$28,инфо!$A$15:$A$28,F383)</f>
        <v>0</v>
      </c>
      <c r="AF383" s="35">
        <f t="shared" si="92"/>
        <v>0</v>
      </c>
      <c r="AG383" s="33">
        <f t="shared" si="102"/>
        <v>0</v>
      </c>
      <c r="AH383" s="31">
        <f>SUMIFS(инфо!$E$15:$E$28,инфо!$A$15:$A$28,F383)</f>
        <v>0</v>
      </c>
      <c r="AI383" s="32">
        <f t="shared" si="93"/>
        <v>0</v>
      </c>
      <c r="AJ383" s="33">
        <f t="shared" si="103"/>
        <v>0</v>
      </c>
      <c r="AK383" s="31">
        <f>SUMIFS(инфо!$F$15:$F$28,инфо!$A$15:$A$28,F383)</f>
        <v>0</v>
      </c>
      <c r="AL383" s="32">
        <f t="shared" si="94"/>
        <v>0</v>
      </c>
      <c r="AM383" s="33">
        <f t="shared" si="97"/>
        <v>0</v>
      </c>
      <c r="AN383" s="31">
        <f>SUMIFS(инфо!$G$15:$G$28,инфо!$A$15:$A$28,F383)</f>
        <v>0</v>
      </c>
      <c r="AO383" s="32">
        <f t="shared" si="95"/>
        <v>0</v>
      </c>
      <c r="AP383" s="33">
        <f t="shared" si="98"/>
        <v>0</v>
      </c>
      <c r="AQ383" s="31">
        <f>SUMIFS(инфо!$H$15:$H$28,инфо!$A$15:$A$28,F383)</f>
        <v>0</v>
      </c>
      <c r="AR383" s="32">
        <f t="shared" si="96"/>
        <v>0</v>
      </c>
      <c r="AS383" s="33">
        <f t="shared" si="99"/>
        <v>0</v>
      </c>
      <c r="AT383" s="31">
        <f>SUMIFS(инфо!$I$15:$I$28,инфо!$A$15:$A$28,F383)</f>
        <v>0</v>
      </c>
      <c r="AU383" s="35">
        <f t="shared" si="90"/>
        <v>0</v>
      </c>
      <c r="AV383" s="33">
        <f t="shared" si="100"/>
        <v>0</v>
      </c>
      <c r="AX383" s="67">
        <f>SUMIFS(инфо!$C$15:$C$28,инфо!$A$15:$A$28,F383)*H382</f>
        <v>0</v>
      </c>
    </row>
    <row r="384" spans="1:50" x14ac:dyDescent="0.25">
      <c r="A384" s="70">
        <f t="shared" si="91"/>
        <v>46256</v>
      </c>
      <c r="B384" s="78"/>
      <c r="C384" s="15"/>
      <c r="D384" s="16"/>
      <c r="E384" s="83"/>
      <c r="F384" s="28"/>
      <c r="G384" s="34"/>
      <c r="H384" s="20"/>
      <c r="I384" s="118">
        <f>IFERROR(H384*VLOOKUP(F384,инфо!$A$15:$C$28,3,FALSE)/1000,0)</f>
        <v>0</v>
      </c>
      <c r="J384" s="20"/>
      <c r="K384" s="20"/>
      <c r="L384" s="20"/>
      <c r="M384" s="20"/>
      <c r="N384" s="20"/>
      <c r="O384" s="34"/>
      <c r="P384" s="34"/>
      <c r="Q384" s="34"/>
      <c r="R384" s="34"/>
      <c r="S384" s="68">
        <f t="shared" si="101"/>
        <v>0</v>
      </c>
      <c r="T384" s="15"/>
      <c r="U384" s="16"/>
      <c r="V384" s="34"/>
      <c r="W384" s="81"/>
      <c r="X384" s="34"/>
      <c r="Y384" s="15"/>
      <c r="Z384" s="34"/>
      <c r="AA384" s="34"/>
      <c r="AB384" s="34"/>
      <c r="AC384" s="81"/>
      <c r="AD384" s="16"/>
      <c r="AE384" s="24">
        <f>SUMIFS(инфо!$D$15:$D$28,инфо!$A$15:$A$28,F384)</f>
        <v>0</v>
      </c>
      <c r="AF384" s="35">
        <f t="shared" si="92"/>
        <v>0</v>
      </c>
      <c r="AG384" s="12">
        <f t="shared" si="102"/>
        <v>0</v>
      </c>
      <c r="AH384" s="24">
        <f>SUMIFS(инфо!$E$15:$E$28,инфо!$A$15:$A$28,F384)</f>
        <v>0</v>
      </c>
      <c r="AI384" s="32">
        <f t="shared" si="93"/>
        <v>0</v>
      </c>
      <c r="AJ384" s="12">
        <f t="shared" si="103"/>
        <v>0</v>
      </c>
      <c r="AK384" s="24">
        <f>SUMIFS(инфо!$F$15:$F$28,инфо!$A$15:$A$28,F384)</f>
        <v>0</v>
      </c>
      <c r="AL384" s="32">
        <f t="shared" si="94"/>
        <v>0</v>
      </c>
      <c r="AM384" s="12">
        <f t="shared" si="97"/>
        <v>0</v>
      </c>
      <c r="AN384" s="24">
        <f>SUMIFS(инфо!$G$15:$G$28,инфо!$A$15:$A$28,F384)</f>
        <v>0</v>
      </c>
      <c r="AO384" s="32">
        <f t="shared" si="95"/>
        <v>0</v>
      </c>
      <c r="AP384" s="12">
        <f t="shared" si="98"/>
        <v>0</v>
      </c>
      <c r="AQ384" s="24">
        <f>SUMIFS(инфо!$H$15:$H$28,инфо!$A$15:$A$28,F384)</f>
        <v>0</v>
      </c>
      <c r="AR384" s="35">
        <f t="shared" si="96"/>
        <v>0</v>
      </c>
      <c r="AS384" s="12">
        <f t="shared" si="99"/>
        <v>0</v>
      </c>
      <c r="AT384" s="24">
        <f>SUMIFS(инфо!$I$15:$I$28,инфо!$A$15:$A$28,F384)</f>
        <v>0</v>
      </c>
      <c r="AU384" s="35">
        <f t="shared" si="90"/>
        <v>0</v>
      </c>
      <c r="AV384" s="12">
        <f t="shared" si="100"/>
        <v>0</v>
      </c>
      <c r="AX384" s="68">
        <f>SUMIFS(инфо!$C$15:$C$28,инфо!$A$15:$A$28,F384)*H383</f>
        <v>0</v>
      </c>
    </row>
    <row r="385" spans="1:50" x14ac:dyDescent="0.25">
      <c r="A385" s="70">
        <f t="shared" si="91"/>
        <v>46256</v>
      </c>
      <c r="B385" s="78"/>
      <c r="C385" s="15"/>
      <c r="D385" s="16"/>
      <c r="E385" s="83"/>
      <c r="F385" s="28"/>
      <c r="G385" s="34"/>
      <c r="H385" s="23"/>
      <c r="I385" s="118">
        <f>IFERROR(H385*VLOOKUP(F385,инфо!$A$15:$C$28,3,FALSE)/1000,0)</f>
        <v>0</v>
      </c>
      <c r="J385" s="20"/>
      <c r="K385" s="20"/>
      <c r="L385" s="20"/>
      <c r="M385" s="20"/>
      <c r="N385" s="20"/>
      <c r="O385" s="34"/>
      <c r="P385" s="34"/>
      <c r="Q385" s="34"/>
      <c r="R385" s="34"/>
      <c r="S385" s="68">
        <f t="shared" si="101"/>
        <v>0</v>
      </c>
      <c r="T385" s="15"/>
      <c r="U385" s="16"/>
      <c r="V385" s="34"/>
      <c r="W385" s="81"/>
      <c r="X385" s="34"/>
      <c r="Y385" s="15"/>
      <c r="Z385" s="34"/>
      <c r="AA385" s="34"/>
      <c r="AB385" s="34"/>
      <c r="AC385" s="81"/>
      <c r="AD385" s="16"/>
      <c r="AE385" s="24">
        <f>SUMIFS(инфо!$D$15:$D$28,инфо!$A$15:$A$28,F385)</f>
        <v>0</v>
      </c>
      <c r="AF385" s="35">
        <f t="shared" si="92"/>
        <v>0</v>
      </c>
      <c r="AG385" s="12">
        <f t="shared" si="102"/>
        <v>0</v>
      </c>
      <c r="AH385" s="24">
        <f>SUMIFS(инфо!$E$15:$E$28,инфо!$A$15:$A$28,F385)</f>
        <v>0</v>
      </c>
      <c r="AI385" s="32">
        <f t="shared" si="93"/>
        <v>0</v>
      </c>
      <c r="AJ385" s="12">
        <f t="shared" si="103"/>
        <v>0</v>
      </c>
      <c r="AK385" s="24">
        <f>SUMIFS(инфо!$F$15:$F$28,инфо!$A$15:$A$28,F385)</f>
        <v>0</v>
      </c>
      <c r="AL385" s="32">
        <f t="shared" si="94"/>
        <v>0</v>
      </c>
      <c r="AM385" s="12">
        <f t="shared" si="97"/>
        <v>0</v>
      </c>
      <c r="AN385" s="24">
        <f>SUMIFS(инфо!$G$15:$G$28,инфо!$A$15:$A$28,F385)</f>
        <v>0</v>
      </c>
      <c r="AO385" s="32">
        <f t="shared" si="95"/>
        <v>0</v>
      </c>
      <c r="AP385" s="12">
        <f t="shared" si="98"/>
        <v>0</v>
      </c>
      <c r="AQ385" s="24">
        <f>SUMIFS(инфо!$H$15:$H$28,инфо!$A$15:$A$28,F385)</f>
        <v>0</v>
      </c>
      <c r="AR385" s="35">
        <f t="shared" si="96"/>
        <v>0</v>
      </c>
      <c r="AS385" s="12">
        <f t="shared" si="99"/>
        <v>0</v>
      </c>
      <c r="AT385" s="24">
        <f>SUMIFS(инфо!$I$15:$I$28,инфо!$A$15:$A$28,F385)</f>
        <v>0</v>
      </c>
      <c r="AU385" s="35">
        <f t="shared" si="90"/>
        <v>0</v>
      </c>
      <c r="AV385" s="12">
        <f t="shared" si="100"/>
        <v>0</v>
      </c>
      <c r="AX385" s="68">
        <f>SUMIFS(инфо!$C$15:$C$28,инфо!$A$15:$A$28,F385)*H384</f>
        <v>0</v>
      </c>
    </row>
    <row r="386" spans="1:50" x14ac:dyDescent="0.25">
      <c r="A386" s="70">
        <f t="shared" si="91"/>
        <v>46257</v>
      </c>
      <c r="B386" s="78"/>
      <c r="C386" s="17"/>
      <c r="D386" s="18"/>
      <c r="E386" s="83"/>
      <c r="F386" s="28"/>
      <c r="G386" s="19"/>
      <c r="H386" s="28"/>
      <c r="I386" s="118">
        <f>IFERROR(H386*VLOOKUP(F386,инфо!$A$15:$C$28,3,FALSE)/1000,0)</f>
        <v>0</v>
      </c>
      <c r="J386" s="20"/>
      <c r="K386" s="20"/>
      <c r="L386" s="20"/>
      <c r="M386" s="20"/>
      <c r="N386" s="23"/>
      <c r="O386" s="19"/>
      <c r="P386" s="19"/>
      <c r="Q386" s="19"/>
      <c r="R386" s="19"/>
      <c r="S386" s="69">
        <f t="shared" si="101"/>
        <v>0</v>
      </c>
      <c r="T386" s="17"/>
      <c r="U386" s="18"/>
      <c r="V386" s="19"/>
      <c r="W386" s="81"/>
      <c r="X386" s="19"/>
      <c r="Y386" s="17"/>
      <c r="Z386" s="19"/>
      <c r="AA386" s="19"/>
      <c r="AB386" s="19"/>
      <c r="AC386" s="81"/>
      <c r="AD386" s="18"/>
      <c r="AE386" s="25">
        <f>SUMIFS(инфо!$D$15:$D$28,инфо!$A$15:$A$28,F386)</f>
        <v>0</v>
      </c>
      <c r="AF386" s="35">
        <f t="shared" si="92"/>
        <v>0</v>
      </c>
      <c r="AG386" s="14">
        <f t="shared" si="102"/>
        <v>0</v>
      </c>
      <c r="AH386" s="25">
        <f>SUMIFS(инфо!$E$15:$E$28,инфо!$A$15:$A$28,F386)</f>
        <v>0</v>
      </c>
      <c r="AI386" s="32">
        <f t="shared" si="93"/>
        <v>0</v>
      </c>
      <c r="AJ386" s="14">
        <f t="shared" si="103"/>
        <v>0</v>
      </c>
      <c r="AK386" s="25">
        <f>SUMIFS(инфо!$F$15:$F$28,инфо!$A$15:$A$28,F386)</f>
        <v>0</v>
      </c>
      <c r="AL386" s="32">
        <f t="shared" si="94"/>
        <v>0</v>
      </c>
      <c r="AM386" s="14">
        <f t="shared" si="97"/>
        <v>0</v>
      </c>
      <c r="AN386" s="25">
        <f>SUMIFS(инфо!$G$15:$G$28,инфо!$A$15:$A$28,F386)</f>
        <v>0</v>
      </c>
      <c r="AO386" s="32">
        <f t="shared" si="95"/>
        <v>0</v>
      </c>
      <c r="AP386" s="14">
        <f t="shared" si="98"/>
        <v>0</v>
      </c>
      <c r="AQ386" s="25">
        <f>SUMIFS(инфо!$H$15:$H$28,инфо!$A$15:$A$28,F386)</f>
        <v>0</v>
      </c>
      <c r="AR386" s="26">
        <f t="shared" si="96"/>
        <v>0</v>
      </c>
      <c r="AS386" s="14">
        <f t="shared" si="99"/>
        <v>0</v>
      </c>
      <c r="AT386" s="25">
        <f>SUMIFS(инфо!$I$15:$I$28,инфо!$A$15:$A$28,F386)</f>
        <v>0</v>
      </c>
      <c r="AU386" s="35">
        <f t="shared" si="90"/>
        <v>0</v>
      </c>
      <c r="AV386" s="14">
        <f t="shared" si="100"/>
        <v>0</v>
      </c>
      <c r="AX386" s="69">
        <f>SUMIFS(инфо!$C$15:$C$28,инфо!$A$15:$A$28,F386)*H385</f>
        <v>0</v>
      </c>
    </row>
    <row r="387" spans="1:50" x14ac:dyDescent="0.25">
      <c r="A387" s="70">
        <f t="shared" si="91"/>
        <v>46257</v>
      </c>
      <c r="B387" s="78"/>
      <c r="C387" s="29"/>
      <c r="D387" s="30"/>
      <c r="E387" s="83"/>
      <c r="F387" s="28"/>
      <c r="G387" s="27"/>
      <c r="H387" s="20"/>
      <c r="I387" s="118">
        <f>IFERROR(H387*VLOOKUP(F387,инфо!$A$15:$C$28,3,FALSE)/1000,0)</f>
        <v>0</v>
      </c>
      <c r="J387" s="20"/>
      <c r="K387" s="20"/>
      <c r="L387" s="20"/>
      <c r="M387" s="20"/>
      <c r="N387" s="28"/>
      <c r="O387" s="27"/>
      <c r="P387" s="27"/>
      <c r="Q387" s="27"/>
      <c r="R387" s="27"/>
      <c r="S387" s="67">
        <f t="shared" si="101"/>
        <v>0</v>
      </c>
      <c r="T387" s="29"/>
      <c r="U387" s="30"/>
      <c r="V387" s="27"/>
      <c r="W387" s="81"/>
      <c r="X387" s="27"/>
      <c r="Y387" s="29"/>
      <c r="Z387" s="27"/>
      <c r="AA387" s="27"/>
      <c r="AB387" s="27"/>
      <c r="AC387" s="81"/>
      <c r="AD387" s="30"/>
      <c r="AE387" s="31">
        <f>SUMIFS(инфо!$D$15:$D$28,инфо!$A$15:$A$28,F387)</f>
        <v>0</v>
      </c>
      <c r="AF387" s="35">
        <f t="shared" si="92"/>
        <v>0</v>
      </c>
      <c r="AG387" s="33">
        <f t="shared" si="102"/>
        <v>0</v>
      </c>
      <c r="AH387" s="31">
        <f>SUMIFS(инфо!$E$15:$E$28,инфо!$A$15:$A$28,F387)</f>
        <v>0</v>
      </c>
      <c r="AI387" s="32">
        <f t="shared" si="93"/>
        <v>0</v>
      </c>
      <c r="AJ387" s="33">
        <f t="shared" si="103"/>
        <v>0</v>
      </c>
      <c r="AK387" s="31">
        <f>SUMIFS(инфо!$F$15:$F$28,инфо!$A$15:$A$28,F387)</f>
        <v>0</v>
      </c>
      <c r="AL387" s="32">
        <f t="shared" si="94"/>
        <v>0</v>
      </c>
      <c r="AM387" s="33">
        <f t="shared" si="97"/>
        <v>0</v>
      </c>
      <c r="AN387" s="31">
        <f>SUMIFS(инфо!$G$15:$G$28,инфо!$A$15:$A$28,F387)</f>
        <v>0</v>
      </c>
      <c r="AO387" s="32">
        <f t="shared" si="95"/>
        <v>0</v>
      </c>
      <c r="AP387" s="33">
        <f t="shared" si="98"/>
        <v>0</v>
      </c>
      <c r="AQ387" s="31">
        <f>SUMIFS(инфо!$H$15:$H$28,инфо!$A$15:$A$28,F387)</f>
        <v>0</v>
      </c>
      <c r="AR387" s="32">
        <f t="shared" si="96"/>
        <v>0</v>
      </c>
      <c r="AS387" s="33">
        <f t="shared" si="99"/>
        <v>0</v>
      </c>
      <c r="AT387" s="31">
        <f>SUMIFS(инфо!$I$15:$I$28,инфо!$A$15:$A$28,F387)</f>
        <v>0</v>
      </c>
      <c r="AU387" s="35">
        <f t="shared" si="90"/>
        <v>0</v>
      </c>
      <c r="AV387" s="33">
        <f t="shared" si="100"/>
        <v>0</v>
      </c>
      <c r="AX387" s="67">
        <f>SUMIFS(инфо!$C$15:$C$28,инфо!$A$15:$A$28,F387)*H386</f>
        <v>0</v>
      </c>
    </row>
    <row r="388" spans="1:50" x14ac:dyDescent="0.25">
      <c r="A388" s="70">
        <f t="shared" si="91"/>
        <v>46258</v>
      </c>
      <c r="B388" s="78"/>
      <c r="C388" s="15"/>
      <c r="D388" s="16"/>
      <c r="E388" s="83"/>
      <c r="F388" s="28"/>
      <c r="G388" s="34"/>
      <c r="H388" s="20"/>
      <c r="I388" s="118">
        <f>IFERROR(H388*VLOOKUP(F388,инфо!$A$15:$C$28,3,FALSE)/1000,0)</f>
        <v>0</v>
      </c>
      <c r="J388" s="20"/>
      <c r="K388" s="20"/>
      <c r="L388" s="20"/>
      <c r="M388" s="20"/>
      <c r="N388" s="20"/>
      <c r="O388" s="34"/>
      <c r="P388" s="34"/>
      <c r="Q388" s="34"/>
      <c r="R388" s="34"/>
      <c r="S388" s="68">
        <f t="shared" si="101"/>
        <v>0</v>
      </c>
      <c r="T388" s="15"/>
      <c r="U388" s="16"/>
      <c r="V388" s="34"/>
      <c r="W388" s="81"/>
      <c r="X388" s="34"/>
      <c r="Y388" s="15"/>
      <c r="Z388" s="34"/>
      <c r="AA388" s="34"/>
      <c r="AB388" s="34"/>
      <c r="AC388" s="81"/>
      <c r="AD388" s="16"/>
      <c r="AE388" s="24">
        <f>SUMIFS(инфо!$D$15:$D$28,инфо!$A$15:$A$28,F388)</f>
        <v>0</v>
      </c>
      <c r="AF388" s="35">
        <f t="shared" si="92"/>
        <v>0</v>
      </c>
      <c r="AG388" s="12">
        <f t="shared" si="102"/>
        <v>0</v>
      </c>
      <c r="AH388" s="24">
        <f>SUMIFS(инфо!$E$15:$E$28,инфо!$A$15:$A$28,F388)</f>
        <v>0</v>
      </c>
      <c r="AI388" s="32">
        <f t="shared" si="93"/>
        <v>0</v>
      </c>
      <c r="AJ388" s="12">
        <f t="shared" si="103"/>
        <v>0</v>
      </c>
      <c r="AK388" s="24">
        <f>SUMIFS(инфо!$F$15:$F$28,инфо!$A$15:$A$28,F388)</f>
        <v>0</v>
      </c>
      <c r="AL388" s="32">
        <f t="shared" si="94"/>
        <v>0</v>
      </c>
      <c r="AM388" s="12">
        <f t="shared" si="97"/>
        <v>0</v>
      </c>
      <c r="AN388" s="24">
        <f>SUMIFS(инфо!$G$15:$G$28,инфо!$A$15:$A$28,F388)</f>
        <v>0</v>
      </c>
      <c r="AO388" s="32">
        <f t="shared" si="95"/>
        <v>0</v>
      </c>
      <c r="AP388" s="12">
        <f t="shared" si="98"/>
        <v>0</v>
      </c>
      <c r="AQ388" s="24">
        <f>SUMIFS(инфо!$H$15:$H$28,инфо!$A$15:$A$28,F388)</f>
        <v>0</v>
      </c>
      <c r="AR388" s="35">
        <f t="shared" si="96"/>
        <v>0</v>
      </c>
      <c r="AS388" s="12">
        <f t="shared" si="99"/>
        <v>0</v>
      </c>
      <c r="AT388" s="24">
        <f>SUMIFS(инфо!$I$15:$I$28,инфо!$A$15:$A$28,F388)</f>
        <v>0</v>
      </c>
      <c r="AU388" s="35">
        <f t="shared" si="90"/>
        <v>0</v>
      </c>
      <c r="AV388" s="12">
        <f t="shared" si="100"/>
        <v>0</v>
      </c>
      <c r="AX388" s="68">
        <f>SUMIFS(инфо!$C$15:$C$28,инфо!$A$15:$A$28,F388)*H387</f>
        <v>0</v>
      </c>
    </row>
    <row r="389" spans="1:50" x14ac:dyDescent="0.25">
      <c r="A389" s="70">
        <f t="shared" si="91"/>
        <v>46258</v>
      </c>
      <c r="B389" s="78"/>
      <c r="C389" s="15"/>
      <c r="D389" s="16"/>
      <c r="E389" s="83"/>
      <c r="F389" s="28"/>
      <c r="G389" s="34"/>
      <c r="H389" s="23"/>
      <c r="I389" s="118">
        <f>IFERROR(H389*VLOOKUP(F389,инфо!$A$15:$C$28,3,FALSE)/1000,0)</f>
        <v>0</v>
      </c>
      <c r="J389" s="20"/>
      <c r="K389" s="20"/>
      <c r="L389" s="20"/>
      <c r="M389" s="20"/>
      <c r="N389" s="20"/>
      <c r="O389" s="34"/>
      <c r="P389" s="34"/>
      <c r="Q389" s="34"/>
      <c r="R389" s="34"/>
      <c r="S389" s="68">
        <f t="shared" si="101"/>
        <v>0</v>
      </c>
      <c r="T389" s="15"/>
      <c r="U389" s="16"/>
      <c r="V389" s="34"/>
      <c r="W389" s="81"/>
      <c r="X389" s="34"/>
      <c r="Y389" s="15"/>
      <c r="Z389" s="34"/>
      <c r="AA389" s="34"/>
      <c r="AB389" s="34"/>
      <c r="AC389" s="81"/>
      <c r="AD389" s="16"/>
      <c r="AE389" s="24">
        <f>SUMIFS(инфо!$D$15:$D$28,инфо!$A$15:$A$28,F389)</f>
        <v>0</v>
      </c>
      <c r="AF389" s="35">
        <f t="shared" si="92"/>
        <v>0</v>
      </c>
      <c r="AG389" s="12">
        <f t="shared" si="102"/>
        <v>0</v>
      </c>
      <c r="AH389" s="24">
        <f>SUMIFS(инфо!$E$15:$E$28,инфо!$A$15:$A$28,F389)</f>
        <v>0</v>
      </c>
      <c r="AI389" s="32">
        <f t="shared" si="93"/>
        <v>0</v>
      </c>
      <c r="AJ389" s="12">
        <f t="shared" si="103"/>
        <v>0</v>
      </c>
      <c r="AK389" s="24">
        <f>SUMIFS(инфо!$F$15:$F$28,инфо!$A$15:$A$28,F389)</f>
        <v>0</v>
      </c>
      <c r="AL389" s="32">
        <f t="shared" si="94"/>
        <v>0</v>
      </c>
      <c r="AM389" s="12">
        <f t="shared" si="97"/>
        <v>0</v>
      </c>
      <c r="AN389" s="24">
        <f>SUMIFS(инфо!$G$15:$G$28,инфо!$A$15:$A$28,F389)</f>
        <v>0</v>
      </c>
      <c r="AO389" s="32">
        <f t="shared" si="95"/>
        <v>0</v>
      </c>
      <c r="AP389" s="12">
        <f t="shared" si="98"/>
        <v>0</v>
      </c>
      <c r="AQ389" s="24">
        <f>SUMIFS(инфо!$H$15:$H$28,инфо!$A$15:$A$28,F389)</f>
        <v>0</v>
      </c>
      <c r="AR389" s="35">
        <f t="shared" si="96"/>
        <v>0</v>
      </c>
      <c r="AS389" s="12">
        <f t="shared" si="99"/>
        <v>0</v>
      </c>
      <c r="AT389" s="24">
        <f>SUMIFS(инфо!$I$15:$I$28,инфо!$A$15:$A$28,F389)</f>
        <v>0</v>
      </c>
      <c r="AU389" s="35">
        <f t="shared" si="90"/>
        <v>0</v>
      </c>
      <c r="AV389" s="12">
        <f t="shared" si="100"/>
        <v>0</v>
      </c>
      <c r="AX389" s="68">
        <f>SUMIFS(инфо!$C$15:$C$28,инфо!$A$15:$A$28,F389)*H388</f>
        <v>0</v>
      </c>
    </row>
    <row r="390" spans="1:50" x14ac:dyDescent="0.25">
      <c r="A390" s="70">
        <f t="shared" si="91"/>
        <v>46259</v>
      </c>
      <c r="B390" s="78"/>
      <c r="C390" s="17"/>
      <c r="D390" s="18"/>
      <c r="E390" s="83"/>
      <c r="F390" s="28"/>
      <c r="G390" s="19"/>
      <c r="H390" s="28"/>
      <c r="I390" s="118">
        <f>IFERROR(H390*VLOOKUP(F390,инфо!$A$15:$C$28,3,FALSE)/1000,0)</f>
        <v>0</v>
      </c>
      <c r="J390" s="20"/>
      <c r="K390" s="20"/>
      <c r="L390" s="20"/>
      <c r="M390" s="20"/>
      <c r="N390" s="23"/>
      <c r="O390" s="19"/>
      <c r="P390" s="19"/>
      <c r="Q390" s="19"/>
      <c r="R390" s="19"/>
      <c r="S390" s="69">
        <f t="shared" si="101"/>
        <v>0</v>
      </c>
      <c r="T390" s="17"/>
      <c r="U390" s="18"/>
      <c r="V390" s="19"/>
      <c r="W390" s="81"/>
      <c r="X390" s="19"/>
      <c r="Y390" s="17"/>
      <c r="Z390" s="19"/>
      <c r="AA390" s="19"/>
      <c r="AB390" s="19"/>
      <c r="AC390" s="81"/>
      <c r="AD390" s="18"/>
      <c r="AE390" s="25">
        <f>SUMIFS(инфо!$D$15:$D$28,инфо!$A$15:$A$28,F390)</f>
        <v>0</v>
      </c>
      <c r="AF390" s="35">
        <f t="shared" si="92"/>
        <v>0</v>
      </c>
      <c r="AG390" s="14">
        <f t="shared" si="102"/>
        <v>0</v>
      </c>
      <c r="AH390" s="25">
        <f>SUMIFS(инфо!$E$15:$E$28,инфо!$A$15:$A$28,F390)</f>
        <v>0</v>
      </c>
      <c r="AI390" s="32">
        <f t="shared" si="93"/>
        <v>0</v>
      </c>
      <c r="AJ390" s="14">
        <f t="shared" si="103"/>
        <v>0</v>
      </c>
      <c r="AK390" s="25">
        <f>SUMIFS(инфо!$F$15:$F$28,инфо!$A$15:$A$28,F390)</f>
        <v>0</v>
      </c>
      <c r="AL390" s="32">
        <f t="shared" si="94"/>
        <v>0</v>
      </c>
      <c r="AM390" s="14">
        <f t="shared" si="97"/>
        <v>0</v>
      </c>
      <c r="AN390" s="25">
        <f>SUMIFS(инфо!$G$15:$G$28,инфо!$A$15:$A$28,F390)</f>
        <v>0</v>
      </c>
      <c r="AO390" s="32">
        <f t="shared" si="95"/>
        <v>0</v>
      </c>
      <c r="AP390" s="14">
        <f t="shared" si="98"/>
        <v>0</v>
      </c>
      <c r="AQ390" s="25">
        <f>SUMIFS(инфо!$H$15:$H$28,инфо!$A$15:$A$28,F390)</f>
        <v>0</v>
      </c>
      <c r="AR390" s="26">
        <f t="shared" si="96"/>
        <v>0</v>
      </c>
      <c r="AS390" s="14">
        <f t="shared" si="99"/>
        <v>0</v>
      </c>
      <c r="AT390" s="25">
        <f>SUMIFS(инфо!$I$15:$I$28,инфо!$A$15:$A$28,F390)</f>
        <v>0</v>
      </c>
      <c r="AU390" s="35">
        <f t="shared" si="90"/>
        <v>0</v>
      </c>
      <c r="AV390" s="14">
        <f t="shared" si="100"/>
        <v>0</v>
      </c>
      <c r="AX390" s="69">
        <f>SUMIFS(инфо!$C$15:$C$28,инфо!$A$15:$A$28,F390)*H389</f>
        <v>0</v>
      </c>
    </row>
    <row r="391" spans="1:50" x14ac:dyDescent="0.25">
      <c r="A391" s="70">
        <f t="shared" si="91"/>
        <v>46259</v>
      </c>
      <c r="B391" s="78"/>
      <c r="C391" s="29"/>
      <c r="D391" s="30"/>
      <c r="E391" s="83"/>
      <c r="F391" s="28"/>
      <c r="G391" s="27"/>
      <c r="H391" s="20"/>
      <c r="I391" s="118">
        <f>IFERROR(H391*VLOOKUP(F391,инфо!$A$15:$C$28,3,FALSE)/1000,0)</f>
        <v>0</v>
      </c>
      <c r="J391" s="20"/>
      <c r="K391" s="20"/>
      <c r="L391" s="20"/>
      <c r="M391" s="20"/>
      <c r="N391" s="28"/>
      <c r="O391" s="27"/>
      <c r="P391" s="27"/>
      <c r="Q391" s="27"/>
      <c r="R391" s="27"/>
      <c r="S391" s="67">
        <f t="shared" si="101"/>
        <v>0</v>
      </c>
      <c r="T391" s="29"/>
      <c r="U391" s="30"/>
      <c r="V391" s="27"/>
      <c r="W391" s="81"/>
      <c r="X391" s="27"/>
      <c r="Y391" s="29"/>
      <c r="Z391" s="27"/>
      <c r="AA391" s="27"/>
      <c r="AB391" s="27"/>
      <c r="AC391" s="81"/>
      <c r="AD391" s="30"/>
      <c r="AE391" s="31">
        <f>SUMIFS(инфо!$D$15:$D$28,инфо!$A$15:$A$28,F391)</f>
        <v>0</v>
      </c>
      <c r="AF391" s="35">
        <f t="shared" si="92"/>
        <v>0</v>
      </c>
      <c r="AG391" s="33">
        <f t="shared" si="102"/>
        <v>0</v>
      </c>
      <c r="AH391" s="31">
        <f>SUMIFS(инфо!$E$15:$E$28,инфо!$A$15:$A$28,F391)</f>
        <v>0</v>
      </c>
      <c r="AI391" s="32">
        <f t="shared" si="93"/>
        <v>0</v>
      </c>
      <c r="AJ391" s="33">
        <f t="shared" si="103"/>
        <v>0</v>
      </c>
      <c r="AK391" s="31">
        <f>SUMIFS(инфо!$F$15:$F$28,инфо!$A$15:$A$28,F391)</f>
        <v>0</v>
      </c>
      <c r="AL391" s="32">
        <f t="shared" si="94"/>
        <v>0</v>
      </c>
      <c r="AM391" s="33">
        <f t="shared" si="97"/>
        <v>0</v>
      </c>
      <c r="AN391" s="31">
        <f>SUMIFS(инфо!$G$15:$G$28,инфо!$A$15:$A$28,F391)</f>
        <v>0</v>
      </c>
      <c r="AO391" s="32">
        <f t="shared" si="95"/>
        <v>0</v>
      </c>
      <c r="AP391" s="33">
        <f t="shared" si="98"/>
        <v>0</v>
      </c>
      <c r="AQ391" s="31">
        <f>SUMIFS(инфо!$H$15:$H$28,инфо!$A$15:$A$28,F391)</f>
        <v>0</v>
      </c>
      <c r="AR391" s="32">
        <f t="shared" si="96"/>
        <v>0</v>
      </c>
      <c r="AS391" s="33">
        <f t="shared" si="99"/>
        <v>0</v>
      </c>
      <c r="AT391" s="31">
        <f>SUMIFS(инфо!$I$15:$I$28,инфо!$A$15:$A$28,F391)</f>
        <v>0</v>
      </c>
      <c r="AU391" s="35">
        <f t="shared" si="90"/>
        <v>0</v>
      </c>
      <c r="AV391" s="33">
        <f t="shared" si="100"/>
        <v>0</v>
      </c>
      <c r="AX391" s="67">
        <f>SUMIFS(инфо!$C$15:$C$28,инфо!$A$15:$A$28,F391)*H390</f>
        <v>0</v>
      </c>
    </row>
    <row r="392" spans="1:50" x14ac:dyDescent="0.25">
      <c r="A392" s="70">
        <f t="shared" si="91"/>
        <v>46260</v>
      </c>
      <c r="B392" s="78"/>
      <c r="C392" s="15"/>
      <c r="D392" s="16"/>
      <c r="E392" s="83"/>
      <c r="F392" s="28"/>
      <c r="G392" s="34"/>
      <c r="H392" s="20"/>
      <c r="I392" s="118">
        <f>IFERROR(H392*VLOOKUP(F392,инфо!$A$15:$C$28,3,FALSE)/1000,0)</f>
        <v>0</v>
      </c>
      <c r="J392" s="20"/>
      <c r="K392" s="20"/>
      <c r="L392" s="20"/>
      <c r="M392" s="20"/>
      <c r="N392" s="20"/>
      <c r="O392" s="34"/>
      <c r="P392" s="34"/>
      <c r="Q392" s="34"/>
      <c r="R392" s="34"/>
      <c r="S392" s="68">
        <f t="shared" si="101"/>
        <v>0</v>
      </c>
      <c r="T392" s="15"/>
      <c r="U392" s="16"/>
      <c r="V392" s="34"/>
      <c r="W392" s="81"/>
      <c r="X392" s="34"/>
      <c r="Y392" s="15"/>
      <c r="Z392" s="34"/>
      <c r="AA392" s="34"/>
      <c r="AB392" s="34"/>
      <c r="AC392" s="81"/>
      <c r="AD392" s="16"/>
      <c r="AE392" s="24">
        <f>SUMIFS(инфо!$D$15:$D$28,инфо!$A$15:$A$28,F392)</f>
        <v>0</v>
      </c>
      <c r="AF392" s="35">
        <f t="shared" si="92"/>
        <v>0</v>
      </c>
      <c r="AG392" s="12">
        <f t="shared" si="102"/>
        <v>0</v>
      </c>
      <c r="AH392" s="24">
        <f>SUMIFS(инфо!$E$15:$E$28,инфо!$A$15:$A$28,F392)</f>
        <v>0</v>
      </c>
      <c r="AI392" s="32">
        <f t="shared" si="93"/>
        <v>0</v>
      </c>
      <c r="AJ392" s="12">
        <f t="shared" si="103"/>
        <v>0</v>
      </c>
      <c r="AK392" s="24">
        <f>SUMIFS(инфо!$F$15:$F$28,инфо!$A$15:$A$28,F392)</f>
        <v>0</v>
      </c>
      <c r="AL392" s="32">
        <f t="shared" si="94"/>
        <v>0</v>
      </c>
      <c r="AM392" s="12">
        <f t="shared" si="97"/>
        <v>0</v>
      </c>
      <c r="AN392" s="24">
        <f>SUMIFS(инфо!$G$15:$G$28,инфо!$A$15:$A$28,F392)</f>
        <v>0</v>
      </c>
      <c r="AO392" s="32">
        <f t="shared" si="95"/>
        <v>0</v>
      </c>
      <c r="AP392" s="12">
        <f t="shared" si="98"/>
        <v>0</v>
      </c>
      <c r="AQ392" s="24">
        <f>SUMIFS(инфо!$H$15:$H$28,инфо!$A$15:$A$28,F392)</f>
        <v>0</v>
      </c>
      <c r="AR392" s="35">
        <f t="shared" si="96"/>
        <v>0</v>
      </c>
      <c r="AS392" s="12">
        <f t="shared" si="99"/>
        <v>0</v>
      </c>
      <c r="AT392" s="24">
        <f>SUMIFS(инфо!$I$15:$I$28,инфо!$A$15:$A$28,F392)</f>
        <v>0</v>
      </c>
      <c r="AU392" s="35">
        <f t="shared" si="90"/>
        <v>0</v>
      </c>
      <c r="AV392" s="12">
        <f t="shared" si="100"/>
        <v>0</v>
      </c>
      <c r="AX392" s="68">
        <f>SUMIFS(инфо!$C$15:$C$28,инфо!$A$15:$A$28,F392)*H391</f>
        <v>0</v>
      </c>
    </row>
    <row r="393" spans="1:50" x14ac:dyDescent="0.25">
      <c r="A393" s="70">
        <f t="shared" si="91"/>
        <v>46260</v>
      </c>
      <c r="B393" s="78"/>
      <c r="C393" s="15"/>
      <c r="D393" s="16"/>
      <c r="E393" s="83"/>
      <c r="F393" s="28"/>
      <c r="G393" s="34"/>
      <c r="H393" s="23"/>
      <c r="I393" s="118">
        <f>IFERROR(H393*VLOOKUP(F393,инфо!$A$15:$C$28,3,FALSE)/1000,0)</f>
        <v>0</v>
      </c>
      <c r="J393" s="20"/>
      <c r="K393" s="20"/>
      <c r="L393" s="20"/>
      <c r="M393" s="20"/>
      <c r="N393" s="20"/>
      <c r="O393" s="34"/>
      <c r="P393" s="34"/>
      <c r="Q393" s="34"/>
      <c r="R393" s="34"/>
      <c r="S393" s="68">
        <f t="shared" si="101"/>
        <v>0</v>
      </c>
      <c r="T393" s="15"/>
      <c r="U393" s="16"/>
      <c r="V393" s="34"/>
      <c r="W393" s="81"/>
      <c r="X393" s="34"/>
      <c r="Y393" s="15"/>
      <c r="Z393" s="34"/>
      <c r="AA393" s="34"/>
      <c r="AB393" s="34"/>
      <c r="AC393" s="81"/>
      <c r="AD393" s="16"/>
      <c r="AE393" s="24">
        <f>SUMIFS(инфо!$D$15:$D$28,инфо!$A$15:$A$28,F393)</f>
        <v>0</v>
      </c>
      <c r="AF393" s="35">
        <f t="shared" si="92"/>
        <v>0</v>
      </c>
      <c r="AG393" s="12">
        <f t="shared" si="102"/>
        <v>0</v>
      </c>
      <c r="AH393" s="24">
        <f>SUMIFS(инфо!$E$15:$E$28,инфо!$A$15:$A$28,F393)</f>
        <v>0</v>
      </c>
      <c r="AI393" s="32">
        <f t="shared" si="93"/>
        <v>0</v>
      </c>
      <c r="AJ393" s="12">
        <f t="shared" si="103"/>
        <v>0</v>
      </c>
      <c r="AK393" s="24">
        <f>SUMIFS(инфо!$F$15:$F$28,инфо!$A$15:$A$28,F393)</f>
        <v>0</v>
      </c>
      <c r="AL393" s="32">
        <f t="shared" si="94"/>
        <v>0</v>
      </c>
      <c r="AM393" s="12">
        <f t="shared" si="97"/>
        <v>0</v>
      </c>
      <c r="AN393" s="24">
        <f>SUMIFS(инфо!$G$15:$G$28,инфо!$A$15:$A$28,F393)</f>
        <v>0</v>
      </c>
      <c r="AO393" s="32">
        <f t="shared" si="95"/>
        <v>0</v>
      </c>
      <c r="AP393" s="12">
        <f t="shared" si="98"/>
        <v>0</v>
      </c>
      <c r="AQ393" s="24">
        <f>SUMIFS(инфо!$H$15:$H$28,инфо!$A$15:$A$28,F393)</f>
        <v>0</v>
      </c>
      <c r="AR393" s="35">
        <f t="shared" si="96"/>
        <v>0</v>
      </c>
      <c r="AS393" s="12">
        <f t="shared" si="99"/>
        <v>0</v>
      </c>
      <c r="AT393" s="24">
        <f>SUMIFS(инфо!$I$15:$I$28,инфо!$A$15:$A$28,F393)</f>
        <v>0</v>
      </c>
      <c r="AU393" s="35">
        <f t="shared" ref="AU393:AU456" si="104">IF(H393=0,0,AD393/H393)</f>
        <v>0</v>
      </c>
      <c r="AV393" s="12">
        <f t="shared" si="100"/>
        <v>0</v>
      </c>
      <c r="AX393" s="68">
        <f>SUMIFS(инфо!$C$15:$C$28,инфо!$A$15:$A$28,F393)*H392</f>
        <v>0</v>
      </c>
    </row>
    <row r="394" spans="1:50" x14ac:dyDescent="0.25">
      <c r="A394" s="70">
        <f t="shared" si="91"/>
        <v>46261</v>
      </c>
      <c r="B394" s="78"/>
      <c r="C394" s="17"/>
      <c r="D394" s="18"/>
      <c r="E394" s="83"/>
      <c r="F394" s="28"/>
      <c r="G394" s="19"/>
      <c r="H394" s="28"/>
      <c r="I394" s="118">
        <f>IFERROR(H394*VLOOKUP(F394,инфо!$A$15:$C$28,3,FALSE)/1000,0)</f>
        <v>0</v>
      </c>
      <c r="J394" s="20"/>
      <c r="K394" s="20"/>
      <c r="L394" s="20"/>
      <c r="M394" s="20"/>
      <c r="N394" s="23"/>
      <c r="O394" s="19"/>
      <c r="P394" s="19"/>
      <c r="Q394" s="19"/>
      <c r="R394" s="19"/>
      <c r="S394" s="69">
        <f t="shared" si="101"/>
        <v>0</v>
      </c>
      <c r="T394" s="17"/>
      <c r="U394" s="18"/>
      <c r="V394" s="19"/>
      <c r="W394" s="81"/>
      <c r="X394" s="19"/>
      <c r="Y394" s="17"/>
      <c r="Z394" s="19"/>
      <c r="AA394" s="19"/>
      <c r="AB394" s="19"/>
      <c r="AC394" s="81"/>
      <c r="AD394" s="18"/>
      <c r="AE394" s="25">
        <f>SUMIFS(инфо!$D$15:$D$28,инфо!$A$15:$A$28,F394)</f>
        <v>0</v>
      </c>
      <c r="AF394" s="35">
        <f t="shared" si="92"/>
        <v>0</v>
      </c>
      <c r="AG394" s="14">
        <f t="shared" si="102"/>
        <v>0</v>
      </c>
      <c r="AH394" s="25">
        <f>SUMIFS(инфо!$E$15:$E$28,инфо!$A$15:$A$28,F394)</f>
        <v>0</v>
      </c>
      <c r="AI394" s="32">
        <f t="shared" si="93"/>
        <v>0</v>
      </c>
      <c r="AJ394" s="14">
        <f t="shared" si="103"/>
        <v>0</v>
      </c>
      <c r="AK394" s="25">
        <f>SUMIFS(инфо!$F$15:$F$28,инфо!$A$15:$A$28,F394)</f>
        <v>0</v>
      </c>
      <c r="AL394" s="32">
        <f t="shared" si="94"/>
        <v>0</v>
      </c>
      <c r="AM394" s="14">
        <f t="shared" si="97"/>
        <v>0</v>
      </c>
      <c r="AN394" s="25">
        <f>SUMIFS(инфо!$G$15:$G$28,инфо!$A$15:$A$28,F394)</f>
        <v>0</v>
      </c>
      <c r="AO394" s="32">
        <f t="shared" si="95"/>
        <v>0</v>
      </c>
      <c r="AP394" s="14">
        <f t="shared" si="98"/>
        <v>0</v>
      </c>
      <c r="AQ394" s="25">
        <f>SUMIFS(инфо!$H$15:$H$28,инфо!$A$15:$A$28,F394)</f>
        <v>0</v>
      </c>
      <c r="AR394" s="26">
        <f t="shared" si="96"/>
        <v>0</v>
      </c>
      <c r="AS394" s="14">
        <f t="shared" si="99"/>
        <v>0</v>
      </c>
      <c r="AT394" s="25">
        <f>SUMIFS(инфо!$I$15:$I$28,инфо!$A$15:$A$28,F394)</f>
        <v>0</v>
      </c>
      <c r="AU394" s="35">
        <f t="shared" si="104"/>
        <v>0</v>
      </c>
      <c r="AV394" s="14">
        <f t="shared" si="100"/>
        <v>0</v>
      </c>
      <c r="AX394" s="69">
        <f>SUMIFS(инфо!$C$15:$C$28,инфо!$A$15:$A$28,F394)*H393</f>
        <v>0</v>
      </c>
    </row>
    <row r="395" spans="1:50" x14ac:dyDescent="0.25">
      <c r="A395" s="70">
        <f t="shared" si="91"/>
        <v>46261</v>
      </c>
      <c r="B395" s="78"/>
      <c r="C395" s="29"/>
      <c r="D395" s="30"/>
      <c r="E395" s="83"/>
      <c r="F395" s="28"/>
      <c r="G395" s="27"/>
      <c r="H395" s="20"/>
      <c r="I395" s="118">
        <f>IFERROR(H395*VLOOKUP(F395,инфо!$A$15:$C$28,3,FALSE)/1000,0)</f>
        <v>0</v>
      </c>
      <c r="J395" s="20"/>
      <c r="K395" s="20"/>
      <c r="L395" s="20"/>
      <c r="M395" s="20"/>
      <c r="N395" s="28"/>
      <c r="O395" s="27"/>
      <c r="P395" s="27"/>
      <c r="Q395" s="27"/>
      <c r="R395" s="27"/>
      <c r="S395" s="67">
        <f t="shared" si="101"/>
        <v>0</v>
      </c>
      <c r="T395" s="29"/>
      <c r="U395" s="30"/>
      <c r="V395" s="27"/>
      <c r="W395" s="81"/>
      <c r="X395" s="27"/>
      <c r="Y395" s="29"/>
      <c r="Z395" s="27"/>
      <c r="AA395" s="27"/>
      <c r="AB395" s="27"/>
      <c r="AC395" s="81"/>
      <c r="AD395" s="30"/>
      <c r="AE395" s="31">
        <f>SUMIFS(инфо!$D$15:$D$28,инфо!$A$15:$A$28,F395)</f>
        <v>0</v>
      </c>
      <c r="AF395" s="35">
        <f t="shared" si="92"/>
        <v>0</v>
      </c>
      <c r="AG395" s="33">
        <f t="shared" si="102"/>
        <v>0</v>
      </c>
      <c r="AH395" s="31">
        <f>SUMIFS(инфо!$E$15:$E$28,инфо!$A$15:$A$28,F395)</f>
        <v>0</v>
      </c>
      <c r="AI395" s="32">
        <f t="shared" si="93"/>
        <v>0</v>
      </c>
      <c r="AJ395" s="33">
        <f t="shared" si="103"/>
        <v>0</v>
      </c>
      <c r="AK395" s="31">
        <f>SUMIFS(инфо!$F$15:$F$28,инфо!$A$15:$A$28,F395)</f>
        <v>0</v>
      </c>
      <c r="AL395" s="32">
        <f t="shared" si="94"/>
        <v>0</v>
      </c>
      <c r="AM395" s="33">
        <f t="shared" si="97"/>
        <v>0</v>
      </c>
      <c r="AN395" s="31">
        <f>SUMIFS(инфо!$G$15:$G$28,инфо!$A$15:$A$28,F395)</f>
        <v>0</v>
      </c>
      <c r="AO395" s="32">
        <f t="shared" si="95"/>
        <v>0</v>
      </c>
      <c r="AP395" s="33">
        <f t="shared" si="98"/>
        <v>0</v>
      </c>
      <c r="AQ395" s="31">
        <f>SUMIFS(инфо!$H$15:$H$28,инфо!$A$15:$A$28,F395)</f>
        <v>0</v>
      </c>
      <c r="AR395" s="32">
        <f t="shared" si="96"/>
        <v>0</v>
      </c>
      <c r="AS395" s="33">
        <f t="shared" si="99"/>
        <v>0</v>
      </c>
      <c r="AT395" s="31">
        <f>SUMIFS(инфо!$I$15:$I$28,инфо!$A$15:$A$28,F395)</f>
        <v>0</v>
      </c>
      <c r="AU395" s="35">
        <f t="shared" si="104"/>
        <v>0</v>
      </c>
      <c r="AV395" s="33">
        <f t="shared" si="100"/>
        <v>0</v>
      </c>
      <c r="AX395" s="67">
        <f>SUMIFS(инфо!$C$15:$C$28,инфо!$A$15:$A$28,F395)*H394</f>
        <v>0</v>
      </c>
    </row>
    <row r="396" spans="1:50" x14ac:dyDescent="0.25">
      <c r="A396" s="70">
        <f t="shared" si="91"/>
        <v>46262</v>
      </c>
      <c r="B396" s="78"/>
      <c r="C396" s="15"/>
      <c r="D396" s="16"/>
      <c r="E396" s="83"/>
      <c r="F396" s="28"/>
      <c r="G396" s="34"/>
      <c r="H396" s="20"/>
      <c r="I396" s="118">
        <f>IFERROR(H396*VLOOKUP(F396,инфо!$A$15:$C$28,3,FALSE)/1000,0)</f>
        <v>0</v>
      </c>
      <c r="J396" s="20"/>
      <c r="K396" s="20"/>
      <c r="L396" s="20"/>
      <c r="M396" s="20"/>
      <c r="N396" s="20"/>
      <c r="O396" s="34"/>
      <c r="P396" s="34"/>
      <c r="Q396" s="34"/>
      <c r="R396" s="34"/>
      <c r="S396" s="68">
        <f t="shared" si="101"/>
        <v>0</v>
      </c>
      <c r="T396" s="15"/>
      <c r="U396" s="16"/>
      <c r="V396" s="34"/>
      <c r="W396" s="81"/>
      <c r="X396" s="34"/>
      <c r="Y396" s="15"/>
      <c r="Z396" s="34"/>
      <c r="AA396" s="34"/>
      <c r="AB396" s="34"/>
      <c r="AC396" s="81"/>
      <c r="AD396" s="16"/>
      <c r="AE396" s="24">
        <f>SUMIFS(инфо!$D$15:$D$28,инфо!$A$15:$A$28,F396)</f>
        <v>0</v>
      </c>
      <c r="AF396" s="35">
        <f t="shared" si="92"/>
        <v>0</v>
      </c>
      <c r="AG396" s="12">
        <f t="shared" si="102"/>
        <v>0</v>
      </c>
      <c r="AH396" s="24">
        <f>SUMIFS(инфо!$E$15:$E$28,инфо!$A$15:$A$28,F396)</f>
        <v>0</v>
      </c>
      <c r="AI396" s="32">
        <f t="shared" si="93"/>
        <v>0</v>
      </c>
      <c r="AJ396" s="12">
        <f t="shared" si="103"/>
        <v>0</v>
      </c>
      <c r="AK396" s="24">
        <f>SUMIFS(инфо!$F$15:$F$28,инфо!$A$15:$A$28,F396)</f>
        <v>0</v>
      </c>
      <c r="AL396" s="32">
        <f t="shared" si="94"/>
        <v>0</v>
      </c>
      <c r="AM396" s="12">
        <f t="shared" si="97"/>
        <v>0</v>
      </c>
      <c r="AN396" s="24">
        <f>SUMIFS(инфо!$G$15:$G$28,инфо!$A$15:$A$28,F396)</f>
        <v>0</v>
      </c>
      <c r="AO396" s="32">
        <f t="shared" si="95"/>
        <v>0</v>
      </c>
      <c r="AP396" s="12">
        <f t="shared" si="98"/>
        <v>0</v>
      </c>
      <c r="AQ396" s="24">
        <f>SUMIFS(инфо!$H$15:$H$28,инфо!$A$15:$A$28,F396)</f>
        <v>0</v>
      </c>
      <c r="AR396" s="35">
        <f t="shared" si="96"/>
        <v>0</v>
      </c>
      <c r="AS396" s="12">
        <f t="shared" si="99"/>
        <v>0</v>
      </c>
      <c r="AT396" s="24">
        <f>SUMIFS(инфо!$I$15:$I$28,инфо!$A$15:$A$28,F396)</f>
        <v>0</v>
      </c>
      <c r="AU396" s="35">
        <f t="shared" si="104"/>
        <v>0</v>
      </c>
      <c r="AV396" s="12">
        <f t="shared" si="100"/>
        <v>0</v>
      </c>
      <c r="AX396" s="68">
        <f>SUMIFS(инфо!$C$15:$C$28,инфо!$A$15:$A$28,F396)*H395</f>
        <v>0</v>
      </c>
    </row>
    <row r="397" spans="1:50" x14ac:dyDescent="0.25">
      <c r="A397" s="70">
        <f t="shared" si="91"/>
        <v>46262</v>
      </c>
      <c r="B397" s="78"/>
      <c r="C397" s="15"/>
      <c r="D397" s="16"/>
      <c r="E397" s="83"/>
      <c r="F397" s="28"/>
      <c r="G397" s="34"/>
      <c r="H397" s="23"/>
      <c r="I397" s="118">
        <f>IFERROR(H397*VLOOKUP(F397,инфо!$A$15:$C$28,3,FALSE)/1000,0)</f>
        <v>0</v>
      </c>
      <c r="J397" s="20"/>
      <c r="K397" s="20"/>
      <c r="L397" s="20"/>
      <c r="M397" s="20"/>
      <c r="N397" s="20"/>
      <c r="O397" s="34"/>
      <c r="P397" s="34"/>
      <c r="Q397" s="34"/>
      <c r="R397" s="34"/>
      <c r="S397" s="68">
        <f t="shared" si="101"/>
        <v>0</v>
      </c>
      <c r="T397" s="15"/>
      <c r="U397" s="16"/>
      <c r="V397" s="34"/>
      <c r="W397" s="81"/>
      <c r="X397" s="34"/>
      <c r="Y397" s="15"/>
      <c r="Z397" s="34"/>
      <c r="AA397" s="34"/>
      <c r="AB397" s="34"/>
      <c r="AC397" s="81"/>
      <c r="AD397" s="16"/>
      <c r="AE397" s="24">
        <f>SUMIFS(инфо!$D$15:$D$28,инфо!$A$15:$A$28,F397)</f>
        <v>0</v>
      </c>
      <c r="AF397" s="35">
        <f t="shared" si="92"/>
        <v>0</v>
      </c>
      <c r="AG397" s="12">
        <f t="shared" si="102"/>
        <v>0</v>
      </c>
      <c r="AH397" s="24">
        <f>SUMIFS(инфо!$E$15:$E$28,инфо!$A$15:$A$28,F397)</f>
        <v>0</v>
      </c>
      <c r="AI397" s="32">
        <f t="shared" si="93"/>
        <v>0</v>
      </c>
      <c r="AJ397" s="12">
        <f t="shared" si="103"/>
        <v>0</v>
      </c>
      <c r="AK397" s="24">
        <f>SUMIFS(инфо!$F$15:$F$28,инфо!$A$15:$A$28,F397)</f>
        <v>0</v>
      </c>
      <c r="AL397" s="32">
        <f t="shared" si="94"/>
        <v>0</v>
      </c>
      <c r="AM397" s="12">
        <f t="shared" si="97"/>
        <v>0</v>
      </c>
      <c r="AN397" s="24">
        <f>SUMIFS(инфо!$G$15:$G$28,инфо!$A$15:$A$28,F397)</f>
        <v>0</v>
      </c>
      <c r="AO397" s="32">
        <f t="shared" si="95"/>
        <v>0</v>
      </c>
      <c r="AP397" s="12">
        <f t="shared" si="98"/>
        <v>0</v>
      </c>
      <c r="AQ397" s="24">
        <f>SUMIFS(инфо!$H$15:$H$28,инфо!$A$15:$A$28,F397)</f>
        <v>0</v>
      </c>
      <c r="AR397" s="35">
        <f t="shared" si="96"/>
        <v>0</v>
      </c>
      <c r="AS397" s="12">
        <f t="shared" si="99"/>
        <v>0</v>
      </c>
      <c r="AT397" s="24">
        <f>SUMIFS(инфо!$I$15:$I$28,инфо!$A$15:$A$28,F397)</f>
        <v>0</v>
      </c>
      <c r="AU397" s="35">
        <f t="shared" si="104"/>
        <v>0</v>
      </c>
      <c r="AV397" s="12">
        <f t="shared" si="100"/>
        <v>0</v>
      </c>
      <c r="AX397" s="68">
        <f>SUMIFS(инфо!$C$15:$C$28,инфо!$A$15:$A$28,F397)*H396</f>
        <v>0</v>
      </c>
    </row>
    <row r="398" spans="1:50" x14ac:dyDescent="0.25">
      <c r="A398" s="70">
        <f t="shared" si="91"/>
        <v>46263</v>
      </c>
      <c r="B398" s="78"/>
      <c r="C398" s="17"/>
      <c r="D398" s="18"/>
      <c r="E398" s="83"/>
      <c r="F398" s="28"/>
      <c r="G398" s="19"/>
      <c r="H398" s="28"/>
      <c r="I398" s="118">
        <f>IFERROR(H398*VLOOKUP(F398,инфо!$A$15:$C$28,3,FALSE)/1000,0)</f>
        <v>0</v>
      </c>
      <c r="J398" s="20"/>
      <c r="K398" s="20"/>
      <c r="L398" s="20"/>
      <c r="M398" s="20"/>
      <c r="N398" s="23"/>
      <c r="O398" s="19"/>
      <c r="P398" s="19"/>
      <c r="Q398" s="19"/>
      <c r="R398" s="19"/>
      <c r="S398" s="69">
        <f t="shared" si="101"/>
        <v>0</v>
      </c>
      <c r="T398" s="17"/>
      <c r="U398" s="18"/>
      <c r="V398" s="19"/>
      <c r="W398" s="81"/>
      <c r="X398" s="19"/>
      <c r="Y398" s="17"/>
      <c r="Z398" s="19"/>
      <c r="AA398" s="19"/>
      <c r="AB398" s="19"/>
      <c r="AC398" s="81"/>
      <c r="AD398" s="18"/>
      <c r="AE398" s="25">
        <f>SUMIFS(инфо!$D$15:$D$28,инфо!$A$15:$A$28,F398)</f>
        <v>0</v>
      </c>
      <c r="AF398" s="35">
        <f t="shared" si="92"/>
        <v>0</v>
      </c>
      <c r="AG398" s="14">
        <f t="shared" si="102"/>
        <v>0</v>
      </c>
      <c r="AH398" s="25">
        <f>SUMIFS(инфо!$E$15:$E$28,инфо!$A$15:$A$28,F398)</f>
        <v>0</v>
      </c>
      <c r="AI398" s="32">
        <f t="shared" si="93"/>
        <v>0</v>
      </c>
      <c r="AJ398" s="14">
        <f t="shared" si="103"/>
        <v>0</v>
      </c>
      <c r="AK398" s="25">
        <f>SUMIFS(инфо!$F$15:$F$28,инфо!$A$15:$A$28,F398)</f>
        <v>0</v>
      </c>
      <c r="AL398" s="32">
        <f t="shared" si="94"/>
        <v>0</v>
      </c>
      <c r="AM398" s="14">
        <f t="shared" si="97"/>
        <v>0</v>
      </c>
      <c r="AN398" s="25">
        <f>SUMIFS(инфо!$G$15:$G$28,инфо!$A$15:$A$28,F398)</f>
        <v>0</v>
      </c>
      <c r="AO398" s="32">
        <f t="shared" si="95"/>
        <v>0</v>
      </c>
      <c r="AP398" s="14">
        <f t="shared" si="98"/>
        <v>0</v>
      </c>
      <c r="AQ398" s="25">
        <f>SUMIFS(инфо!$H$15:$H$28,инфо!$A$15:$A$28,F398)</f>
        <v>0</v>
      </c>
      <c r="AR398" s="26">
        <f t="shared" si="96"/>
        <v>0</v>
      </c>
      <c r="AS398" s="14">
        <f t="shared" si="99"/>
        <v>0</v>
      </c>
      <c r="AT398" s="25">
        <f>SUMIFS(инфо!$I$15:$I$28,инфо!$A$15:$A$28,F398)</f>
        <v>0</v>
      </c>
      <c r="AU398" s="35">
        <f t="shared" si="104"/>
        <v>0</v>
      </c>
      <c r="AV398" s="14">
        <f t="shared" si="100"/>
        <v>0</v>
      </c>
      <c r="AX398" s="69">
        <f>SUMIFS(инфо!$C$15:$C$28,инфо!$A$15:$A$28,F398)*H397</f>
        <v>0</v>
      </c>
    </row>
    <row r="399" spans="1:50" x14ac:dyDescent="0.25">
      <c r="A399" s="70">
        <f t="shared" si="91"/>
        <v>46263</v>
      </c>
      <c r="B399" s="78"/>
      <c r="C399" s="29"/>
      <c r="D399" s="30"/>
      <c r="E399" s="83"/>
      <c r="F399" s="28"/>
      <c r="G399" s="27"/>
      <c r="H399" s="20"/>
      <c r="I399" s="118">
        <f>IFERROR(H399*VLOOKUP(F399,инфо!$A$15:$C$28,3,FALSE)/1000,0)</f>
        <v>0</v>
      </c>
      <c r="J399" s="20"/>
      <c r="K399" s="20"/>
      <c r="L399" s="20"/>
      <c r="M399" s="20"/>
      <c r="N399" s="28"/>
      <c r="O399" s="27"/>
      <c r="P399" s="27"/>
      <c r="Q399" s="27"/>
      <c r="R399" s="27"/>
      <c r="S399" s="67">
        <f t="shared" si="101"/>
        <v>0</v>
      </c>
      <c r="T399" s="29"/>
      <c r="U399" s="30"/>
      <c r="V399" s="27"/>
      <c r="W399" s="81"/>
      <c r="X399" s="27"/>
      <c r="Y399" s="29"/>
      <c r="Z399" s="27"/>
      <c r="AA399" s="27"/>
      <c r="AB399" s="27"/>
      <c r="AC399" s="81"/>
      <c r="AD399" s="30"/>
      <c r="AE399" s="31">
        <f>SUMIFS(инфо!$D$15:$D$28,инфо!$A$15:$A$28,F399)</f>
        <v>0</v>
      </c>
      <c r="AF399" s="35">
        <f t="shared" si="92"/>
        <v>0</v>
      </c>
      <c r="AG399" s="33">
        <f t="shared" si="102"/>
        <v>0</v>
      </c>
      <c r="AH399" s="31">
        <f>SUMIFS(инфо!$E$15:$E$28,инфо!$A$15:$A$28,F399)</f>
        <v>0</v>
      </c>
      <c r="AI399" s="32">
        <f t="shared" si="93"/>
        <v>0</v>
      </c>
      <c r="AJ399" s="33">
        <f t="shared" si="103"/>
        <v>0</v>
      </c>
      <c r="AK399" s="31">
        <f>SUMIFS(инфо!$F$15:$F$28,инфо!$A$15:$A$28,F399)</f>
        <v>0</v>
      </c>
      <c r="AL399" s="32">
        <f t="shared" si="94"/>
        <v>0</v>
      </c>
      <c r="AM399" s="33">
        <f t="shared" si="97"/>
        <v>0</v>
      </c>
      <c r="AN399" s="31">
        <f>SUMIFS(инфо!$G$15:$G$28,инфо!$A$15:$A$28,F399)</f>
        <v>0</v>
      </c>
      <c r="AO399" s="32">
        <f t="shared" si="95"/>
        <v>0</v>
      </c>
      <c r="AP399" s="33">
        <f t="shared" si="98"/>
        <v>0</v>
      </c>
      <c r="AQ399" s="31">
        <f>SUMIFS(инфо!$H$15:$H$28,инфо!$A$15:$A$28,F399)</f>
        <v>0</v>
      </c>
      <c r="AR399" s="32">
        <f t="shared" si="96"/>
        <v>0</v>
      </c>
      <c r="AS399" s="33">
        <f t="shared" si="99"/>
        <v>0</v>
      </c>
      <c r="AT399" s="31">
        <f>SUMIFS(инфо!$I$15:$I$28,инфо!$A$15:$A$28,F399)</f>
        <v>0</v>
      </c>
      <c r="AU399" s="35">
        <f t="shared" si="104"/>
        <v>0</v>
      </c>
      <c r="AV399" s="33">
        <f t="shared" si="100"/>
        <v>0</v>
      </c>
      <c r="AX399" s="67">
        <f>SUMIFS(инфо!$C$15:$C$28,инфо!$A$15:$A$28,F399)*H398</f>
        <v>0</v>
      </c>
    </row>
    <row r="400" spans="1:50" x14ac:dyDescent="0.25">
      <c r="A400" s="70">
        <f t="shared" si="91"/>
        <v>46264</v>
      </c>
      <c r="B400" s="78"/>
      <c r="C400" s="15"/>
      <c r="D400" s="16"/>
      <c r="E400" s="83"/>
      <c r="F400" s="28"/>
      <c r="G400" s="34"/>
      <c r="H400" s="20"/>
      <c r="I400" s="118">
        <f>IFERROR(H400*VLOOKUP(F400,инфо!$A$15:$C$28,3,FALSE)/1000,0)</f>
        <v>0</v>
      </c>
      <c r="J400" s="20"/>
      <c r="K400" s="20"/>
      <c r="L400" s="20"/>
      <c r="M400" s="20"/>
      <c r="N400" s="20"/>
      <c r="O400" s="34"/>
      <c r="P400" s="34"/>
      <c r="Q400" s="34"/>
      <c r="R400" s="34"/>
      <c r="S400" s="68">
        <f t="shared" si="101"/>
        <v>0</v>
      </c>
      <c r="T400" s="15"/>
      <c r="U400" s="16"/>
      <c r="V400" s="34"/>
      <c r="W400" s="81"/>
      <c r="X400" s="34"/>
      <c r="Y400" s="15"/>
      <c r="Z400" s="34"/>
      <c r="AA400" s="34"/>
      <c r="AB400" s="34"/>
      <c r="AC400" s="81"/>
      <c r="AD400" s="16"/>
      <c r="AE400" s="24">
        <f>SUMIFS(инфо!$D$15:$D$28,инфо!$A$15:$A$28,F400)</f>
        <v>0</v>
      </c>
      <c r="AF400" s="35">
        <f t="shared" si="92"/>
        <v>0</v>
      </c>
      <c r="AG400" s="12">
        <f t="shared" si="102"/>
        <v>0</v>
      </c>
      <c r="AH400" s="24">
        <f>SUMIFS(инфо!$E$15:$E$28,инфо!$A$15:$A$28,F400)</f>
        <v>0</v>
      </c>
      <c r="AI400" s="32">
        <f t="shared" si="93"/>
        <v>0</v>
      </c>
      <c r="AJ400" s="12">
        <f t="shared" si="103"/>
        <v>0</v>
      </c>
      <c r="AK400" s="24">
        <f>SUMIFS(инфо!$F$15:$F$28,инфо!$A$15:$A$28,F400)</f>
        <v>0</v>
      </c>
      <c r="AL400" s="32">
        <f t="shared" si="94"/>
        <v>0</v>
      </c>
      <c r="AM400" s="12">
        <f t="shared" si="97"/>
        <v>0</v>
      </c>
      <c r="AN400" s="24">
        <f>SUMIFS(инфо!$G$15:$G$28,инфо!$A$15:$A$28,F400)</f>
        <v>0</v>
      </c>
      <c r="AO400" s="32">
        <f t="shared" si="95"/>
        <v>0</v>
      </c>
      <c r="AP400" s="12">
        <f t="shared" si="98"/>
        <v>0</v>
      </c>
      <c r="AQ400" s="24">
        <f>SUMIFS(инфо!$H$15:$H$28,инфо!$A$15:$A$28,F400)</f>
        <v>0</v>
      </c>
      <c r="AR400" s="35">
        <f t="shared" si="96"/>
        <v>0</v>
      </c>
      <c r="AS400" s="12">
        <f t="shared" si="99"/>
        <v>0</v>
      </c>
      <c r="AT400" s="24">
        <f>SUMIFS(инфо!$I$15:$I$28,инфо!$A$15:$A$28,F400)</f>
        <v>0</v>
      </c>
      <c r="AU400" s="35">
        <f t="shared" si="104"/>
        <v>0</v>
      </c>
      <c r="AV400" s="12">
        <f t="shared" si="100"/>
        <v>0</v>
      </c>
      <c r="AX400" s="68">
        <f>SUMIFS(инфо!$C$15:$C$28,инфо!$A$15:$A$28,F400)*H399</f>
        <v>0</v>
      </c>
    </row>
    <row r="401" spans="1:50" x14ac:dyDescent="0.25">
      <c r="A401" s="70">
        <f t="shared" si="91"/>
        <v>46264</v>
      </c>
      <c r="B401" s="78"/>
      <c r="C401" s="15"/>
      <c r="D401" s="16"/>
      <c r="E401" s="83"/>
      <c r="F401" s="28"/>
      <c r="G401" s="34"/>
      <c r="H401" s="23"/>
      <c r="I401" s="118">
        <f>IFERROR(H401*VLOOKUP(F401,инфо!$A$15:$C$28,3,FALSE)/1000,0)</f>
        <v>0</v>
      </c>
      <c r="J401" s="20"/>
      <c r="K401" s="20"/>
      <c r="L401" s="20"/>
      <c r="M401" s="20"/>
      <c r="N401" s="20"/>
      <c r="O401" s="34"/>
      <c r="P401" s="34"/>
      <c r="Q401" s="34"/>
      <c r="R401" s="34"/>
      <c r="S401" s="68">
        <f t="shared" si="101"/>
        <v>0</v>
      </c>
      <c r="T401" s="15"/>
      <c r="U401" s="16"/>
      <c r="V401" s="34"/>
      <c r="W401" s="81"/>
      <c r="X401" s="34"/>
      <c r="Y401" s="15"/>
      <c r="Z401" s="34"/>
      <c r="AA401" s="34"/>
      <c r="AB401" s="34"/>
      <c r="AC401" s="81"/>
      <c r="AD401" s="16"/>
      <c r="AE401" s="24">
        <f>SUMIFS(инфо!$D$15:$D$28,инфо!$A$15:$A$28,F401)</f>
        <v>0</v>
      </c>
      <c r="AF401" s="35">
        <f t="shared" si="92"/>
        <v>0</v>
      </c>
      <c r="AG401" s="12">
        <f t="shared" si="102"/>
        <v>0</v>
      </c>
      <c r="AH401" s="24">
        <f>SUMIFS(инфо!$E$15:$E$28,инфо!$A$15:$A$28,F401)</f>
        <v>0</v>
      </c>
      <c r="AI401" s="32">
        <f t="shared" si="93"/>
        <v>0</v>
      </c>
      <c r="AJ401" s="12">
        <f t="shared" si="103"/>
        <v>0</v>
      </c>
      <c r="AK401" s="24">
        <f>SUMIFS(инфо!$F$15:$F$28,инфо!$A$15:$A$28,F401)</f>
        <v>0</v>
      </c>
      <c r="AL401" s="32">
        <f t="shared" si="94"/>
        <v>0</v>
      </c>
      <c r="AM401" s="12">
        <f t="shared" si="97"/>
        <v>0</v>
      </c>
      <c r="AN401" s="24">
        <f>SUMIFS(инфо!$G$15:$G$28,инфо!$A$15:$A$28,F401)</f>
        <v>0</v>
      </c>
      <c r="AO401" s="32">
        <f t="shared" si="95"/>
        <v>0</v>
      </c>
      <c r="AP401" s="12">
        <f t="shared" si="98"/>
        <v>0</v>
      </c>
      <c r="AQ401" s="24">
        <f>SUMIFS(инфо!$H$15:$H$28,инфо!$A$15:$A$28,F401)</f>
        <v>0</v>
      </c>
      <c r="AR401" s="35">
        <f t="shared" si="96"/>
        <v>0</v>
      </c>
      <c r="AS401" s="12">
        <f t="shared" si="99"/>
        <v>0</v>
      </c>
      <c r="AT401" s="24">
        <f>SUMIFS(инфо!$I$15:$I$28,инфо!$A$15:$A$28,F401)</f>
        <v>0</v>
      </c>
      <c r="AU401" s="35">
        <f t="shared" si="104"/>
        <v>0</v>
      </c>
      <c r="AV401" s="12">
        <f t="shared" si="100"/>
        <v>0</v>
      </c>
      <c r="AX401" s="68">
        <f>SUMIFS(инфо!$C$15:$C$28,инфо!$A$15:$A$28,F401)*H400</f>
        <v>0</v>
      </c>
    </row>
    <row r="402" spans="1:50" x14ac:dyDescent="0.25">
      <c r="A402" s="70">
        <f t="shared" si="91"/>
        <v>46265</v>
      </c>
      <c r="B402" s="78"/>
      <c r="C402" s="17"/>
      <c r="D402" s="18"/>
      <c r="E402" s="83"/>
      <c r="F402" s="28"/>
      <c r="G402" s="19"/>
      <c r="H402" s="28"/>
      <c r="I402" s="118">
        <f>IFERROR(H402*VLOOKUP(F402,инфо!$A$15:$C$28,3,FALSE)/1000,0)</f>
        <v>0</v>
      </c>
      <c r="J402" s="20"/>
      <c r="K402" s="20"/>
      <c r="L402" s="20"/>
      <c r="M402" s="20"/>
      <c r="N402" s="23"/>
      <c r="O402" s="19"/>
      <c r="P402" s="19"/>
      <c r="Q402" s="19"/>
      <c r="R402" s="19"/>
      <c r="S402" s="69">
        <f t="shared" si="101"/>
        <v>0</v>
      </c>
      <c r="T402" s="17"/>
      <c r="U402" s="18"/>
      <c r="V402" s="19"/>
      <c r="W402" s="81"/>
      <c r="X402" s="19"/>
      <c r="Y402" s="17"/>
      <c r="Z402" s="19"/>
      <c r="AA402" s="19"/>
      <c r="AB402" s="19"/>
      <c r="AC402" s="81"/>
      <c r="AD402" s="18"/>
      <c r="AE402" s="25">
        <f>SUMIFS(инфо!$D$15:$D$28,инфо!$A$15:$A$28,F402)</f>
        <v>0</v>
      </c>
      <c r="AF402" s="35">
        <f t="shared" si="92"/>
        <v>0</v>
      </c>
      <c r="AG402" s="14">
        <f t="shared" si="102"/>
        <v>0</v>
      </c>
      <c r="AH402" s="25">
        <f>SUMIFS(инфо!$E$15:$E$28,инфо!$A$15:$A$28,F402)</f>
        <v>0</v>
      </c>
      <c r="AI402" s="32">
        <f t="shared" si="93"/>
        <v>0</v>
      </c>
      <c r="AJ402" s="14">
        <f t="shared" si="103"/>
        <v>0</v>
      </c>
      <c r="AK402" s="25">
        <f>SUMIFS(инфо!$F$15:$F$28,инфо!$A$15:$A$28,F402)</f>
        <v>0</v>
      </c>
      <c r="AL402" s="32">
        <f t="shared" si="94"/>
        <v>0</v>
      </c>
      <c r="AM402" s="14">
        <f t="shared" si="97"/>
        <v>0</v>
      </c>
      <c r="AN402" s="25">
        <f>SUMIFS(инфо!$G$15:$G$28,инфо!$A$15:$A$28,F402)</f>
        <v>0</v>
      </c>
      <c r="AO402" s="32">
        <f t="shared" si="95"/>
        <v>0</v>
      </c>
      <c r="AP402" s="14">
        <f t="shared" si="98"/>
        <v>0</v>
      </c>
      <c r="AQ402" s="25">
        <f>SUMIFS(инфо!$H$15:$H$28,инфо!$A$15:$A$28,F402)</f>
        <v>0</v>
      </c>
      <c r="AR402" s="26">
        <f t="shared" si="96"/>
        <v>0</v>
      </c>
      <c r="AS402" s="14">
        <f t="shared" si="99"/>
        <v>0</v>
      </c>
      <c r="AT402" s="25">
        <f>SUMIFS(инфо!$I$15:$I$28,инфо!$A$15:$A$28,F402)</f>
        <v>0</v>
      </c>
      <c r="AU402" s="35">
        <f t="shared" si="104"/>
        <v>0</v>
      </c>
      <c r="AV402" s="14">
        <f t="shared" si="100"/>
        <v>0</v>
      </c>
      <c r="AX402" s="69">
        <f>SUMIFS(инфо!$C$15:$C$28,инфо!$A$15:$A$28,F402)*H401</f>
        <v>0</v>
      </c>
    </row>
    <row r="403" spans="1:50" x14ac:dyDescent="0.25">
      <c r="A403" s="70">
        <f t="shared" si="91"/>
        <v>46265</v>
      </c>
      <c r="B403" s="78"/>
      <c r="C403" s="29"/>
      <c r="D403" s="30"/>
      <c r="E403" s="83"/>
      <c r="F403" s="28"/>
      <c r="G403" s="27"/>
      <c r="H403" s="20"/>
      <c r="I403" s="118">
        <f>IFERROR(H403*VLOOKUP(F403,инфо!$A$15:$C$28,3,FALSE)/1000,0)</f>
        <v>0</v>
      </c>
      <c r="J403" s="20"/>
      <c r="K403" s="20"/>
      <c r="L403" s="20"/>
      <c r="M403" s="20"/>
      <c r="N403" s="28"/>
      <c r="O403" s="27"/>
      <c r="P403" s="27"/>
      <c r="Q403" s="27"/>
      <c r="R403" s="27"/>
      <c r="S403" s="67">
        <f t="shared" si="101"/>
        <v>0</v>
      </c>
      <c r="T403" s="29"/>
      <c r="U403" s="30"/>
      <c r="V403" s="27"/>
      <c r="W403" s="81"/>
      <c r="X403" s="27"/>
      <c r="Y403" s="29"/>
      <c r="Z403" s="27"/>
      <c r="AA403" s="27"/>
      <c r="AB403" s="27"/>
      <c r="AC403" s="81"/>
      <c r="AD403" s="30"/>
      <c r="AE403" s="31">
        <f>SUMIFS(инфо!$D$15:$D$28,инфо!$A$15:$A$28,F403)</f>
        <v>0</v>
      </c>
      <c r="AF403" s="35">
        <f t="shared" si="92"/>
        <v>0</v>
      </c>
      <c r="AG403" s="33">
        <f t="shared" si="102"/>
        <v>0</v>
      </c>
      <c r="AH403" s="31">
        <f>SUMIFS(инфо!$E$15:$E$28,инфо!$A$15:$A$28,F403)</f>
        <v>0</v>
      </c>
      <c r="AI403" s="32">
        <f t="shared" si="93"/>
        <v>0</v>
      </c>
      <c r="AJ403" s="33">
        <f t="shared" si="103"/>
        <v>0</v>
      </c>
      <c r="AK403" s="31">
        <f>SUMIFS(инфо!$F$15:$F$28,инфо!$A$15:$A$28,F403)</f>
        <v>0</v>
      </c>
      <c r="AL403" s="32">
        <f t="shared" si="94"/>
        <v>0</v>
      </c>
      <c r="AM403" s="33">
        <f t="shared" si="97"/>
        <v>0</v>
      </c>
      <c r="AN403" s="31">
        <f>SUMIFS(инфо!$G$15:$G$28,инфо!$A$15:$A$28,F403)</f>
        <v>0</v>
      </c>
      <c r="AO403" s="32">
        <f t="shared" si="95"/>
        <v>0</v>
      </c>
      <c r="AP403" s="33">
        <f t="shared" si="98"/>
        <v>0</v>
      </c>
      <c r="AQ403" s="31">
        <f>SUMIFS(инфо!$H$15:$H$28,инфо!$A$15:$A$28,F403)</f>
        <v>0</v>
      </c>
      <c r="AR403" s="32">
        <f t="shared" si="96"/>
        <v>0</v>
      </c>
      <c r="AS403" s="33">
        <f t="shared" si="99"/>
        <v>0</v>
      </c>
      <c r="AT403" s="31">
        <f>SUMIFS(инфо!$I$15:$I$28,инфо!$A$15:$A$28,F403)</f>
        <v>0</v>
      </c>
      <c r="AU403" s="35">
        <f t="shared" si="104"/>
        <v>0</v>
      </c>
      <c r="AV403" s="33">
        <f t="shared" si="100"/>
        <v>0</v>
      </c>
      <c r="AX403" s="67">
        <f>SUMIFS(инфо!$C$15:$C$28,инфо!$A$15:$A$28,F403)*H402</f>
        <v>0</v>
      </c>
    </row>
    <row r="404" spans="1:50" x14ac:dyDescent="0.25">
      <c r="A404" s="70">
        <f t="shared" si="91"/>
        <v>46266</v>
      </c>
      <c r="B404" s="78"/>
      <c r="C404" s="15"/>
      <c r="D404" s="16"/>
      <c r="E404" s="83"/>
      <c r="F404" s="28"/>
      <c r="G404" s="34"/>
      <c r="H404" s="20"/>
      <c r="I404" s="118">
        <f>IFERROR(H404*VLOOKUP(F404,инфо!$A$15:$C$28,3,FALSE)/1000,0)</f>
        <v>0</v>
      </c>
      <c r="J404" s="20"/>
      <c r="K404" s="20"/>
      <c r="L404" s="20"/>
      <c r="M404" s="20"/>
      <c r="N404" s="20"/>
      <c r="O404" s="34"/>
      <c r="P404" s="34"/>
      <c r="Q404" s="34"/>
      <c r="R404" s="34"/>
      <c r="S404" s="68">
        <f t="shared" si="101"/>
        <v>0</v>
      </c>
      <c r="T404" s="15"/>
      <c r="U404" s="16"/>
      <c r="V404" s="34"/>
      <c r="W404" s="81"/>
      <c r="X404" s="34"/>
      <c r="Y404" s="15"/>
      <c r="Z404" s="34"/>
      <c r="AA404" s="34"/>
      <c r="AB404" s="34"/>
      <c r="AC404" s="81"/>
      <c r="AD404" s="16"/>
      <c r="AE404" s="24">
        <f>SUMIFS(инфо!$D$15:$D$28,инфо!$A$15:$A$28,F404)</f>
        <v>0</v>
      </c>
      <c r="AF404" s="35">
        <f t="shared" si="92"/>
        <v>0</v>
      </c>
      <c r="AG404" s="12">
        <f t="shared" si="102"/>
        <v>0</v>
      </c>
      <c r="AH404" s="24">
        <f>SUMIFS(инфо!$E$15:$E$28,инфо!$A$15:$A$28,F404)</f>
        <v>0</v>
      </c>
      <c r="AI404" s="32">
        <f t="shared" si="93"/>
        <v>0</v>
      </c>
      <c r="AJ404" s="12">
        <f t="shared" si="103"/>
        <v>0</v>
      </c>
      <c r="AK404" s="24">
        <f>SUMIFS(инфо!$F$15:$F$28,инфо!$A$15:$A$28,F404)</f>
        <v>0</v>
      </c>
      <c r="AL404" s="32">
        <f t="shared" si="94"/>
        <v>0</v>
      </c>
      <c r="AM404" s="12">
        <f t="shared" si="97"/>
        <v>0</v>
      </c>
      <c r="AN404" s="24">
        <f>SUMIFS(инфо!$G$15:$G$28,инфо!$A$15:$A$28,F404)</f>
        <v>0</v>
      </c>
      <c r="AO404" s="32">
        <f t="shared" si="95"/>
        <v>0</v>
      </c>
      <c r="AP404" s="12">
        <f t="shared" si="98"/>
        <v>0</v>
      </c>
      <c r="AQ404" s="24">
        <f>SUMIFS(инфо!$H$15:$H$28,инфо!$A$15:$A$28,F404)</f>
        <v>0</v>
      </c>
      <c r="AR404" s="35">
        <f t="shared" si="96"/>
        <v>0</v>
      </c>
      <c r="AS404" s="12">
        <f t="shared" si="99"/>
        <v>0</v>
      </c>
      <c r="AT404" s="24">
        <f>SUMIFS(инфо!$I$15:$I$28,инфо!$A$15:$A$28,F404)</f>
        <v>0</v>
      </c>
      <c r="AU404" s="35">
        <f t="shared" si="104"/>
        <v>0</v>
      </c>
      <c r="AV404" s="12">
        <f t="shared" si="100"/>
        <v>0</v>
      </c>
      <c r="AX404" s="68">
        <f>SUMIFS(инфо!$C$15:$C$28,инфо!$A$15:$A$28,F404)*H403</f>
        <v>0</v>
      </c>
    </row>
    <row r="405" spans="1:50" x14ac:dyDescent="0.25">
      <c r="A405" s="70">
        <f t="shared" si="91"/>
        <v>46266</v>
      </c>
      <c r="B405" s="78"/>
      <c r="C405" s="15"/>
      <c r="D405" s="16"/>
      <c r="E405" s="83"/>
      <c r="F405" s="28"/>
      <c r="G405" s="34"/>
      <c r="H405" s="23"/>
      <c r="I405" s="118">
        <f>IFERROR(H405*VLOOKUP(F405,инфо!$A$15:$C$28,3,FALSE)/1000,0)</f>
        <v>0</v>
      </c>
      <c r="J405" s="20"/>
      <c r="K405" s="20"/>
      <c r="L405" s="20"/>
      <c r="M405" s="20"/>
      <c r="N405" s="20"/>
      <c r="O405" s="34"/>
      <c r="P405" s="34"/>
      <c r="Q405" s="34"/>
      <c r="R405" s="34"/>
      <c r="S405" s="68">
        <f t="shared" si="101"/>
        <v>0</v>
      </c>
      <c r="T405" s="15"/>
      <c r="U405" s="16"/>
      <c r="V405" s="34"/>
      <c r="W405" s="81"/>
      <c r="X405" s="34"/>
      <c r="Y405" s="15"/>
      <c r="Z405" s="34"/>
      <c r="AA405" s="34"/>
      <c r="AB405" s="34"/>
      <c r="AC405" s="81"/>
      <c r="AD405" s="16"/>
      <c r="AE405" s="24">
        <f>SUMIFS(инфо!$D$15:$D$28,инфо!$A$15:$A$28,F405)</f>
        <v>0</v>
      </c>
      <c r="AF405" s="35">
        <f t="shared" si="92"/>
        <v>0</v>
      </c>
      <c r="AG405" s="12">
        <f t="shared" si="102"/>
        <v>0</v>
      </c>
      <c r="AH405" s="24">
        <f>SUMIFS(инфо!$E$15:$E$28,инфо!$A$15:$A$28,F405)</f>
        <v>0</v>
      </c>
      <c r="AI405" s="32">
        <f t="shared" si="93"/>
        <v>0</v>
      </c>
      <c r="AJ405" s="12">
        <f t="shared" si="103"/>
        <v>0</v>
      </c>
      <c r="AK405" s="24">
        <f>SUMIFS(инфо!$F$15:$F$28,инфо!$A$15:$A$28,F405)</f>
        <v>0</v>
      </c>
      <c r="AL405" s="32">
        <f t="shared" si="94"/>
        <v>0</v>
      </c>
      <c r="AM405" s="12">
        <f t="shared" si="97"/>
        <v>0</v>
      </c>
      <c r="AN405" s="24">
        <f>SUMIFS(инфо!$G$15:$G$28,инфо!$A$15:$A$28,F405)</f>
        <v>0</v>
      </c>
      <c r="AO405" s="32">
        <f t="shared" si="95"/>
        <v>0</v>
      </c>
      <c r="AP405" s="12">
        <f t="shared" si="98"/>
        <v>0</v>
      </c>
      <c r="AQ405" s="24">
        <f>SUMIFS(инфо!$H$15:$H$28,инфо!$A$15:$A$28,F405)</f>
        <v>0</v>
      </c>
      <c r="AR405" s="35">
        <f t="shared" si="96"/>
        <v>0</v>
      </c>
      <c r="AS405" s="12">
        <f t="shared" si="99"/>
        <v>0</v>
      </c>
      <c r="AT405" s="24">
        <f>SUMIFS(инфо!$I$15:$I$28,инфо!$A$15:$A$28,F405)</f>
        <v>0</v>
      </c>
      <c r="AU405" s="35">
        <f t="shared" si="104"/>
        <v>0</v>
      </c>
      <c r="AV405" s="12">
        <f t="shared" si="100"/>
        <v>0</v>
      </c>
      <c r="AX405" s="68">
        <f>SUMIFS(инфо!$C$15:$C$28,инфо!$A$15:$A$28,F405)*H404</f>
        <v>0</v>
      </c>
    </row>
    <row r="406" spans="1:50" x14ac:dyDescent="0.25">
      <c r="A406" s="70">
        <f t="shared" si="91"/>
        <v>46267</v>
      </c>
      <c r="B406" s="78"/>
      <c r="C406" s="17"/>
      <c r="D406" s="18"/>
      <c r="E406" s="83"/>
      <c r="F406" s="28"/>
      <c r="G406" s="19"/>
      <c r="H406" s="28"/>
      <c r="I406" s="118">
        <f>IFERROR(H406*VLOOKUP(F406,инфо!$A$15:$C$28,3,FALSE)/1000,0)</f>
        <v>0</v>
      </c>
      <c r="J406" s="20"/>
      <c r="K406" s="20"/>
      <c r="L406" s="20"/>
      <c r="M406" s="20"/>
      <c r="N406" s="23"/>
      <c r="O406" s="19"/>
      <c r="P406" s="19"/>
      <c r="Q406" s="19"/>
      <c r="R406" s="19"/>
      <c r="S406" s="69">
        <f t="shared" si="101"/>
        <v>0</v>
      </c>
      <c r="T406" s="17"/>
      <c r="U406" s="18"/>
      <c r="V406" s="19"/>
      <c r="W406" s="81"/>
      <c r="X406" s="19"/>
      <c r="Y406" s="17"/>
      <c r="Z406" s="19"/>
      <c r="AA406" s="19"/>
      <c r="AB406" s="19"/>
      <c r="AC406" s="81"/>
      <c r="AD406" s="18"/>
      <c r="AE406" s="25">
        <f>SUMIFS(инфо!$D$15:$D$28,инфо!$A$15:$A$28,F406)</f>
        <v>0</v>
      </c>
      <c r="AF406" s="35">
        <f t="shared" si="92"/>
        <v>0</v>
      </c>
      <c r="AG406" s="14">
        <f t="shared" si="102"/>
        <v>0</v>
      </c>
      <c r="AH406" s="25">
        <f>SUMIFS(инфо!$E$15:$E$28,инфо!$A$15:$A$28,F406)</f>
        <v>0</v>
      </c>
      <c r="AI406" s="32">
        <f t="shared" si="93"/>
        <v>0</v>
      </c>
      <c r="AJ406" s="14">
        <f t="shared" si="103"/>
        <v>0</v>
      </c>
      <c r="AK406" s="25">
        <f>SUMIFS(инфо!$F$15:$F$28,инфо!$A$15:$A$28,F406)</f>
        <v>0</v>
      </c>
      <c r="AL406" s="32">
        <f t="shared" si="94"/>
        <v>0</v>
      </c>
      <c r="AM406" s="14">
        <f t="shared" si="97"/>
        <v>0</v>
      </c>
      <c r="AN406" s="25">
        <f>SUMIFS(инфо!$G$15:$G$28,инфо!$A$15:$A$28,F406)</f>
        <v>0</v>
      </c>
      <c r="AO406" s="32">
        <f t="shared" si="95"/>
        <v>0</v>
      </c>
      <c r="AP406" s="14">
        <f t="shared" si="98"/>
        <v>0</v>
      </c>
      <c r="AQ406" s="25">
        <f>SUMIFS(инфо!$H$15:$H$28,инфо!$A$15:$A$28,F406)</f>
        <v>0</v>
      </c>
      <c r="AR406" s="26">
        <f t="shared" si="96"/>
        <v>0</v>
      </c>
      <c r="AS406" s="14">
        <f t="shared" si="99"/>
        <v>0</v>
      </c>
      <c r="AT406" s="25">
        <f>SUMIFS(инфо!$I$15:$I$28,инфо!$A$15:$A$28,F406)</f>
        <v>0</v>
      </c>
      <c r="AU406" s="35">
        <f t="shared" si="104"/>
        <v>0</v>
      </c>
      <c r="AV406" s="14">
        <f t="shared" si="100"/>
        <v>0</v>
      </c>
      <c r="AX406" s="69">
        <f>SUMIFS(инфо!$C$15:$C$28,инфо!$A$15:$A$28,F406)*H405</f>
        <v>0</v>
      </c>
    </row>
    <row r="407" spans="1:50" x14ac:dyDescent="0.25">
      <c r="A407" s="70">
        <f t="shared" si="91"/>
        <v>46267</v>
      </c>
      <c r="B407" s="78"/>
      <c r="C407" s="29"/>
      <c r="D407" s="30"/>
      <c r="E407" s="83"/>
      <c r="F407" s="28"/>
      <c r="G407" s="27"/>
      <c r="H407" s="20"/>
      <c r="I407" s="118">
        <f>IFERROR(H407*VLOOKUP(F407,инфо!$A$15:$C$28,3,FALSE)/1000,0)</f>
        <v>0</v>
      </c>
      <c r="J407" s="20"/>
      <c r="K407" s="20"/>
      <c r="L407" s="20"/>
      <c r="M407" s="20"/>
      <c r="N407" s="28"/>
      <c r="O407" s="27"/>
      <c r="P407" s="27"/>
      <c r="Q407" s="27"/>
      <c r="R407" s="27"/>
      <c r="S407" s="67">
        <f t="shared" si="101"/>
        <v>0</v>
      </c>
      <c r="T407" s="29"/>
      <c r="U407" s="30"/>
      <c r="V407" s="27"/>
      <c r="W407" s="81"/>
      <c r="X407" s="27"/>
      <c r="Y407" s="29"/>
      <c r="Z407" s="27"/>
      <c r="AA407" s="27"/>
      <c r="AB407" s="27"/>
      <c r="AC407" s="81"/>
      <c r="AD407" s="30"/>
      <c r="AE407" s="31">
        <f>SUMIFS(инфо!$D$15:$D$28,инфо!$A$15:$A$28,F407)</f>
        <v>0</v>
      </c>
      <c r="AF407" s="35">
        <f t="shared" si="92"/>
        <v>0</v>
      </c>
      <c r="AG407" s="33">
        <f t="shared" si="102"/>
        <v>0</v>
      </c>
      <c r="AH407" s="31">
        <f>SUMIFS(инфо!$E$15:$E$28,инфо!$A$15:$A$28,F407)</f>
        <v>0</v>
      </c>
      <c r="AI407" s="32">
        <f t="shared" si="93"/>
        <v>0</v>
      </c>
      <c r="AJ407" s="33">
        <f t="shared" si="103"/>
        <v>0</v>
      </c>
      <c r="AK407" s="31">
        <f>SUMIFS(инфо!$F$15:$F$28,инфо!$A$15:$A$28,F407)</f>
        <v>0</v>
      </c>
      <c r="AL407" s="32">
        <f t="shared" si="94"/>
        <v>0</v>
      </c>
      <c r="AM407" s="33">
        <f t="shared" si="97"/>
        <v>0</v>
      </c>
      <c r="AN407" s="31">
        <f>SUMIFS(инфо!$G$15:$G$28,инфо!$A$15:$A$28,F407)</f>
        <v>0</v>
      </c>
      <c r="AO407" s="32">
        <f t="shared" si="95"/>
        <v>0</v>
      </c>
      <c r="AP407" s="33">
        <f t="shared" si="98"/>
        <v>0</v>
      </c>
      <c r="AQ407" s="31">
        <f>SUMIFS(инфо!$H$15:$H$28,инфо!$A$15:$A$28,F407)</f>
        <v>0</v>
      </c>
      <c r="AR407" s="32">
        <f t="shared" si="96"/>
        <v>0</v>
      </c>
      <c r="AS407" s="33">
        <f t="shared" si="99"/>
        <v>0</v>
      </c>
      <c r="AT407" s="31">
        <f>SUMIFS(инфо!$I$15:$I$28,инфо!$A$15:$A$28,F407)</f>
        <v>0</v>
      </c>
      <c r="AU407" s="35">
        <f t="shared" si="104"/>
        <v>0</v>
      </c>
      <c r="AV407" s="33">
        <f t="shared" si="100"/>
        <v>0</v>
      </c>
      <c r="AX407" s="67">
        <f>SUMIFS(инфо!$C$15:$C$28,инфо!$A$15:$A$28,F407)*H406</f>
        <v>0</v>
      </c>
    </row>
    <row r="408" spans="1:50" x14ac:dyDescent="0.25">
      <c r="A408" s="70">
        <f t="shared" si="91"/>
        <v>46268</v>
      </c>
      <c r="B408" s="78"/>
      <c r="C408" s="15"/>
      <c r="D408" s="16"/>
      <c r="E408" s="83"/>
      <c r="F408" s="28"/>
      <c r="G408" s="34"/>
      <c r="H408" s="20"/>
      <c r="I408" s="118">
        <f>IFERROR(H408*VLOOKUP(F408,инфо!$A$15:$C$28,3,FALSE)/1000,0)</f>
        <v>0</v>
      </c>
      <c r="J408" s="20"/>
      <c r="K408" s="20"/>
      <c r="L408" s="20"/>
      <c r="M408" s="20"/>
      <c r="N408" s="20"/>
      <c r="O408" s="34"/>
      <c r="P408" s="34"/>
      <c r="Q408" s="34"/>
      <c r="R408" s="34"/>
      <c r="S408" s="68">
        <f t="shared" si="101"/>
        <v>0</v>
      </c>
      <c r="T408" s="15"/>
      <c r="U408" s="16"/>
      <c r="V408" s="34"/>
      <c r="W408" s="81"/>
      <c r="X408" s="34"/>
      <c r="Y408" s="15"/>
      <c r="Z408" s="34"/>
      <c r="AA408" s="34"/>
      <c r="AB408" s="34"/>
      <c r="AC408" s="81"/>
      <c r="AD408" s="16"/>
      <c r="AE408" s="24">
        <f>SUMIFS(инфо!$D$15:$D$28,инфо!$A$15:$A$28,F408)</f>
        <v>0</v>
      </c>
      <c r="AF408" s="35">
        <f t="shared" si="92"/>
        <v>0</v>
      </c>
      <c r="AG408" s="12">
        <f t="shared" si="102"/>
        <v>0</v>
      </c>
      <c r="AH408" s="24">
        <f>SUMIFS(инфо!$E$15:$E$28,инфо!$A$15:$A$28,F408)</f>
        <v>0</v>
      </c>
      <c r="AI408" s="32">
        <f t="shared" si="93"/>
        <v>0</v>
      </c>
      <c r="AJ408" s="12">
        <f t="shared" si="103"/>
        <v>0</v>
      </c>
      <c r="AK408" s="24">
        <f>SUMIFS(инфо!$F$15:$F$28,инфо!$A$15:$A$28,F408)</f>
        <v>0</v>
      </c>
      <c r="AL408" s="32">
        <f t="shared" si="94"/>
        <v>0</v>
      </c>
      <c r="AM408" s="12">
        <f t="shared" si="97"/>
        <v>0</v>
      </c>
      <c r="AN408" s="24">
        <f>SUMIFS(инфо!$G$15:$G$28,инфо!$A$15:$A$28,F408)</f>
        <v>0</v>
      </c>
      <c r="AO408" s="32">
        <f t="shared" si="95"/>
        <v>0</v>
      </c>
      <c r="AP408" s="12">
        <f t="shared" si="98"/>
        <v>0</v>
      </c>
      <c r="AQ408" s="24">
        <f>SUMIFS(инфо!$H$15:$H$28,инфо!$A$15:$A$28,F408)</f>
        <v>0</v>
      </c>
      <c r="AR408" s="35">
        <f t="shared" si="96"/>
        <v>0</v>
      </c>
      <c r="AS408" s="12">
        <f t="shared" si="99"/>
        <v>0</v>
      </c>
      <c r="AT408" s="24">
        <f>SUMIFS(инфо!$I$15:$I$28,инфо!$A$15:$A$28,F408)</f>
        <v>0</v>
      </c>
      <c r="AU408" s="35">
        <f t="shared" si="104"/>
        <v>0</v>
      </c>
      <c r="AV408" s="12">
        <f t="shared" si="100"/>
        <v>0</v>
      </c>
      <c r="AX408" s="68">
        <f>SUMIFS(инфо!$C$15:$C$28,инфо!$A$15:$A$28,F408)*H407</f>
        <v>0</v>
      </c>
    </row>
    <row r="409" spans="1:50" x14ac:dyDescent="0.25">
      <c r="A409" s="70">
        <f t="shared" si="91"/>
        <v>46268</v>
      </c>
      <c r="B409" s="78"/>
      <c r="C409" s="15"/>
      <c r="D409" s="16"/>
      <c r="E409" s="83"/>
      <c r="F409" s="28"/>
      <c r="G409" s="34"/>
      <c r="H409" s="23"/>
      <c r="I409" s="118">
        <f>IFERROR(H409*VLOOKUP(F409,инфо!$A$15:$C$28,3,FALSE)/1000,0)</f>
        <v>0</v>
      </c>
      <c r="J409" s="20"/>
      <c r="K409" s="20"/>
      <c r="L409" s="20"/>
      <c r="M409" s="20"/>
      <c r="N409" s="20"/>
      <c r="O409" s="34"/>
      <c r="P409" s="34"/>
      <c r="Q409" s="34"/>
      <c r="R409" s="34"/>
      <c r="S409" s="68">
        <f t="shared" si="101"/>
        <v>0</v>
      </c>
      <c r="T409" s="15"/>
      <c r="U409" s="16"/>
      <c r="V409" s="34"/>
      <c r="W409" s="81"/>
      <c r="X409" s="34"/>
      <c r="Y409" s="15"/>
      <c r="Z409" s="34"/>
      <c r="AA409" s="34"/>
      <c r="AB409" s="34"/>
      <c r="AC409" s="81"/>
      <c r="AD409" s="16"/>
      <c r="AE409" s="24">
        <f>SUMIFS(инфо!$D$15:$D$28,инфо!$A$15:$A$28,F409)</f>
        <v>0</v>
      </c>
      <c r="AF409" s="35">
        <f t="shared" si="92"/>
        <v>0</v>
      </c>
      <c r="AG409" s="12">
        <f t="shared" si="102"/>
        <v>0</v>
      </c>
      <c r="AH409" s="24">
        <f>SUMIFS(инфо!$E$15:$E$28,инфо!$A$15:$A$28,F409)</f>
        <v>0</v>
      </c>
      <c r="AI409" s="32">
        <f t="shared" si="93"/>
        <v>0</v>
      </c>
      <c r="AJ409" s="12">
        <f t="shared" si="103"/>
        <v>0</v>
      </c>
      <c r="AK409" s="24">
        <f>SUMIFS(инфо!$F$15:$F$28,инфо!$A$15:$A$28,F409)</f>
        <v>0</v>
      </c>
      <c r="AL409" s="32">
        <f t="shared" si="94"/>
        <v>0</v>
      </c>
      <c r="AM409" s="12">
        <f t="shared" si="97"/>
        <v>0</v>
      </c>
      <c r="AN409" s="24">
        <f>SUMIFS(инфо!$G$15:$G$28,инфо!$A$15:$A$28,F409)</f>
        <v>0</v>
      </c>
      <c r="AO409" s="32">
        <f t="shared" si="95"/>
        <v>0</v>
      </c>
      <c r="AP409" s="12">
        <f t="shared" si="98"/>
        <v>0</v>
      </c>
      <c r="AQ409" s="24">
        <f>SUMIFS(инфо!$H$15:$H$28,инфо!$A$15:$A$28,F409)</f>
        <v>0</v>
      </c>
      <c r="AR409" s="35">
        <f t="shared" si="96"/>
        <v>0</v>
      </c>
      <c r="AS409" s="12">
        <f t="shared" si="99"/>
        <v>0</v>
      </c>
      <c r="AT409" s="24">
        <f>SUMIFS(инфо!$I$15:$I$28,инфо!$A$15:$A$28,F409)</f>
        <v>0</v>
      </c>
      <c r="AU409" s="35">
        <f t="shared" si="104"/>
        <v>0</v>
      </c>
      <c r="AV409" s="12">
        <f t="shared" si="100"/>
        <v>0</v>
      </c>
      <c r="AX409" s="68">
        <f>SUMIFS(инфо!$C$15:$C$28,инфо!$A$15:$A$28,F409)*H408</f>
        <v>0</v>
      </c>
    </row>
    <row r="410" spans="1:50" x14ac:dyDescent="0.25">
      <c r="A410" s="70">
        <f t="shared" si="91"/>
        <v>46269</v>
      </c>
      <c r="B410" s="78"/>
      <c r="C410" s="17"/>
      <c r="D410" s="18"/>
      <c r="E410" s="83"/>
      <c r="F410" s="28"/>
      <c r="G410" s="19"/>
      <c r="H410" s="28"/>
      <c r="I410" s="118">
        <f>IFERROR(H410*VLOOKUP(F410,инфо!$A$15:$C$28,3,FALSE)/1000,0)</f>
        <v>0</v>
      </c>
      <c r="J410" s="20"/>
      <c r="K410" s="20"/>
      <c r="L410" s="20"/>
      <c r="M410" s="20"/>
      <c r="N410" s="23"/>
      <c r="O410" s="19"/>
      <c r="P410" s="19"/>
      <c r="Q410" s="19"/>
      <c r="R410" s="19"/>
      <c r="S410" s="69">
        <f t="shared" si="101"/>
        <v>0</v>
      </c>
      <c r="T410" s="17"/>
      <c r="U410" s="18"/>
      <c r="V410" s="19"/>
      <c r="W410" s="81"/>
      <c r="X410" s="19"/>
      <c r="Y410" s="17"/>
      <c r="Z410" s="19"/>
      <c r="AA410" s="19"/>
      <c r="AB410" s="19"/>
      <c r="AC410" s="81"/>
      <c r="AD410" s="18"/>
      <c r="AE410" s="25">
        <f>SUMIFS(инфо!$D$15:$D$28,инфо!$A$15:$A$28,F410)</f>
        <v>0</v>
      </c>
      <c r="AF410" s="35">
        <f t="shared" si="92"/>
        <v>0</v>
      </c>
      <c r="AG410" s="14">
        <f t="shared" si="102"/>
        <v>0</v>
      </c>
      <c r="AH410" s="25">
        <f>SUMIFS(инфо!$E$15:$E$28,инфо!$A$15:$A$28,F410)</f>
        <v>0</v>
      </c>
      <c r="AI410" s="32">
        <f t="shared" si="93"/>
        <v>0</v>
      </c>
      <c r="AJ410" s="14">
        <f t="shared" si="103"/>
        <v>0</v>
      </c>
      <c r="AK410" s="25">
        <f>SUMIFS(инфо!$F$15:$F$28,инфо!$A$15:$A$28,F410)</f>
        <v>0</v>
      </c>
      <c r="AL410" s="32">
        <f t="shared" si="94"/>
        <v>0</v>
      </c>
      <c r="AM410" s="14">
        <f t="shared" si="97"/>
        <v>0</v>
      </c>
      <c r="AN410" s="25">
        <f>SUMIFS(инфо!$G$15:$G$28,инфо!$A$15:$A$28,F410)</f>
        <v>0</v>
      </c>
      <c r="AO410" s="32">
        <f t="shared" si="95"/>
        <v>0</v>
      </c>
      <c r="AP410" s="14">
        <f t="shared" si="98"/>
        <v>0</v>
      </c>
      <c r="AQ410" s="25">
        <f>SUMIFS(инфо!$H$15:$H$28,инфо!$A$15:$A$28,F410)</f>
        <v>0</v>
      </c>
      <c r="AR410" s="26">
        <f t="shared" si="96"/>
        <v>0</v>
      </c>
      <c r="AS410" s="14">
        <f t="shared" si="99"/>
        <v>0</v>
      </c>
      <c r="AT410" s="25">
        <f>SUMIFS(инфо!$I$15:$I$28,инфо!$A$15:$A$28,F410)</f>
        <v>0</v>
      </c>
      <c r="AU410" s="35">
        <f t="shared" si="104"/>
        <v>0</v>
      </c>
      <c r="AV410" s="14">
        <f t="shared" si="100"/>
        <v>0</v>
      </c>
      <c r="AX410" s="69">
        <f>SUMIFS(инфо!$C$15:$C$28,инфо!$A$15:$A$28,F410)*H409</f>
        <v>0</v>
      </c>
    </row>
    <row r="411" spans="1:50" x14ac:dyDescent="0.25">
      <c r="A411" s="70">
        <f t="shared" si="91"/>
        <v>46269</v>
      </c>
      <c r="B411" s="78"/>
      <c r="C411" s="29"/>
      <c r="D411" s="30"/>
      <c r="E411" s="83"/>
      <c r="F411" s="28"/>
      <c r="G411" s="27"/>
      <c r="H411" s="20"/>
      <c r="I411" s="118">
        <f>IFERROR(H411*VLOOKUP(F411,инфо!$A$15:$C$28,3,FALSE)/1000,0)</f>
        <v>0</v>
      </c>
      <c r="J411" s="20"/>
      <c r="K411" s="20"/>
      <c r="L411" s="20"/>
      <c r="M411" s="20"/>
      <c r="N411" s="28"/>
      <c r="O411" s="27"/>
      <c r="P411" s="27"/>
      <c r="Q411" s="27"/>
      <c r="R411" s="27"/>
      <c r="S411" s="67">
        <f t="shared" si="101"/>
        <v>0</v>
      </c>
      <c r="T411" s="29"/>
      <c r="U411" s="30"/>
      <c r="V411" s="27"/>
      <c r="W411" s="81"/>
      <c r="X411" s="27"/>
      <c r="Y411" s="29"/>
      <c r="Z411" s="27"/>
      <c r="AA411" s="27"/>
      <c r="AB411" s="27"/>
      <c r="AC411" s="81"/>
      <c r="AD411" s="30"/>
      <c r="AE411" s="31">
        <f>SUMIFS(инфо!$D$15:$D$28,инфо!$A$15:$A$28,F411)</f>
        <v>0</v>
      </c>
      <c r="AF411" s="35">
        <f t="shared" si="92"/>
        <v>0</v>
      </c>
      <c r="AG411" s="33">
        <f t="shared" si="102"/>
        <v>0</v>
      </c>
      <c r="AH411" s="31">
        <f>SUMIFS(инфо!$E$15:$E$28,инфо!$A$15:$A$28,F411)</f>
        <v>0</v>
      </c>
      <c r="AI411" s="32">
        <f t="shared" si="93"/>
        <v>0</v>
      </c>
      <c r="AJ411" s="33">
        <f t="shared" si="103"/>
        <v>0</v>
      </c>
      <c r="AK411" s="31">
        <f>SUMIFS(инфо!$F$15:$F$28,инфо!$A$15:$A$28,F411)</f>
        <v>0</v>
      </c>
      <c r="AL411" s="32">
        <f t="shared" si="94"/>
        <v>0</v>
      </c>
      <c r="AM411" s="33">
        <f t="shared" si="97"/>
        <v>0</v>
      </c>
      <c r="AN411" s="31">
        <f>SUMIFS(инфо!$G$15:$G$28,инфо!$A$15:$A$28,F411)</f>
        <v>0</v>
      </c>
      <c r="AO411" s="32">
        <f t="shared" si="95"/>
        <v>0</v>
      </c>
      <c r="AP411" s="33">
        <f t="shared" si="98"/>
        <v>0</v>
      </c>
      <c r="AQ411" s="31">
        <f>SUMIFS(инфо!$H$15:$H$28,инфо!$A$15:$A$28,F411)</f>
        <v>0</v>
      </c>
      <c r="AR411" s="32">
        <f t="shared" si="96"/>
        <v>0</v>
      </c>
      <c r="AS411" s="33">
        <f t="shared" si="99"/>
        <v>0</v>
      </c>
      <c r="AT411" s="31">
        <f>SUMIFS(инфо!$I$15:$I$28,инфо!$A$15:$A$28,F411)</f>
        <v>0</v>
      </c>
      <c r="AU411" s="35">
        <f t="shared" si="104"/>
        <v>0</v>
      </c>
      <c r="AV411" s="33">
        <f t="shared" si="100"/>
        <v>0</v>
      </c>
      <c r="AX411" s="67">
        <f>SUMIFS(инфо!$C$15:$C$28,инфо!$A$15:$A$28,F411)*H410</f>
        <v>0</v>
      </c>
    </row>
    <row r="412" spans="1:50" x14ac:dyDescent="0.25">
      <c r="A412" s="70">
        <f t="shared" ref="A412:A475" si="105">A410+1</f>
        <v>46270</v>
      </c>
      <c r="B412" s="78"/>
      <c r="C412" s="15"/>
      <c r="D412" s="16"/>
      <c r="E412" s="83"/>
      <c r="F412" s="28"/>
      <c r="G412" s="34"/>
      <c r="H412" s="20"/>
      <c r="I412" s="118">
        <f>IFERROR(H412*VLOOKUP(F412,инфо!$A$15:$C$28,3,FALSE)/1000,0)</f>
        <v>0</v>
      </c>
      <c r="J412" s="20"/>
      <c r="K412" s="20"/>
      <c r="L412" s="20"/>
      <c r="M412" s="20"/>
      <c r="N412" s="20"/>
      <c r="O412" s="34"/>
      <c r="P412" s="34"/>
      <c r="Q412" s="34"/>
      <c r="R412" s="34"/>
      <c r="S412" s="68">
        <f t="shared" si="101"/>
        <v>0</v>
      </c>
      <c r="T412" s="15"/>
      <c r="U412" s="16"/>
      <c r="V412" s="34"/>
      <c r="W412" s="81"/>
      <c r="X412" s="34"/>
      <c r="Y412" s="15"/>
      <c r="Z412" s="34"/>
      <c r="AA412" s="34"/>
      <c r="AB412" s="34"/>
      <c r="AC412" s="81"/>
      <c r="AD412" s="16"/>
      <c r="AE412" s="24">
        <f>SUMIFS(инфо!$D$15:$D$28,инфо!$A$15:$A$28,F412)</f>
        <v>0</v>
      </c>
      <c r="AF412" s="35">
        <f t="shared" si="92"/>
        <v>0</v>
      </c>
      <c r="AG412" s="12">
        <f t="shared" si="102"/>
        <v>0</v>
      </c>
      <c r="AH412" s="24">
        <f>SUMIFS(инфо!$E$15:$E$28,инфо!$A$15:$A$28,F412)</f>
        <v>0</v>
      </c>
      <c r="AI412" s="32">
        <f t="shared" si="93"/>
        <v>0</v>
      </c>
      <c r="AJ412" s="12">
        <f t="shared" si="103"/>
        <v>0</v>
      </c>
      <c r="AK412" s="24">
        <f>SUMIFS(инфо!$F$15:$F$28,инфо!$A$15:$A$28,F412)</f>
        <v>0</v>
      </c>
      <c r="AL412" s="32">
        <f t="shared" si="94"/>
        <v>0</v>
      </c>
      <c r="AM412" s="12">
        <f t="shared" si="97"/>
        <v>0</v>
      </c>
      <c r="AN412" s="24">
        <f>SUMIFS(инфо!$G$15:$G$28,инфо!$A$15:$A$28,F412)</f>
        <v>0</v>
      </c>
      <c r="AO412" s="32">
        <f t="shared" si="95"/>
        <v>0</v>
      </c>
      <c r="AP412" s="12">
        <f t="shared" si="98"/>
        <v>0</v>
      </c>
      <c r="AQ412" s="24">
        <f>SUMIFS(инфо!$H$15:$H$28,инфо!$A$15:$A$28,F412)</f>
        <v>0</v>
      </c>
      <c r="AR412" s="35">
        <f t="shared" si="96"/>
        <v>0</v>
      </c>
      <c r="AS412" s="12">
        <f t="shared" si="99"/>
        <v>0</v>
      </c>
      <c r="AT412" s="24">
        <f>SUMIFS(инфо!$I$15:$I$28,инфо!$A$15:$A$28,F412)</f>
        <v>0</v>
      </c>
      <c r="AU412" s="35">
        <f t="shared" si="104"/>
        <v>0</v>
      </c>
      <c r="AV412" s="12">
        <f t="shared" si="100"/>
        <v>0</v>
      </c>
      <c r="AX412" s="68">
        <f>SUMIFS(инфо!$C$15:$C$28,инфо!$A$15:$A$28,F412)*H411</f>
        <v>0</v>
      </c>
    </row>
    <row r="413" spans="1:50" x14ac:dyDescent="0.25">
      <c r="A413" s="70">
        <f t="shared" si="105"/>
        <v>46270</v>
      </c>
      <c r="B413" s="78"/>
      <c r="C413" s="15"/>
      <c r="D413" s="16"/>
      <c r="E413" s="83"/>
      <c r="F413" s="28"/>
      <c r="G413" s="34"/>
      <c r="H413" s="23"/>
      <c r="I413" s="118">
        <f>IFERROR(H413*VLOOKUP(F413,инфо!$A$15:$C$28,3,FALSE)/1000,0)</f>
        <v>0</v>
      </c>
      <c r="J413" s="20"/>
      <c r="K413" s="20"/>
      <c r="L413" s="20"/>
      <c r="M413" s="20"/>
      <c r="N413" s="20"/>
      <c r="O413" s="34"/>
      <c r="P413" s="34"/>
      <c r="Q413" s="34"/>
      <c r="R413" s="34"/>
      <c r="S413" s="68">
        <f t="shared" si="101"/>
        <v>0</v>
      </c>
      <c r="T413" s="15"/>
      <c r="U413" s="16"/>
      <c r="V413" s="34"/>
      <c r="W413" s="81"/>
      <c r="X413" s="34"/>
      <c r="Y413" s="15"/>
      <c r="Z413" s="34"/>
      <c r="AA413" s="34"/>
      <c r="AB413" s="34"/>
      <c r="AC413" s="81"/>
      <c r="AD413" s="16"/>
      <c r="AE413" s="24">
        <f>SUMIFS(инфо!$D$15:$D$28,инфо!$A$15:$A$28,F413)</f>
        <v>0</v>
      </c>
      <c r="AF413" s="35">
        <f t="shared" si="92"/>
        <v>0</v>
      </c>
      <c r="AG413" s="12">
        <f t="shared" si="102"/>
        <v>0</v>
      </c>
      <c r="AH413" s="24">
        <f>SUMIFS(инфо!$E$15:$E$28,инфо!$A$15:$A$28,F413)</f>
        <v>0</v>
      </c>
      <c r="AI413" s="32">
        <f t="shared" si="93"/>
        <v>0</v>
      </c>
      <c r="AJ413" s="12">
        <f t="shared" si="103"/>
        <v>0</v>
      </c>
      <c r="AK413" s="24">
        <f>SUMIFS(инфо!$F$15:$F$28,инфо!$A$15:$A$28,F413)</f>
        <v>0</v>
      </c>
      <c r="AL413" s="32">
        <f t="shared" si="94"/>
        <v>0</v>
      </c>
      <c r="AM413" s="12">
        <f t="shared" si="97"/>
        <v>0</v>
      </c>
      <c r="AN413" s="24">
        <f>SUMIFS(инфо!$G$15:$G$28,инфо!$A$15:$A$28,F413)</f>
        <v>0</v>
      </c>
      <c r="AO413" s="32">
        <f t="shared" si="95"/>
        <v>0</v>
      </c>
      <c r="AP413" s="12">
        <f t="shared" si="98"/>
        <v>0</v>
      </c>
      <c r="AQ413" s="24">
        <f>SUMIFS(инфо!$H$15:$H$28,инфо!$A$15:$A$28,F413)</f>
        <v>0</v>
      </c>
      <c r="AR413" s="35">
        <f t="shared" si="96"/>
        <v>0</v>
      </c>
      <c r="AS413" s="12">
        <f t="shared" si="99"/>
        <v>0</v>
      </c>
      <c r="AT413" s="24">
        <f>SUMIFS(инфо!$I$15:$I$28,инфо!$A$15:$A$28,F413)</f>
        <v>0</v>
      </c>
      <c r="AU413" s="35">
        <f t="shared" si="104"/>
        <v>0</v>
      </c>
      <c r="AV413" s="12">
        <f t="shared" si="100"/>
        <v>0</v>
      </c>
      <c r="AX413" s="68">
        <f>SUMIFS(инфо!$C$15:$C$28,инфо!$A$15:$A$28,F413)*H412</f>
        <v>0</v>
      </c>
    </row>
    <row r="414" spans="1:50" x14ac:dyDescent="0.25">
      <c r="A414" s="70">
        <f t="shared" si="105"/>
        <v>46271</v>
      </c>
      <c r="B414" s="78"/>
      <c r="C414" s="17"/>
      <c r="D414" s="18"/>
      <c r="E414" s="83"/>
      <c r="F414" s="28"/>
      <c r="G414" s="19"/>
      <c r="H414" s="28"/>
      <c r="I414" s="118">
        <f>IFERROR(H414*VLOOKUP(F414,инфо!$A$15:$C$28,3,FALSE)/1000,0)</f>
        <v>0</v>
      </c>
      <c r="J414" s="20"/>
      <c r="K414" s="20"/>
      <c r="L414" s="20"/>
      <c r="M414" s="20"/>
      <c r="N414" s="23"/>
      <c r="O414" s="19"/>
      <c r="P414" s="19"/>
      <c r="Q414" s="19"/>
      <c r="R414" s="19"/>
      <c r="S414" s="69">
        <f t="shared" si="101"/>
        <v>0</v>
      </c>
      <c r="T414" s="17"/>
      <c r="U414" s="18"/>
      <c r="V414" s="19"/>
      <c r="W414" s="81"/>
      <c r="X414" s="19"/>
      <c r="Y414" s="17"/>
      <c r="Z414" s="19"/>
      <c r="AA414" s="19"/>
      <c r="AB414" s="19"/>
      <c r="AC414" s="81"/>
      <c r="AD414" s="18"/>
      <c r="AE414" s="25">
        <f>SUMIFS(инфо!$D$15:$D$28,инфо!$A$15:$A$28,F414)</f>
        <v>0</v>
      </c>
      <c r="AF414" s="35">
        <f t="shared" si="92"/>
        <v>0</v>
      </c>
      <c r="AG414" s="14">
        <f t="shared" si="102"/>
        <v>0</v>
      </c>
      <c r="AH414" s="25">
        <f>SUMIFS(инфо!$E$15:$E$28,инфо!$A$15:$A$28,F414)</f>
        <v>0</v>
      </c>
      <c r="AI414" s="32">
        <f t="shared" si="93"/>
        <v>0</v>
      </c>
      <c r="AJ414" s="14">
        <f t="shared" si="103"/>
        <v>0</v>
      </c>
      <c r="AK414" s="25">
        <f>SUMIFS(инфо!$F$15:$F$28,инфо!$A$15:$A$28,F414)</f>
        <v>0</v>
      </c>
      <c r="AL414" s="32">
        <f t="shared" si="94"/>
        <v>0</v>
      </c>
      <c r="AM414" s="14">
        <f t="shared" si="97"/>
        <v>0</v>
      </c>
      <c r="AN414" s="25">
        <f>SUMIFS(инфо!$G$15:$G$28,инфо!$A$15:$A$28,F414)</f>
        <v>0</v>
      </c>
      <c r="AO414" s="32">
        <f t="shared" si="95"/>
        <v>0</v>
      </c>
      <c r="AP414" s="14">
        <f t="shared" si="98"/>
        <v>0</v>
      </c>
      <c r="AQ414" s="25">
        <f>SUMIFS(инфо!$H$15:$H$28,инфо!$A$15:$A$28,F414)</f>
        <v>0</v>
      </c>
      <c r="AR414" s="26">
        <f t="shared" si="96"/>
        <v>0</v>
      </c>
      <c r="AS414" s="14">
        <f t="shared" si="99"/>
        <v>0</v>
      </c>
      <c r="AT414" s="25">
        <f>SUMIFS(инфо!$I$15:$I$28,инфо!$A$15:$A$28,F414)</f>
        <v>0</v>
      </c>
      <c r="AU414" s="35">
        <f t="shared" si="104"/>
        <v>0</v>
      </c>
      <c r="AV414" s="14">
        <f t="shared" si="100"/>
        <v>0</v>
      </c>
      <c r="AX414" s="69">
        <f>SUMIFS(инфо!$C$15:$C$28,инфо!$A$15:$A$28,F414)*H413</f>
        <v>0</v>
      </c>
    </row>
    <row r="415" spans="1:50" x14ac:dyDescent="0.25">
      <c r="A415" s="70">
        <f t="shared" si="105"/>
        <v>46271</v>
      </c>
      <c r="B415" s="78"/>
      <c r="C415" s="29"/>
      <c r="D415" s="30"/>
      <c r="E415" s="83"/>
      <c r="F415" s="28"/>
      <c r="G415" s="27"/>
      <c r="H415" s="20"/>
      <c r="I415" s="118">
        <f>IFERROR(H415*VLOOKUP(F415,инфо!$A$15:$C$28,3,FALSE)/1000,0)</f>
        <v>0</v>
      </c>
      <c r="J415" s="20"/>
      <c r="K415" s="20"/>
      <c r="L415" s="20"/>
      <c r="M415" s="20"/>
      <c r="N415" s="28"/>
      <c r="O415" s="27"/>
      <c r="P415" s="27"/>
      <c r="Q415" s="27"/>
      <c r="R415" s="27"/>
      <c r="S415" s="67">
        <f t="shared" si="101"/>
        <v>0</v>
      </c>
      <c r="T415" s="29"/>
      <c r="U415" s="30"/>
      <c r="V415" s="27"/>
      <c r="W415" s="81"/>
      <c r="X415" s="27"/>
      <c r="Y415" s="29"/>
      <c r="Z415" s="27"/>
      <c r="AA415" s="27"/>
      <c r="AB415" s="27"/>
      <c r="AC415" s="81"/>
      <c r="AD415" s="30"/>
      <c r="AE415" s="31">
        <f>SUMIFS(инфо!$D$15:$D$28,инфо!$A$15:$A$28,F415)</f>
        <v>0</v>
      </c>
      <c r="AF415" s="35">
        <f t="shared" si="92"/>
        <v>0</v>
      </c>
      <c r="AG415" s="33">
        <f t="shared" si="102"/>
        <v>0</v>
      </c>
      <c r="AH415" s="31">
        <f>SUMIFS(инфо!$E$15:$E$28,инфо!$A$15:$A$28,F415)</f>
        <v>0</v>
      </c>
      <c r="AI415" s="32">
        <f t="shared" si="93"/>
        <v>0</v>
      </c>
      <c r="AJ415" s="33">
        <f t="shared" si="103"/>
        <v>0</v>
      </c>
      <c r="AK415" s="31">
        <f>SUMIFS(инфо!$F$15:$F$28,инфо!$A$15:$A$28,F415)</f>
        <v>0</v>
      </c>
      <c r="AL415" s="32">
        <f t="shared" si="94"/>
        <v>0</v>
      </c>
      <c r="AM415" s="33">
        <f t="shared" si="97"/>
        <v>0</v>
      </c>
      <c r="AN415" s="31">
        <f>SUMIFS(инфо!$G$15:$G$28,инфо!$A$15:$A$28,F415)</f>
        <v>0</v>
      </c>
      <c r="AO415" s="32">
        <f t="shared" si="95"/>
        <v>0</v>
      </c>
      <c r="AP415" s="33">
        <f t="shared" si="98"/>
        <v>0</v>
      </c>
      <c r="AQ415" s="31">
        <f>SUMIFS(инфо!$H$15:$H$28,инфо!$A$15:$A$28,F415)</f>
        <v>0</v>
      </c>
      <c r="AR415" s="32">
        <f t="shared" si="96"/>
        <v>0</v>
      </c>
      <c r="AS415" s="33">
        <f t="shared" si="99"/>
        <v>0</v>
      </c>
      <c r="AT415" s="31">
        <f>SUMIFS(инфо!$I$15:$I$28,инфо!$A$15:$A$28,F415)</f>
        <v>0</v>
      </c>
      <c r="AU415" s="35">
        <f t="shared" si="104"/>
        <v>0</v>
      </c>
      <c r="AV415" s="33">
        <f t="shared" si="100"/>
        <v>0</v>
      </c>
      <c r="AX415" s="67">
        <f>SUMIFS(инфо!$C$15:$C$28,инфо!$A$15:$A$28,F415)*H414</f>
        <v>0</v>
      </c>
    </row>
    <row r="416" spans="1:50" x14ac:dyDescent="0.25">
      <c r="A416" s="70">
        <f t="shared" si="105"/>
        <v>46272</v>
      </c>
      <c r="B416" s="78"/>
      <c r="C416" s="15"/>
      <c r="D416" s="16"/>
      <c r="E416" s="83"/>
      <c r="F416" s="28"/>
      <c r="G416" s="34"/>
      <c r="H416" s="20"/>
      <c r="I416" s="118">
        <f>IFERROR(H416*VLOOKUP(F416,инфо!$A$15:$C$28,3,FALSE)/1000,0)</f>
        <v>0</v>
      </c>
      <c r="J416" s="20"/>
      <c r="K416" s="20"/>
      <c r="L416" s="20"/>
      <c r="M416" s="20"/>
      <c r="N416" s="20"/>
      <c r="O416" s="34"/>
      <c r="P416" s="34"/>
      <c r="Q416" s="34"/>
      <c r="R416" s="34"/>
      <c r="S416" s="68">
        <f t="shared" si="101"/>
        <v>0</v>
      </c>
      <c r="T416" s="15"/>
      <c r="U416" s="16"/>
      <c r="V416" s="34"/>
      <c r="W416" s="81"/>
      <c r="X416" s="34"/>
      <c r="Y416" s="15"/>
      <c r="Z416" s="34"/>
      <c r="AA416" s="34"/>
      <c r="AB416" s="34"/>
      <c r="AC416" s="81"/>
      <c r="AD416" s="16"/>
      <c r="AE416" s="24">
        <f>SUMIFS(инфо!$D$15:$D$28,инфо!$A$15:$A$28,F416)</f>
        <v>0</v>
      </c>
      <c r="AF416" s="35">
        <f t="shared" si="92"/>
        <v>0</v>
      </c>
      <c r="AG416" s="12">
        <f t="shared" si="102"/>
        <v>0</v>
      </c>
      <c r="AH416" s="24">
        <f>SUMIFS(инфо!$E$15:$E$28,инфо!$A$15:$A$28,F416)</f>
        <v>0</v>
      </c>
      <c r="AI416" s="32">
        <f t="shared" si="93"/>
        <v>0</v>
      </c>
      <c r="AJ416" s="12">
        <f t="shared" si="103"/>
        <v>0</v>
      </c>
      <c r="AK416" s="24">
        <f>SUMIFS(инфо!$F$15:$F$28,инфо!$A$15:$A$28,F416)</f>
        <v>0</v>
      </c>
      <c r="AL416" s="32">
        <f t="shared" si="94"/>
        <v>0</v>
      </c>
      <c r="AM416" s="12">
        <f t="shared" si="97"/>
        <v>0</v>
      </c>
      <c r="AN416" s="24">
        <f>SUMIFS(инфо!$G$15:$G$28,инфо!$A$15:$A$28,F416)</f>
        <v>0</v>
      </c>
      <c r="AO416" s="32">
        <f t="shared" si="95"/>
        <v>0</v>
      </c>
      <c r="AP416" s="12">
        <f t="shared" si="98"/>
        <v>0</v>
      </c>
      <c r="AQ416" s="24">
        <f>SUMIFS(инфо!$H$15:$H$28,инфо!$A$15:$A$28,F416)</f>
        <v>0</v>
      </c>
      <c r="AR416" s="35">
        <f t="shared" si="96"/>
        <v>0</v>
      </c>
      <c r="AS416" s="12">
        <f t="shared" si="99"/>
        <v>0</v>
      </c>
      <c r="AT416" s="24">
        <f>SUMIFS(инфо!$I$15:$I$28,инфо!$A$15:$A$28,F416)</f>
        <v>0</v>
      </c>
      <c r="AU416" s="35">
        <f t="shared" si="104"/>
        <v>0</v>
      </c>
      <c r="AV416" s="12">
        <f t="shared" si="100"/>
        <v>0</v>
      </c>
      <c r="AX416" s="68">
        <f>SUMIFS(инфо!$C$15:$C$28,инфо!$A$15:$A$28,F416)*H415</f>
        <v>0</v>
      </c>
    </row>
    <row r="417" spans="1:50" x14ac:dyDescent="0.25">
      <c r="A417" s="70">
        <f t="shared" si="105"/>
        <v>46272</v>
      </c>
      <c r="B417" s="78"/>
      <c r="C417" s="15"/>
      <c r="D417" s="16"/>
      <c r="E417" s="83"/>
      <c r="F417" s="28"/>
      <c r="G417" s="34"/>
      <c r="H417" s="23"/>
      <c r="I417" s="118">
        <f>IFERROR(H417*VLOOKUP(F417,инфо!$A$15:$C$28,3,FALSE)/1000,0)</f>
        <v>0</v>
      </c>
      <c r="J417" s="20"/>
      <c r="K417" s="20"/>
      <c r="L417" s="20"/>
      <c r="M417" s="20"/>
      <c r="N417" s="20"/>
      <c r="O417" s="34"/>
      <c r="P417" s="34"/>
      <c r="Q417" s="34"/>
      <c r="R417" s="34"/>
      <c r="S417" s="68">
        <f t="shared" si="101"/>
        <v>0</v>
      </c>
      <c r="T417" s="15"/>
      <c r="U417" s="16"/>
      <c r="V417" s="34"/>
      <c r="W417" s="81"/>
      <c r="X417" s="34"/>
      <c r="Y417" s="15"/>
      <c r="Z417" s="34"/>
      <c r="AA417" s="34"/>
      <c r="AB417" s="34"/>
      <c r="AC417" s="81"/>
      <c r="AD417" s="16"/>
      <c r="AE417" s="24">
        <f>SUMIFS(инфо!$D$15:$D$28,инфо!$A$15:$A$28,F417)</f>
        <v>0</v>
      </c>
      <c r="AF417" s="35">
        <f t="shared" si="92"/>
        <v>0</v>
      </c>
      <c r="AG417" s="12">
        <f t="shared" si="102"/>
        <v>0</v>
      </c>
      <c r="AH417" s="24">
        <f>SUMIFS(инфо!$E$15:$E$28,инфо!$A$15:$A$28,F417)</f>
        <v>0</v>
      </c>
      <c r="AI417" s="32">
        <f t="shared" si="93"/>
        <v>0</v>
      </c>
      <c r="AJ417" s="12">
        <f t="shared" si="103"/>
        <v>0</v>
      </c>
      <c r="AK417" s="24">
        <f>SUMIFS(инфо!$F$15:$F$28,инфо!$A$15:$A$28,F417)</f>
        <v>0</v>
      </c>
      <c r="AL417" s="32">
        <f t="shared" si="94"/>
        <v>0</v>
      </c>
      <c r="AM417" s="12">
        <f t="shared" si="97"/>
        <v>0</v>
      </c>
      <c r="AN417" s="24">
        <f>SUMIFS(инфо!$G$15:$G$28,инфо!$A$15:$A$28,F417)</f>
        <v>0</v>
      </c>
      <c r="AO417" s="32">
        <f t="shared" si="95"/>
        <v>0</v>
      </c>
      <c r="AP417" s="12">
        <f t="shared" si="98"/>
        <v>0</v>
      </c>
      <c r="AQ417" s="24">
        <f>SUMIFS(инфо!$H$15:$H$28,инфо!$A$15:$A$28,F417)</f>
        <v>0</v>
      </c>
      <c r="AR417" s="35">
        <f t="shared" si="96"/>
        <v>0</v>
      </c>
      <c r="AS417" s="12">
        <f t="shared" si="99"/>
        <v>0</v>
      </c>
      <c r="AT417" s="24">
        <f>SUMIFS(инфо!$I$15:$I$28,инфо!$A$15:$A$28,F417)</f>
        <v>0</v>
      </c>
      <c r="AU417" s="35">
        <f t="shared" si="104"/>
        <v>0</v>
      </c>
      <c r="AV417" s="12">
        <f t="shared" si="100"/>
        <v>0</v>
      </c>
      <c r="AX417" s="68">
        <f>SUMIFS(инфо!$C$15:$C$28,инфо!$A$15:$A$28,F417)*H416</f>
        <v>0</v>
      </c>
    </row>
    <row r="418" spans="1:50" x14ac:dyDescent="0.25">
      <c r="A418" s="70">
        <f t="shared" si="105"/>
        <v>46273</v>
      </c>
      <c r="B418" s="78"/>
      <c r="C418" s="17"/>
      <c r="D418" s="18"/>
      <c r="E418" s="83"/>
      <c r="F418" s="28"/>
      <c r="G418" s="19"/>
      <c r="H418" s="28"/>
      <c r="I418" s="118">
        <f>IFERROR(H418*VLOOKUP(F418,инфо!$A$15:$C$28,3,FALSE)/1000,0)</f>
        <v>0</v>
      </c>
      <c r="J418" s="20"/>
      <c r="K418" s="20"/>
      <c r="L418" s="20"/>
      <c r="M418" s="20"/>
      <c r="N418" s="23"/>
      <c r="O418" s="19"/>
      <c r="P418" s="19"/>
      <c r="Q418" s="19"/>
      <c r="R418" s="19"/>
      <c r="S418" s="69">
        <f t="shared" si="101"/>
        <v>0</v>
      </c>
      <c r="T418" s="17"/>
      <c r="U418" s="18"/>
      <c r="V418" s="19"/>
      <c r="W418" s="81"/>
      <c r="X418" s="19"/>
      <c r="Y418" s="17"/>
      <c r="Z418" s="19"/>
      <c r="AA418" s="19"/>
      <c r="AB418" s="19"/>
      <c r="AC418" s="81"/>
      <c r="AD418" s="18"/>
      <c r="AE418" s="25">
        <f>SUMIFS(инфо!$D$15:$D$28,инфо!$A$15:$A$28,F418)</f>
        <v>0</v>
      </c>
      <c r="AF418" s="35">
        <f t="shared" si="92"/>
        <v>0</v>
      </c>
      <c r="AG418" s="14">
        <f t="shared" si="102"/>
        <v>0</v>
      </c>
      <c r="AH418" s="25">
        <f>SUMIFS(инфо!$E$15:$E$28,инфо!$A$15:$A$28,F418)</f>
        <v>0</v>
      </c>
      <c r="AI418" s="32">
        <f t="shared" si="93"/>
        <v>0</v>
      </c>
      <c r="AJ418" s="14">
        <f t="shared" si="103"/>
        <v>0</v>
      </c>
      <c r="AK418" s="25">
        <f>SUMIFS(инфо!$F$15:$F$28,инфо!$A$15:$A$28,F418)</f>
        <v>0</v>
      </c>
      <c r="AL418" s="32">
        <f t="shared" si="94"/>
        <v>0</v>
      </c>
      <c r="AM418" s="14">
        <f t="shared" si="97"/>
        <v>0</v>
      </c>
      <c r="AN418" s="25">
        <f>SUMIFS(инфо!$G$15:$G$28,инфо!$A$15:$A$28,F418)</f>
        <v>0</v>
      </c>
      <c r="AO418" s="32">
        <f t="shared" si="95"/>
        <v>0</v>
      </c>
      <c r="AP418" s="14">
        <f t="shared" si="98"/>
        <v>0</v>
      </c>
      <c r="AQ418" s="25">
        <f>SUMIFS(инфо!$H$15:$H$28,инфо!$A$15:$A$28,F418)</f>
        <v>0</v>
      </c>
      <c r="AR418" s="26">
        <f t="shared" si="96"/>
        <v>0</v>
      </c>
      <c r="AS418" s="14">
        <f t="shared" si="99"/>
        <v>0</v>
      </c>
      <c r="AT418" s="25">
        <f>SUMIFS(инфо!$I$15:$I$28,инфо!$A$15:$A$28,F418)</f>
        <v>0</v>
      </c>
      <c r="AU418" s="35">
        <f t="shared" si="104"/>
        <v>0</v>
      </c>
      <c r="AV418" s="14">
        <f t="shared" si="100"/>
        <v>0</v>
      </c>
      <c r="AX418" s="69">
        <f>SUMIFS(инфо!$C$15:$C$28,инфо!$A$15:$A$28,F418)*H417</f>
        <v>0</v>
      </c>
    </row>
    <row r="419" spans="1:50" x14ac:dyDescent="0.25">
      <c r="A419" s="70">
        <f t="shared" si="105"/>
        <v>46273</v>
      </c>
      <c r="B419" s="78"/>
      <c r="C419" s="29"/>
      <c r="D419" s="30"/>
      <c r="E419" s="83"/>
      <c r="F419" s="28"/>
      <c r="G419" s="27"/>
      <c r="H419" s="20"/>
      <c r="I419" s="118">
        <f>IFERROR(H419*VLOOKUP(F419,инфо!$A$15:$C$28,3,FALSE)/1000,0)</f>
        <v>0</v>
      </c>
      <c r="J419" s="20"/>
      <c r="K419" s="20"/>
      <c r="L419" s="20"/>
      <c r="M419" s="20"/>
      <c r="N419" s="28"/>
      <c r="O419" s="27"/>
      <c r="P419" s="27"/>
      <c r="Q419" s="27"/>
      <c r="R419" s="27"/>
      <c r="S419" s="67">
        <f t="shared" si="101"/>
        <v>0</v>
      </c>
      <c r="T419" s="29"/>
      <c r="U419" s="30"/>
      <c r="V419" s="27"/>
      <c r="W419" s="81"/>
      <c r="X419" s="27"/>
      <c r="Y419" s="29"/>
      <c r="Z419" s="27"/>
      <c r="AA419" s="27"/>
      <c r="AB419" s="27"/>
      <c r="AC419" s="81"/>
      <c r="AD419" s="30"/>
      <c r="AE419" s="31">
        <f>SUMIFS(инфо!$D$15:$D$28,инфо!$A$15:$A$28,F419)</f>
        <v>0</v>
      </c>
      <c r="AF419" s="35">
        <f t="shared" si="92"/>
        <v>0</v>
      </c>
      <c r="AG419" s="33">
        <f t="shared" si="102"/>
        <v>0</v>
      </c>
      <c r="AH419" s="31">
        <f>SUMIFS(инфо!$E$15:$E$28,инфо!$A$15:$A$28,F419)</f>
        <v>0</v>
      </c>
      <c r="AI419" s="32">
        <f t="shared" si="93"/>
        <v>0</v>
      </c>
      <c r="AJ419" s="33">
        <f t="shared" si="103"/>
        <v>0</v>
      </c>
      <c r="AK419" s="31">
        <f>SUMIFS(инфо!$F$15:$F$28,инфо!$A$15:$A$28,F419)</f>
        <v>0</v>
      </c>
      <c r="AL419" s="32">
        <f t="shared" si="94"/>
        <v>0</v>
      </c>
      <c r="AM419" s="33">
        <f t="shared" si="97"/>
        <v>0</v>
      </c>
      <c r="AN419" s="31">
        <f>SUMIFS(инфо!$G$15:$G$28,инфо!$A$15:$A$28,F419)</f>
        <v>0</v>
      </c>
      <c r="AO419" s="32">
        <f t="shared" si="95"/>
        <v>0</v>
      </c>
      <c r="AP419" s="33">
        <f t="shared" si="98"/>
        <v>0</v>
      </c>
      <c r="AQ419" s="31">
        <f>SUMIFS(инфо!$H$15:$H$28,инфо!$A$15:$A$28,F419)</f>
        <v>0</v>
      </c>
      <c r="AR419" s="32">
        <f t="shared" si="96"/>
        <v>0</v>
      </c>
      <c r="AS419" s="33">
        <f t="shared" si="99"/>
        <v>0</v>
      </c>
      <c r="AT419" s="31">
        <f>SUMIFS(инфо!$I$15:$I$28,инфо!$A$15:$A$28,F419)</f>
        <v>0</v>
      </c>
      <c r="AU419" s="35">
        <f t="shared" si="104"/>
        <v>0</v>
      </c>
      <c r="AV419" s="33">
        <f t="shared" si="100"/>
        <v>0</v>
      </c>
      <c r="AX419" s="67">
        <f>SUMIFS(инфо!$C$15:$C$28,инфо!$A$15:$A$28,F419)*H418</f>
        <v>0</v>
      </c>
    </row>
    <row r="420" spans="1:50" x14ac:dyDescent="0.25">
      <c r="A420" s="70">
        <f t="shared" si="105"/>
        <v>46274</v>
      </c>
      <c r="B420" s="78"/>
      <c r="C420" s="15"/>
      <c r="D420" s="16"/>
      <c r="E420" s="83"/>
      <c r="F420" s="28"/>
      <c r="G420" s="34"/>
      <c r="H420" s="20"/>
      <c r="I420" s="118">
        <f>IFERROR(H420*VLOOKUP(F420,инфо!$A$15:$C$28,3,FALSE)/1000,0)</f>
        <v>0</v>
      </c>
      <c r="J420" s="20"/>
      <c r="K420" s="20"/>
      <c r="L420" s="20"/>
      <c r="M420" s="20"/>
      <c r="N420" s="20"/>
      <c r="O420" s="34"/>
      <c r="P420" s="34"/>
      <c r="Q420" s="34"/>
      <c r="R420" s="34"/>
      <c r="S420" s="68">
        <f t="shared" si="101"/>
        <v>0</v>
      </c>
      <c r="T420" s="15"/>
      <c r="U420" s="16"/>
      <c r="V420" s="34"/>
      <c r="W420" s="81"/>
      <c r="X420" s="34"/>
      <c r="Y420" s="15"/>
      <c r="Z420" s="34"/>
      <c r="AA420" s="34"/>
      <c r="AB420" s="34"/>
      <c r="AC420" s="81"/>
      <c r="AD420" s="16"/>
      <c r="AE420" s="24">
        <f>SUMIFS(инфо!$D$15:$D$28,инфо!$A$15:$A$28,F420)</f>
        <v>0</v>
      </c>
      <c r="AF420" s="35">
        <f t="shared" si="92"/>
        <v>0</v>
      </c>
      <c r="AG420" s="12">
        <f t="shared" si="102"/>
        <v>0</v>
      </c>
      <c r="AH420" s="24">
        <f>SUMIFS(инфо!$E$15:$E$28,инфо!$A$15:$A$28,F420)</f>
        <v>0</v>
      </c>
      <c r="AI420" s="32">
        <f t="shared" si="93"/>
        <v>0</v>
      </c>
      <c r="AJ420" s="12">
        <f t="shared" si="103"/>
        <v>0</v>
      </c>
      <c r="AK420" s="24">
        <f>SUMIFS(инфо!$F$15:$F$28,инфо!$A$15:$A$28,F420)</f>
        <v>0</v>
      </c>
      <c r="AL420" s="32">
        <f t="shared" si="94"/>
        <v>0</v>
      </c>
      <c r="AM420" s="12">
        <f t="shared" si="97"/>
        <v>0</v>
      </c>
      <c r="AN420" s="24">
        <f>SUMIFS(инфо!$G$15:$G$28,инфо!$A$15:$A$28,F420)</f>
        <v>0</v>
      </c>
      <c r="AO420" s="32">
        <f t="shared" si="95"/>
        <v>0</v>
      </c>
      <c r="AP420" s="12">
        <f t="shared" si="98"/>
        <v>0</v>
      </c>
      <c r="AQ420" s="24">
        <f>SUMIFS(инфо!$H$15:$H$28,инфо!$A$15:$A$28,F420)</f>
        <v>0</v>
      </c>
      <c r="AR420" s="35">
        <f t="shared" si="96"/>
        <v>0</v>
      </c>
      <c r="AS420" s="12">
        <f t="shared" si="99"/>
        <v>0</v>
      </c>
      <c r="AT420" s="24">
        <f>SUMIFS(инфо!$I$15:$I$28,инфо!$A$15:$A$28,F420)</f>
        <v>0</v>
      </c>
      <c r="AU420" s="35">
        <f t="shared" si="104"/>
        <v>0</v>
      </c>
      <c r="AV420" s="12">
        <f t="shared" si="100"/>
        <v>0</v>
      </c>
      <c r="AX420" s="68">
        <f>SUMIFS(инфо!$C$15:$C$28,инфо!$A$15:$A$28,F420)*H419</f>
        <v>0</v>
      </c>
    </row>
    <row r="421" spans="1:50" x14ac:dyDescent="0.25">
      <c r="A421" s="70">
        <f t="shared" si="105"/>
        <v>46274</v>
      </c>
      <c r="B421" s="78"/>
      <c r="C421" s="15"/>
      <c r="D421" s="16"/>
      <c r="E421" s="83"/>
      <c r="F421" s="28"/>
      <c r="G421" s="34"/>
      <c r="H421" s="23"/>
      <c r="I421" s="118">
        <f>IFERROR(H421*VLOOKUP(F421,инфо!$A$15:$C$28,3,FALSE)/1000,0)</f>
        <v>0</v>
      </c>
      <c r="J421" s="20"/>
      <c r="K421" s="20"/>
      <c r="L421" s="20"/>
      <c r="M421" s="20"/>
      <c r="N421" s="20"/>
      <c r="O421" s="34"/>
      <c r="P421" s="34"/>
      <c r="Q421" s="34"/>
      <c r="R421" s="34"/>
      <c r="S421" s="68">
        <f t="shared" si="101"/>
        <v>0</v>
      </c>
      <c r="T421" s="15"/>
      <c r="U421" s="16"/>
      <c r="V421" s="34"/>
      <c r="W421" s="81"/>
      <c r="X421" s="34"/>
      <c r="Y421" s="15"/>
      <c r="Z421" s="34"/>
      <c r="AA421" s="34"/>
      <c r="AB421" s="34"/>
      <c r="AC421" s="81"/>
      <c r="AD421" s="16"/>
      <c r="AE421" s="24">
        <f>SUMIFS(инфо!$D$15:$D$28,инфо!$A$15:$A$28,F421)</f>
        <v>0</v>
      </c>
      <c r="AF421" s="35">
        <f t="shared" si="92"/>
        <v>0</v>
      </c>
      <c r="AG421" s="12">
        <f t="shared" si="102"/>
        <v>0</v>
      </c>
      <c r="AH421" s="24">
        <f>SUMIFS(инфо!$E$15:$E$28,инфо!$A$15:$A$28,F421)</f>
        <v>0</v>
      </c>
      <c r="AI421" s="32">
        <f t="shared" si="93"/>
        <v>0</v>
      </c>
      <c r="AJ421" s="12">
        <f t="shared" si="103"/>
        <v>0</v>
      </c>
      <c r="AK421" s="24">
        <f>SUMIFS(инфо!$F$15:$F$28,инфо!$A$15:$A$28,F421)</f>
        <v>0</v>
      </c>
      <c r="AL421" s="32">
        <f t="shared" si="94"/>
        <v>0</v>
      </c>
      <c r="AM421" s="12">
        <f t="shared" si="97"/>
        <v>0</v>
      </c>
      <c r="AN421" s="24">
        <f>SUMIFS(инфо!$G$15:$G$28,инфо!$A$15:$A$28,F421)</f>
        <v>0</v>
      </c>
      <c r="AO421" s="32">
        <f t="shared" si="95"/>
        <v>0</v>
      </c>
      <c r="AP421" s="12">
        <f t="shared" si="98"/>
        <v>0</v>
      </c>
      <c r="AQ421" s="24">
        <f>SUMIFS(инфо!$H$15:$H$28,инфо!$A$15:$A$28,F421)</f>
        <v>0</v>
      </c>
      <c r="AR421" s="35">
        <f t="shared" si="96"/>
        <v>0</v>
      </c>
      <c r="AS421" s="12">
        <f t="shared" si="99"/>
        <v>0</v>
      </c>
      <c r="AT421" s="24">
        <f>SUMIFS(инфо!$I$15:$I$28,инфо!$A$15:$A$28,F421)</f>
        <v>0</v>
      </c>
      <c r="AU421" s="35">
        <f t="shared" si="104"/>
        <v>0</v>
      </c>
      <c r="AV421" s="12">
        <f t="shared" si="100"/>
        <v>0</v>
      </c>
      <c r="AX421" s="68">
        <f>SUMIFS(инфо!$C$15:$C$28,инфо!$A$15:$A$28,F421)*H420</f>
        <v>0</v>
      </c>
    </row>
    <row r="422" spans="1:50" x14ac:dyDescent="0.25">
      <c r="A422" s="70">
        <f t="shared" si="105"/>
        <v>46275</v>
      </c>
      <c r="B422" s="78"/>
      <c r="C422" s="17"/>
      <c r="D422" s="18"/>
      <c r="E422" s="83"/>
      <c r="F422" s="28"/>
      <c r="G422" s="19"/>
      <c r="H422" s="28"/>
      <c r="I422" s="118">
        <f>IFERROR(H422*VLOOKUP(F422,инфо!$A$15:$C$28,3,FALSE)/1000,0)</f>
        <v>0</v>
      </c>
      <c r="J422" s="20"/>
      <c r="K422" s="20"/>
      <c r="L422" s="20"/>
      <c r="M422" s="20"/>
      <c r="N422" s="23"/>
      <c r="O422" s="19"/>
      <c r="P422" s="19"/>
      <c r="Q422" s="19"/>
      <c r="R422" s="19"/>
      <c r="S422" s="69">
        <f t="shared" si="101"/>
        <v>0</v>
      </c>
      <c r="T422" s="17"/>
      <c r="U422" s="18"/>
      <c r="V422" s="19"/>
      <c r="W422" s="81"/>
      <c r="X422" s="19"/>
      <c r="Y422" s="17"/>
      <c r="Z422" s="19"/>
      <c r="AA422" s="19"/>
      <c r="AB422" s="19"/>
      <c r="AC422" s="81"/>
      <c r="AD422" s="18"/>
      <c r="AE422" s="25">
        <f>SUMIFS(инфо!$D$15:$D$28,инфо!$A$15:$A$28,F422)</f>
        <v>0</v>
      </c>
      <c r="AF422" s="35">
        <f t="shared" si="92"/>
        <v>0</v>
      </c>
      <c r="AG422" s="14">
        <f t="shared" si="102"/>
        <v>0</v>
      </c>
      <c r="AH422" s="25">
        <f>SUMIFS(инфо!$E$15:$E$28,инфо!$A$15:$A$28,F422)</f>
        <v>0</v>
      </c>
      <c r="AI422" s="32">
        <f t="shared" si="93"/>
        <v>0</v>
      </c>
      <c r="AJ422" s="14">
        <f t="shared" si="103"/>
        <v>0</v>
      </c>
      <c r="AK422" s="25">
        <f>SUMIFS(инфо!$F$15:$F$28,инфо!$A$15:$A$28,F422)</f>
        <v>0</v>
      </c>
      <c r="AL422" s="32">
        <f t="shared" si="94"/>
        <v>0</v>
      </c>
      <c r="AM422" s="14">
        <f t="shared" si="97"/>
        <v>0</v>
      </c>
      <c r="AN422" s="25">
        <f>SUMIFS(инфо!$G$15:$G$28,инфо!$A$15:$A$28,F422)</f>
        <v>0</v>
      </c>
      <c r="AO422" s="32">
        <f t="shared" si="95"/>
        <v>0</v>
      </c>
      <c r="AP422" s="14">
        <f t="shared" si="98"/>
        <v>0</v>
      </c>
      <c r="AQ422" s="25">
        <f>SUMIFS(инфо!$H$15:$H$28,инфо!$A$15:$A$28,F422)</f>
        <v>0</v>
      </c>
      <c r="AR422" s="26">
        <f t="shared" si="96"/>
        <v>0</v>
      </c>
      <c r="AS422" s="14">
        <f t="shared" si="99"/>
        <v>0</v>
      </c>
      <c r="AT422" s="25">
        <f>SUMIFS(инфо!$I$15:$I$28,инфо!$A$15:$A$28,F422)</f>
        <v>0</v>
      </c>
      <c r="AU422" s="35">
        <f t="shared" si="104"/>
        <v>0</v>
      </c>
      <c r="AV422" s="14">
        <f t="shared" si="100"/>
        <v>0</v>
      </c>
      <c r="AX422" s="69">
        <f>SUMIFS(инфо!$C$15:$C$28,инфо!$A$15:$A$28,F422)*H421</f>
        <v>0</v>
      </c>
    </row>
    <row r="423" spans="1:50" x14ac:dyDescent="0.25">
      <c r="A423" s="70">
        <f t="shared" si="105"/>
        <v>46275</v>
      </c>
      <c r="B423" s="78"/>
      <c r="C423" s="29"/>
      <c r="D423" s="30"/>
      <c r="E423" s="83"/>
      <c r="F423" s="28"/>
      <c r="G423" s="27"/>
      <c r="H423" s="20"/>
      <c r="I423" s="118">
        <f>IFERROR(H423*VLOOKUP(F423,инфо!$A$15:$C$28,3,FALSE)/1000,0)</f>
        <v>0</v>
      </c>
      <c r="J423" s="20"/>
      <c r="K423" s="20"/>
      <c r="L423" s="20"/>
      <c r="M423" s="20"/>
      <c r="N423" s="28"/>
      <c r="O423" s="27"/>
      <c r="P423" s="27"/>
      <c r="Q423" s="27"/>
      <c r="R423" s="27"/>
      <c r="S423" s="67">
        <f t="shared" si="101"/>
        <v>0</v>
      </c>
      <c r="T423" s="29"/>
      <c r="U423" s="30"/>
      <c r="V423" s="27"/>
      <c r="W423" s="81"/>
      <c r="X423" s="27"/>
      <c r="Y423" s="29"/>
      <c r="Z423" s="27"/>
      <c r="AA423" s="27"/>
      <c r="AB423" s="27"/>
      <c r="AC423" s="81"/>
      <c r="AD423" s="30"/>
      <c r="AE423" s="31">
        <f>SUMIFS(инфо!$D$15:$D$28,инфо!$A$15:$A$28,F423)</f>
        <v>0</v>
      </c>
      <c r="AF423" s="35">
        <f t="shared" si="92"/>
        <v>0</v>
      </c>
      <c r="AG423" s="33">
        <f t="shared" si="102"/>
        <v>0</v>
      </c>
      <c r="AH423" s="31">
        <f>SUMIFS(инфо!$E$15:$E$28,инфо!$A$15:$A$28,F423)</f>
        <v>0</v>
      </c>
      <c r="AI423" s="32">
        <f t="shared" si="93"/>
        <v>0</v>
      </c>
      <c r="AJ423" s="33">
        <f t="shared" si="103"/>
        <v>0</v>
      </c>
      <c r="AK423" s="31">
        <f>SUMIFS(инфо!$F$15:$F$28,инфо!$A$15:$A$28,F423)</f>
        <v>0</v>
      </c>
      <c r="AL423" s="32">
        <f t="shared" si="94"/>
        <v>0</v>
      </c>
      <c r="AM423" s="33">
        <f t="shared" si="97"/>
        <v>0</v>
      </c>
      <c r="AN423" s="31">
        <f>SUMIFS(инфо!$G$15:$G$28,инфо!$A$15:$A$28,F423)</f>
        <v>0</v>
      </c>
      <c r="AO423" s="32">
        <f t="shared" si="95"/>
        <v>0</v>
      </c>
      <c r="AP423" s="33">
        <f t="shared" si="98"/>
        <v>0</v>
      </c>
      <c r="AQ423" s="31">
        <f>SUMIFS(инфо!$H$15:$H$28,инфо!$A$15:$A$28,F423)</f>
        <v>0</v>
      </c>
      <c r="AR423" s="32">
        <f t="shared" si="96"/>
        <v>0</v>
      </c>
      <c r="AS423" s="33">
        <f t="shared" si="99"/>
        <v>0</v>
      </c>
      <c r="AT423" s="31">
        <f>SUMIFS(инфо!$I$15:$I$28,инфо!$A$15:$A$28,F423)</f>
        <v>0</v>
      </c>
      <c r="AU423" s="35">
        <f t="shared" si="104"/>
        <v>0</v>
      </c>
      <c r="AV423" s="33">
        <f t="shared" si="100"/>
        <v>0</v>
      </c>
      <c r="AX423" s="67">
        <f>SUMIFS(инфо!$C$15:$C$28,инфо!$A$15:$A$28,F423)*H422</f>
        <v>0</v>
      </c>
    </row>
    <row r="424" spans="1:50" x14ac:dyDescent="0.25">
      <c r="A424" s="70">
        <f t="shared" si="105"/>
        <v>46276</v>
      </c>
      <c r="B424" s="78"/>
      <c r="C424" s="15"/>
      <c r="D424" s="16"/>
      <c r="E424" s="83"/>
      <c r="F424" s="28"/>
      <c r="G424" s="34"/>
      <c r="H424" s="20"/>
      <c r="I424" s="118">
        <f>IFERROR(H424*VLOOKUP(F424,инфо!$A$15:$C$28,3,FALSE)/1000,0)</f>
        <v>0</v>
      </c>
      <c r="J424" s="20"/>
      <c r="K424" s="20"/>
      <c r="L424" s="20"/>
      <c r="M424" s="20"/>
      <c r="N424" s="20"/>
      <c r="O424" s="34"/>
      <c r="P424" s="34"/>
      <c r="Q424" s="34"/>
      <c r="R424" s="34"/>
      <c r="S424" s="68">
        <f t="shared" si="101"/>
        <v>0</v>
      </c>
      <c r="T424" s="15"/>
      <c r="U424" s="16"/>
      <c r="V424" s="34"/>
      <c r="W424" s="81"/>
      <c r="X424" s="34"/>
      <c r="Y424" s="15"/>
      <c r="Z424" s="34"/>
      <c r="AA424" s="34"/>
      <c r="AB424" s="34"/>
      <c r="AC424" s="81"/>
      <c r="AD424" s="16"/>
      <c r="AE424" s="24">
        <f>SUMIFS(инфо!$D$15:$D$28,инфо!$A$15:$A$28,F424)</f>
        <v>0</v>
      </c>
      <c r="AF424" s="35">
        <f t="shared" si="92"/>
        <v>0</v>
      </c>
      <c r="AG424" s="12">
        <f t="shared" si="102"/>
        <v>0</v>
      </c>
      <c r="AH424" s="24">
        <f>SUMIFS(инфо!$E$15:$E$28,инфо!$A$15:$A$28,F424)</f>
        <v>0</v>
      </c>
      <c r="AI424" s="32">
        <f t="shared" si="93"/>
        <v>0</v>
      </c>
      <c r="AJ424" s="12">
        <f t="shared" si="103"/>
        <v>0</v>
      </c>
      <c r="AK424" s="24">
        <f>SUMIFS(инфо!$F$15:$F$28,инфо!$A$15:$A$28,F424)</f>
        <v>0</v>
      </c>
      <c r="AL424" s="32">
        <f t="shared" si="94"/>
        <v>0</v>
      </c>
      <c r="AM424" s="12">
        <f t="shared" si="97"/>
        <v>0</v>
      </c>
      <c r="AN424" s="24">
        <f>SUMIFS(инфо!$G$15:$G$28,инфо!$A$15:$A$28,F424)</f>
        <v>0</v>
      </c>
      <c r="AO424" s="32">
        <f t="shared" si="95"/>
        <v>0</v>
      </c>
      <c r="AP424" s="12">
        <f t="shared" si="98"/>
        <v>0</v>
      </c>
      <c r="AQ424" s="24">
        <f>SUMIFS(инфо!$H$15:$H$28,инфо!$A$15:$A$28,F424)</f>
        <v>0</v>
      </c>
      <c r="AR424" s="35">
        <f t="shared" si="96"/>
        <v>0</v>
      </c>
      <c r="AS424" s="12">
        <f t="shared" si="99"/>
        <v>0</v>
      </c>
      <c r="AT424" s="24">
        <f>SUMIFS(инфо!$I$15:$I$28,инфо!$A$15:$A$28,F424)</f>
        <v>0</v>
      </c>
      <c r="AU424" s="35">
        <f t="shared" si="104"/>
        <v>0</v>
      </c>
      <c r="AV424" s="12">
        <f t="shared" si="100"/>
        <v>0</v>
      </c>
      <c r="AX424" s="68">
        <f>SUMIFS(инфо!$C$15:$C$28,инфо!$A$15:$A$28,F424)*H423</f>
        <v>0</v>
      </c>
    </row>
    <row r="425" spans="1:50" x14ac:dyDescent="0.25">
      <c r="A425" s="70">
        <f t="shared" si="105"/>
        <v>46276</v>
      </c>
      <c r="B425" s="78"/>
      <c r="C425" s="15"/>
      <c r="D425" s="16"/>
      <c r="E425" s="83"/>
      <c r="F425" s="28"/>
      <c r="G425" s="34"/>
      <c r="H425" s="23"/>
      <c r="I425" s="118">
        <f>IFERROR(H425*VLOOKUP(F425,инфо!$A$15:$C$28,3,FALSE)/1000,0)</f>
        <v>0</v>
      </c>
      <c r="J425" s="20"/>
      <c r="K425" s="20"/>
      <c r="L425" s="20"/>
      <c r="M425" s="20"/>
      <c r="N425" s="20"/>
      <c r="O425" s="34"/>
      <c r="P425" s="34"/>
      <c r="Q425" s="34"/>
      <c r="R425" s="34"/>
      <c r="S425" s="68">
        <f t="shared" si="101"/>
        <v>0</v>
      </c>
      <c r="T425" s="15"/>
      <c r="U425" s="16"/>
      <c r="V425" s="34"/>
      <c r="W425" s="81"/>
      <c r="X425" s="34"/>
      <c r="Y425" s="15"/>
      <c r="Z425" s="34"/>
      <c r="AA425" s="34"/>
      <c r="AB425" s="34"/>
      <c r="AC425" s="81"/>
      <c r="AD425" s="16"/>
      <c r="AE425" s="24">
        <f>SUMIFS(инфо!$D$15:$D$28,инфо!$A$15:$A$28,F425)</f>
        <v>0</v>
      </c>
      <c r="AF425" s="35">
        <f t="shared" si="92"/>
        <v>0</v>
      </c>
      <c r="AG425" s="12">
        <f t="shared" si="102"/>
        <v>0</v>
      </c>
      <c r="AH425" s="24">
        <f>SUMIFS(инфо!$E$15:$E$28,инфо!$A$15:$A$28,F425)</f>
        <v>0</v>
      </c>
      <c r="AI425" s="32">
        <f t="shared" si="93"/>
        <v>0</v>
      </c>
      <c r="AJ425" s="12">
        <f t="shared" si="103"/>
        <v>0</v>
      </c>
      <c r="AK425" s="24">
        <f>SUMIFS(инфо!$F$15:$F$28,инфо!$A$15:$A$28,F425)</f>
        <v>0</v>
      </c>
      <c r="AL425" s="32">
        <f t="shared" si="94"/>
        <v>0</v>
      </c>
      <c r="AM425" s="12">
        <f t="shared" si="97"/>
        <v>0</v>
      </c>
      <c r="AN425" s="24">
        <f>SUMIFS(инфо!$G$15:$G$28,инфо!$A$15:$A$28,F425)</f>
        <v>0</v>
      </c>
      <c r="AO425" s="32">
        <f t="shared" si="95"/>
        <v>0</v>
      </c>
      <c r="AP425" s="12">
        <f t="shared" si="98"/>
        <v>0</v>
      </c>
      <c r="AQ425" s="24">
        <f>SUMIFS(инфо!$H$15:$H$28,инфо!$A$15:$A$28,F425)</f>
        <v>0</v>
      </c>
      <c r="AR425" s="35">
        <f t="shared" si="96"/>
        <v>0</v>
      </c>
      <c r="AS425" s="12">
        <f t="shared" si="99"/>
        <v>0</v>
      </c>
      <c r="AT425" s="24">
        <f>SUMIFS(инфо!$I$15:$I$28,инфо!$A$15:$A$28,F425)</f>
        <v>0</v>
      </c>
      <c r="AU425" s="35">
        <f t="shared" si="104"/>
        <v>0</v>
      </c>
      <c r="AV425" s="12">
        <f t="shared" si="100"/>
        <v>0</v>
      </c>
      <c r="AX425" s="68">
        <f>SUMIFS(инфо!$C$15:$C$28,инфо!$A$15:$A$28,F425)*H424</f>
        <v>0</v>
      </c>
    </row>
    <row r="426" spans="1:50" x14ac:dyDescent="0.25">
      <c r="A426" s="70">
        <f t="shared" si="105"/>
        <v>46277</v>
      </c>
      <c r="B426" s="78"/>
      <c r="C426" s="17"/>
      <c r="D426" s="18"/>
      <c r="E426" s="83"/>
      <c r="F426" s="28"/>
      <c r="G426" s="19"/>
      <c r="H426" s="28"/>
      <c r="I426" s="118">
        <f>IFERROR(H426*VLOOKUP(F426,инфо!$A$15:$C$28,3,FALSE)/1000,0)</f>
        <v>0</v>
      </c>
      <c r="J426" s="20"/>
      <c r="K426" s="20"/>
      <c r="L426" s="20"/>
      <c r="M426" s="20"/>
      <c r="N426" s="23"/>
      <c r="O426" s="19"/>
      <c r="P426" s="19"/>
      <c r="Q426" s="19"/>
      <c r="R426" s="19"/>
      <c r="S426" s="69">
        <f t="shared" si="101"/>
        <v>0</v>
      </c>
      <c r="T426" s="17"/>
      <c r="U426" s="18"/>
      <c r="V426" s="19"/>
      <c r="W426" s="81"/>
      <c r="X426" s="19"/>
      <c r="Y426" s="17"/>
      <c r="Z426" s="19"/>
      <c r="AA426" s="19"/>
      <c r="AB426" s="19"/>
      <c r="AC426" s="81"/>
      <c r="AD426" s="18"/>
      <c r="AE426" s="25">
        <f>SUMIFS(инфо!$D$15:$D$28,инфо!$A$15:$A$28,F426)</f>
        <v>0</v>
      </c>
      <c r="AF426" s="35">
        <f t="shared" si="92"/>
        <v>0</v>
      </c>
      <c r="AG426" s="14">
        <f t="shared" si="102"/>
        <v>0</v>
      </c>
      <c r="AH426" s="25">
        <f>SUMIFS(инфо!$E$15:$E$28,инфо!$A$15:$A$28,F426)</f>
        <v>0</v>
      </c>
      <c r="AI426" s="32">
        <f t="shared" si="93"/>
        <v>0</v>
      </c>
      <c r="AJ426" s="14">
        <f t="shared" si="103"/>
        <v>0</v>
      </c>
      <c r="AK426" s="25">
        <f>SUMIFS(инфо!$F$15:$F$28,инфо!$A$15:$A$28,F426)</f>
        <v>0</v>
      </c>
      <c r="AL426" s="32">
        <f t="shared" si="94"/>
        <v>0</v>
      </c>
      <c r="AM426" s="14">
        <f t="shared" si="97"/>
        <v>0</v>
      </c>
      <c r="AN426" s="25">
        <f>SUMIFS(инфо!$G$15:$G$28,инфо!$A$15:$A$28,F426)</f>
        <v>0</v>
      </c>
      <c r="AO426" s="32">
        <f t="shared" si="95"/>
        <v>0</v>
      </c>
      <c r="AP426" s="14">
        <f t="shared" si="98"/>
        <v>0</v>
      </c>
      <c r="AQ426" s="25">
        <f>SUMIFS(инфо!$H$15:$H$28,инфо!$A$15:$A$28,F426)</f>
        <v>0</v>
      </c>
      <c r="AR426" s="26">
        <f t="shared" si="96"/>
        <v>0</v>
      </c>
      <c r="AS426" s="14">
        <f t="shared" si="99"/>
        <v>0</v>
      </c>
      <c r="AT426" s="25">
        <f>SUMIFS(инфо!$I$15:$I$28,инфо!$A$15:$A$28,F426)</f>
        <v>0</v>
      </c>
      <c r="AU426" s="35">
        <f t="shared" si="104"/>
        <v>0</v>
      </c>
      <c r="AV426" s="14">
        <f t="shared" si="100"/>
        <v>0</v>
      </c>
      <c r="AX426" s="69">
        <f>SUMIFS(инфо!$C$15:$C$28,инфо!$A$15:$A$28,F426)*H425</f>
        <v>0</v>
      </c>
    </row>
    <row r="427" spans="1:50" x14ac:dyDescent="0.25">
      <c r="A427" s="70">
        <f t="shared" si="105"/>
        <v>46277</v>
      </c>
      <c r="B427" s="78"/>
      <c r="C427" s="29"/>
      <c r="D427" s="30"/>
      <c r="E427" s="83"/>
      <c r="F427" s="28"/>
      <c r="G427" s="27"/>
      <c r="H427" s="20"/>
      <c r="I427" s="118">
        <f>IFERROR(H427*VLOOKUP(F427,инфо!$A$15:$C$28,3,FALSE)/1000,0)</f>
        <v>0</v>
      </c>
      <c r="J427" s="20"/>
      <c r="K427" s="20"/>
      <c r="L427" s="20"/>
      <c r="M427" s="20"/>
      <c r="N427" s="28"/>
      <c r="O427" s="27"/>
      <c r="P427" s="27"/>
      <c r="Q427" s="27"/>
      <c r="R427" s="27"/>
      <c r="S427" s="67">
        <f t="shared" si="101"/>
        <v>0</v>
      </c>
      <c r="T427" s="29"/>
      <c r="U427" s="30"/>
      <c r="V427" s="27"/>
      <c r="W427" s="81"/>
      <c r="X427" s="27"/>
      <c r="Y427" s="29"/>
      <c r="Z427" s="27"/>
      <c r="AA427" s="27"/>
      <c r="AB427" s="27"/>
      <c r="AC427" s="81"/>
      <c r="AD427" s="30"/>
      <c r="AE427" s="31">
        <f>SUMIFS(инфо!$D$15:$D$28,инфо!$A$15:$A$28,F427)</f>
        <v>0</v>
      </c>
      <c r="AF427" s="35">
        <f t="shared" si="92"/>
        <v>0</v>
      </c>
      <c r="AG427" s="33">
        <f t="shared" si="102"/>
        <v>0</v>
      </c>
      <c r="AH427" s="31">
        <f>SUMIFS(инфо!$E$15:$E$28,инфо!$A$15:$A$28,F427)</f>
        <v>0</v>
      </c>
      <c r="AI427" s="32">
        <f t="shared" si="93"/>
        <v>0</v>
      </c>
      <c r="AJ427" s="33">
        <f t="shared" si="103"/>
        <v>0</v>
      </c>
      <c r="AK427" s="31">
        <f>SUMIFS(инфо!$F$15:$F$28,инфо!$A$15:$A$28,F427)</f>
        <v>0</v>
      </c>
      <c r="AL427" s="32">
        <f t="shared" si="94"/>
        <v>0</v>
      </c>
      <c r="AM427" s="33">
        <f t="shared" si="97"/>
        <v>0</v>
      </c>
      <c r="AN427" s="31">
        <f>SUMIFS(инфо!$G$15:$G$28,инфо!$A$15:$A$28,F427)</f>
        <v>0</v>
      </c>
      <c r="AO427" s="32">
        <f t="shared" si="95"/>
        <v>0</v>
      </c>
      <c r="AP427" s="33">
        <f t="shared" si="98"/>
        <v>0</v>
      </c>
      <c r="AQ427" s="31">
        <f>SUMIFS(инфо!$H$15:$H$28,инфо!$A$15:$A$28,F427)</f>
        <v>0</v>
      </c>
      <c r="AR427" s="32">
        <f t="shared" si="96"/>
        <v>0</v>
      </c>
      <c r="AS427" s="33">
        <f t="shared" si="99"/>
        <v>0</v>
      </c>
      <c r="AT427" s="31">
        <f>SUMIFS(инфо!$I$15:$I$28,инфо!$A$15:$A$28,F427)</f>
        <v>0</v>
      </c>
      <c r="AU427" s="35">
        <f t="shared" si="104"/>
        <v>0</v>
      </c>
      <c r="AV427" s="33">
        <f t="shared" si="100"/>
        <v>0</v>
      </c>
      <c r="AX427" s="67">
        <f>SUMIFS(инфо!$C$15:$C$28,инфо!$A$15:$A$28,F427)*H426</f>
        <v>0</v>
      </c>
    </row>
    <row r="428" spans="1:50" x14ac:dyDescent="0.25">
      <c r="A428" s="70">
        <f t="shared" si="105"/>
        <v>46278</v>
      </c>
      <c r="B428" s="78"/>
      <c r="C428" s="15"/>
      <c r="D428" s="16"/>
      <c r="E428" s="83"/>
      <c r="F428" s="28"/>
      <c r="G428" s="34"/>
      <c r="H428" s="20"/>
      <c r="I428" s="118">
        <f>IFERROR(H428*VLOOKUP(F428,инфо!$A$15:$C$28,3,FALSE)/1000,0)</f>
        <v>0</v>
      </c>
      <c r="J428" s="20"/>
      <c r="K428" s="20"/>
      <c r="L428" s="20"/>
      <c r="M428" s="20"/>
      <c r="N428" s="20"/>
      <c r="O428" s="34"/>
      <c r="P428" s="34"/>
      <c r="Q428" s="34"/>
      <c r="R428" s="34"/>
      <c r="S428" s="68">
        <f t="shared" si="101"/>
        <v>0</v>
      </c>
      <c r="T428" s="15"/>
      <c r="U428" s="16"/>
      <c r="V428" s="34"/>
      <c r="W428" s="81"/>
      <c r="X428" s="34"/>
      <c r="Y428" s="15"/>
      <c r="Z428" s="34"/>
      <c r="AA428" s="34"/>
      <c r="AB428" s="34"/>
      <c r="AC428" s="81"/>
      <c r="AD428" s="16"/>
      <c r="AE428" s="24">
        <f>SUMIFS(инфо!$D$15:$D$28,инфо!$A$15:$A$28,F428)</f>
        <v>0</v>
      </c>
      <c r="AF428" s="35">
        <f t="shared" si="92"/>
        <v>0</v>
      </c>
      <c r="AG428" s="12">
        <f t="shared" si="102"/>
        <v>0</v>
      </c>
      <c r="AH428" s="24">
        <f>SUMIFS(инфо!$E$15:$E$28,инфо!$A$15:$A$28,F428)</f>
        <v>0</v>
      </c>
      <c r="AI428" s="32">
        <f t="shared" si="93"/>
        <v>0</v>
      </c>
      <c r="AJ428" s="12">
        <f t="shared" si="103"/>
        <v>0</v>
      </c>
      <c r="AK428" s="24">
        <f>SUMIFS(инфо!$F$15:$F$28,инфо!$A$15:$A$28,F428)</f>
        <v>0</v>
      </c>
      <c r="AL428" s="32">
        <f t="shared" si="94"/>
        <v>0</v>
      </c>
      <c r="AM428" s="12">
        <f t="shared" si="97"/>
        <v>0</v>
      </c>
      <c r="AN428" s="24">
        <f>SUMIFS(инфо!$G$15:$G$28,инфо!$A$15:$A$28,F428)</f>
        <v>0</v>
      </c>
      <c r="AO428" s="32">
        <f t="shared" si="95"/>
        <v>0</v>
      </c>
      <c r="AP428" s="12">
        <f t="shared" si="98"/>
        <v>0</v>
      </c>
      <c r="AQ428" s="24">
        <f>SUMIFS(инфо!$H$15:$H$28,инфо!$A$15:$A$28,F428)</f>
        <v>0</v>
      </c>
      <c r="AR428" s="35">
        <f t="shared" si="96"/>
        <v>0</v>
      </c>
      <c r="AS428" s="12">
        <f t="shared" si="99"/>
        <v>0</v>
      </c>
      <c r="AT428" s="24">
        <f>SUMIFS(инфо!$I$15:$I$28,инфо!$A$15:$A$28,F428)</f>
        <v>0</v>
      </c>
      <c r="AU428" s="35">
        <f t="shared" si="104"/>
        <v>0</v>
      </c>
      <c r="AV428" s="12">
        <f t="shared" si="100"/>
        <v>0</v>
      </c>
      <c r="AX428" s="68">
        <f>SUMIFS(инфо!$C$15:$C$28,инфо!$A$15:$A$28,F428)*H427</f>
        <v>0</v>
      </c>
    </row>
    <row r="429" spans="1:50" x14ac:dyDescent="0.25">
      <c r="A429" s="70">
        <f t="shared" si="105"/>
        <v>46278</v>
      </c>
      <c r="B429" s="78"/>
      <c r="C429" s="15"/>
      <c r="D429" s="16"/>
      <c r="E429" s="83"/>
      <c r="F429" s="28"/>
      <c r="G429" s="34"/>
      <c r="H429" s="23"/>
      <c r="I429" s="118">
        <f>IFERROR(H429*VLOOKUP(F429,инфо!$A$15:$C$28,3,FALSE)/1000,0)</f>
        <v>0</v>
      </c>
      <c r="J429" s="20"/>
      <c r="K429" s="20"/>
      <c r="L429" s="20"/>
      <c r="M429" s="20"/>
      <c r="N429" s="20"/>
      <c r="O429" s="34"/>
      <c r="P429" s="34"/>
      <c r="Q429" s="34"/>
      <c r="R429" s="34"/>
      <c r="S429" s="68">
        <f t="shared" si="101"/>
        <v>0</v>
      </c>
      <c r="T429" s="15"/>
      <c r="U429" s="16"/>
      <c r="V429" s="34"/>
      <c r="W429" s="81"/>
      <c r="X429" s="34"/>
      <c r="Y429" s="15"/>
      <c r="Z429" s="34"/>
      <c r="AA429" s="34"/>
      <c r="AB429" s="34"/>
      <c r="AC429" s="81"/>
      <c r="AD429" s="16"/>
      <c r="AE429" s="24">
        <f>SUMIFS(инфо!$D$15:$D$28,инфо!$A$15:$A$28,F429)</f>
        <v>0</v>
      </c>
      <c r="AF429" s="35">
        <f t="shared" ref="AF429:AF492" si="106">IF(H429=0,0,N429/H429)</f>
        <v>0</v>
      </c>
      <c r="AG429" s="12">
        <f t="shared" si="102"/>
        <v>0</v>
      </c>
      <c r="AH429" s="24">
        <f>SUMIFS(инфо!$E$15:$E$28,инфо!$A$15:$A$28,F429)</f>
        <v>0</v>
      </c>
      <c r="AI429" s="32">
        <f t="shared" ref="AI429:AI492" si="107">IF(H429=0,0,S429/H429)</f>
        <v>0</v>
      </c>
      <c r="AJ429" s="12">
        <f t="shared" si="103"/>
        <v>0</v>
      </c>
      <c r="AK429" s="24">
        <f>SUMIFS(инфо!$F$15:$F$28,инфо!$A$15:$A$28,F429)</f>
        <v>0</v>
      </c>
      <c r="AL429" s="32">
        <f t="shared" ref="AL429:AL492" si="108">IF(H429=0,0,Y429/H429)</f>
        <v>0</v>
      </c>
      <c r="AM429" s="12">
        <f t="shared" si="97"/>
        <v>0</v>
      </c>
      <c r="AN429" s="24">
        <f>SUMIFS(инфо!$G$15:$G$28,инфо!$A$15:$A$28,F429)</f>
        <v>0</v>
      </c>
      <c r="AO429" s="32">
        <f t="shared" ref="AO429:AO492" si="109">IF(H429=0,0,AA429/H429)</f>
        <v>0</v>
      </c>
      <c r="AP429" s="12">
        <f t="shared" si="98"/>
        <v>0</v>
      </c>
      <c r="AQ429" s="24">
        <f>SUMIFS(инфо!$H$15:$H$28,инфо!$A$15:$A$28,F429)</f>
        <v>0</v>
      </c>
      <c r="AR429" s="35">
        <f t="shared" si="96"/>
        <v>0</v>
      </c>
      <c r="AS429" s="12">
        <f t="shared" si="99"/>
        <v>0</v>
      </c>
      <c r="AT429" s="24">
        <f>SUMIFS(инфо!$I$15:$I$28,инфо!$A$15:$A$28,F429)</f>
        <v>0</v>
      </c>
      <c r="AU429" s="35">
        <f t="shared" si="104"/>
        <v>0</v>
      </c>
      <c r="AV429" s="12">
        <f t="shared" si="100"/>
        <v>0</v>
      </c>
      <c r="AX429" s="68">
        <f>SUMIFS(инфо!$C$15:$C$28,инфо!$A$15:$A$28,F429)*H428</f>
        <v>0</v>
      </c>
    </row>
    <row r="430" spans="1:50" x14ac:dyDescent="0.25">
      <c r="A430" s="70">
        <f t="shared" si="105"/>
        <v>46279</v>
      </c>
      <c r="B430" s="78"/>
      <c r="C430" s="17"/>
      <c r="D430" s="18"/>
      <c r="E430" s="83"/>
      <c r="F430" s="28"/>
      <c r="G430" s="19"/>
      <c r="H430" s="28"/>
      <c r="I430" s="118">
        <f>IFERROR(H430*VLOOKUP(F430,инфо!$A$15:$C$28,3,FALSE)/1000,0)</f>
        <v>0</v>
      </c>
      <c r="J430" s="20"/>
      <c r="K430" s="20"/>
      <c r="L430" s="20"/>
      <c r="M430" s="20"/>
      <c r="N430" s="23"/>
      <c r="O430" s="19"/>
      <c r="P430" s="19"/>
      <c r="Q430" s="19"/>
      <c r="R430" s="19"/>
      <c r="S430" s="69">
        <f t="shared" si="101"/>
        <v>0</v>
      </c>
      <c r="T430" s="17"/>
      <c r="U430" s="18"/>
      <c r="V430" s="19"/>
      <c r="W430" s="81"/>
      <c r="X430" s="19"/>
      <c r="Y430" s="17"/>
      <c r="Z430" s="19"/>
      <c r="AA430" s="19"/>
      <c r="AB430" s="19"/>
      <c r="AC430" s="81"/>
      <c r="AD430" s="18"/>
      <c r="AE430" s="25">
        <f>SUMIFS(инфо!$D$15:$D$28,инфо!$A$15:$A$28,F430)</f>
        <v>0</v>
      </c>
      <c r="AF430" s="35">
        <f t="shared" si="106"/>
        <v>0</v>
      </c>
      <c r="AG430" s="14">
        <f t="shared" si="102"/>
        <v>0</v>
      </c>
      <c r="AH430" s="25">
        <f>SUMIFS(инфо!$E$15:$E$28,инфо!$A$15:$A$28,F430)</f>
        <v>0</v>
      </c>
      <c r="AI430" s="32">
        <f t="shared" si="107"/>
        <v>0</v>
      </c>
      <c r="AJ430" s="14">
        <f t="shared" si="103"/>
        <v>0</v>
      </c>
      <c r="AK430" s="25">
        <f>SUMIFS(инфо!$F$15:$F$28,инфо!$A$15:$A$28,F430)</f>
        <v>0</v>
      </c>
      <c r="AL430" s="32">
        <f t="shared" si="108"/>
        <v>0</v>
      </c>
      <c r="AM430" s="14">
        <f t="shared" si="97"/>
        <v>0</v>
      </c>
      <c r="AN430" s="25">
        <f>SUMIFS(инфо!$G$15:$G$28,инфо!$A$15:$A$28,F430)</f>
        <v>0</v>
      </c>
      <c r="AO430" s="32">
        <f t="shared" si="109"/>
        <v>0</v>
      </c>
      <c r="AP430" s="14">
        <f t="shared" si="98"/>
        <v>0</v>
      </c>
      <c r="AQ430" s="25">
        <f>SUMIFS(инфо!$H$15:$H$28,инфо!$A$15:$A$28,F430)</f>
        <v>0</v>
      </c>
      <c r="AR430" s="26">
        <f t="shared" ref="AR430:AR493" si="110">IF(H429=0,0,AC430/H429)</f>
        <v>0</v>
      </c>
      <c r="AS430" s="14">
        <f t="shared" si="99"/>
        <v>0</v>
      </c>
      <c r="AT430" s="25">
        <f>SUMIFS(инфо!$I$15:$I$28,инфо!$A$15:$A$28,F430)</f>
        <v>0</v>
      </c>
      <c r="AU430" s="35">
        <f t="shared" si="104"/>
        <v>0</v>
      </c>
      <c r="AV430" s="14">
        <f t="shared" si="100"/>
        <v>0</v>
      </c>
      <c r="AX430" s="69">
        <f>SUMIFS(инфо!$C$15:$C$28,инфо!$A$15:$A$28,F430)*H429</f>
        <v>0</v>
      </c>
    </row>
    <row r="431" spans="1:50" x14ac:dyDescent="0.25">
      <c r="A431" s="70">
        <f t="shared" si="105"/>
        <v>46279</v>
      </c>
      <c r="B431" s="78"/>
      <c r="C431" s="29"/>
      <c r="D431" s="30"/>
      <c r="E431" s="83"/>
      <c r="F431" s="28"/>
      <c r="G431" s="27"/>
      <c r="H431" s="20"/>
      <c r="I431" s="118">
        <f>IFERROR(H431*VLOOKUP(F431,инфо!$A$15:$C$28,3,FALSE)/1000,0)</f>
        <v>0</v>
      </c>
      <c r="J431" s="20"/>
      <c r="K431" s="20"/>
      <c r="L431" s="20"/>
      <c r="M431" s="20"/>
      <c r="N431" s="28"/>
      <c r="O431" s="27"/>
      <c r="P431" s="27"/>
      <c r="Q431" s="27"/>
      <c r="R431" s="27"/>
      <c r="S431" s="67">
        <f t="shared" si="101"/>
        <v>0</v>
      </c>
      <c r="T431" s="29"/>
      <c r="U431" s="30"/>
      <c r="V431" s="27"/>
      <c r="W431" s="81"/>
      <c r="X431" s="27"/>
      <c r="Y431" s="29"/>
      <c r="Z431" s="27"/>
      <c r="AA431" s="27"/>
      <c r="AB431" s="27"/>
      <c r="AC431" s="81"/>
      <c r="AD431" s="30"/>
      <c r="AE431" s="31">
        <f>SUMIFS(инфо!$D$15:$D$28,инфо!$A$15:$A$28,F431)</f>
        <v>0</v>
      </c>
      <c r="AF431" s="35">
        <f t="shared" si="106"/>
        <v>0</v>
      </c>
      <c r="AG431" s="33">
        <f t="shared" si="102"/>
        <v>0</v>
      </c>
      <c r="AH431" s="31">
        <f>SUMIFS(инфо!$E$15:$E$28,инфо!$A$15:$A$28,F431)</f>
        <v>0</v>
      </c>
      <c r="AI431" s="32">
        <f t="shared" si="107"/>
        <v>0</v>
      </c>
      <c r="AJ431" s="33">
        <f t="shared" si="103"/>
        <v>0</v>
      </c>
      <c r="AK431" s="31">
        <f>SUMIFS(инфо!$F$15:$F$28,инфо!$A$15:$A$28,F431)</f>
        <v>0</v>
      </c>
      <c r="AL431" s="32">
        <f t="shared" si="108"/>
        <v>0</v>
      </c>
      <c r="AM431" s="33">
        <f t="shared" ref="AM431:AM494" si="111">AL431-AK431</f>
        <v>0</v>
      </c>
      <c r="AN431" s="31">
        <f>SUMIFS(инфо!$G$15:$G$28,инфо!$A$15:$A$28,F431)</f>
        <v>0</v>
      </c>
      <c r="AO431" s="32">
        <f t="shared" si="109"/>
        <v>0</v>
      </c>
      <c r="AP431" s="33">
        <f t="shared" ref="AP431:AP494" si="112">AO431-AN431</f>
        <v>0</v>
      </c>
      <c r="AQ431" s="31">
        <f>SUMIFS(инфо!$H$15:$H$28,инфо!$A$15:$A$28,F431)</f>
        <v>0</v>
      </c>
      <c r="AR431" s="32">
        <f t="shared" si="110"/>
        <v>0</v>
      </c>
      <c r="AS431" s="33">
        <f t="shared" ref="AS431:AS494" si="113">AR431-AQ431</f>
        <v>0</v>
      </c>
      <c r="AT431" s="31">
        <f>SUMIFS(инфо!$I$15:$I$28,инфо!$A$15:$A$28,F431)</f>
        <v>0</v>
      </c>
      <c r="AU431" s="35">
        <f t="shared" si="104"/>
        <v>0</v>
      </c>
      <c r="AV431" s="33">
        <f t="shared" ref="AV431:AV494" si="114">AU431-AT431</f>
        <v>0</v>
      </c>
      <c r="AX431" s="67">
        <f>SUMIFS(инфо!$C$15:$C$28,инфо!$A$15:$A$28,F431)*H430</f>
        <v>0</v>
      </c>
    </row>
    <row r="432" spans="1:50" x14ac:dyDescent="0.25">
      <c r="A432" s="70">
        <f t="shared" si="105"/>
        <v>46280</v>
      </c>
      <c r="B432" s="78"/>
      <c r="C432" s="15"/>
      <c r="D432" s="16"/>
      <c r="E432" s="83"/>
      <c r="F432" s="28"/>
      <c r="G432" s="34"/>
      <c r="H432" s="20"/>
      <c r="I432" s="118">
        <f>IFERROR(H432*VLOOKUP(F432,инфо!$A$15:$C$28,3,FALSE)/1000,0)</f>
        <v>0</v>
      </c>
      <c r="J432" s="20"/>
      <c r="K432" s="20"/>
      <c r="L432" s="20"/>
      <c r="M432" s="20"/>
      <c r="N432" s="20"/>
      <c r="O432" s="34"/>
      <c r="P432" s="34"/>
      <c r="Q432" s="34"/>
      <c r="R432" s="34"/>
      <c r="S432" s="68">
        <f t="shared" ref="S432:S495" si="115">SUM(O432:R432)</f>
        <v>0</v>
      </c>
      <c r="T432" s="15"/>
      <c r="U432" s="16"/>
      <c r="V432" s="34"/>
      <c r="W432" s="81"/>
      <c r="X432" s="34"/>
      <c r="Y432" s="15"/>
      <c r="Z432" s="34"/>
      <c r="AA432" s="34"/>
      <c r="AB432" s="34"/>
      <c r="AC432" s="81"/>
      <c r="AD432" s="16"/>
      <c r="AE432" s="24">
        <f>SUMIFS(инфо!$D$15:$D$28,инфо!$A$15:$A$28,F432)</f>
        <v>0</v>
      </c>
      <c r="AF432" s="35">
        <f t="shared" si="106"/>
        <v>0</v>
      </c>
      <c r="AG432" s="12">
        <f t="shared" si="102"/>
        <v>0</v>
      </c>
      <c r="AH432" s="24">
        <f>SUMIFS(инфо!$E$15:$E$28,инфо!$A$15:$A$28,F432)</f>
        <v>0</v>
      </c>
      <c r="AI432" s="32">
        <f t="shared" si="107"/>
        <v>0</v>
      </c>
      <c r="AJ432" s="12">
        <f t="shared" si="103"/>
        <v>0</v>
      </c>
      <c r="AK432" s="24">
        <f>SUMIFS(инфо!$F$15:$F$28,инфо!$A$15:$A$28,F432)</f>
        <v>0</v>
      </c>
      <c r="AL432" s="32">
        <f t="shared" si="108"/>
        <v>0</v>
      </c>
      <c r="AM432" s="12">
        <f t="shared" si="111"/>
        <v>0</v>
      </c>
      <c r="AN432" s="24">
        <f>SUMIFS(инфо!$G$15:$G$28,инфо!$A$15:$A$28,F432)</f>
        <v>0</v>
      </c>
      <c r="AO432" s="32">
        <f t="shared" si="109"/>
        <v>0</v>
      </c>
      <c r="AP432" s="12">
        <f t="shared" si="112"/>
        <v>0</v>
      </c>
      <c r="AQ432" s="24">
        <f>SUMIFS(инфо!$H$15:$H$28,инфо!$A$15:$A$28,F432)</f>
        <v>0</v>
      </c>
      <c r="AR432" s="35">
        <f t="shared" si="110"/>
        <v>0</v>
      </c>
      <c r="AS432" s="12">
        <f t="shared" si="113"/>
        <v>0</v>
      </c>
      <c r="AT432" s="24">
        <f>SUMIFS(инфо!$I$15:$I$28,инфо!$A$15:$A$28,F432)</f>
        <v>0</v>
      </c>
      <c r="AU432" s="35">
        <f t="shared" si="104"/>
        <v>0</v>
      </c>
      <c r="AV432" s="12">
        <f t="shared" si="114"/>
        <v>0</v>
      </c>
      <c r="AX432" s="68">
        <f>SUMIFS(инфо!$C$15:$C$28,инфо!$A$15:$A$28,F432)*H431</f>
        <v>0</v>
      </c>
    </row>
    <row r="433" spans="1:50" x14ac:dyDescent="0.25">
      <c r="A433" s="70">
        <f t="shared" si="105"/>
        <v>46280</v>
      </c>
      <c r="B433" s="78"/>
      <c r="C433" s="15"/>
      <c r="D433" s="16"/>
      <c r="E433" s="83"/>
      <c r="F433" s="28"/>
      <c r="G433" s="34"/>
      <c r="H433" s="23"/>
      <c r="I433" s="118">
        <f>IFERROR(H433*VLOOKUP(F433,инфо!$A$15:$C$28,3,FALSE)/1000,0)</f>
        <v>0</v>
      </c>
      <c r="J433" s="20"/>
      <c r="K433" s="20"/>
      <c r="L433" s="20"/>
      <c r="M433" s="20"/>
      <c r="N433" s="20"/>
      <c r="O433" s="34"/>
      <c r="P433" s="34"/>
      <c r="Q433" s="34"/>
      <c r="R433" s="34"/>
      <c r="S433" s="68">
        <f t="shared" si="115"/>
        <v>0</v>
      </c>
      <c r="T433" s="15"/>
      <c r="U433" s="16"/>
      <c r="V433" s="34"/>
      <c r="W433" s="81"/>
      <c r="X433" s="34"/>
      <c r="Y433" s="15"/>
      <c r="Z433" s="34"/>
      <c r="AA433" s="34"/>
      <c r="AB433" s="34"/>
      <c r="AC433" s="81"/>
      <c r="AD433" s="16"/>
      <c r="AE433" s="24">
        <f>SUMIFS(инфо!$D$15:$D$28,инфо!$A$15:$A$28,F433)</f>
        <v>0</v>
      </c>
      <c r="AF433" s="35">
        <f t="shared" si="106"/>
        <v>0</v>
      </c>
      <c r="AG433" s="12">
        <f t="shared" si="102"/>
        <v>0</v>
      </c>
      <c r="AH433" s="24">
        <f>SUMIFS(инфо!$E$15:$E$28,инфо!$A$15:$A$28,F433)</f>
        <v>0</v>
      </c>
      <c r="AI433" s="32">
        <f t="shared" si="107"/>
        <v>0</v>
      </c>
      <c r="AJ433" s="12">
        <f t="shared" si="103"/>
        <v>0</v>
      </c>
      <c r="AK433" s="24">
        <f>SUMIFS(инфо!$F$15:$F$28,инфо!$A$15:$A$28,F433)</f>
        <v>0</v>
      </c>
      <c r="AL433" s="32">
        <f t="shared" si="108"/>
        <v>0</v>
      </c>
      <c r="AM433" s="12">
        <f t="shared" si="111"/>
        <v>0</v>
      </c>
      <c r="AN433" s="24">
        <f>SUMIFS(инфо!$G$15:$G$28,инфо!$A$15:$A$28,F433)</f>
        <v>0</v>
      </c>
      <c r="AO433" s="32">
        <f t="shared" si="109"/>
        <v>0</v>
      </c>
      <c r="AP433" s="12">
        <f t="shared" si="112"/>
        <v>0</v>
      </c>
      <c r="AQ433" s="24">
        <f>SUMIFS(инфо!$H$15:$H$28,инфо!$A$15:$A$28,F433)</f>
        <v>0</v>
      </c>
      <c r="AR433" s="35">
        <f t="shared" si="110"/>
        <v>0</v>
      </c>
      <c r="AS433" s="12">
        <f t="shared" si="113"/>
        <v>0</v>
      </c>
      <c r="AT433" s="24">
        <f>SUMIFS(инфо!$I$15:$I$28,инфо!$A$15:$A$28,F433)</f>
        <v>0</v>
      </c>
      <c r="AU433" s="35">
        <f t="shared" si="104"/>
        <v>0</v>
      </c>
      <c r="AV433" s="12">
        <f t="shared" si="114"/>
        <v>0</v>
      </c>
      <c r="AX433" s="68">
        <f>SUMIFS(инфо!$C$15:$C$28,инфо!$A$15:$A$28,F433)*H432</f>
        <v>0</v>
      </c>
    </row>
    <row r="434" spans="1:50" x14ac:dyDescent="0.25">
      <c r="A434" s="70">
        <f t="shared" si="105"/>
        <v>46281</v>
      </c>
      <c r="B434" s="78"/>
      <c r="C434" s="17"/>
      <c r="D434" s="18"/>
      <c r="E434" s="83"/>
      <c r="F434" s="28"/>
      <c r="G434" s="19"/>
      <c r="H434" s="28"/>
      <c r="I434" s="118">
        <f>IFERROR(H434*VLOOKUP(F434,инфо!$A$15:$C$28,3,FALSE)/1000,0)</f>
        <v>0</v>
      </c>
      <c r="J434" s="20"/>
      <c r="K434" s="20"/>
      <c r="L434" s="20"/>
      <c r="M434" s="20"/>
      <c r="N434" s="23"/>
      <c r="O434" s="19"/>
      <c r="P434" s="19"/>
      <c r="Q434" s="19"/>
      <c r="R434" s="19"/>
      <c r="S434" s="69">
        <f t="shared" si="115"/>
        <v>0</v>
      </c>
      <c r="T434" s="17"/>
      <c r="U434" s="18"/>
      <c r="V434" s="19"/>
      <c r="W434" s="81"/>
      <c r="X434" s="19"/>
      <c r="Y434" s="17"/>
      <c r="Z434" s="19"/>
      <c r="AA434" s="19"/>
      <c r="AB434" s="19"/>
      <c r="AC434" s="81"/>
      <c r="AD434" s="18"/>
      <c r="AE434" s="25">
        <f>SUMIFS(инфо!$D$15:$D$28,инфо!$A$15:$A$28,F434)</f>
        <v>0</v>
      </c>
      <c r="AF434" s="35">
        <f t="shared" si="106"/>
        <v>0</v>
      </c>
      <c r="AG434" s="14">
        <f t="shared" si="102"/>
        <v>0</v>
      </c>
      <c r="AH434" s="25">
        <f>SUMIFS(инфо!$E$15:$E$28,инфо!$A$15:$A$28,F434)</f>
        <v>0</v>
      </c>
      <c r="AI434" s="32">
        <f t="shared" si="107"/>
        <v>0</v>
      </c>
      <c r="AJ434" s="14">
        <f t="shared" si="103"/>
        <v>0</v>
      </c>
      <c r="AK434" s="25">
        <f>SUMIFS(инфо!$F$15:$F$28,инфо!$A$15:$A$28,F434)</f>
        <v>0</v>
      </c>
      <c r="AL434" s="32">
        <f t="shared" si="108"/>
        <v>0</v>
      </c>
      <c r="AM434" s="14">
        <f t="shared" si="111"/>
        <v>0</v>
      </c>
      <c r="AN434" s="25">
        <f>SUMIFS(инфо!$G$15:$G$28,инфо!$A$15:$A$28,F434)</f>
        <v>0</v>
      </c>
      <c r="AO434" s="32">
        <f t="shared" si="109"/>
        <v>0</v>
      </c>
      <c r="AP434" s="14">
        <f t="shared" si="112"/>
        <v>0</v>
      </c>
      <c r="AQ434" s="25">
        <f>SUMIFS(инфо!$H$15:$H$28,инфо!$A$15:$A$28,F434)</f>
        <v>0</v>
      </c>
      <c r="AR434" s="26">
        <f t="shared" si="110"/>
        <v>0</v>
      </c>
      <c r="AS434" s="14">
        <f t="shared" si="113"/>
        <v>0</v>
      </c>
      <c r="AT434" s="25">
        <f>SUMIFS(инфо!$I$15:$I$28,инфо!$A$15:$A$28,F434)</f>
        <v>0</v>
      </c>
      <c r="AU434" s="35">
        <f t="shared" si="104"/>
        <v>0</v>
      </c>
      <c r="AV434" s="14">
        <f t="shared" si="114"/>
        <v>0</v>
      </c>
      <c r="AX434" s="69">
        <f>SUMIFS(инфо!$C$15:$C$28,инфо!$A$15:$A$28,F434)*H433</f>
        <v>0</v>
      </c>
    </row>
    <row r="435" spans="1:50" x14ac:dyDescent="0.25">
      <c r="A435" s="70">
        <f t="shared" si="105"/>
        <v>46281</v>
      </c>
      <c r="B435" s="78"/>
      <c r="C435" s="29"/>
      <c r="D435" s="30"/>
      <c r="E435" s="83"/>
      <c r="F435" s="28"/>
      <c r="G435" s="27"/>
      <c r="H435" s="20"/>
      <c r="I435" s="118">
        <f>IFERROR(H435*VLOOKUP(F435,инфо!$A$15:$C$28,3,FALSE)/1000,0)</f>
        <v>0</v>
      </c>
      <c r="J435" s="20"/>
      <c r="K435" s="20"/>
      <c r="L435" s="20"/>
      <c r="M435" s="20"/>
      <c r="N435" s="28"/>
      <c r="O435" s="27"/>
      <c r="P435" s="27"/>
      <c r="Q435" s="27"/>
      <c r="R435" s="27"/>
      <c r="S435" s="67">
        <f t="shared" si="115"/>
        <v>0</v>
      </c>
      <c r="T435" s="29"/>
      <c r="U435" s="30"/>
      <c r="V435" s="27"/>
      <c r="W435" s="81"/>
      <c r="X435" s="27"/>
      <c r="Y435" s="29"/>
      <c r="Z435" s="27"/>
      <c r="AA435" s="27"/>
      <c r="AB435" s="27"/>
      <c r="AC435" s="81"/>
      <c r="AD435" s="30"/>
      <c r="AE435" s="31">
        <f>SUMIFS(инфо!$D$15:$D$28,инфо!$A$15:$A$28,F435)</f>
        <v>0</v>
      </c>
      <c r="AF435" s="35">
        <f t="shared" si="106"/>
        <v>0</v>
      </c>
      <c r="AG435" s="33">
        <f t="shared" si="102"/>
        <v>0</v>
      </c>
      <c r="AH435" s="31">
        <f>SUMIFS(инфо!$E$15:$E$28,инфо!$A$15:$A$28,F435)</f>
        <v>0</v>
      </c>
      <c r="AI435" s="32">
        <f t="shared" si="107"/>
        <v>0</v>
      </c>
      <c r="AJ435" s="33">
        <f t="shared" si="103"/>
        <v>0</v>
      </c>
      <c r="AK435" s="31">
        <f>SUMIFS(инфо!$F$15:$F$28,инфо!$A$15:$A$28,F435)</f>
        <v>0</v>
      </c>
      <c r="AL435" s="32">
        <f t="shared" si="108"/>
        <v>0</v>
      </c>
      <c r="AM435" s="33">
        <f t="shared" si="111"/>
        <v>0</v>
      </c>
      <c r="AN435" s="31">
        <f>SUMIFS(инфо!$G$15:$G$28,инфо!$A$15:$A$28,F435)</f>
        <v>0</v>
      </c>
      <c r="AO435" s="32">
        <f t="shared" si="109"/>
        <v>0</v>
      </c>
      <c r="AP435" s="33">
        <f t="shared" si="112"/>
        <v>0</v>
      </c>
      <c r="AQ435" s="31">
        <f>SUMIFS(инфо!$H$15:$H$28,инфо!$A$15:$A$28,F435)</f>
        <v>0</v>
      </c>
      <c r="AR435" s="32">
        <f t="shared" si="110"/>
        <v>0</v>
      </c>
      <c r="AS435" s="33">
        <f t="shared" si="113"/>
        <v>0</v>
      </c>
      <c r="AT435" s="31">
        <f>SUMIFS(инфо!$I$15:$I$28,инфо!$A$15:$A$28,F435)</f>
        <v>0</v>
      </c>
      <c r="AU435" s="35">
        <f t="shared" si="104"/>
        <v>0</v>
      </c>
      <c r="AV435" s="33">
        <f t="shared" si="114"/>
        <v>0</v>
      </c>
      <c r="AX435" s="67">
        <f>SUMIFS(инфо!$C$15:$C$28,инфо!$A$15:$A$28,F435)*H434</f>
        <v>0</v>
      </c>
    </row>
    <row r="436" spans="1:50" x14ac:dyDescent="0.25">
      <c r="A436" s="70">
        <f t="shared" si="105"/>
        <v>46282</v>
      </c>
      <c r="B436" s="78"/>
      <c r="C436" s="15"/>
      <c r="D436" s="16"/>
      <c r="E436" s="83"/>
      <c r="F436" s="28"/>
      <c r="G436" s="34"/>
      <c r="H436" s="20"/>
      <c r="I436" s="118">
        <f>IFERROR(H436*VLOOKUP(F436,инфо!$A$15:$C$28,3,FALSE)/1000,0)</f>
        <v>0</v>
      </c>
      <c r="J436" s="20"/>
      <c r="K436" s="20"/>
      <c r="L436" s="20"/>
      <c r="M436" s="20"/>
      <c r="N436" s="20"/>
      <c r="O436" s="34"/>
      <c r="P436" s="34"/>
      <c r="Q436" s="34"/>
      <c r="R436" s="34"/>
      <c r="S436" s="68">
        <f t="shared" si="115"/>
        <v>0</v>
      </c>
      <c r="T436" s="15"/>
      <c r="U436" s="16"/>
      <c r="V436" s="34"/>
      <c r="W436" s="81"/>
      <c r="X436" s="34"/>
      <c r="Y436" s="15"/>
      <c r="Z436" s="34"/>
      <c r="AA436" s="34"/>
      <c r="AB436" s="34"/>
      <c r="AC436" s="81"/>
      <c r="AD436" s="16"/>
      <c r="AE436" s="24">
        <f>SUMIFS(инфо!$D$15:$D$28,инфо!$A$15:$A$28,F436)</f>
        <v>0</v>
      </c>
      <c r="AF436" s="35">
        <f t="shared" si="106"/>
        <v>0</v>
      </c>
      <c r="AG436" s="12">
        <f t="shared" si="102"/>
        <v>0</v>
      </c>
      <c r="AH436" s="24">
        <f>SUMIFS(инфо!$E$15:$E$28,инфо!$A$15:$A$28,F436)</f>
        <v>0</v>
      </c>
      <c r="AI436" s="32">
        <f t="shared" si="107"/>
        <v>0</v>
      </c>
      <c r="AJ436" s="12">
        <f t="shared" si="103"/>
        <v>0</v>
      </c>
      <c r="AK436" s="24">
        <f>SUMIFS(инфо!$F$15:$F$28,инфо!$A$15:$A$28,F436)</f>
        <v>0</v>
      </c>
      <c r="AL436" s="32">
        <f t="shared" si="108"/>
        <v>0</v>
      </c>
      <c r="AM436" s="12">
        <f t="shared" si="111"/>
        <v>0</v>
      </c>
      <c r="AN436" s="24">
        <f>SUMIFS(инфо!$G$15:$G$28,инфо!$A$15:$A$28,F436)</f>
        <v>0</v>
      </c>
      <c r="AO436" s="32">
        <f t="shared" si="109"/>
        <v>0</v>
      </c>
      <c r="AP436" s="12">
        <f t="shared" si="112"/>
        <v>0</v>
      </c>
      <c r="AQ436" s="24">
        <f>SUMIFS(инфо!$H$15:$H$28,инфо!$A$15:$A$28,F436)</f>
        <v>0</v>
      </c>
      <c r="AR436" s="35">
        <f t="shared" si="110"/>
        <v>0</v>
      </c>
      <c r="AS436" s="12">
        <f t="shared" si="113"/>
        <v>0</v>
      </c>
      <c r="AT436" s="24">
        <f>SUMIFS(инфо!$I$15:$I$28,инфо!$A$15:$A$28,F436)</f>
        <v>0</v>
      </c>
      <c r="AU436" s="35">
        <f t="shared" si="104"/>
        <v>0</v>
      </c>
      <c r="AV436" s="12">
        <f t="shared" si="114"/>
        <v>0</v>
      </c>
      <c r="AX436" s="68">
        <f>SUMIFS(инфо!$C$15:$C$28,инфо!$A$15:$A$28,F436)*H435</f>
        <v>0</v>
      </c>
    </row>
    <row r="437" spans="1:50" x14ac:dyDescent="0.25">
      <c r="A437" s="70">
        <f t="shared" si="105"/>
        <v>46282</v>
      </c>
      <c r="B437" s="78"/>
      <c r="C437" s="15"/>
      <c r="D437" s="16"/>
      <c r="E437" s="83"/>
      <c r="F437" s="28"/>
      <c r="G437" s="34"/>
      <c r="H437" s="23"/>
      <c r="I437" s="118">
        <f>IFERROR(H437*VLOOKUP(F437,инфо!$A$15:$C$28,3,FALSE)/1000,0)</f>
        <v>0</v>
      </c>
      <c r="J437" s="20"/>
      <c r="K437" s="20"/>
      <c r="L437" s="20"/>
      <c r="M437" s="20"/>
      <c r="N437" s="20"/>
      <c r="O437" s="34"/>
      <c r="P437" s="34"/>
      <c r="Q437" s="34"/>
      <c r="R437" s="34"/>
      <c r="S437" s="68">
        <f t="shared" si="115"/>
        <v>0</v>
      </c>
      <c r="T437" s="15"/>
      <c r="U437" s="16"/>
      <c r="V437" s="34"/>
      <c r="W437" s="81"/>
      <c r="X437" s="34"/>
      <c r="Y437" s="15"/>
      <c r="Z437" s="34"/>
      <c r="AA437" s="34"/>
      <c r="AB437" s="34"/>
      <c r="AC437" s="81"/>
      <c r="AD437" s="16"/>
      <c r="AE437" s="24">
        <f>SUMIFS(инфо!$D$15:$D$28,инфо!$A$15:$A$28,F437)</f>
        <v>0</v>
      </c>
      <c r="AF437" s="35">
        <f t="shared" si="106"/>
        <v>0</v>
      </c>
      <c r="AG437" s="12">
        <f t="shared" si="102"/>
        <v>0</v>
      </c>
      <c r="AH437" s="24">
        <f>SUMIFS(инфо!$E$15:$E$28,инфо!$A$15:$A$28,F437)</f>
        <v>0</v>
      </c>
      <c r="AI437" s="32">
        <f t="shared" si="107"/>
        <v>0</v>
      </c>
      <c r="AJ437" s="12">
        <f t="shared" si="103"/>
        <v>0</v>
      </c>
      <c r="AK437" s="24">
        <f>SUMIFS(инфо!$F$15:$F$28,инфо!$A$15:$A$28,F437)</f>
        <v>0</v>
      </c>
      <c r="AL437" s="32">
        <f t="shared" si="108"/>
        <v>0</v>
      </c>
      <c r="AM437" s="12">
        <f t="shared" si="111"/>
        <v>0</v>
      </c>
      <c r="AN437" s="24">
        <f>SUMIFS(инфо!$G$15:$G$28,инфо!$A$15:$A$28,F437)</f>
        <v>0</v>
      </c>
      <c r="AO437" s="32">
        <f t="shared" si="109"/>
        <v>0</v>
      </c>
      <c r="AP437" s="12">
        <f t="shared" si="112"/>
        <v>0</v>
      </c>
      <c r="AQ437" s="24">
        <f>SUMIFS(инфо!$H$15:$H$28,инфо!$A$15:$A$28,F437)</f>
        <v>0</v>
      </c>
      <c r="AR437" s="35">
        <f t="shared" si="110"/>
        <v>0</v>
      </c>
      <c r="AS437" s="12">
        <f t="shared" si="113"/>
        <v>0</v>
      </c>
      <c r="AT437" s="24">
        <f>SUMIFS(инфо!$I$15:$I$28,инфо!$A$15:$A$28,F437)</f>
        <v>0</v>
      </c>
      <c r="AU437" s="35">
        <f t="shared" si="104"/>
        <v>0</v>
      </c>
      <c r="AV437" s="12">
        <f t="shared" si="114"/>
        <v>0</v>
      </c>
      <c r="AX437" s="68">
        <f>SUMIFS(инфо!$C$15:$C$28,инфо!$A$15:$A$28,F437)*H436</f>
        <v>0</v>
      </c>
    </row>
    <row r="438" spans="1:50" x14ac:dyDescent="0.25">
      <c r="A438" s="70">
        <f t="shared" si="105"/>
        <v>46283</v>
      </c>
      <c r="B438" s="78"/>
      <c r="C438" s="17"/>
      <c r="D438" s="18"/>
      <c r="E438" s="83"/>
      <c r="F438" s="28"/>
      <c r="G438" s="19"/>
      <c r="H438" s="28"/>
      <c r="I438" s="118">
        <f>IFERROR(H438*VLOOKUP(F438,инфо!$A$15:$C$28,3,FALSE)/1000,0)</f>
        <v>0</v>
      </c>
      <c r="J438" s="20"/>
      <c r="K438" s="20"/>
      <c r="L438" s="20"/>
      <c r="M438" s="20"/>
      <c r="N438" s="23"/>
      <c r="O438" s="19"/>
      <c r="P438" s="19"/>
      <c r="Q438" s="19"/>
      <c r="R438" s="19"/>
      <c r="S438" s="69">
        <f t="shared" si="115"/>
        <v>0</v>
      </c>
      <c r="T438" s="17"/>
      <c r="U438" s="18"/>
      <c r="V438" s="19"/>
      <c r="W438" s="81"/>
      <c r="X438" s="19"/>
      <c r="Y438" s="17"/>
      <c r="Z438" s="19"/>
      <c r="AA438" s="19"/>
      <c r="AB438" s="19"/>
      <c r="AC438" s="81"/>
      <c r="AD438" s="18"/>
      <c r="AE438" s="25">
        <f>SUMIFS(инфо!$D$15:$D$28,инфо!$A$15:$A$28,F438)</f>
        <v>0</v>
      </c>
      <c r="AF438" s="35">
        <f t="shared" si="106"/>
        <v>0</v>
      </c>
      <c r="AG438" s="14">
        <f t="shared" si="102"/>
        <v>0</v>
      </c>
      <c r="AH438" s="25">
        <f>SUMIFS(инфо!$E$15:$E$28,инфо!$A$15:$A$28,F438)</f>
        <v>0</v>
      </c>
      <c r="AI438" s="32">
        <f t="shared" si="107"/>
        <v>0</v>
      </c>
      <c r="AJ438" s="14">
        <f t="shared" si="103"/>
        <v>0</v>
      </c>
      <c r="AK438" s="25">
        <f>SUMIFS(инфо!$F$15:$F$28,инфо!$A$15:$A$28,F438)</f>
        <v>0</v>
      </c>
      <c r="AL438" s="32">
        <f t="shared" si="108"/>
        <v>0</v>
      </c>
      <c r="AM438" s="14">
        <f t="shared" si="111"/>
        <v>0</v>
      </c>
      <c r="AN438" s="25">
        <f>SUMIFS(инфо!$G$15:$G$28,инфо!$A$15:$A$28,F438)</f>
        <v>0</v>
      </c>
      <c r="AO438" s="32">
        <f t="shared" si="109"/>
        <v>0</v>
      </c>
      <c r="AP438" s="14">
        <f t="shared" si="112"/>
        <v>0</v>
      </c>
      <c r="AQ438" s="25">
        <f>SUMIFS(инфо!$H$15:$H$28,инфо!$A$15:$A$28,F438)</f>
        <v>0</v>
      </c>
      <c r="AR438" s="26">
        <f t="shared" si="110"/>
        <v>0</v>
      </c>
      <c r="AS438" s="14">
        <f t="shared" si="113"/>
        <v>0</v>
      </c>
      <c r="AT438" s="25">
        <f>SUMIFS(инфо!$I$15:$I$28,инфо!$A$15:$A$28,F438)</f>
        <v>0</v>
      </c>
      <c r="AU438" s="35">
        <f t="shared" si="104"/>
        <v>0</v>
      </c>
      <c r="AV438" s="14">
        <f t="shared" si="114"/>
        <v>0</v>
      </c>
      <c r="AX438" s="69">
        <f>SUMIFS(инфо!$C$15:$C$28,инфо!$A$15:$A$28,F438)*H437</f>
        <v>0</v>
      </c>
    </row>
    <row r="439" spans="1:50" x14ac:dyDescent="0.25">
      <c r="A439" s="70">
        <f t="shared" si="105"/>
        <v>46283</v>
      </c>
      <c r="B439" s="78"/>
      <c r="C439" s="29"/>
      <c r="D439" s="30"/>
      <c r="E439" s="83"/>
      <c r="F439" s="28"/>
      <c r="G439" s="27"/>
      <c r="H439" s="20"/>
      <c r="I439" s="118">
        <f>IFERROR(H439*VLOOKUP(F439,инфо!$A$15:$C$28,3,FALSE)/1000,0)</f>
        <v>0</v>
      </c>
      <c r="J439" s="20"/>
      <c r="K439" s="20"/>
      <c r="L439" s="20"/>
      <c r="M439" s="20"/>
      <c r="N439" s="28"/>
      <c r="O439" s="27"/>
      <c r="P439" s="27"/>
      <c r="Q439" s="27"/>
      <c r="R439" s="27"/>
      <c r="S439" s="67">
        <f t="shared" si="115"/>
        <v>0</v>
      </c>
      <c r="T439" s="29"/>
      <c r="U439" s="30"/>
      <c r="V439" s="27"/>
      <c r="W439" s="81"/>
      <c r="X439" s="27"/>
      <c r="Y439" s="29"/>
      <c r="Z439" s="27"/>
      <c r="AA439" s="27"/>
      <c r="AB439" s="27"/>
      <c r="AC439" s="81"/>
      <c r="AD439" s="30"/>
      <c r="AE439" s="31">
        <f>SUMIFS(инфо!$D$15:$D$28,инфо!$A$15:$A$28,F439)</f>
        <v>0</v>
      </c>
      <c r="AF439" s="35">
        <f t="shared" si="106"/>
        <v>0</v>
      </c>
      <c r="AG439" s="33">
        <f t="shared" si="102"/>
        <v>0</v>
      </c>
      <c r="AH439" s="31">
        <f>SUMIFS(инфо!$E$15:$E$28,инфо!$A$15:$A$28,F439)</f>
        <v>0</v>
      </c>
      <c r="AI439" s="32">
        <f t="shared" si="107"/>
        <v>0</v>
      </c>
      <c r="AJ439" s="33">
        <f t="shared" si="103"/>
        <v>0</v>
      </c>
      <c r="AK439" s="31">
        <f>SUMIFS(инфо!$F$15:$F$28,инфо!$A$15:$A$28,F439)</f>
        <v>0</v>
      </c>
      <c r="AL439" s="32">
        <f t="shared" si="108"/>
        <v>0</v>
      </c>
      <c r="AM439" s="33">
        <f t="shared" si="111"/>
        <v>0</v>
      </c>
      <c r="AN439" s="31">
        <f>SUMIFS(инфо!$G$15:$G$28,инфо!$A$15:$A$28,F439)</f>
        <v>0</v>
      </c>
      <c r="AO439" s="32">
        <f t="shared" si="109"/>
        <v>0</v>
      </c>
      <c r="AP439" s="33">
        <f t="shared" si="112"/>
        <v>0</v>
      </c>
      <c r="AQ439" s="31">
        <f>SUMIFS(инфо!$H$15:$H$28,инфо!$A$15:$A$28,F439)</f>
        <v>0</v>
      </c>
      <c r="AR439" s="32">
        <f t="shared" si="110"/>
        <v>0</v>
      </c>
      <c r="AS439" s="33">
        <f t="shared" si="113"/>
        <v>0</v>
      </c>
      <c r="AT439" s="31">
        <f>SUMIFS(инфо!$I$15:$I$28,инфо!$A$15:$A$28,F439)</f>
        <v>0</v>
      </c>
      <c r="AU439" s="35">
        <f t="shared" si="104"/>
        <v>0</v>
      </c>
      <c r="AV439" s="33">
        <f t="shared" si="114"/>
        <v>0</v>
      </c>
      <c r="AX439" s="67">
        <f>SUMIFS(инфо!$C$15:$C$28,инфо!$A$15:$A$28,F439)*H438</f>
        <v>0</v>
      </c>
    </row>
    <row r="440" spans="1:50" x14ac:dyDescent="0.25">
      <c r="A440" s="70">
        <f t="shared" si="105"/>
        <v>46284</v>
      </c>
      <c r="B440" s="78"/>
      <c r="C440" s="15"/>
      <c r="D440" s="16"/>
      <c r="E440" s="83"/>
      <c r="F440" s="28"/>
      <c r="G440" s="34"/>
      <c r="H440" s="20"/>
      <c r="I440" s="118">
        <f>IFERROR(H440*VLOOKUP(F440,инфо!$A$15:$C$28,3,FALSE)/1000,0)</f>
        <v>0</v>
      </c>
      <c r="J440" s="20"/>
      <c r="K440" s="20"/>
      <c r="L440" s="20"/>
      <c r="M440" s="20"/>
      <c r="N440" s="20"/>
      <c r="O440" s="34"/>
      <c r="P440" s="34"/>
      <c r="Q440" s="34"/>
      <c r="R440" s="34"/>
      <c r="S440" s="68">
        <f t="shared" si="115"/>
        <v>0</v>
      </c>
      <c r="T440" s="15"/>
      <c r="U440" s="16"/>
      <c r="V440" s="34"/>
      <c r="W440" s="81"/>
      <c r="X440" s="34"/>
      <c r="Y440" s="15"/>
      <c r="Z440" s="34"/>
      <c r="AA440" s="34"/>
      <c r="AB440" s="34"/>
      <c r="AC440" s="81"/>
      <c r="AD440" s="16"/>
      <c r="AE440" s="24">
        <f>SUMIFS(инфо!$D$15:$D$28,инфо!$A$15:$A$28,F440)</f>
        <v>0</v>
      </c>
      <c r="AF440" s="35">
        <f t="shared" si="106"/>
        <v>0</v>
      </c>
      <c r="AG440" s="12">
        <f t="shared" si="102"/>
        <v>0</v>
      </c>
      <c r="AH440" s="24">
        <f>SUMIFS(инфо!$E$15:$E$28,инфо!$A$15:$A$28,F440)</f>
        <v>0</v>
      </c>
      <c r="AI440" s="32">
        <f t="shared" si="107"/>
        <v>0</v>
      </c>
      <c r="AJ440" s="12">
        <f t="shared" si="103"/>
        <v>0</v>
      </c>
      <c r="AK440" s="24">
        <f>SUMIFS(инфо!$F$15:$F$28,инфо!$A$15:$A$28,F440)</f>
        <v>0</v>
      </c>
      <c r="AL440" s="32">
        <f t="shared" si="108"/>
        <v>0</v>
      </c>
      <c r="AM440" s="12">
        <f t="shared" si="111"/>
        <v>0</v>
      </c>
      <c r="AN440" s="24">
        <f>SUMIFS(инфо!$G$15:$G$28,инфо!$A$15:$A$28,F440)</f>
        <v>0</v>
      </c>
      <c r="AO440" s="32">
        <f t="shared" si="109"/>
        <v>0</v>
      </c>
      <c r="AP440" s="12">
        <f t="shared" si="112"/>
        <v>0</v>
      </c>
      <c r="AQ440" s="24">
        <f>SUMIFS(инфо!$H$15:$H$28,инфо!$A$15:$A$28,F440)</f>
        <v>0</v>
      </c>
      <c r="AR440" s="35">
        <f t="shared" si="110"/>
        <v>0</v>
      </c>
      <c r="AS440" s="12">
        <f t="shared" si="113"/>
        <v>0</v>
      </c>
      <c r="AT440" s="24">
        <f>SUMIFS(инфо!$I$15:$I$28,инфо!$A$15:$A$28,F440)</f>
        <v>0</v>
      </c>
      <c r="AU440" s="35">
        <f t="shared" si="104"/>
        <v>0</v>
      </c>
      <c r="AV440" s="12">
        <f t="shared" si="114"/>
        <v>0</v>
      </c>
      <c r="AX440" s="68">
        <f>SUMIFS(инфо!$C$15:$C$28,инфо!$A$15:$A$28,F440)*H439</f>
        <v>0</v>
      </c>
    </row>
    <row r="441" spans="1:50" x14ac:dyDescent="0.25">
      <c r="A441" s="70">
        <f t="shared" si="105"/>
        <v>46284</v>
      </c>
      <c r="B441" s="78"/>
      <c r="C441" s="15"/>
      <c r="D441" s="16"/>
      <c r="E441" s="83"/>
      <c r="F441" s="28"/>
      <c r="G441" s="34"/>
      <c r="H441" s="23"/>
      <c r="I441" s="118">
        <f>IFERROR(H441*VLOOKUP(F441,инфо!$A$15:$C$28,3,FALSE)/1000,0)</f>
        <v>0</v>
      </c>
      <c r="J441" s="20"/>
      <c r="K441" s="20"/>
      <c r="L441" s="20"/>
      <c r="M441" s="20"/>
      <c r="N441" s="20"/>
      <c r="O441" s="34"/>
      <c r="P441" s="34"/>
      <c r="Q441" s="34"/>
      <c r="R441" s="34"/>
      <c r="S441" s="68">
        <f t="shared" si="115"/>
        <v>0</v>
      </c>
      <c r="T441" s="15"/>
      <c r="U441" s="16"/>
      <c r="V441" s="34"/>
      <c r="W441" s="81"/>
      <c r="X441" s="34"/>
      <c r="Y441" s="15"/>
      <c r="Z441" s="34"/>
      <c r="AA441" s="34"/>
      <c r="AB441" s="34"/>
      <c r="AC441" s="81"/>
      <c r="AD441" s="16"/>
      <c r="AE441" s="24">
        <f>SUMIFS(инфо!$D$15:$D$28,инфо!$A$15:$A$28,F441)</f>
        <v>0</v>
      </c>
      <c r="AF441" s="35">
        <f t="shared" si="106"/>
        <v>0</v>
      </c>
      <c r="AG441" s="12">
        <f t="shared" si="102"/>
        <v>0</v>
      </c>
      <c r="AH441" s="24">
        <f>SUMIFS(инфо!$E$15:$E$28,инфо!$A$15:$A$28,F441)</f>
        <v>0</v>
      </c>
      <c r="AI441" s="32">
        <f t="shared" si="107"/>
        <v>0</v>
      </c>
      <c r="AJ441" s="12">
        <f t="shared" si="103"/>
        <v>0</v>
      </c>
      <c r="AK441" s="24">
        <f>SUMIFS(инфо!$F$15:$F$28,инфо!$A$15:$A$28,F441)</f>
        <v>0</v>
      </c>
      <c r="AL441" s="32">
        <f t="shared" si="108"/>
        <v>0</v>
      </c>
      <c r="AM441" s="12">
        <f t="shared" si="111"/>
        <v>0</v>
      </c>
      <c r="AN441" s="24">
        <f>SUMIFS(инфо!$G$15:$G$28,инфо!$A$15:$A$28,F441)</f>
        <v>0</v>
      </c>
      <c r="AO441" s="32">
        <f t="shared" si="109"/>
        <v>0</v>
      </c>
      <c r="AP441" s="12">
        <f t="shared" si="112"/>
        <v>0</v>
      </c>
      <c r="AQ441" s="24">
        <f>SUMIFS(инфо!$H$15:$H$28,инфо!$A$15:$A$28,F441)</f>
        <v>0</v>
      </c>
      <c r="AR441" s="35">
        <f t="shared" si="110"/>
        <v>0</v>
      </c>
      <c r="AS441" s="12">
        <f t="shared" si="113"/>
        <v>0</v>
      </c>
      <c r="AT441" s="24">
        <f>SUMIFS(инфо!$I$15:$I$28,инфо!$A$15:$A$28,F441)</f>
        <v>0</v>
      </c>
      <c r="AU441" s="35">
        <f t="shared" si="104"/>
        <v>0</v>
      </c>
      <c r="AV441" s="12">
        <f t="shared" si="114"/>
        <v>0</v>
      </c>
      <c r="AX441" s="68">
        <f>SUMIFS(инфо!$C$15:$C$28,инфо!$A$15:$A$28,F441)*H440</f>
        <v>0</v>
      </c>
    </row>
    <row r="442" spans="1:50" x14ac:dyDescent="0.25">
      <c r="A442" s="70">
        <f t="shared" si="105"/>
        <v>46285</v>
      </c>
      <c r="B442" s="78"/>
      <c r="C442" s="17"/>
      <c r="D442" s="18"/>
      <c r="E442" s="83"/>
      <c r="F442" s="28"/>
      <c r="G442" s="19"/>
      <c r="H442" s="28"/>
      <c r="I442" s="118">
        <f>IFERROR(H442*VLOOKUP(F442,инфо!$A$15:$C$28,3,FALSE)/1000,0)</f>
        <v>0</v>
      </c>
      <c r="J442" s="20"/>
      <c r="K442" s="20"/>
      <c r="L442" s="20"/>
      <c r="M442" s="20"/>
      <c r="N442" s="23"/>
      <c r="O442" s="19"/>
      <c r="P442" s="19"/>
      <c r="Q442" s="19"/>
      <c r="R442" s="19"/>
      <c r="S442" s="69">
        <f t="shared" si="115"/>
        <v>0</v>
      </c>
      <c r="T442" s="17"/>
      <c r="U442" s="18"/>
      <c r="V442" s="19"/>
      <c r="W442" s="81"/>
      <c r="X442" s="19"/>
      <c r="Y442" s="17"/>
      <c r="Z442" s="19"/>
      <c r="AA442" s="19"/>
      <c r="AB442" s="19"/>
      <c r="AC442" s="81"/>
      <c r="AD442" s="18"/>
      <c r="AE442" s="25">
        <f>SUMIFS(инфо!$D$15:$D$28,инфо!$A$15:$A$28,F442)</f>
        <v>0</v>
      </c>
      <c r="AF442" s="35">
        <f t="shared" si="106"/>
        <v>0</v>
      </c>
      <c r="AG442" s="14">
        <f t="shared" si="102"/>
        <v>0</v>
      </c>
      <c r="AH442" s="25">
        <f>SUMIFS(инфо!$E$15:$E$28,инфо!$A$15:$A$28,F442)</f>
        <v>0</v>
      </c>
      <c r="AI442" s="32">
        <f t="shared" si="107"/>
        <v>0</v>
      </c>
      <c r="AJ442" s="14">
        <f t="shared" si="103"/>
        <v>0</v>
      </c>
      <c r="AK442" s="25">
        <f>SUMIFS(инфо!$F$15:$F$28,инфо!$A$15:$A$28,F442)</f>
        <v>0</v>
      </c>
      <c r="AL442" s="32">
        <f t="shared" si="108"/>
        <v>0</v>
      </c>
      <c r="AM442" s="14">
        <f t="shared" si="111"/>
        <v>0</v>
      </c>
      <c r="AN442" s="25">
        <f>SUMIFS(инфо!$G$15:$G$28,инфо!$A$15:$A$28,F442)</f>
        <v>0</v>
      </c>
      <c r="AO442" s="32">
        <f t="shared" si="109"/>
        <v>0</v>
      </c>
      <c r="AP442" s="14">
        <f t="shared" si="112"/>
        <v>0</v>
      </c>
      <c r="AQ442" s="25">
        <f>SUMIFS(инфо!$H$15:$H$28,инфо!$A$15:$A$28,F442)</f>
        <v>0</v>
      </c>
      <c r="AR442" s="26">
        <f t="shared" si="110"/>
        <v>0</v>
      </c>
      <c r="AS442" s="14">
        <f t="shared" si="113"/>
        <v>0</v>
      </c>
      <c r="AT442" s="25">
        <f>SUMIFS(инфо!$I$15:$I$28,инфо!$A$15:$A$28,F442)</f>
        <v>0</v>
      </c>
      <c r="AU442" s="35">
        <f t="shared" si="104"/>
        <v>0</v>
      </c>
      <c r="AV442" s="14">
        <f t="shared" si="114"/>
        <v>0</v>
      </c>
      <c r="AX442" s="69">
        <f>SUMIFS(инфо!$C$15:$C$28,инфо!$A$15:$A$28,F442)*H441</f>
        <v>0</v>
      </c>
    </row>
    <row r="443" spans="1:50" x14ac:dyDescent="0.25">
      <c r="A443" s="70">
        <f t="shared" si="105"/>
        <v>46285</v>
      </c>
      <c r="B443" s="78"/>
      <c r="C443" s="29"/>
      <c r="D443" s="30"/>
      <c r="E443" s="83"/>
      <c r="F443" s="28"/>
      <c r="G443" s="27"/>
      <c r="H443" s="20"/>
      <c r="I443" s="118">
        <f>IFERROR(H443*VLOOKUP(F443,инфо!$A$15:$C$28,3,FALSE)/1000,0)</f>
        <v>0</v>
      </c>
      <c r="J443" s="20"/>
      <c r="K443" s="20"/>
      <c r="L443" s="20"/>
      <c r="M443" s="20"/>
      <c r="N443" s="28"/>
      <c r="O443" s="27"/>
      <c r="P443" s="27"/>
      <c r="Q443" s="27"/>
      <c r="R443" s="27"/>
      <c r="S443" s="67">
        <f t="shared" si="115"/>
        <v>0</v>
      </c>
      <c r="T443" s="29"/>
      <c r="U443" s="30"/>
      <c r="V443" s="27"/>
      <c r="W443" s="81"/>
      <c r="X443" s="27"/>
      <c r="Y443" s="29"/>
      <c r="Z443" s="27"/>
      <c r="AA443" s="27"/>
      <c r="AB443" s="27"/>
      <c r="AC443" s="81"/>
      <c r="AD443" s="30"/>
      <c r="AE443" s="31">
        <f>SUMIFS(инфо!$D$15:$D$28,инфо!$A$15:$A$28,F443)</f>
        <v>0</v>
      </c>
      <c r="AF443" s="35">
        <f t="shared" si="106"/>
        <v>0</v>
      </c>
      <c r="AG443" s="33">
        <f t="shared" si="102"/>
        <v>0</v>
      </c>
      <c r="AH443" s="31">
        <f>SUMIFS(инфо!$E$15:$E$28,инфо!$A$15:$A$28,F443)</f>
        <v>0</v>
      </c>
      <c r="AI443" s="32">
        <f t="shared" si="107"/>
        <v>0</v>
      </c>
      <c r="AJ443" s="33">
        <f t="shared" si="103"/>
        <v>0</v>
      </c>
      <c r="AK443" s="31">
        <f>SUMIFS(инфо!$F$15:$F$28,инфо!$A$15:$A$28,F443)</f>
        <v>0</v>
      </c>
      <c r="AL443" s="32">
        <f t="shared" si="108"/>
        <v>0</v>
      </c>
      <c r="AM443" s="33">
        <f t="shared" si="111"/>
        <v>0</v>
      </c>
      <c r="AN443" s="31">
        <f>SUMIFS(инфо!$G$15:$G$28,инфо!$A$15:$A$28,F443)</f>
        <v>0</v>
      </c>
      <c r="AO443" s="32">
        <f t="shared" si="109"/>
        <v>0</v>
      </c>
      <c r="AP443" s="33">
        <f t="shared" si="112"/>
        <v>0</v>
      </c>
      <c r="AQ443" s="31">
        <f>SUMIFS(инфо!$H$15:$H$28,инфо!$A$15:$A$28,F443)</f>
        <v>0</v>
      </c>
      <c r="AR443" s="32">
        <f t="shared" si="110"/>
        <v>0</v>
      </c>
      <c r="AS443" s="33">
        <f t="shared" si="113"/>
        <v>0</v>
      </c>
      <c r="AT443" s="31">
        <f>SUMIFS(инфо!$I$15:$I$28,инфо!$A$15:$A$28,F443)</f>
        <v>0</v>
      </c>
      <c r="AU443" s="35">
        <f t="shared" si="104"/>
        <v>0</v>
      </c>
      <c r="AV443" s="33">
        <f t="shared" si="114"/>
        <v>0</v>
      </c>
      <c r="AX443" s="67">
        <f>SUMIFS(инфо!$C$15:$C$28,инфо!$A$15:$A$28,F443)*H442</f>
        <v>0</v>
      </c>
    </row>
    <row r="444" spans="1:50" x14ac:dyDescent="0.25">
      <c r="A444" s="70">
        <f t="shared" si="105"/>
        <v>46286</v>
      </c>
      <c r="B444" s="78"/>
      <c r="C444" s="15"/>
      <c r="D444" s="16"/>
      <c r="E444" s="83"/>
      <c r="F444" s="28"/>
      <c r="G444" s="34"/>
      <c r="H444" s="20"/>
      <c r="I444" s="118">
        <f>IFERROR(H444*VLOOKUP(F444,инфо!$A$15:$C$28,3,FALSE)/1000,0)</f>
        <v>0</v>
      </c>
      <c r="J444" s="20"/>
      <c r="K444" s="20"/>
      <c r="L444" s="20"/>
      <c r="M444" s="20"/>
      <c r="N444" s="20"/>
      <c r="O444" s="34"/>
      <c r="P444" s="34"/>
      <c r="Q444" s="34"/>
      <c r="R444" s="34"/>
      <c r="S444" s="68">
        <f t="shared" si="115"/>
        <v>0</v>
      </c>
      <c r="T444" s="15"/>
      <c r="U444" s="16"/>
      <c r="V444" s="34"/>
      <c r="W444" s="81"/>
      <c r="X444" s="34"/>
      <c r="Y444" s="15"/>
      <c r="Z444" s="34"/>
      <c r="AA444" s="34"/>
      <c r="AB444" s="34"/>
      <c r="AC444" s="81"/>
      <c r="AD444" s="16"/>
      <c r="AE444" s="24">
        <f>SUMIFS(инфо!$D$15:$D$28,инфо!$A$15:$A$28,F444)</f>
        <v>0</v>
      </c>
      <c r="AF444" s="35">
        <f t="shared" si="106"/>
        <v>0</v>
      </c>
      <c r="AG444" s="12">
        <f t="shared" si="102"/>
        <v>0</v>
      </c>
      <c r="AH444" s="24">
        <f>SUMIFS(инфо!$E$15:$E$28,инфо!$A$15:$A$28,F444)</f>
        <v>0</v>
      </c>
      <c r="AI444" s="32">
        <f t="shared" si="107"/>
        <v>0</v>
      </c>
      <c r="AJ444" s="12">
        <f t="shared" si="103"/>
        <v>0</v>
      </c>
      <c r="AK444" s="24">
        <f>SUMIFS(инфо!$F$15:$F$28,инфо!$A$15:$A$28,F444)</f>
        <v>0</v>
      </c>
      <c r="AL444" s="32">
        <f t="shared" si="108"/>
        <v>0</v>
      </c>
      <c r="AM444" s="12">
        <f t="shared" si="111"/>
        <v>0</v>
      </c>
      <c r="AN444" s="24">
        <f>SUMIFS(инфо!$G$15:$G$28,инфо!$A$15:$A$28,F444)</f>
        <v>0</v>
      </c>
      <c r="AO444" s="32">
        <f t="shared" si="109"/>
        <v>0</v>
      </c>
      <c r="AP444" s="12">
        <f t="shared" si="112"/>
        <v>0</v>
      </c>
      <c r="AQ444" s="24">
        <f>SUMIFS(инфо!$H$15:$H$28,инфо!$A$15:$A$28,F444)</f>
        <v>0</v>
      </c>
      <c r="AR444" s="35">
        <f t="shared" si="110"/>
        <v>0</v>
      </c>
      <c r="AS444" s="12">
        <f t="shared" si="113"/>
        <v>0</v>
      </c>
      <c r="AT444" s="24">
        <f>SUMIFS(инфо!$I$15:$I$28,инфо!$A$15:$A$28,F444)</f>
        <v>0</v>
      </c>
      <c r="AU444" s="35">
        <f t="shared" si="104"/>
        <v>0</v>
      </c>
      <c r="AV444" s="12">
        <f t="shared" si="114"/>
        <v>0</v>
      </c>
      <c r="AX444" s="68">
        <f>SUMIFS(инфо!$C$15:$C$28,инфо!$A$15:$A$28,F444)*H443</f>
        <v>0</v>
      </c>
    </row>
    <row r="445" spans="1:50" x14ac:dyDescent="0.25">
      <c r="A445" s="70">
        <f t="shared" si="105"/>
        <v>46286</v>
      </c>
      <c r="B445" s="78"/>
      <c r="C445" s="15"/>
      <c r="D445" s="16"/>
      <c r="E445" s="83"/>
      <c r="F445" s="28"/>
      <c r="G445" s="34"/>
      <c r="H445" s="23"/>
      <c r="I445" s="118">
        <f>IFERROR(H445*VLOOKUP(F445,инфо!$A$15:$C$28,3,FALSE)/1000,0)</f>
        <v>0</v>
      </c>
      <c r="J445" s="20"/>
      <c r="K445" s="20"/>
      <c r="L445" s="20"/>
      <c r="M445" s="20"/>
      <c r="N445" s="20"/>
      <c r="O445" s="34"/>
      <c r="P445" s="34"/>
      <c r="Q445" s="34"/>
      <c r="R445" s="34"/>
      <c r="S445" s="68">
        <f t="shared" si="115"/>
        <v>0</v>
      </c>
      <c r="T445" s="15"/>
      <c r="U445" s="16"/>
      <c r="V445" s="34"/>
      <c r="W445" s="81"/>
      <c r="X445" s="34"/>
      <c r="Y445" s="15"/>
      <c r="Z445" s="34"/>
      <c r="AA445" s="34"/>
      <c r="AB445" s="34"/>
      <c r="AC445" s="81"/>
      <c r="AD445" s="16"/>
      <c r="AE445" s="24">
        <f>SUMIFS(инфо!$D$15:$D$28,инфо!$A$15:$A$28,F445)</f>
        <v>0</v>
      </c>
      <c r="AF445" s="35">
        <f t="shared" si="106"/>
        <v>0</v>
      </c>
      <c r="AG445" s="12">
        <f t="shared" ref="AG445:AG508" si="116">AF445-AE445</f>
        <v>0</v>
      </c>
      <c r="AH445" s="24">
        <f>SUMIFS(инфо!$E$15:$E$28,инфо!$A$15:$A$28,F445)</f>
        <v>0</v>
      </c>
      <c r="AI445" s="32">
        <f t="shared" si="107"/>
        <v>0</v>
      </c>
      <c r="AJ445" s="12">
        <f t="shared" ref="AJ445:AJ508" si="117">AI445-AH445</f>
        <v>0</v>
      </c>
      <c r="AK445" s="24">
        <f>SUMIFS(инфо!$F$15:$F$28,инфо!$A$15:$A$28,F445)</f>
        <v>0</v>
      </c>
      <c r="AL445" s="32">
        <f t="shared" si="108"/>
        <v>0</v>
      </c>
      <c r="AM445" s="12">
        <f t="shared" si="111"/>
        <v>0</v>
      </c>
      <c r="AN445" s="24">
        <f>SUMIFS(инфо!$G$15:$G$28,инфо!$A$15:$A$28,F445)</f>
        <v>0</v>
      </c>
      <c r="AO445" s="32">
        <f t="shared" si="109"/>
        <v>0</v>
      </c>
      <c r="AP445" s="12">
        <f t="shared" si="112"/>
        <v>0</v>
      </c>
      <c r="AQ445" s="24">
        <f>SUMIFS(инфо!$H$15:$H$28,инфо!$A$15:$A$28,F445)</f>
        <v>0</v>
      </c>
      <c r="AR445" s="35">
        <f t="shared" si="110"/>
        <v>0</v>
      </c>
      <c r="AS445" s="12">
        <f t="shared" si="113"/>
        <v>0</v>
      </c>
      <c r="AT445" s="24">
        <f>SUMIFS(инфо!$I$15:$I$28,инфо!$A$15:$A$28,F445)</f>
        <v>0</v>
      </c>
      <c r="AU445" s="35">
        <f t="shared" si="104"/>
        <v>0</v>
      </c>
      <c r="AV445" s="12">
        <f t="shared" si="114"/>
        <v>0</v>
      </c>
      <c r="AX445" s="68">
        <f>SUMIFS(инфо!$C$15:$C$28,инфо!$A$15:$A$28,F445)*H444</f>
        <v>0</v>
      </c>
    </row>
    <row r="446" spans="1:50" x14ac:dyDescent="0.25">
      <c r="A446" s="70">
        <f t="shared" si="105"/>
        <v>46287</v>
      </c>
      <c r="B446" s="78"/>
      <c r="C446" s="17"/>
      <c r="D446" s="18"/>
      <c r="E446" s="83"/>
      <c r="F446" s="28"/>
      <c r="G446" s="19"/>
      <c r="H446" s="28"/>
      <c r="I446" s="118">
        <f>IFERROR(H446*VLOOKUP(F446,инфо!$A$15:$C$28,3,FALSE)/1000,0)</f>
        <v>0</v>
      </c>
      <c r="J446" s="20"/>
      <c r="K446" s="20"/>
      <c r="L446" s="20"/>
      <c r="M446" s="20"/>
      <c r="N446" s="23"/>
      <c r="O446" s="19"/>
      <c r="P446" s="19"/>
      <c r="Q446" s="19"/>
      <c r="R446" s="19"/>
      <c r="S446" s="69">
        <f t="shared" si="115"/>
        <v>0</v>
      </c>
      <c r="T446" s="17"/>
      <c r="U446" s="18"/>
      <c r="V446" s="19"/>
      <c r="W446" s="81"/>
      <c r="X446" s="19"/>
      <c r="Y446" s="17"/>
      <c r="Z446" s="19"/>
      <c r="AA446" s="19"/>
      <c r="AB446" s="19"/>
      <c r="AC446" s="81"/>
      <c r="AD446" s="18"/>
      <c r="AE446" s="25">
        <f>SUMIFS(инфо!$D$15:$D$28,инфо!$A$15:$A$28,F446)</f>
        <v>0</v>
      </c>
      <c r="AF446" s="35">
        <f t="shared" si="106"/>
        <v>0</v>
      </c>
      <c r="AG446" s="14">
        <f t="shared" si="116"/>
        <v>0</v>
      </c>
      <c r="AH446" s="25">
        <f>SUMIFS(инфо!$E$15:$E$28,инфо!$A$15:$A$28,F446)</f>
        <v>0</v>
      </c>
      <c r="AI446" s="32">
        <f t="shared" si="107"/>
        <v>0</v>
      </c>
      <c r="AJ446" s="14">
        <f t="shared" si="117"/>
        <v>0</v>
      </c>
      <c r="AK446" s="25">
        <f>SUMIFS(инфо!$F$15:$F$28,инфо!$A$15:$A$28,F446)</f>
        <v>0</v>
      </c>
      <c r="AL446" s="32">
        <f t="shared" si="108"/>
        <v>0</v>
      </c>
      <c r="AM446" s="14">
        <f t="shared" si="111"/>
        <v>0</v>
      </c>
      <c r="AN446" s="25">
        <f>SUMIFS(инфо!$G$15:$G$28,инфо!$A$15:$A$28,F446)</f>
        <v>0</v>
      </c>
      <c r="AO446" s="32">
        <f t="shared" si="109"/>
        <v>0</v>
      </c>
      <c r="AP446" s="14">
        <f t="shared" si="112"/>
        <v>0</v>
      </c>
      <c r="AQ446" s="25">
        <f>SUMIFS(инфо!$H$15:$H$28,инфо!$A$15:$A$28,F446)</f>
        <v>0</v>
      </c>
      <c r="AR446" s="26">
        <f t="shared" si="110"/>
        <v>0</v>
      </c>
      <c r="AS446" s="14">
        <f t="shared" si="113"/>
        <v>0</v>
      </c>
      <c r="AT446" s="25">
        <f>SUMIFS(инфо!$I$15:$I$28,инфо!$A$15:$A$28,F446)</f>
        <v>0</v>
      </c>
      <c r="AU446" s="35">
        <f t="shared" si="104"/>
        <v>0</v>
      </c>
      <c r="AV446" s="14">
        <f t="shared" si="114"/>
        <v>0</v>
      </c>
      <c r="AX446" s="69">
        <f>SUMIFS(инфо!$C$15:$C$28,инфо!$A$15:$A$28,F446)*H445</f>
        <v>0</v>
      </c>
    </row>
    <row r="447" spans="1:50" x14ac:dyDescent="0.25">
      <c r="A447" s="70">
        <f t="shared" si="105"/>
        <v>46287</v>
      </c>
      <c r="B447" s="78"/>
      <c r="C447" s="29"/>
      <c r="D447" s="30"/>
      <c r="E447" s="83"/>
      <c r="F447" s="28"/>
      <c r="G447" s="27"/>
      <c r="H447" s="20"/>
      <c r="I447" s="118">
        <f>IFERROR(H447*VLOOKUP(F447,инфо!$A$15:$C$28,3,FALSE)/1000,0)</f>
        <v>0</v>
      </c>
      <c r="J447" s="20"/>
      <c r="K447" s="20"/>
      <c r="L447" s="20"/>
      <c r="M447" s="20"/>
      <c r="N447" s="28"/>
      <c r="O447" s="27"/>
      <c r="P447" s="27"/>
      <c r="Q447" s="27"/>
      <c r="R447" s="27"/>
      <c r="S447" s="67">
        <f t="shared" si="115"/>
        <v>0</v>
      </c>
      <c r="T447" s="29"/>
      <c r="U447" s="30"/>
      <c r="V447" s="27"/>
      <c r="W447" s="81"/>
      <c r="X447" s="27"/>
      <c r="Y447" s="29"/>
      <c r="Z447" s="27"/>
      <c r="AA447" s="27"/>
      <c r="AB447" s="27"/>
      <c r="AC447" s="81"/>
      <c r="AD447" s="30"/>
      <c r="AE447" s="31">
        <f>SUMIFS(инфо!$D$15:$D$28,инфо!$A$15:$A$28,F447)</f>
        <v>0</v>
      </c>
      <c r="AF447" s="35">
        <f t="shared" si="106"/>
        <v>0</v>
      </c>
      <c r="AG447" s="33">
        <f t="shared" si="116"/>
        <v>0</v>
      </c>
      <c r="AH447" s="31">
        <f>SUMIFS(инфо!$E$15:$E$28,инфо!$A$15:$A$28,F447)</f>
        <v>0</v>
      </c>
      <c r="AI447" s="32">
        <f t="shared" si="107"/>
        <v>0</v>
      </c>
      <c r="AJ447" s="33">
        <f t="shared" si="117"/>
        <v>0</v>
      </c>
      <c r="AK447" s="31">
        <f>SUMIFS(инфо!$F$15:$F$28,инфо!$A$15:$A$28,F447)</f>
        <v>0</v>
      </c>
      <c r="AL447" s="32">
        <f t="shared" si="108"/>
        <v>0</v>
      </c>
      <c r="AM447" s="33">
        <f t="shared" si="111"/>
        <v>0</v>
      </c>
      <c r="AN447" s="31">
        <f>SUMIFS(инфо!$G$15:$G$28,инфо!$A$15:$A$28,F447)</f>
        <v>0</v>
      </c>
      <c r="AO447" s="32">
        <f t="shared" si="109"/>
        <v>0</v>
      </c>
      <c r="AP447" s="33">
        <f t="shared" si="112"/>
        <v>0</v>
      </c>
      <c r="AQ447" s="31">
        <f>SUMIFS(инфо!$H$15:$H$28,инфо!$A$15:$A$28,F447)</f>
        <v>0</v>
      </c>
      <c r="AR447" s="32">
        <f t="shared" si="110"/>
        <v>0</v>
      </c>
      <c r="AS447" s="33">
        <f t="shared" si="113"/>
        <v>0</v>
      </c>
      <c r="AT447" s="31">
        <f>SUMIFS(инфо!$I$15:$I$28,инфо!$A$15:$A$28,F447)</f>
        <v>0</v>
      </c>
      <c r="AU447" s="35">
        <f t="shared" si="104"/>
        <v>0</v>
      </c>
      <c r="AV447" s="33">
        <f t="shared" si="114"/>
        <v>0</v>
      </c>
      <c r="AX447" s="67">
        <f>SUMIFS(инфо!$C$15:$C$28,инфо!$A$15:$A$28,F447)*H446</f>
        <v>0</v>
      </c>
    </row>
    <row r="448" spans="1:50" x14ac:dyDescent="0.25">
      <c r="A448" s="70">
        <f t="shared" si="105"/>
        <v>46288</v>
      </c>
      <c r="B448" s="78"/>
      <c r="C448" s="15"/>
      <c r="D448" s="16"/>
      <c r="E448" s="83"/>
      <c r="F448" s="28"/>
      <c r="G448" s="34"/>
      <c r="H448" s="20"/>
      <c r="I448" s="118">
        <f>IFERROR(H448*VLOOKUP(F448,инфо!$A$15:$C$28,3,FALSE)/1000,0)</f>
        <v>0</v>
      </c>
      <c r="J448" s="20"/>
      <c r="K448" s="20"/>
      <c r="L448" s="20"/>
      <c r="M448" s="20"/>
      <c r="N448" s="20"/>
      <c r="O448" s="34"/>
      <c r="P448" s="34"/>
      <c r="Q448" s="34"/>
      <c r="R448" s="34"/>
      <c r="S448" s="68">
        <f t="shared" si="115"/>
        <v>0</v>
      </c>
      <c r="T448" s="15"/>
      <c r="U448" s="16"/>
      <c r="V448" s="34"/>
      <c r="W448" s="81"/>
      <c r="X448" s="34"/>
      <c r="Y448" s="15"/>
      <c r="Z448" s="34"/>
      <c r="AA448" s="34"/>
      <c r="AB448" s="34"/>
      <c r="AC448" s="81"/>
      <c r="AD448" s="16"/>
      <c r="AE448" s="24">
        <f>SUMIFS(инфо!$D$15:$D$28,инфо!$A$15:$A$28,F448)</f>
        <v>0</v>
      </c>
      <c r="AF448" s="35">
        <f t="shared" si="106"/>
        <v>0</v>
      </c>
      <c r="AG448" s="12">
        <f t="shared" si="116"/>
        <v>0</v>
      </c>
      <c r="AH448" s="24">
        <f>SUMIFS(инфо!$E$15:$E$28,инфо!$A$15:$A$28,F448)</f>
        <v>0</v>
      </c>
      <c r="AI448" s="32">
        <f t="shared" si="107"/>
        <v>0</v>
      </c>
      <c r="AJ448" s="12">
        <f t="shared" si="117"/>
        <v>0</v>
      </c>
      <c r="AK448" s="24">
        <f>SUMIFS(инфо!$F$15:$F$28,инфо!$A$15:$A$28,F448)</f>
        <v>0</v>
      </c>
      <c r="AL448" s="32">
        <f t="shared" si="108"/>
        <v>0</v>
      </c>
      <c r="AM448" s="12">
        <f t="shared" si="111"/>
        <v>0</v>
      </c>
      <c r="AN448" s="24">
        <f>SUMIFS(инфо!$G$15:$G$28,инфо!$A$15:$A$28,F448)</f>
        <v>0</v>
      </c>
      <c r="AO448" s="32">
        <f t="shared" si="109"/>
        <v>0</v>
      </c>
      <c r="AP448" s="12">
        <f t="shared" si="112"/>
        <v>0</v>
      </c>
      <c r="AQ448" s="24">
        <f>SUMIFS(инфо!$H$15:$H$28,инфо!$A$15:$A$28,F448)</f>
        <v>0</v>
      </c>
      <c r="AR448" s="35">
        <f t="shared" si="110"/>
        <v>0</v>
      </c>
      <c r="AS448" s="12">
        <f t="shared" si="113"/>
        <v>0</v>
      </c>
      <c r="AT448" s="24">
        <f>SUMIFS(инфо!$I$15:$I$28,инфо!$A$15:$A$28,F448)</f>
        <v>0</v>
      </c>
      <c r="AU448" s="35">
        <f t="shared" si="104"/>
        <v>0</v>
      </c>
      <c r="AV448" s="12">
        <f t="shared" si="114"/>
        <v>0</v>
      </c>
      <c r="AX448" s="68">
        <f>SUMIFS(инфо!$C$15:$C$28,инфо!$A$15:$A$28,F448)*H447</f>
        <v>0</v>
      </c>
    </row>
    <row r="449" spans="1:50" x14ac:dyDescent="0.25">
      <c r="A449" s="70">
        <f t="shared" si="105"/>
        <v>46288</v>
      </c>
      <c r="B449" s="78"/>
      <c r="C449" s="15"/>
      <c r="D449" s="16"/>
      <c r="E449" s="83"/>
      <c r="F449" s="28"/>
      <c r="G449" s="34"/>
      <c r="H449" s="23"/>
      <c r="I449" s="118">
        <f>IFERROR(H449*VLOOKUP(F449,инфо!$A$15:$C$28,3,FALSE)/1000,0)</f>
        <v>0</v>
      </c>
      <c r="J449" s="20"/>
      <c r="K449" s="20"/>
      <c r="L449" s="20"/>
      <c r="M449" s="20"/>
      <c r="N449" s="20"/>
      <c r="O449" s="34"/>
      <c r="P449" s="34"/>
      <c r="Q449" s="34"/>
      <c r="R449" s="34"/>
      <c r="S449" s="68">
        <f t="shared" si="115"/>
        <v>0</v>
      </c>
      <c r="T449" s="15"/>
      <c r="U449" s="16"/>
      <c r="V449" s="34"/>
      <c r="W449" s="81"/>
      <c r="X449" s="34"/>
      <c r="Y449" s="15"/>
      <c r="Z449" s="34"/>
      <c r="AA449" s="34"/>
      <c r="AB449" s="34"/>
      <c r="AC449" s="81"/>
      <c r="AD449" s="16"/>
      <c r="AE449" s="24">
        <f>SUMIFS(инфо!$D$15:$D$28,инфо!$A$15:$A$28,F449)</f>
        <v>0</v>
      </c>
      <c r="AF449" s="35">
        <f t="shared" si="106"/>
        <v>0</v>
      </c>
      <c r="AG449" s="12">
        <f t="shared" si="116"/>
        <v>0</v>
      </c>
      <c r="AH449" s="24">
        <f>SUMIFS(инфо!$E$15:$E$28,инфо!$A$15:$A$28,F449)</f>
        <v>0</v>
      </c>
      <c r="AI449" s="32">
        <f t="shared" si="107"/>
        <v>0</v>
      </c>
      <c r="AJ449" s="12">
        <f t="shared" si="117"/>
        <v>0</v>
      </c>
      <c r="AK449" s="24">
        <f>SUMIFS(инфо!$F$15:$F$28,инфо!$A$15:$A$28,F449)</f>
        <v>0</v>
      </c>
      <c r="AL449" s="32">
        <f t="shared" si="108"/>
        <v>0</v>
      </c>
      <c r="AM449" s="12">
        <f t="shared" si="111"/>
        <v>0</v>
      </c>
      <c r="AN449" s="24">
        <f>SUMIFS(инфо!$G$15:$G$28,инфо!$A$15:$A$28,F449)</f>
        <v>0</v>
      </c>
      <c r="AO449" s="32">
        <f t="shared" si="109"/>
        <v>0</v>
      </c>
      <c r="AP449" s="12">
        <f t="shared" si="112"/>
        <v>0</v>
      </c>
      <c r="AQ449" s="24">
        <f>SUMIFS(инфо!$H$15:$H$28,инфо!$A$15:$A$28,F449)</f>
        <v>0</v>
      </c>
      <c r="AR449" s="35">
        <f t="shared" si="110"/>
        <v>0</v>
      </c>
      <c r="AS449" s="12">
        <f t="shared" si="113"/>
        <v>0</v>
      </c>
      <c r="AT449" s="24">
        <f>SUMIFS(инфо!$I$15:$I$28,инфо!$A$15:$A$28,F449)</f>
        <v>0</v>
      </c>
      <c r="AU449" s="35">
        <f t="shared" si="104"/>
        <v>0</v>
      </c>
      <c r="AV449" s="12">
        <f t="shared" si="114"/>
        <v>0</v>
      </c>
      <c r="AX449" s="68">
        <f>SUMIFS(инфо!$C$15:$C$28,инфо!$A$15:$A$28,F449)*H448</f>
        <v>0</v>
      </c>
    </row>
    <row r="450" spans="1:50" x14ac:dyDescent="0.25">
      <c r="A450" s="70">
        <f t="shared" si="105"/>
        <v>46289</v>
      </c>
      <c r="B450" s="78"/>
      <c r="C450" s="17"/>
      <c r="D450" s="18"/>
      <c r="E450" s="83"/>
      <c r="F450" s="28"/>
      <c r="G450" s="19"/>
      <c r="H450" s="28"/>
      <c r="I450" s="118">
        <f>IFERROR(H450*VLOOKUP(F450,инфо!$A$15:$C$28,3,FALSE)/1000,0)</f>
        <v>0</v>
      </c>
      <c r="J450" s="20"/>
      <c r="K450" s="20"/>
      <c r="L450" s="20"/>
      <c r="M450" s="20"/>
      <c r="N450" s="23"/>
      <c r="O450" s="19"/>
      <c r="P450" s="19"/>
      <c r="Q450" s="19"/>
      <c r="R450" s="19"/>
      <c r="S450" s="69">
        <f t="shared" si="115"/>
        <v>0</v>
      </c>
      <c r="T450" s="17"/>
      <c r="U450" s="18"/>
      <c r="V450" s="19"/>
      <c r="W450" s="81"/>
      <c r="X450" s="19"/>
      <c r="Y450" s="17"/>
      <c r="Z450" s="19"/>
      <c r="AA450" s="19"/>
      <c r="AB450" s="19"/>
      <c r="AC450" s="81"/>
      <c r="AD450" s="18"/>
      <c r="AE450" s="25">
        <f>SUMIFS(инфо!$D$15:$D$28,инфо!$A$15:$A$28,F450)</f>
        <v>0</v>
      </c>
      <c r="AF450" s="35">
        <f t="shared" si="106"/>
        <v>0</v>
      </c>
      <c r="AG450" s="14">
        <f t="shared" si="116"/>
        <v>0</v>
      </c>
      <c r="AH450" s="25">
        <f>SUMIFS(инфо!$E$15:$E$28,инфо!$A$15:$A$28,F450)</f>
        <v>0</v>
      </c>
      <c r="AI450" s="32">
        <f t="shared" si="107"/>
        <v>0</v>
      </c>
      <c r="AJ450" s="14">
        <f t="shared" si="117"/>
        <v>0</v>
      </c>
      <c r="AK450" s="25">
        <f>SUMIFS(инфо!$F$15:$F$28,инфо!$A$15:$A$28,F450)</f>
        <v>0</v>
      </c>
      <c r="AL450" s="32">
        <f t="shared" si="108"/>
        <v>0</v>
      </c>
      <c r="AM450" s="14">
        <f t="shared" si="111"/>
        <v>0</v>
      </c>
      <c r="AN450" s="25">
        <f>SUMIFS(инфо!$G$15:$G$28,инфо!$A$15:$A$28,F450)</f>
        <v>0</v>
      </c>
      <c r="AO450" s="32">
        <f t="shared" si="109"/>
        <v>0</v>
      </c>
      <c r="AP450" s="14">
        <f t="shared" si="112"/>
        <v>0</v>
      </c>
      <c r="AQ450" s="25">
        <f>SUMIFS(инфо!$H$15:$H$28,инфо!$A$15:$A$28,F450)</f>
        <v>0</v>
      </c>
      <c r="AR450" s="26">
        <f t="shared" si="110"/>
        <v>0</v>
      </c>
      <c r="AS450" s="14">
        <f t="shared" si="113"/>
        <v>0</v>
      </c>
      <c r="AT450" s="25">
        <f>SUMIFS(инфо!$I$15:$I$28,инфо!$A$15:$A$28,F450)</f>
        <v>0</v>
      </c>
      <c r="AU450" s="35">
        <f t="shared" si="104"/>
        <v>0</v>
      </c>
      <c r="AV450" s="14">
        <f t="shared" si="114"/>
        <v>0</v>
      </c>
      <c r="AX450" s="69">
        <f>SUMIFS(инфо!$C$15:$C$28,инфо!$A$15:$A$28,F450)*H449</f>
        <v>0</v>
      </c>
    </row>
    <row r="451" spans="1:50" x14ac:dyDescent="0.25">
      <c r="A451" s="70">
        <f t="shared" si="105"/>
        <v>46289</v>
      </c>
      <c r="B451" s="78"/>
      <c r="C451" s="29"/>
      <c r="D451" s="30"/>
      <c r="E451" s="83"/>
      <c r="F451" s="28"/>
      <c r="G451" s="27"/>
      <c r="H451" s="20"/>
      <c r="I451" s="118">
        <f>IFERROR(H451*VLOOKUP(F451,инфо!$A$15:$C$28,3,FALSE)/1000,0)</f>
        <v>0</v>
      </c>
      <c r="J451" s="20"/>
      <c r="K451" s="20"/>
      <c r="L451" s="20"/>
      <c r="M451" s="20"/>
      <c r="N451" s="28"/>
      <c r="O451" s="27"/>
      <c r="P451" s="27"/>
      <c r="Q451" s="27"/>
      <c r="R451" s="27"/>
      <c r="S451" s="67">
        <f t="shared" si="115"/>
        <v>0</v>
      </c>
      <c r="T451" s="29"/>
      <c r="U451" s="30"/>
      <c r="V451" s="27"/>
      <c r="W451" s="81"/>
      <c r="X451" s="27"/>
      <c r="Y451" s="29"/>
      <c r="Z451" s="27"/>
      <c r="AA451" s="27"/>
      <c r="AB451" s="27"/>
      <c r="AC451" s="81"/>
      <c r="AD451" s="30"/>
      <c r="AE451" s="31">
        <f>SUMIFS(инфо!$D$15:$D$28,инфо!$A$15:$A$28,F451)</f>
        <v>0</v>
      </c>
      <c r="AF451" s="35">
        <f t="shared" si="106"/>
        <v>0</v>
      </c>
      <c r="AG451" s="33">
        <f t="shared" si="116"/>
        <v>0</v>
      </c>
      <c r="AH451" s="31">
        <f>SUMIFS(инфо!$E$15:$E$28,инфо!$A$15:$A$28,F451)</f>
        <v>0</v>
      </c>
      <c r="AI451" s="32">
        <f t="shared" si="107"/>
        <v>0</v>
      </c>
      <c r="AJ451" s="33">
        <f t="shared" si="117"/>
        <v>0</v>
      </c>
      <c r="AK451" s="31">
        <f>SUMIFS(инфо!$F$15:$F$28,инфо!$A$15:$A$28,F451)</f>
        <v>0</v>
      </c>
      <c r="AL451" s="32">
        <f t="shared" si="108"/>
        <v>0</v>
      </c>
      <c r="AM451" s="33">
        <f t="shared" si="111"/>
        <v>0</v>
      </c>
      <c r="AN451" s="31">
        <f>SUMIFS(инфо!$G$15:$G$28,инфо!$A$15:$A$28,F451)</f>
        <v>0</v>
      </c>
      <c r="AO451" s="32">
        <f t="shared" si="109"/>
        <v>0</v>
      </c>
      <c r="AP451" s="33">
        <f t="shared" si="112"/>
        <v>0</v>
      </c>
      <c r="AQ451" s="31">
        <f>SUMIFS(инфо!$H$15:$H$28,инфо!$A$15:$A$28,F451)</f>
        <v>0</v>
      </c>
      <c r="AR451" s="32">
        <f t="shared" si="110"/>
        <v>0</v>
      </c>
      <c r="AS451" s="33">
        <f t="shared" si="113"/>
        <v>0</v>
      </c>
      <c r="AT451" s="31">
        <f>SUMIFS(инфо!$I$15:$I$28,инфо!$A$15:$A$28,F451)</f>
        <v>0</v>
      </c>
      <c r="AU451" s="35">
        <f t="shared" si="104"/>
        <v>0</v>
      </c>
      <c r="AV451" s="33">
        <f t="shared" si="114"/>
        <v>0</v>
      </c>
      <c r="AX451" s="67">
        <f>SUMIFS(инфо!$C$15:$C$28,инфо!$A$15:$A$28,F451)*H450</f>
        <v>0</v>
      </c>
    </row>
    <row r="452" spans="1:50" x14ac:dyDescent="0.25">
      <c r="A452" s="70">
        <f t="shared" si="105"/>
        <v>46290</v>
      </c>
      <c r="B452" s="78"/>
      <c r="C452" s="15"/>
      <c r="D452" s="16"/>
      <c r="E452" s="83"/>
      <c r="F452" s="28"/>
      <c r="G452" s="34"/>
      <c r="H452" s="20"/>
      <c r="I452" s="118">
        <f>IFERROR(H452*VLOOKUP(F452,инфо!$A$15:$C$28,3,FALSE)/1000,0)</f>
        <v>0</v>
      </c>
      <c r="J452" s="20"/>
      <c r="K452" s="20"/>
      <c r="L452" s="20"/>
      <c r="M452" s="20"/>
      <c r="N452" s="20"/>
      <c r="O452" s="34"/>
      <c r="P452" s="34"/>
      <c r="Q452" s="34"/>
      <c r="R452" s="34"/>
      <c r="S452" s="68">
        <f t="shared" si="115"/>
        <v>0</v>
      </c>
      <c r="T452" s="15"/>
      <c r="U452" s="16"/>
      <c r="V452" s="34"/>
      <c r="W452" s="81"/>
      <c r="X452" s="34"/>
      <c r="Y452" s="15"/>
      <c r="Z452" s="34"/>
      <c r="AA452" s="34"/>
      <c r="AB452" s="34"/>
      <c r="AC452" s="81"/>
      <c r="AD452" s="16"/>
      <c r="AE452" s="24">
        <f>SUMIFS(инфо!$D$15:$D$28,инфо!$A$15:$A$28,F452)</f>
        <v>0</v>
      </c>
      <c r="AF452" s="35">
        <f t="shared" si="106"/>
        <v>0</v>
      </c>
      <c r="AG452" s="12">
        <f t="shared" si="116"/>
        <v>0</v>
      </c>
      <c r="AH452" s="24">
        <f>SUMIFS(инфо!$E$15:$E$28,инфо!$A$15:$A$28,F452)</f>
        <v>0</v>
      </c>
      <c r="AI452" s="32">
        <f t="shared" si="107"/>
        <v>0</v>
      </c>
      <c r="AJ452" s="12">
        <f t="shared" si="117"/>
        <v>0</v>
      </c>
      <c r="AK452" s="24">
        <f>SUMIFS(инфо!$F$15:$F$28,инфо!$A$15:$A$28,F452)</f>
        <v>0</v>
      </c>
      <c r="AL452" s="32">
        <f t="shared" si="108"/>
        <v>0</v>
      </c>
      <c r="AM452" s="12">
        <f t="shared" si="111"/>
        <v>0</v>
      </c>
      <c r="AN452" s="24">
        <f>SUMIFS(инфо!$G$15:$G$28,инфо!$A$15:$A$28,F452)</f>
        <v>0</v>
      </c>
      <c r="AO452" s="32">
        <f t="shared" si="109"/>
        <v>0</v>
      </c>
      <c r="AP452" s="12">
        <f t="shared" si="112"/>
        <v>0</v>
      </c>
      <c r="AQ452" s="24">
        <f>SUMIFS(инфо!$H$15:$H$28,инфо!$A$15:$A$28,F452)</f>
        <v>0</v>
      </c>
      <c r="AR452" s="35">
        <f t="shared" si="110"/>
        <v>0</v>
      </c>
      <c r="AS452" s="12">
        <f t="shared" si="113"/>
        <v>0</v>
      </c>
      <c r="AT452" s="24">
        <f>SUMIFS(инфо!$I$15:$I$28,инфо!$A$15:$A$28,F452)</f>
        <v>0</v>
      </c>
      <c r="AU452" s="35">
        <f t="shared" si="104"/>
        <v>0</v>
      </c>
      <c r="AV452" s="12">
        <f t="shared" si="114"/>
        <v>0</v>
      </c>
      <c r="AX452" s="68">
        <f>SUMIFS(инфо!$C$15:$C$28,инфо!$A$15:$A$28,F452)*H451</f>
        <v>0</v>
      </c>
    </row>
    <row r="453" spans="1:50" x14ac:dyDescent="0.25">
      <c r="A453" s="70">
        <f t="shared" si="105"/>
        <v>46290</v>
      </c>
      <c r="B453" s="78"/>
      <c r="C453" s="15"/>
      <c r="D453" s="16"/>
      <c r="E453" s="83"/>
      <c r="F453" s="28"/>
      <c r="G453" s="34"/>
      <c r="H453" s="23"/>
      <c r="I453" s="118">
        <f>IFERROR(H453*VLOOKUP(F453,инфо!$A$15:$C$28,3,FALSE)/1000,0)</f>
        <v>0</v>
      </c>
      <c r="J453" s="20"/>
      <c r="K453" s="20"/>
      <c r="L453" s="20"/>
      <c r="M453" s="20"/>
      <c r="N453" s="20"/>
      <c r="O453" s="34"/>
      <c r="P453" s="34"/>
      <c r="Q453" s="34"/>
      <c r="R453" s="34"/>
      <c r="S453" s="68">
        <f t="shared" si="115"/>
        <v>0</v>
      </c>
      <c r="T453" s="15"/>
      <c r="U453" s="16"/>
      <c r="V453" s="34"/>
      <c r="W453" s="81"/>
      <c r="X453" s="34"/>
      <c r="Y453" s="15"/>
      <c r="Z453" s="34"/>
      <c r="AA453" s="34"/>
      <c r="AB453" s="34"/>
      <c r="AC453" s="81"/>
      <c r="AD453" s="16"/>
      <c r="AE453" s="24">
        <f>SUMIFS(инфо!$D$15:$D$28,инфо!$A$15:$A$28,F453)</f>
        <v>0</v>
      </c>
      <c r="AF453" s="35">
        <f t="shared" si="106"/>
        <v>0</v>
      </c>
      <c r="AG453" s="12">
        <f t="shared" si="116"/>
        <v>0</v>
      </c>
      <c r="AH453" s="24">
        <f>SUMIFS(инфо!$E$15:$E$28,инфо!$A$15:$A$28,F453)</f>
        <v>0</v>
      </c>
      <c r="AI453" s="32">
        <f t="shared" si="107"/>
        <v>0</v>
      </c>
      <c r="AJ453" s="12">
        <f t="shared" si="117"/>
        <v>0</v>
      </c>
      <c r="AK453" s="24">
        <f>SUMIFS(инфо!$F$15:$F$28,инфо!$A$15:$A$28,F453)</f>
        <v>0</v>
      </c>
      <c r="AL453" s="32">
        <f t="shared" si="108"/>
        <v>0</v>
      </c>
      <c r="AM453" s="12">
        <f t="shared" si="111"/>
        <v>0</v>
      </c>
      <c r="AN453" s="24">
        <f>SUMIFS(инфо!$G$15:$G$28,инфо!$A$15:$A$28,F453)</f>
        <v>0</v>
      </c>
      <c r="AO453" s="32">
        <f t="shared" si="109"/>
        <v>0</v>
      </c>
      <c r="AP453" s="12">
        <f t="shared" si="112"/>
        <v>0</v>
      </c>
      <c r="AQ453" s="24">
        <f>SUMIFS(инфо!$H$15:$H$28,инфо!$A$15:$A$28,F453)</f>
        <v>0</v>
      </c>
      <c r="AR453" s="35">
        <f t="shared" si="110"/>
        <v>0</v>
      </c>
      <c r="AS453" s="12">
        <f t="shared" si="113"/>
        <v>0</v>
      </c>
      <c r="AT453" s="24">
        <f>SUMIFS(инфо!$I$15:$I$28,инфо!$A$15:$A$28,F453)</f>
        <v>0</v>
      </c>
      <c r="AU453" s="35">
        <f t="shared" si="104"/>
        <v>0</v>
      </c>
      <c r="AV453" s="12">
        <f t="shared" si="114"/>
        <v>0</v>
      </c>
      <c r="AX453" s="68">
        <f>SUMIFS(инфо!$C$15:$C$28,инфо!$A$15:$A$28,F453)*H452</f>
        <v>0</v>
      </c>
    </row>
    <row r="454" spans="1:50" x14ac:dyDescent="0.25">
      <c r="A454" s="70">
        <f t="shared" si="105"/>
        <v>46291</v>
      </c>
      <c r="B454" s="78"/>
      <c r="C454" s="17"/>
      <c r="D454" s="18"/>
      <c r="E454" s="83"/>
      <c r="F454" s="28"/>
      <c r="G454" s="19"/>
      <c r="H454" s="28"/>
      <c r="I454" s="118">
        <f>IFERROR(H454*VLOOKUP(F454,инфо!$A$15:$C$28,3,FALSE)/1000,0)</f>
        <v>0</v>
      </c>
      <c r="J454" s="20"/>
      <c r="K454" s="20"/>
      <c r="L454" s="20"/>
      <c r="M454" s="20"/>
      <c r="N454" s="23"/>
      <c r="O454" s="19"/>
      <c r="P454" s="19"/>
      <c r="Q454" s="19"/>
      <c r="R454" s="19"/>
      <c r="S454" s="69">
        <f t="shared" si="115"/>
        <v>0</v>
      </c>
      <c r="T454" s="17"/>
      <c r="U454" s="18"/>
      <c r="V454" s="19"/>
      <c r="W454" s="81"/>
      <c r="X454" s="19"/>
      <c r="Y454" s="17"/>
      <c r="Z454" s="19"/>
      <c r="AA454" s="19"/>
      <c r="AB454" s="19"/>
      <c r="AC454" s="81"/>
      <c r="AD454" s="18"/>
      <c r="AE454" s="25">
        <f>SUMIFS(инфо!$D$15:$D$28,инфо!$A$15:$A$28,F454)</f>
        <v>0</v>
      </c>
      <c r="AF454" s="35">
        <f t="shared" si="106"/>
        <v>0</v>
      </c>
      <c r="AG454" s="14">
        <f t="shared" si="116"/>
        <v>0</v>
      </c>
      <c r="AH454" s="25">
        <f>SUMIFS(инфо!$E$15:$E$28,инфо!$A$15:$A$28,F454)</f>
        <v>0</v>
      </c>
      <c r="AI454" s="32">
        <f t="shared" si="107"/>
        <v>0</v>
      </c>
      <c r="AJ454" s="14">
        <f t="shared" si="117"/>
        <v>0</v>
      </c>
      <c r="AK454" s="25">
        <f>SUMIFS(инфо!$F$15:$F$28,инфо!$A$15:$A$28,F454)</f>
        <v>0</v>
      </c>
      <c r="AL454" s="32">
        <f t="shared" si="108"/>
        <v>0</v>
      </c>
      <c r="AM454" s="14">
        <f t="shared" si="111"/>
        <v>0</v>
      </c>
      <c r="AN454" s="25">
        <f>SUMIFS(инфо!$G$15:$G$28,инфо!$A$15:$A$28,F454)</f>
        <v>0</v>
      </c>
      <c r="AO454" s="32">
        <f t="shared" si="109"/>
        <v>0</v>
      </c>
      <c r="AP454" s="14">
        <f t="shared" si="112"/>
        <v>0</v>
      </c>
      <c r="AQ454" s="25">
        <f>SUMIFS(инфо!$H$15:$H$28,инфо!$A$15:$A$28,F454)</f>
        <v>0</v>
      </c>
      <c r="AR454" s="26">
        <f t="shared" si="110"/>
        <v>0</v>
      </c>
      <c r="AS454" s="14">
        <f t="shared" si="113"/>
        <v>0</v>
      </c>
      <c r="AT454" s="25">
        <f>SUMIFS(инфо!$I$15:$I$28,инфо!$A$15:$A$28,F454)</f>
        <v>0</v>
      </c>
      <c r="AU454" s="35">
        <f t="shared" si="104"/>
        <v>0</v>
      </c>
      <c r="AV454" s="14">
        <f t="shared" si="114"/>
        <v>0</v>
      </c>
      <c r="AX454" s="69">
        <f>SUMIFS(инфо!$C$15:$C$28,инфо!$A$15:$A$28,F454)*H453</f>
        <v>0</v>
      </c>
    </row>
    <row r="455" spans="1:50" x14ac:dyDescent="0.25">
      <c r="A455" s="70">
        <f t="shared" si="105"/>
        <v>46291</v>
      </c>
      <c r="B455" s="78"/>
      <c r="C455" s="29"/>
      <c r="D455" s="30"/>
      <c r="E455" s="83"/>
      <c r="F455" s="28"/>
      <c r="G455" s="27"/>
      <c r="H455" s="20"/>
      <c r="I455" s="118">
        <f>IFERROR(H455*VLOOKUP(F455,инфо!$A$15:$C$28,3,FALSE)/1000,0)</f>
        <v>0</v>
      </c>
      <c r="J455" s="20"/>
      <c r="K455" s="20"/>
      <c r="L455" s="20"/>
      <c r="M455" s="20"/>
      <c r="N455" s="28"/>
      <c r="O455" s="27"/>
      <c r="P455" s="27"/>
      <c r="Q455" s="27"/>
      <c r="R455" s="27"/>
      <c r="S455" s="67">
        <f t="shared" si="115"/>
        <v>0</v>
      </c>
      <c r="T455" s="29"/>
      <c r="U455" s="30"/>
      <c r="V455" s="27"/>
      <c r="W455" s="81"/>
      <c r="X455" s="27"/>
      <c r="Y455" s="29"/>
      <c r="Z455" s="27"/>
      <c r="AA455" s="27"/>
      <c r="AB455" s="27"/>
      <c r="AC455" s="81"/>
      <c r="AD455" s="30"/>
      <c r="AE455" s="31">
        <f>SUMIFS(инфо!$D$15:$D$28,инфо!$A$15:$A$28,F455)</f>
        <v>0</v>
      </c>
      <c r="AF455" s="35">
        <f t="shared" si="106"/>
        <v>0</v>
      </c>
      <c r="AG455" s="33">
        <f t="shared" si="116"/>
        <v>0</v>
      </c>
      <c r="AH455" s="31">
        <f>SUMIFS(инфо!$E$15:$E$28,инфо!$A$15:$A$28,F455)</f>
        <v>0</v>
      </c>
      <c r="AI455" s="32">
        <f t="shared" si="107"/>
        <v>0</v>
      </c>
      <c r="AJ455" s="33">
        <f t="shared" si="117"/>
        <v>0</v>
      </c>
      <c r="AK455" s="31">
        <f>SUMIFS(инфо!$F$15:$F$28,инфо!$A$15:$A$28,F455)</f>
        <v>0</v>
      </c>
      <c r="AL455" s="32">
        <f t="shared" si="108"/>
        <v>0</v>
      </c>
      <c r="AM455" s="33">
        <f t="shared" si="111"/>
        <v>0</v>
      </c>
      <c r="AN455" s="31">
        <f>SUMIFS(инфо!$G$15:$G$28,инфо!$A$15:$A$28,F455)</f>
        <v>0</v>
      </c>
      <c r="AO455" s="32">
        <f t="shared" si="109"/>
        <v>0</v>
      </c>
      <c r="AP455" s="33">
        <f t="shared" si="112"/>
        <v>0</v>
      </c>
      <c r="AQ455" s="31">
        <f>SUMIFS(инфо!$H$15:$H$28,инфо!$A$15:$A$28,F455)</f>
        <v>0</v>
      </c>
      <c r="AR455" s="32">
        <f t="shared" si="110"/>
        <v>0</v>
      </c>
      <c r="AS455" s="33">
        <f t="shared" si="113"/>
        <v>0</v>
      </c>
      <c r="AT455" s="31">
        <f>SUMIFS(инфо!$I$15:$I$28,инфо!$A$15:$A$28,F455)</f>
        <v>0</v>
      </c>
      <c r="AU455" s="35">
        <f t="shared" si="104"/>
        <v>0</v>
      </c>
      <c r="AV455" s="33">
        <f t="shared" si="114"/>
        <v>0</v>
      </c>
      <c r="AX455" s="67">
        <f>SUMIFS(инфо!$C$15:$C$28,инфо!$A$15:$A$28,F455)*H454</f>
        <v>0</v>
      </c>
    </row>
    <row r="456" spans="1:50" x14ac:dyDescent="0.25">
      <c r="A456" s="70">
        <f t="shared" si="105"/>
        <v>46292</v>
      </c>
      <c r="B456" s="78"/>
      <c r="C456" s="15"/>
      <c r="D456" s="16"/>
      <c r="E456" s="83"/>
      <c r="F456" s="28"/>
      <c r="G456" s="34"/>
      <c r="H456" s="20"/>
      <c r="I456" s="118">
        <f>IFERROR(H456*VLOOKUP(F456,инфо!$A$15:$C$28,3,FALSE)/1000,0)</f>
        <v>0</v>
      </c>
      <c r="J456" s="20"/>
      <c r="K456" s="20"/>
      <c r="L456" s="20"/>
      <c r="M456" s="20"/>
      <c r="N456" s="20"/>
      <c r="O456" s="34"/>
      <c r="P456" s="34"/>
      <c r="Q456" s="34"/>
      <c r="R456" s="34"/>
      <c r="S456" s="68">
        <f t="shared" si="115"/>
        <v>0</v>
      </c>
      <c r="T456" s="15"/>
      <c r="U456" s="16"/>
      <c r="V456" s="34"/>
      <c r="W456" s="81"/>
      <c r="X456" s="34"/>
      <c r="Y456" s="15"/>
      <c r="Z456" s="34"/>
      <c r="AA456" s="34"/>
      <c r="AB456" s="34"/>
      <c r="AC456" s="81"/>
      <c r="AD456" s="16"/>
      <c r="AE456" s="24">
        <f>SUMIFS(инфо!$D$15:$D$28,инфо!$A$15:$A$28,F456)</f>
        <v>0</v>
      </c>
      <c r="AF456" s="35">
        <f t="shared" si="106"/>
        <v>0</v>
      </c>
      <c r="AG456" s="12">
        <f t="shared" si="116"/>
        <v>0</v>
      </c>
      <c r="AH456" s="24">
        <f>SUMIFS(инфо!$E$15:$E$28,инфо!$A$15:$A$28,F456)</f>
        <v>0</v>
      </c>
      <c r="AI456" s="32">
        <f t="shared" si="107"/>
        <v>0</v>
      </c>
      <c r="AJ456" s="12">
        <f t="shared" si="117"/>
        <v>0</v>
      </c>
      <c r="AK456" s="24">
        <f>SUMIFS(инфо!$F$15:$F$28,инфо!$A$15:$A$28,F456)</f>
        <v>0</v>
      </c>
      <c r="AL456" s="32">
        <f t="shared" si="108"/>
        <v>0</v>
      </c>
      <c r="AM456" s="12">
        <f t="shared" si="111"/>
        <v>0</v>
      </c>
      <c r="AN456" s="24">
        <f>SUMIFS(инфо!$G$15:$G$28,инфо!$A$15:$A$28,F456)</f>
        <v>0</v>
      </c>
      <c r="AO456" s="32">
        <f t="shared" si="109"/>
        <v>0</v>
      </c>
      <c r="AP456" s="12">
        <f t="shared" si="112"/>
        <v>0</v>
      </c>
      <c r="AQ456" s="24">
        <f>SUMIFS(инфо!$H$15:$H$28,инфо!$A$15:$A$28,F456)</f>
        <v>0</v>
      </c>
      <c r="AR456" s="35">
        <f t="shared" si="110"/>
        <v>0</v>
      </c>
      <c r="AS456" s="12">
        <f t="shared" si="113"/>
        <v>0</v>
      </c>
      <c r="AT456" s="24">
        <f>SUMIFS(инфо!$I$15:$I$28,инфо!$A$15:$A$28,F456)</f>
        <v>0</v>
      </c>
      <c r="AU456" s="35">
        <f t="shared" si="104"/>
        <v>0</v>
      </c>
      <c r="AV456" s="12">
        <f t="shared" si="114"/>
        <v>0</v>
      </c>
      <c r="AX456" s="68">
        <f>SUMIFS(инфо!$C$15:$C$28,инфо!$A$15:$A$28,F456)*H455</f>
        <v>0</v>
      </c>
    </row>
    <row r="457" spans="1:50" x14ac:dyDescent="0.25">
      <c r="A457" s="70">
        <f t="shared" si="105"/>
        <v>46292</v>
      </c>
      <c r="B457" s="78"/>
      <c r="C457" s="15"/>
      <c r="D457" s="16"/>
      <c r="E457" s="83"/>
      <c r="F457" s="28"/>
      <c r="G457" s="34"/>
      <c r="H457" s="23"/>
      <c r="I457" s="118">
        <f>IFERROR(H457*VLOOKUP(F457,инфо!$A$15:$C$28,3,FALSE)/1000,0)</f>
        <v>0</v>
      </c>
      <c r="J457" s="20"/>
      <c r="K457" s="20"/>
      <c r="L457" s="20"/>
      <c r="M457" s="20"/>
      <c r="N457" s="20"/>
      <c r="O457" s="34"/>
      <c r="P457" s="34"/>
      <c r="Q457" s="34"/>
      <c r="R457" s="34"/>
      <c r="S457" s="68">
        <f t="shared" si="115"/>
        <v>0</v>
      </c>
      <c r="T457" s="15"/>
      <c r="U457" s="16"/>
      <c r="V457" s="34"/>
      <c r="W457" s="81"/>
      <c r="X457" s="34"/>
      <c r="Y457" s="15"/>
      <c r="Z457" s="34"/>
      <c r="AA457" s="34"/>
      <c r="AB457" s="34"/>
      <c r="AC457" s="81"/>
      <c r="AD457" s="16"/>
      <c r="AE457" s="24">
        <f>SUMIFS(инфо!$D$15:$D$28,инфо!$A$15:$A$28,F457)</f>
        <v>0</v>
      </c>
      <c r="AF457" s="35">
        <f t="shared" si="106"/>
        <v>0</v>
      </c>
      <c r="AG457" s="12">
        <f t="shared" si="116"/>
        <v>0</v>
      </c>
      <c r="AH457" s="24">
        <f>SUMIFS(инфо!$E$15:$E$28,инфо!$A$15:$A$28,F457)</f>
        <v>0</v>
      </c>
      <c r="AI457" s="32">
        <f t="shared" si="107"/>
        <v>0</v>
      </c>
      <c r="AJ457" s="12">
        <f t="shared" si="117"/>
        <v>0</v>
      </c>
      <c r="AK457" s="24">
        <f>SUMIFS(инфо!$F$15:$F$28,инфо!$A$15:$A$28,F457)</f>
        <v>0</v>
      </c>
      <c r="AL457" s="32">
        <f t="shared" si="108"/>
        <v>0</v>
      </c>
      <c r="AM457" s="12">
        <f t="shared" si="111"/>
        <v>0</v>
      </c>
      <c r="AN457" s="24">
        <f>SUMIFS(инфо!$G$15:$G$28,инфо!$A$15:$A$28,F457)</f>
        <v>0</v>
      </c>
      <c r="AO457" s="32">
        <f t="shared" si="109"/>
        <v>0</v>
      </c>
      <c r="AP457" s="12">
        <f t="shared" si="112"/>
        <v>0</v>
      </c>
      <c r="AQ457" s="24">
        <f>SUMIFS(инфо!$H$15:$H$28,инфо!$A$15:$A$28,F457)</f>
        <v>0</v>
      </c>
      <c r="AR457" s="35">
        <f t="shared" si="110"/>
        <v>0</v>
      </c>
      <c r="AS457" s="12">
        <f t="shared" si="113"/>
        <v>0</v>
      </c>
      <c r="AT457" s="24">
        <f>SUMIFS(инфо!$I$15:$I$28,инфо!$A$15:$A$28,F457)</f>
        <v>0</v>
      </c>
      <c r="AU457" s="35">
        <f t="shared" ref="AU457:AU520" si="118">IF(H457=0,0,AD457/H457)</f>
        <v>0</v>
      </c>
      <c r="AV457" s="12">
        <f t="shared" si="114"/>
        <v>0</v>
      </c>
      <c r="AX457" s="68">
        <f>SUMIFS(инфо!$C$15:$C$28,инфо!$A$15:$A$28,F457)*H456</f>
        <v>0</v>
      </c>
    </row>
    <row r="458" spans="1:50" x14ac:dyDescent="0.25">
      <c r="A458" s="70">
        <f t="shared" si="105"/>
        <v>46293</v>
      </c>
      <c r="B458" s="78"/>
      <c r="C458" s="17"/>
      <c r="D458" s="18"/>
      <c r="E458" s="83"/>
      <c r="F458" s="28"/>
      <c r="G458" s="19"/>
      <c r="H458" s="28"/>
      <c r="I458" s="118">
        <f>IFERROR(H458*VLOOKUP(F458,инфо!$A$15:$C$28,3,FALSE)/1000,0)</f>
        <v>0</v>
      </c>
      <c r="J458" s="20"/>
      <c r="K458" s="20"/>
      <c r="L458" s="20"/>
      <c r="M458" s="20"/>
      <c r="N458" s="23"/>
      <c r="O458" s="19"/>
      <c r="P458" s="19"/>
      <c r="Q458" s="19"/>
      <c r="R458" s="19"/>
      <c r="S458" s="69">
        <f t="shared" si="115"/>
        <v>0</v>
      </c>
      <c r="T458" s="17"/>
      <c r="U458" s="18"/>
      <c r="V458" s="19"/>
      <c r="W458" s="81"/>
      <c r="X458" s="19"/>
      <c r="Y458" s="17"/>
      <c r="Z458" s="19"/>
      <c r="AA458" s="19"/>
      <c r="AB458" s="19"/>
      <c r="AC458" s="81"/>
      <c r="AD458" s="18"/>
      <c r="AE458" s="25">
        <f>SUMIFS(инфо!$D$15:$D$28,инфо!$A$15:$A$28,F458)</f>
        <v>0</v>
      </c>
      <c r="AF458" s="35">
        <f t="shared" si="106"/>
        <v>0</v>
      </c>
      <c r="AG458" s="14">
        <f t="shared" si="116"/>
        <v>0</v>
      </c>
      <c r="AH458" s="25">
        <f>SUMIFS(инфо!$E$15:$E$28,инфо!$A$15:$A$28,F458)</f>
        <v>0</v>
      </c>
      <c r="AI458" s="32">
        <f t="shared" si="107"/>
        <v>0</v>
      </c>
      <c r="AJ458" s="14">
        <f t="shared" si="117"/>
        <v>0</v>
      </c>
      <c r="AK458" s="25">
        <f>SUMIFS(инфо!$F$15:$F$28,инфо!$A$15:$A$28,F458)</f>
        <v>0</v>
      </c>
      <c r="AL458" s="32">
        <f t="shared" si="108"/>
        <v>0</v>
      </c>
      <c r="AM458" s="14">
        <f t="shared" si="111"/>
        <v>0</v>
      </c>
      <c r="AN458" s="25">
        <f>SUMIFS(инфо!$G$15:$G$28,инфо!$A$15:$A$28,F458)</f>
        <v>0</v>
      </c>
      <c r="AO458" s="32">
        <f t="shared" si="109"/>
        <v>0</v>
      </c>
      <c r="AP458" s="14">
        <f t="shared" si="112"/>
        <v>0</v>
      </c>
      <c r="AQ458" s="25">
        <f>SUMIFS(инфо!$H$15:$H$28,инфо!$A$15:$A$28,F458)</f>
        <v>0</v>
      </c>
      <c r="AR458" s="26">
        <f t="shared" si="110"/>
        <v>0</v>
      </c>
      <c r="AS458" s="14">
        <f t="shared" si="113"/>
        <v>0</v>
      </c>
      <c r="AT458" s="25">
        <f>SUMIFS(инфо!$I$15:$I$28,инфо!$A$15:$A$28,F458)</f>
        <v>0</v>
      </c>
      <c r="AU458" s="35">
        <f t="shared" si="118"/>
        <v>0</v>
      </c>
      <c r="AV458" s="14">
        <f t="shared" si="114"/>
        <v>0</v>
      </c>
      <c r="AX458" s="69">
        <f>SUMIFS(инфо!$C$15:$C$28,инфо!$A$15:$A$28,F458)*H457</f>
        <v>0</v>
      </c>
    </row>
    <row r="459" spans="1:50" x14ac:dyDescent="0.25">
      <c r="A459" s="70">
        <f t="shared" si="105"/>
        <v>46293</v>
      </c>
      <c r="B459" s="78"/>
      <c r="C459" s="29"/>
      <c r="D459" s="30"/>
      <c r="E459" s="83"/>
      <c r="F459" s="28"/>
      <c r="G459" s="27"/>
      <c r="H459" s="20"/>
      <c r="I459" s="118">
        <f>IFERROR(H459*VLOOKUP(F459,инфо!$A$15:$C$28,3,FALSE)/1000,0)</f>
        <v>0</v>
      </c>
      <c r="J459" s="20"/>
      <c r="K459" s="20"/>
      <c r="L459" s="20"/>
      <c r="M459" s="20"/>
      <c r="N459" s="28"/>
      <c r="O459" s="27"/>
      <c r="P459" s="27"/>
      <c r="Q459" s="27"/>
      <c r="R459" s="27"/>
      <c r="S459" s="67">
        <f t="shared" si="115"/>
        <v>0</v>
      </c>
      <c r="T459" s="29"/>
      <c r="U459" s="30"/>
      <c r="V459" s="27"/>
      <c r="W459" s="81"/>
      <c r="X459" s="27"/>
      <c r="Y459" s="29"/>
      <c r="Z459" s="27"/>
      <c r="AA459" s="27"/>
      <c r="AB459" s="27"/>
      <c r="AC459" s="81"/>
      <c r="AD459" s="30"/>
      <c r="AE459" s="31">
        <f>SUMIFS(инфо!$D$15:$D$28,инфо!$A$15:$A$28,F459)</f>
        <v>0</v>
      </c>
      <c r="AF459" s="35">
        <f t="shared" si="106"/>
        <v>0</v>
      </c>
      <c r="AG459" s="33">
        <f t="shared" si="116"/>
        <v>0</v>
      </c>
      <c r="AH459" s="31">
        <f>SUMIFS(инфо!$E$15:$E$28,инфо!$A$15:$A$28,F459)</f>
        <v>0</v>
      </c>
      <c r="AI459" s="32">
        <f t="shared" si="107"/>
        <v>0</v>
      </c>
      <c r="AJ459" s="33">
        <f t="shared" si="117"/>
        <v>0</v>
      </c>
      <c r="AK459" s="31">
        <f>SUMIFS(инфо!$F$15:$F$28,инфо!$A$15:$A$28,F459)</f>
        <v>0</v>
      </c>
      <c r="AL459" s="32">
        <f t="shared" si="108"/>
        <v>0</v>
      </c>
      <c r="AM459" s="33">
        <f t="shared" si="111"/>
        <v>0</v>
      </c>
      <c r="AN459" s="31">
        <f>SUMIFS(инфо!$G$15:$G$28,инфо!$A$15:$A$28,F459)</f>
        <v>0</v>
      </c>
      <c r="AO459" s="32">
        <f t="shared" si="109"/>
        <v>0</v>
      </c>
      <c r="AP459" s="33">
        <f t="shared" si="112"/>
        <v>0</v>
      </c>
      <c r="AQ459" s="31">
        <f>SUMIFS(инфо!$H$15:$H$28,инфо!$A$15:$A$28,F459)</f>
        <v>0</v>
      </c>
      <c r="AR459" s="32">
        <f t="shared" si="110"/>
        <v>0</v>
      </c>
      <c r="AS459" s="33">
        <f t="shared" si="113"/>
        <v>0</v>
      </c>
      <c r="AT459" s="31">
        <f>SUMIFS(инфо!$I$15:$I$28,инфо!$A$15:$A$28,F459)</f>
        <v>0</v>
      </c>
      <c r="AU459" s="35">
        <f t="shared" si="118"/>
        <v>0</v>
      </c>
      <c r="AV459" s="33">
        <f t="shared" si="114"/>
        <v>0</v>
      </c>
      <c r="AX459" s="67">
        <f>SUMIFS(инфо!$C$15:$C$28,инфо!$A$15:$A$28,F459)*H458</f>
        <v>0</v>
      </c>
    </row>
    <row r="460" spans="1:50" x14ac:dyDescent="0.25">
      <c r="A460" s="70">
        <f t="shared" si="105"/>
        <v>46294</v>
      </c>
      <c r="B460" s="78"/>
      <c r="C460" s="15"/>
      <c r="D460" s="16"/>
      <c r="E460" s="83"/>
      <c r="F460" s="28"/>
      <c r="G460" s="34"/>
      <c r="H460" s="20"/>
      <c r="I460" s="118">
        <f>IFERROR(H460*VLOOKUP(F460,инфо!$A$15:$C$28,3,FALSE)/1000,0)</f>
        <v>0</v>
      </c>
      <c r="J460" s="20"/>
      <c r="K460" s="20"/>
      <c r="L460" s="20"/>
      <c r="M460" s="20"/>
      <c r="N460" s="20"/>
      <c r="O460" s="34"/>
      <c r="P460" s="34"/>
      <c r="Q460" s="34"/>
      <c r="R460" s="34"/>
      <c r="S460" s="68">
        <f t="shared" si="115"/>
        <v>0</v>
      </c>
      <c r="T460" s="15"/>
      <c r="U460" s="16"/>
      <c r="V460" s="34"/>
      <c r="W460" s="81"/>
      <c r="X460" s="34"/>
      <c r="Y460" s="15"/>
      <c r="Z460" s="34"/>
      <c r="AA460" s="34"/>
      <c r="AB460" s="34"/>
      <c r="AC460" s="81"/>
      <c r="AD460" s="16"/>
      <c r="AE460" s="24">
        <f>SUMIFS(инфо!$D$15:$D$28,инфо!$A$15:$A$28,F460)</f>
        <v>0</v>
      </c>
      <c r="AF460" s="35">
        <f t="shared" si="106"/>
        <v>0</v>
      </c>
      <c r="AG460" s="12">
        <f t="shared" si="116"/>
        <v>0</v>
      </c>
      <c r="AH460" s="24">
        <f>SUMIFS(инфо!$E$15:$E$28,инфо!$A$15:$A$28,F460)</f>
        <v>0</v>
      </c>
      <c r="AI460" s="32">
        <f t="shared" si="107"/>
        <v>0</v>
      </c>
      <c r="AJ460" s="12">
        <f t="shared" si="117"/>
        <v>0</v>
      </c>
      <c r="AK460" s="24">
        <f>SUMIFS(инфо!$F$15:$F$28,инфо!$A$15:$A$28,F460)</f>
        <v>0</v>
      </c>
      <c r="AL460" s="32">
        <f t="shared" si="108"/>
        <v>0</v>
      </c>
      <c r="AM460" s="12">
        <f t="shared" si="111"/>
        <v>0</v>
      </c>
      <c r="AN460" s="24">
        <f>SUMIFS(инфо!$G$15:$G$28,инфо!$A$15:$A$28,F460)</f>
        <v>0</v>
      </c>
      <c r="AO460" s="32">
        <f t="shared" si="109"/>
        <v>0</v>
      </c>
      <c r="AP460" s="12">
        <f t="shared" si="112"/>
        <v>0</v>
      </c>
      <c r="AQ460" s="24">
        <f>SUMIFS(инфо!$H$15:$H$28,инфо!$A$15:$A$28,F460)</f>
        <v>0</v>
      </c>
      <c r="AR460" s="35">
        <f t="shared" si="110"/>
        <v>0</v>
      </c>
      <c r="AS460" s="12">
        <f t="shared" si="113"/>
        <v>0</v>
      </c>
      <c r="AT460" s="24">
        <f>SUMIFS(инфо!$I$15:$I$28,инфо!$A$15:$A$28,F460)</f>
        <v>0</v>
      </c>
      <c r="AU460" s="35">
        <f t="shared" si="118"/>
        <v>0</v>
      </c>
      <c r="AV460" s="12">
        <f t="shared" si="114"/>
        <v>0</v>
      </c>
      <c r="AX460" s="68">
        <f>SUMIFS(инфо!$C$15:$C$28,инфо!$A$15:$A$28,F460)*H459</f>
        <v>0</v>
      </c>
    </row>
    <row r="461" spans="1:50" x14ac:dyDescent="0.25">
      <c r="A461" s="70">
        <f t="shared" si="105"/>
        <v>46294</v>
      </c>
      <c r="B461" s="78"/>
      <c r="C461" s="15"/>
      <c r="D461" s="16"/>
      <c r="E461" s="83"/>
      <c r="F461" s="28"/>
      <c r="G461" s="34"/>
      <c r="H461" s="23"/>
      <c r="I461" s="118">
        <f>IFERROR(H461*VLOOKUP(F461,инфо!$A$15:$C$28,3,FALSE)/1000,0)</f>
        <v>0</v>
      </c>
      <c r="J461" s="20"/>
      <c r="K461" s="20"/>
      <c r="L461" s="20"/>
      <c r="M461" s="20"/>
      <c r="N461" s="20"/>
      <c r="O461" s="34"/>
      <c r="P461" s="34"/>
      <c r="Q461" s="34"/>
      <c r="R461" s="34"/>
      <c r="S461" s="68">
        <f t="shared" si="115"/>
        <v>0</v>
      </c>
      <c r="T461" s="15"/>
      <c r="U461" s="16"/>
      <c r="V461" s="34"/>
      <c r="W461" s="81"/>
      <c r="X461" s="34"/>
      <c r="Y461" s="15"/>
      <c r="Z461" s="34"/>
      <c r="AA461" s="34"/>
      <c r="AB461" s="34"/>
      <c r="AC461" s="81"/>
      <c r="AD461" s="16"/>
      <c r="AE461" s="24">
        <f>SUMIFS(инфо!$D$15:$D$28,инфо!$A$15:$A$28,F461)</f>
        <v>0</v>
      </c>
      <c r="AF461" s="35">
        <f t="shared" si="106"/>
        <v>0</v>
      </c>
      <c r="AG461" s="12">
        <f t="shared" si="116"/>
        <v>0</v>
      </c>
      <c r="AH461" s="24">
        <f>SUMIFS(инфо!$E$15:$E$28,инфо!$A$15:$A$28,F461)</f>
        <v>0</v>
      </c>
      <c r="AI461" s="32">
        <f t="shared" si="107"/>
        <v>0</v>
      </c>
      <c r="AJ461" s="12">
        <f t="shared" si="117"/>
        <v>0</v>
      </c>
      <c r="AK461" s="24">
        <f>SUMIFS(инфо!$F$15:$F$28,инфо!$A$15:$A$28,F461)</f>
        <v>0</v>
      </c>
      <c r="AL461" s="32">
        <f t="shared" si="108"/>
        <v>0</v>
      </c>
      <c r="AM461" s="12">
        <f t="shared" si="111"/>
        <v>0</v>
      </c>
      <c r="AN461" s="24">
        <f>SUMIFS(инфо!$G$15:$G$28,инфо!$A$15:$A$28,F461)</f>
        <v>0</v>
      </c>
      <c r="AO461" s="32">
        <f t="shared" si="109"/>
        <v>0</v>
      </c>
      <c r="AP461" s="12">
        <f t="shared" si="112"/>
        <v>0</v>
      </c>
      <c r="AQ461" s="24">
        <f>SUMIFS(инфо!$H$15:$H$28,инфо!$A$15:$A$28,F461)</f>
        <v>0</v>
      </c>
      <c r="AR461" s="35">
        <f t="shared" si="110"/>
        <v>0</v>
      </c>
      <c r="AS461" s="12">
        <f t="shared" si="113"/>
        <v>0</v>
      </c>
      <c r="AT461" s="24">
        <f>SUMIFS(инфо!$I$15:$I$28,инфо!$A$15:$A$28,F461)</f>
        <v>0</v>
      </c>
      <c r="AU461" s="35">
        <f t="shared" si="118"/>
        <v>0</v>
      </c>
      <c r="AV461" s="12">
        <f t="shared" si="114"/>
        <v>0</v>
      </c>
      <c r="AX461" s="68">
        <f>SUMIFS(инфо!$C$15:$C$28,инфо!$A$15:$A$28,F461)*H460</f>
        <v>0</v>
      </c>
    </row>
    <row r="462" spans="1:50" x14ac:dyDescent="0.25">
      <c r="A462" s="70">
        <f t="shared" si="105"/>
        <v>46295</v>
      </c>
      <c r="B462" s="78"/>
      <c r="C462" s="17"/>
      <c r="D462" s="18"/>
      <c r="E462" s="83"/>
      <c r="F462" s="28"/>
      <c r="G462" s="19"/>
      <c r="H462" s="28"/>
      <c r="I462" s="118">
        <f>IFERROR(H462*VLOOKUP(F462,инфо!$A$15:$C$28,3,FALSE)/1000,0)</f>
        <v>0</v>
      </c>
      <c r="J462" s="20"/>
      <c r="K462" s="20"/>
      <c r="L462" s="20"/>
      <c r="M462" s="20"/>
      <c r="N462" s="23"/>
      <c r="O462" s="19"/>
      <c r="P462" s="19"/>
      <c r="Q462" s="19"/>
      <c r="R462" s="19"/>
      <c r="S462" s="69">
        <f t="shared" si="115"/>
        <v>0</v>
      </c>
      <c r="T462" s="17"/>
      <c r="U462" s="18"/>
      <c r="V462" s="19"/>
      <c r="W462" s="81"/>
      <c r="X462" s="19"/>
      <c r="Y462" s="17"/>
      <c r="Z462" s="19"/>
      <c r="AA462" s="19"/>
      <c r="AB462" s="19"/>
      <c r="AC462" s="81"/>
      <c r="AD462" s="18"/>
      <c r="AE462" s="25">
        <f>SUMIFS(инфо!$D$15:$D$28,инфо!$A$15:$A$28,F462)</f>
        <v>0</v>
      </c>
      <c r="AF462" s="35">
        <f t="shared" si="106"/>
        <v>0</v>
      </c>
      <c r="AG462" s="14">
        <f t="shared" si="116"/>
        <v>0</v>
      </c>
      <c r="AH462" s="25">
        <f>SUMIFS(инфо!$E$15:$E$28,инфо!$A$15:$A$28,F462)</f>
        <v>0</v>
      </c>
      <c r="AI462" s="32">
        <f t="shared" si="107"/>
        <v>0</v>
      </c>
      <c r="AJ462" s="14">
        <f t="shared" si="117"/>
        <v>0</v>
      </c>
      <c r="AK462" s="25">
        <f>SUMIFS(инфо!$F$15:$F$28,инфо!$A$15:$A$28,F462)</f>
        <v>0</v>
      </c>
      <c r="AL462" s="32">
        <f t="shared" si="108"/>
        <v>0</v>
      </c>
      <c r="AM462" s="14">
        <f t="shared" si="111"/>
        <v>0</v>
      </c>
      <c r="AN462" s="25">
        <f>SUMIFS(инфо!$G$15:$G$28,инфо!$A$15:$A$28,F462)</f>
        <v>0</v>
      </c>
      <c r="AO462" s="32">
        <f t="shared" si="109"/>
        <v>0</v>
      </c>
      <c r="AP462" s="14">
        <f t="shared" si="112"/>
        <v>0</v>
      </c>
      <c r="AQ462" s="25">
        <f>SUMIFS(инфо!$H$15:$H$28,инфо!$A$15:$A$28,F462)</f>
        <v>0</v>
      </c>
      <c r="AR462" s="26">
        <f t="shared" si="110"/>
        <v>0</v>
      </c>
      <c r="AS462" s="14">
        <f t="shared" si="113"/>
        <v>0</v>
      </c>
      <c r="AT462" s="25">
        <f>SUMIFS(инфо!$I$15:$I$28,инфо!$A$15:$A$28,F462)</f>
        <v>0</v>
      </c>
      <c r="AU462" s="35">
        <f t="shared" si="118"/>
        <v>0</v>
      </c>
      <c r="AV462" s="14">
        <f t="shared" si="114"/>
        <v>0</v>
      </c>
      <c r="AX462" s="69">
        <f>SUMIFS(инфо!$C$15:$C$28,инфо!$A$15:$A$28,F462)*H461</f>
        <v>0</v>
      </c>
    </row>
    <row r="463" spans="1:50" x14ac:dyDescent="0.25">
      <c r="A463" s="70">
        <f t="shared" si="105"/>
        <v>46295</v>
      </c>
      <c r="B463" s="78"/>
      <c r="C463" s="29"/>
      <c r="D463" s="30"/>
      <c r="E463" s="83"/>
      <c r="F463" s="28"/>
      <c r="G463" s="27"/>
      <c r="H463" s="20"/>
      <c r="I463" s="118">
        <f>IFERROR(H463*VLOOKUP(F463,инфо!$A$15:$C$28,3,FALSE)/1000,0)</f>
        <v>0</v>
      </c>
      <c r="J463" s="20"/>
      <c r="K463" s="20"/>
      <c r="L463" s="20"/>
      <c r="M463" s="20"/>
      <c r="N463" s="28"/>
      <c r="O463" s="27"/>
      <c r="P463" s="27"/>
      <c r="Q463" s="27"/>
      <c r="R463" s="27"/>
      <c r="S463" s="67">
        <f t="shared" si="115"/>
        <v>0</v>
      </c>
      <c r="T463" s="29"/>
      <c r="U463" s="30"/>
      <c r="V463" s="27"/>
      <c r="W463" s="81"/>
      <c r="X463" s="27"/>
      <c r="Y463" s="29"/>
      <c r="Z463" s="27"/>
      <c r="AA463" s="27"/>
      <c r="AB463" s="27"/>
      <c r="AC463" s="81"/>
      <c r="AD463" s="30"/>
      <c r="AE463" s="31">
        <f>SUMIFS(инфо!$D$15:$D$28,инфо!$A$15:$A$28,F463)</f>
        <v>0</v>
      </c>
      <c r="AF463" s="35">
        <f t="shared" si="106"/>
        <v>0</v>
      </c>
      <c r="AG463" s="33">
        <f t="shared" si="116"/>
        <v>0</v>
      </c>
      <c r="AH463" s="31">
        <f>SUMIFS(инфо!$E$15:$E$28,инфо!$A$15:$A$28,F463)</f>
        <v>0</v>
      </c>
      <c r="AI463" s="32">
        <f t="shared" si="107"/>
        <v>0</v>
      </c>
      <c r="AJ463" s="33">
        <f t="shared" si="117"/>
        <v>0</v>
      </c>
      <c r="AK463" s="31">
        <f>SUMIFS(инфо!$F$15:$F$28,инфо!$A$15:$A$28,F463)</f>
        <v>0</v>
      </c>
      <c r="AL463" s="32">
        <f t="shared" si="108"/>
        <v>0</v>
      </c>
      <c r="AM463" s="33">
        <f t="shared" si="111"/>
        <v>0</v>
      </c>
      <c r="AN463" s="31">
        <f>SUMIFS(инфо!$G$15:$G$28,инфо!$A$15:$A$28,F463)</f>
        <v>0</v>
      </c>
      <c r="AO463" s="32">
        <f t="shared" si="109"/>
        <v>0</v>
      </c>
      <c r="AP463" s="33">
        <f t="shared" si="112"/>
        <v>0</v>
      </c>
      <c r="AQ463" s="31">
        <f>SUMIFS(инфо!$H$15:$H$28,инфо!$A$15:$A$28,F463)</f>
        <v>0</v>
      </c>
      <c r="AR463" s="32">
        <f t="shared" si="110"/>
        <v>0</v>
      </c>
      <c r="AS463" s="33">
        <f t="shared" si="113"/>
        <v>0</v>
      </c>
      <c r="AT463" s="31">
        <f>SUMIFS(инфо!$I$15:$I$28,инфо!$A$15:$A$28,F463)</f>
        <v>0</v>
      </c>
      <c r="AU463" s="35">
        <f t="shared" si="118"/>
        <v>0</v>
      </c>
      <c r="AV463" s="33">
        <f t="shared" si="114"/>
        <v>0</v>
      </c>
      <c r="AX463" s="67">
        <f>SUMIFS(инфо!$C$15:$C$28,инфо!$A$15:$A$28,F463)*H462</f>
        <v>0</v>
      </c>
    </row>
    <row r="464" spans="1:50" x14ac:dyDescent="0.25">
      <c r="A464" s="70">
        <f t="shared" si="105"/>
        <v>46296</v>
      </c>
      <c r="B464" s="78"/>
      <c r="C464" s="15"/>
      <c r="D464" s="16"/>
      <c r="E464" s="83"/>
      <c r="F464" s="28"/>
      <c r="G464" s="34"/>
      <c r="H464" s="20"/>
      <c r="I464" s="118">
        <f>IFERROR(H464*VLOOKUP(F464,инфо!$A$15:$C$28,3,FALSE)/1000,0)</f>
        <v>0</v>
      </c>
      <c r="J464" s="20"/>
      <c r="K464" s="20"/>
      <c r="L464" s="20"/>
      <c r="M464" s="20"/>
      <c r="N464" s="20"/>
      <c r="O464" s="34"/>
      <c r="P464" s="34"/>
      <c r="Q464" s="34"/>
      <c r="R464" s="34"/>
      <c r="S464" s="68">
        <f t="shared" si="115"/>
        <v>0</v>
      </c>
      <c r="T464" s="15"/>
      <c r="U464" s="16"/>
      <c r="V464" s="34"/>
      <c r="W464" s="81"/>
      <c r="X464" s="34"/>
      <c r="Y464" s="15"/>
      <c r="Z464" s="34"/>
      <c r="AA464" s="34"/>
      <c r="AB464" s="34"/>
      <c r="AC464" s="81"/>
      <c r="AD464" s="16"/>
      <c r="AE464" s="24">
        <f>SUMIFS(инфо!$D$15:$D$28,инфо!$A$15:$A$28,F464)</f>
        <v>0</v>
      </c>
      <c r="AF464" s="35">
        <f t="shared" si="106"/>
        <v>0</v>
      </c>
      <c r="AG464" s="12">
        <f t="shared" si="116"/>
        <v>0</v>
      </c>
      <c r="AH464" s="24">
        <f>SUMIFS(инфо!$E$15:$E$28,инфо!$A$15:$A$28,F464)</f>
        <v>0</v>
      </c>
      <c r="AI464" s="32">
        <f t="shared" si="107"/>
        <v>0</v>
      </c>
      <c r="AJ464" s="12">
        <f t="shared" si="117"/>
        <v>0</v>
      </c>
      <c r="AK464" s="24">
        <f>SUMIFS(инфо!$F$15:$F$28,инфо!$A$15:$A$28,F464)</f>
        <v>0</v>
      </c>
      <c r="AL464" s="32">
        <f t="shared" si="108"/>
        <v>0</v>
      </c>
      <c r="AM464" s="12">
        <f t="shared" si="111"/>
        <v>0</v>
      </c>
      <c r="AN464" s="24">
        <f>SUMIFS(инфо!$G$15:$G$28,инфо!$A$15:$A$28,F464)</f>
        <v>0</v>
      </c>
      <c r="AO464" s="32">
        <f t="shared" si="109"/>
        <v>0</v>
      </c>
      <c r="AP464" s="12">
        <f t="shared" si="112"/>
        <v>0</v>
      </c>
      <c r="AQ464" s="24">
        <f>SUMIFS(инфо!$H$15:$H$28,инфо!$A$15:$A$28,F464)</f>
        <v>0</v>
      </c>
      <c r="AR464" s="35">
        <f t="shared" si="110"/>
        <v>0</v>
      </c>
      <c r="AS464" s="12">
        <f t="shared" si="113"/>
        <v>0</v>
      </c>
      <c r="AT464" s="24">
        <f>SUMIFS(инфо!$I$15:$I$28,инфо!$A$15:$A$28,F464)</f>
        <v>0</v>
      </c>
      <c r="AU464" s="35">
        <f t="shared" si="118"/>
        <v>0</v>
      </c>
      <c r="AV464" s="12">
        <f t="shared" si="114"/>
        <v>0</v>
      </c>
      <c r="AX464" s="68">
        <f>SUMIFS(инфо!$C$15:$C$28,инфо!$A$15:$A$28,F464)*H463</f>
        <v>0</v>
      </c>
    </row>
    <row r="465" spans="1:50" x14ac:dyDescent="0.25">
      <c r="A465" s="70">
        <f t="shared" si="105"/>
        <v>46296</v>
      </c>
      <c r="B465" s="78"/>
      <c r="C465" s="15"/>
      <c r="D465" s="16"/>
      <c r="E465" s="83"/>
      <c r="F465" s="28"/>
      <c r="G465" s="34"/>
      <c r="H465" s="23"/>
      <c r="I465" s="118">
        <f>IFERROR(H465*VLOOKUP(F465,инфо!$A$15:$C$28,3,FALSE)/1000,0)</f>
        <v>0</v>
      </c>
      <c r="J465" s="20"/>
      <c r="K465" s="20"/>
      <c r="L465" s="20"/>
      <c r="M465" s="20"/>
      <c r="N465" s="20"/>
      <c r="O465" s="34"/>
      <c r="P465" s="34"/>
      <c r="Q465" s="34"/>
      <c r="R465" s="34"/>
      <c r="S465" s="68">
        <f t="shared" si="115"/>
        <v>0</v>
      </c>
      <c r="T465" s="15"/>
      <c r="U465" s="16"/>
      <c r="V465" s="34"/>
      <c r="W465" s="81"/>
      <c r="X465" s="34"/>
      <c r="Y465" s="15"/>
      <c r="Z465" s="34"/>
      <c r="AA465" s="34"/>
      <c r="AB465" s="34"/>
      <c r="AC465" s="81"/>
      <c r="AD465" s="16"/>
      <c r="AE465" s="24">
        <f>SUMIFS(инфо!$D$15:$D$28,инфо!$A$15:$A$28,F465)</f>
        <v>0</v>
      </c>
      <c r="AF465" s="35">
        <f t="shared" si="106"/>
        <v>0</v>
      </c>
      <c r="AG465" s="12">
        <f t="shared" si="116"/>
        <v>0</v>
      </c>
      <c r="AH465" s="24">
        <f>SUMIFS(инфо!$E$15:$E$28,инфо!$A$15:$A$28,F465)</f>
        <v>0</v>
      </c>
      <c r="AI465" s="32">
        <f t="shared" si="107"/>
        <v>0</v>
      </c>
      <c r="AJ465" s="12">
        <f t="shared" si="117"/>
        <v>0</v>
      </c>
      <c r="AK465" s="24">
        <f>SUMIFS(инфо!$F$15:$F$28,инфо!$A$15:$A$28,F465)</f>
        <v>0</v>
      </c>
      <c r="AL465" s="32">
        <f t="shared" si="108"/>
        <v>0</v>
      </c>
      <c r="AM465" s="12">
        <f t="shared" si="111"/>
        <v>0</v>
      </c>
      <c r="AN465" s="24">
        <f>SUMIFS(инфо!$G$15:$G$28,инфо!$A$15:$A$28,F465)</f>
        <v>0</v>
      </c>
      <c r="AO465" s="32">
        <f t="shared" si="109"/>
        <v>0</v>
      </c>
      <c r="AP465" s="12">
        <f t="shared" si="112"/>
        <v>0</v>
      </c>
      <c r="AQ465" s="24">
        <f>SUMIFS(инфо!$H$15:$H$28,инфо!$A$15:$A$28,F465)</f>
        <v>0</v>
      </c>
      <c r="AR465" s="35">
        <f t="shared" si="110"/>
        <v>0</v>
      </c>
      <c r="AS465" s="12">
        <f t="shared" si="113"/>
        <v>0</v>
      </c>
      <c r="AT465" s="24">
        <f>SUMIFS(инфо!$I$15:$I$28,инфо!$A$15:$A$28,F465)</f>
        <v>0</v>
      </c>
      <c r="AU465" s="35">
        <f t="shared" si="118"/>
        <v>0</v>
      </c>
      <c r="AV465" s="12">
        <f t="shared" si="114"/>
        <v>0</v>
      </c>
      <c r="AX465" s="68">
        <f>SUMIFS(инфо!$C$15:$C$28,инфо!$A$15:$A$28,F465)*H464</f>
        <v>0</v>
      </c>
    </row>
    <row r="466" spans="1:50" x14ac:dyDescent="0.25">
      <c r="A466" s="70">
        <f t="shared" si="105"/>
        <v>46297</v>
      </c>
      <c r="B466" s="78"/>
      <c r="C466" s="17"/>
      <c r="D466" s="18"/>
      <c r="E466" s="83"/>
      <c r="F466" s="28"/>
      <c r="G466" s="19"/>
      <c r="H466" s="28"/>
      <c r="I466" s="118">
        <f>IFERROR(H466*VLOOKUP(F466,инфо!$A$15:$C$28,3,FALSE)/1000,0)</f>
        <v>0</v>
      </c>
      <c r="J466" s="20"/>
      <c r="K466" s="20"/>
      <c r="L466" s="20"/>
      <c r="M466" s="20"/>
      <c r="N466" s="23"/>
      <c r="O466" s="19"/>
      <c r="P466" s="19"/>
      <c r="Q466" s="19"/>
      <c r="R466" s="19"/>
      <c r="S466" s="69">
        <f t="shared" si="115"/>
        <v>0</v>
      </c>
      <c r="T466" s="17"/>
      <c r="U466" s="18"/>
      <c r="V466" s="19"/>
      <c r="W466" s="81"/>
      <c r="X466" s="19"/>
      <c r="Y466" s="17"/>
      <c r="Z466" s="19"/>
      <c r="AA466" s="19"/>
      <c r="AB466" s="19"/>
      <c r="AC466" s="81"/>
      <c r="AD466" s="18"/>
      <c r="AE466" s="25">
        <f>SUMIFS(инфо!$D$15:$D$28,инфо!$A$15:$A$28,F466)</f>
        <v>0</v>
      </c>
      <c r="AF466" s="35">
        <f t="shared" si="106"/>
        <v>0</v>
      </c>
      <c r="AG466" s="14">
        <f t="shared" si="116"/>
        <v>0</v>
      </c>
      <c r="AH466" s="25">
        <f>SUMIFS(инфо!$E$15:$E$28,инфо!$A$15:$A$28,F466)</f>
        <v>0</v>
      </c>
      <c r="AI466" s="32">
        <f t="shared" si="107"/>
        <v>0</v>
      </c>
      <c r="AJ466" s="14">
        <f t="shared" si="117"/>
        <v>0</v>
      </c>
      <c r="AK466" s="25">
        <f>SUMIFS(инфо!$F$15:$F$28,инфо!$A$15:$A$28,F466)</f>
        <v>0</v>
      </c>
      <c r="AL466" s="32">
        <f t="shared" si="108"/>
        <v>0</v>
      </c>
      <c r="AM466" s="14">
        <f t="shared" si="111"/>
        <v>0</v>
      </c>
      <c r="AN466" s="25">
        <f>SUMIFS(инфо!$G$15:$G$28,инфо!$A$15:$A$28,F466)</f>
        <v>0</v>
      </c>
      <c r="AO466" s="32">
        <f t="shared" si="109"/>
        <v>0</v>
      </c>
      <c r="AP466" s="14">
        <f t="shared" si="112"/>
        <v>0</v>
      </c>
      <c r="AQ466" s="25">
        <f>SUMIFS(инфо!$H$15:$H$28,инфо!$A$15:$A$28,F466)</f>
        <v>0</v>
      </c>
      <c r="AR466" s="26">
        <f t="shared" si="110"/>
        <v>0</v>
      </c>
      <c r="AS466" s="14">
        <f t="shared" si="113"/>
        <v>0</v>
      </c>
      <c r="AT466" s="25">
        <f>SUMIFS(инфо!$I$15:$I$28,инфо!$A$15:$A$28,F466)</f>
        <v>0</v>
      </c>
      <c r="AU466" s="35">
        <f t="shared" si="118"/>
        <v>0</v>
      </c>
      <c r="AV466" s="14">
        <f t="shared" si="114"/>
        <v>0</v>
      </c>
      <c r="AX466" s="69">
        <f>SUMIFS(инфо!$C$15:$C$28,инфо!$A$15:$A$28,F466)*H465</f>
        <v>0</v>
      </c>
    </row>
    <row r="467" spans="1:50" x14ac:dyDescent="0.25">
      <c r="A467" s="70">
        <f t="shared" si="105"/>
        <v>46297</v>
      </c>
      <c r="B467" s="78"/>
      <c r="C467" s="29"/>
      <c r="D467" s="30"/>
      <c r="E467" s="83"/>
      <c r="F467" s="28"/>
      <c r="G467" s="27"/>
      <c r="H467" s="20"/>
      <c r="I467" s="118">
        <f>IFERROR(H467*VLOOKUP(F467,инфо!$A$15:$C$28,3,FALSE)/1000,0)</f>
        <v>0</v>
      </c>
      <c r="J467" s="20"/>
      <c r="K467" s="20"/>
      <c r="L467" s="20"/>
      <c r="M467" s="20"/>
      <c r="N467" s="28"/>
      <c r="O467" s="27"/>
      <c r="P467" s="27"/>
      <c r="Q467" s="27"/>
      <c r="R467" s="27"/>
      <c r="S467" s="67">
        <f t="shared" si="115"/>
        <v>0</v>
      </c>
      <c r="T467" s="29"/>
      <c r="U467" s="30"/>
      <c r="V467" s="27"/>
      <c r="W467" s="81"/>
      <c r="X467" s="27"/>
      <c r="Y467" s="29"/>
      <c r="Z467" s="27"/>
      <c r="AA467" s="27"/>
      <c r="AB467" s="27"/>
      <c r="AC467" s="81"/>
      <c r="AD467" s="30"/>
      <c r="AE467" s="31">
        <f>SUMIFS(инфо!$D$15:$D$28,инфо!$A$15:$A$28,F467)</f>
        <v>0</v>
      </c>
      <c r="AF467" s="35">
        <f t="shared" si="106"/>
        <v>0</v>
      </c>
      <c r="AG467" s="33">
        <f t="shared" si="116"/>
        <v>0</v>
      </c>
      <c r="AH467" s="31">
        <f>SUMIFS(инфо!$E$15:$E$28,инфо!$A$15:$A$28,F467)</f>
        <v>0</v>
      </c>
      <c r="AI467" s="32">
        <f t="shared" si="107"/>
        <v>0</v>
      </c>
      <c r="AJ467" s="33">
        <f t="shared" si="117"/>
        <v>0</v>
      </c>
      <c r="AK467" s="31">
        <f>SUMIFS(инфо!$F$15:$F$28,инфо!$A$15:$A$28,F467)</f>
        <v>0</v>
      </c>
      <c r="AL467" s="32">
        <f t="shared" si="108"/>
        <v>0</v>
      </c>
      <c r="AM467" s="33">
        <f t="shared" si="111"/>
        <v>0</v>
      </c>
      <c r="AN467" s="31">
        <f>SUMIFS(инфо!$G$15:$G$28,инфо!$A$15:$A$28,F467)</f>
        <v>0</v>
      </c>
      <c r="AO467" s="32">
        <f t="shared" si="109"/>
        <v>0</v>
      </c>
      <c r="AP467" s="33">
        <f t="shared" si="112"/>
        <v>0</v>
      </c>
      <c r="AQ467" s="31">
        <f>SUMIFS(инфо!$H$15:$H$28,инфо!$A$15:$A$28,F467)</f>
        <v>0</v>
      </c>
      <c r="AR467" s="32">
        <f t="shared" si="110"/>
        <v>0</v>
      </c>
      <c r="AS467" s="33">
        <f t="shared" si="113"/>
        <v>0</v>
      </c>
      <c r="AT467" s="31">
        <f>SUMIFS(инфо!$I$15:$I$28,инфо!$A$15:$A$28,F467)</f>
        <v>0</v>
      </c>
      <c r="AU467" s="35">
        <f t="shared" si="118"/>
        <v>0</v>
      </c>
      <c r="AV467" s="33">
        <f t="shared" si="114"/>
        <v>0</v>
      </c>
      <c r="AX467" s="67">
        <f>SUMIFS(инфо!$C$15:$C$28,инфо!$A$15:$A$28,F467)*H466</f>
        <v>0</v>
      </c>
    </row>
    <row r="468" spans="1:50" x14ac:dyDescent="0.25">
      <c r="A468" s="70">
        <f t="shared" si="105"/>
        <v>46298</v>
      </c>
      <c r="B468" s="78"/>
      <c r="C468" s="15"/>
      <c r="D468" s="16"/>
      <c r="E468" s="83"/>
      <c r="F468" s="28"/>
      <c r="G468" s="34"/>
      <c r="H468" s="20"/>
      <c r="I468" s="118">
        <f>IFERROR(H468*VLOOKUP(F468,инфо!$A$15:$C$28,3,FALSE)/1000,0)</f>
        <v>0</v>
      </c>
      <c r="J468" s="20"/>
      <c r="K468" s="20"/>
      <c r="L468" s="20"/>
      <c r="M468" s="20"/>
      <c r="N468" s="20"/>
      <c r="O468" s="34"/>
      <c r="P468" s="34"/>
      <c r="Q468" s="34"/>
      <c r="R468" s="34"/>
      <c r="S468" s="68">
        <f t="shared" si="115"/>
        <v>0</v>
      </c>
      <c r="T468" s="15"/>
      <c r="U468" s="16"/>
      <c r="V468" s="34"/>
      <c r="W468" s="81"/>
      <c r="X468" s="34"/>
      <c r="Y468" s="15"/>
      <c r="Z468" s="34"/>
      <c r="AA468" s="34"/>
      <c r="AB468" s="34"/>
      <c r="AC468" s="81"/>
      <c r="AD468" s="16"/>
      <c r="AE468" s="24">
        <f>SUMIFS(инфо!$D$15:$D$28,инфо!$A$15:$A$28,F468)</f>
        <v>0</v>
      </c>
      <c r="AF468" s="35">
        <f t="shared" si="106"/>
        <v>0</v>
      </c>
      <c r="AG468" s="12">
        <f t="shared" si="116"/>
        <v>0</v>
      </c>
      <c r="AH468" s="24">
        <f>SUMIFS(инфо!$E$15:$E$28,инфо!$A$15:$A$28,F468)</f>
        <v>0</v>
      </c>
      <c r="AI468" s="32">
        <f t="shared" si="107"/>
        <v>0</v>
      </c>
      <c r="AJ468" s="12">
        <f t="shared" si="117"/>
        <v>0</v>
      </c>
      <c r="AK468" s="24">
        <f>SUMIFS(инфо!$F$15:$F$28,инфо!$A$15:$A$28,F468)</f>
        <v>0</v>
      </c>
      <c r="AL468" s="32">
        <f t="shared" si="108"/>
        <v>0</v>
      </c>
      <c r="AM468" s="12">
        <f t="shared" si="111"/>
        <v>0</v>
      </c>
      <c r="AN468" s="24">
        <f>SUMIFS(инфо!$G$15:$G$28,инфо!$A$15:$A$28,F468)</f>
        <v>0</v>
      </c>
      <c r="AO468" s="32">
        <f t="shared" si="109"/>
        <v>0</v>
      </c>
      <c r="AP468" s="12">
        <f t="shared" si="112"/>
        <v>0</v>
      </c>
      <c r="AQ468" s="24">
        <f>SUMIFS(инфо!$H$15:$H$28,инфо!$A$15:$A$28,F468)</f>
        <v>0</v>
      </c>
      <c r="AR468" s="35">
        <f t="shared" si="110"/>
        <v>0</v>
      </c>
      <c r="AS468" s="12">
        <f t="shared" si="113"/>
        <v>0</v>
      </c>
      <c r="AT468" s="24">
        <f>SUMIFS(инфо!$I$15:$I$28,инфо!$A$15:$A$28,F468)</f>
        <v>0</v>
      </c>
      <c r="AU468" s="35">
        <f t="shared" si="118"/>
        <v>0</v>
      </c>
      <c r="AV468" s="12">
        <f t="shared" si="114"/>
        <v>0</v>
      </c>
      <c r="AX468" s="68">
        <f>SUMIFS(инфо!$C$15:$C$28,инфо!$A$15:$A$28,F468)*H467</f>
        <v>0</v>
      </c>
    </row>
    <row r="469" spans="1:50" x14ac:dyDescent="0.25">
      <c r="A469" s="70">
        <f t="shared" si="105"/>
        <v>46298</v>
      </c>
      <c r="B469" s="78"/>
      <c r="C469" s="15"/>
      <c r="D469" s="16"/>
      <c r="E469" s="83"/>
      <c r="F469" s="28"/>
      <c r="G469" s="34"/>
      <c r="H469" s="23"/>
      <c r="I469" s="118">
        <f>IFERROR(H469*VLOOKUP(F469,инфо!$A$15:$C$28,3,FALSE)/1000,0)</f>
        <v>0</v>
      </c>
      <c r="J469" s="20"/>
      <c r="K469" s="20"/>
      <c r="L469" s="20"/>
      <c r="M469" s="20"/>
      <c r="N469" s="20"/>
      <c r="O469" s="34"/>
      <c r="P469" s="34"/>
      <c r="Q469" s="34"/>
      <c r="R469" s="34"/>
      <c r="S469" s="68">
        <f t="shared" si="115"/>
        <v>0</v>
      </c>
      <c r="T469" s="15"/>
      <c r="U469" s="16"/>
      <c r="V469" s="34"/>
      <c r="W469" s="81"/>
      <c r="X469" s="34"/>
      <c r="Y469" s="15"/>
      <c r="Z469" s="34"/>
      <c r="AA469" s="34"/>
      <c r="AB469" s="34"/>
      <c r="AC469" s="81"/>
      <c r="AD469" s="16"/>
      <c r="AE469" s="24">
        <f>SUMIFS(инфо!$D$15:$D$28,инфо!$A$15:$A$28,F469)</f>
        <v>0</v>
      </c>
      <c r="AF469" s="35">
        <f t="shared" si="106"/>
        <v>0</v>
      </c>
      <c r="AG469" s="12">
        <f t="shared" si="116"/>
        <v>0</v>
      </c>
      <c r="AH469" s="24">
        <f>SUMIFS(инфо!$E$15:$E$28,инфо!$A$15:$A$28,F469)</f>
        <v>0</v>
      </c>
      <c r="AI469" s="32">
        <f t="shared" si="107"/>
        <v>0</v>
      </c>
      <c r="AJ469" s="12">
        <f t="shared" si="117"/>
        <v>0</v>
      </c>
      <c r="AK469" s="24">
        <f>SUMIFS(инфо!$F$15:$F$28,инфо!$A$15:$A$28,F469)</f>
        <v>0</v>
      </c>
      <c r="AL469" s="32">
        <f t="shared" si="108"/>
        <v>0</v>
      </c>
      <c r="AM469" s="12">
        <f t="shared" si="111"/>
        <v>0</v>
      </c>
      <c r="AN469" s="24">
        <f>SUMIFS(инфо!$G$15:$G$28,инфо!$A$15:$A$28,F469)</f>
        <v>0</v>
      </c>
      <c r="AO469" s="32">
        <f t="shared" si="109"/>
        <v>0</v>
      </c>
      <c r="AP469" s="12">
        <f t="shared" si="112"/>
        <v>0</v>
      </c>
      <c r="AQ469" s="24">
        <f>SUMIFS(инфо!$H$15:$H$28,инфо!$A$15:$A$28,F469)</f>
        <v>0</v>
      </c>
      <c r="AR469" s="35">
        <f t="shared" si="110"/>
        <v>0</v>
      </c>
      <c r="AS469" s="12">
        <f t="shared" si="113"/>
        <v>0</v>
      </c>
      <c r="AT469" s="24">
        <f>SUMIFS(инфо!$I$15:$I$28,инфо!$A$15:$A$28,F469)</f>
        <v>0</v>
      </c>
      <c r="AU469" s="35">
        <f t="shared" si="118"/>
        <v>0</v>
      </c>
      <c r="AV469" s="12">
        <f t="shared" si="114"/>
        <v>0</v>
      </c>
      <c r="AX469" s="68">
        <f>SUMIFS(инфо!$C$15:$C$28,инфо!$A$15:$A$28,F469)*H468</f>
        <v>0</v>
      </c>
    </row>
    <row r="470" spans="1:50" x14ac:dyDescent="0.25">
      <c r="A470" s="70">
        <f t="shared" si="105"/>
        <v>46299</v>
      </c>
      <c r="B470" s="78"/>
      <c r="C470" s="17"/>
      <c r="D470" s="18"/>
      <c r="E470" s="83"/>
      <c r="F470" s="28"/>
      <c r="G470" s="19"/>
      <c r="H470" s="28"/>
      <c r="I470" s="118">
        <f>IFERROR(H470*VLOOKUP(F470,инфо!$A$15:$C$28,3,FALSE)/1000,0)</f>
        <v>0</v>
      </c>
      <c r="J470" s="20"/>
      <c r="K470" s="20"/>
      <c r="L470" s="20"/>
      <c r="M470" s="20"/>
      <c r="N470" s="23"/>
      <c r="O470" s="19"/>
      <c r="P470" s="19"/>
      <c r="Q470" s="19"/>
      <c r="R470" s="19"/>
      <c r="S470" s="69">
        <f t="shared" si="115"/>
        <v>0</v>
      </c>
      <c r="T470" s="17"/>
      <c r="U470" s="18"/>
      <c r="V470" s="19"/>
      <c r="W470" s="81"/>
      <c r="X470" s="19"/>
      <c r="Y470" s="17"/>
      <c r="Z470" s="19"/>
      <c r="AA470" s="19"/>
      <c r="AB470" s="19"/>
      <c r="AC470" s="81"/>
      <c r="AD470" s="18"/>
      <c r="AE470" s="25">
        <f>SUMIFS(инфо!$D$15:$D$28,инфо!$A$15:$A$28,F470)</f>
        <v>0</v>
      </c>
      <c r="AF470" s="35">
        <f t="shared" si="106"/>
        <v>0</v>
      </c>
      <c r="AG470" s="14">
        <f t="shared" si="116"/>
        <v>0</v>
      </c>
      <c r="AH470" s="25">
        <f>SUMIFS(инфо!$E$15:$E$28,инфо!$A$15:$A$28,F470)</f>
        <v>0</v>
      </c>
      <c r="AI470" s="32">
        <f t="shared" si="107"/>
        <v>0</v>
      </c>
      <c r="AJ470" s="14">
        <f t="shared" si="117"/>
        <v>0</v>
      </c>
      <c r="AK470" s="25">
        <f>SUMIFS(инфо!$F$15:$F$28,инфо!$A$15:$A$28,F470)</f>
        <v>0</v>
      </c>
      <c r="AL470" s="32">
        <f t="shared" si="108"/>
        <v>0</v>
      </c>
      <c r="AM470" s="14">
        <f t="shared" si="111"/>
        <v>0</v>
      </c>
      <c r="AN470" s="25">
        <f>SUMIFS(инфо!$G$15:$G$28,инфо!$A$15:$A$28,F470)</f>
        <v>0</v>
      </c>
      <c r="AO470" s="32">
        <f t="shared" si="109"/>
        <v>0</v>
      </c>
      <c r="AP470" s="14">
        <f t="shared" si="112"/>
        <v>0</v>
      </c>
      <c r="AQ470" s="25">
        <f>SUMIFS(инфо!$H$15:$H$28,инфо!$A$15:$A$28,F470)</f>
        <v>0</v>
      </c>
      <c r="AR470" s="26">
        <f t="shared" si="110"/>
        <v>0</v>
      </c>
      <c r="AS470" s="14">
        <f t="shared" si="113"/>
        <v>0</v>
      </c>
      <c r="AT470" s="25">
        <f>SUMIFS(инфо!$I$15:$I$28,инфо!$A$15:$A$28,F470)</f>
        <v>0</v>
      </c>
      <c r="AU470" s="35">
        <f t="shared" si="118"/>
        <v>0</v>
      </c>
      <c r="AV470" s="14">
        <f t="shared" si="114"/>
        <v>0</v>
      </c>
      <c r="AX470" s="69">
        <f>SUMIFS(инфо!$C$15:$C$28,инфо!$A$15:$A$28,F470)*H469</f>
        <v>0</v>
      </c>
    </row>
    <row r="471" spans="1:50" x14ac:dyDescent="0.25">
      <c r="A471" s="70">
        <f t="shared" si="105"/>
        <v>46299</v>
      </c>
      <c r="B471" s="78"/>
      <c r="C471" s="29"/>
      <c r="D471" s="30"/>
      <c r="E471" s="83"/>
      <c r="F471" s="28"/>
      <c r="G471" s="27"/>
      <c r="H471" s="20"/>
      <c r="I471" s="118">
        <f>IFERROR(H471*VLOOKUP(F471,инфо!$A$15:$C$28,3,FALSE)/1000,0)</f>
        <v>0</v>
      </c>
      <c r="J471" s="20"/>
      <c r="K471" s="20"/>
      <c r="L471" s="20"/>
      <c r="M471" s="20"/>
      <c r="N471" s="28"/>
      <c r="O471" s="27"/>
      <c r="P471" s="27"/>
      <c r="Q471" s="27"/>
      <c r="R471" s="27"/>
      <c r="S471" s="67">
        <f t="shared" si="115"/>
        <v>0</v>
      </c>
      <c r="T471" s="29"/>
      <c r="U471" s="30"/>
      <c r="V471" s="27"/>
      <c r="W471" s="81"/>
      <c r="X471" s="27"/>
      <c r="Y471" s="29"/>
      <c r="Z471" s="27"/>
      <c r="AA471" s="27"/>
      <c r="AB471" s="27"/>
      <c r="AC471" s="81"/>
      <c r="AD471" s="30"/>
      <c r="AE471" s="31">
        <f>SUMIFS(инфо!$D$15:$D$28,инфо!$A$15:$A$28,F471)</f>
        <v>0</v>
      </c>
      <c r="AF471" s="35">
        <f t="shared" si="106"/>
        <v>0</v>
      </c>
      <c r="AG471" s="33">
        <f t="shared" si="116"/>
        <v>0</v>
      </c>
      <c r="AH471" s="31">
        <f>SUMIFS(инфо!$E$15:$E$28,инфо!$A$15:$A$28,F471)</f>
        <v>0</v>
      </c>
      <c r="AI471" s="32">
        <f t="shared" si="107"/>
        <v>0</v>
      </c>
      <c r="AJ471" s="33">
        <f t="shared" si="117"/>
        <v>0</v>
      </c>
      <c r="AK471" s="31">
        <f>SUMIFS(инфо!$F$15:$F$28,инфо!$A$15:$A$28,F471)</f>
        <v>0</v>
      </c>
      <c r="AL471" s="32">
        <f t="shared" si="108"/>
        <v>0</v>
      </c>
      <c r="AM471" s="33">
        <f t="shared" si="111"/>
        <v>0</v>
      </c>
      <c r="AN471" s="31">
        <f>SUMIFS(инфо!$G$15:$G$28,инфо!$A$15:$A$28,F471)</f>
        <v>0</v>
      </c>
      <c r="AO471" s="32">
        <f t="shared" si="109"/>
        <v>0</v>
      </c>
      <c r="AP471" s="33">
        <f t="shared" si="112"/>
        <v>0</v>
      </c>
      <c r="AQ471" s="31">
        <f>SUMIFS(инфо!$H$15:$H$28,инфо!$A$15:$A$28,F471)</f>
        <v>0</v>
      </c>
      <c r="AR471" s="32">
        <f t="shared" si="110"/>
        <v>0</v>
      </c>
      <c r="AS471" s="33">
        <f t="shared" si="113"/>
        <v>0</v>
      </c>
      <c r="AT471" s="31">
        <f>SUMIFS(инфо!$I$15:$I$28,инфо!$A$15:$A$28,F471)</f>
        <v>0</v>
      </c>
      <c r="AU471" s="35">
        <f t="shared" si="118"/>
        <v>0</v>
      </c>
      <c r="AV471" s="33">
        <f t="shared" si="114"/>
        <v>0</v>
      </c>
      <c r="AX471" s="67">
        <f>SUMIFS(инфо!$C$15:$C$28,инфо!$A$15:$A$28,F471)*H470</f>
        <v>0</v>
      </c>
    </row>
    <row r="472" spans="1:50" x14ac:dyDescent="0.25">
      <c r="A472" s="70">
        <f t="shared" si="105"/>
        <v>46300</v>
      </c>
      <c r="B472" s="78"/>
      <c r="C472" s="15"/>
      <c r="D472" s="16"/>
      <c r="E472" s="83"/>
      <c r="F472" s="28"/>
      <c r="G472" s="34"/>
      <c r="H472" s="20"/>
      <c r="I472" s="118">
        <f>IFERROR(H472*VLOOKUP(F472,инфо!$A$15:$C$28,3,FALSE)/1000,0)</f>
        <v>0</v>
      </c>
      <c r="J472" s="20"/>
      <c r="K472" s="20"/>
      <c r="L472" s="20"/>
      <c r="M472" s="20"/>
      <c r="N472" s="20"/>
      <c r="O472" s="34"/>
      <c r="P472" s="34"/>
      <c r="Q472" s="34"/>
      <c r="R472" s="34"/>
      <c r="S472" s="68">
        <f t="shared" si="115"/>
        <v>0</v>
      </c>
      <c r="T472" s="15"/>
      <c r="U472" s="16"/>
      <c r="V472" s="34"/>
      <c r="W472" s="81"/>
      <c r="X472" s="34"/>
      <c r="Y472" s="15"/>
      <c r="Z472" s="34"/>
      <c r="AA472" s="34"/>
      <c r="AB472" s="34"/>
      <c r="AC472" s="81"/>
      <c r="AD472" s="16"/>
      <c r="AE472" s="24">
        <f>SUMIFS(инфо!$D$15:$D$28,инфо!$A$15:$A$28,F472)</f>
        <v>0</v>
      </c>
      <c r="AF472" s="35">
        <f t="shared" si="106"/>
        <v>0</v>
      </c>
      <c r="AG472" s="12">
        <f t="shared" si="116"/>
        <v>0</v>
      </c>
      <c r="AH472" s="24">
        <f>SUMIFS(инфо!$E$15:$E$28,инфо!$A$15:$A$28,F472)</f>
        <v>0</v>
      </c>
      <c r="AI472" s="32">
        <f t="shared" si="107"/>
        <v>0</v>
      </c>
      <c r="AJ472" s="12">
        <f t="shared" si="117"/>
        <v>0</v>
      </c>
      <c r="AK472" s="24">
        <f>SUMIFS(инфо!$F$15:$F$28,инфо!$A$15:$A$28,F472)</f>
        <v>0</v>
      </c>
      <c r="AL472" s="32">
        <f t="shared" si="108"/>
        <v>0</v>
      </c>
      <c r="AM472" s="12">
        <f t="shared" si="111"/>
        <v>0</v>
      </c>
      <c r="AN472" s="24">
        <f>SUMIFS(инфо!$G$15:$G$28,инфо!$A$15:$A$28,F472)</f>
        <v>0</v>
      </c>
      <c r="AO472" s="32">
        <f t="shared" si="109"/>
        <v>0</v>
      </c>
      <c r="AP472" s="12">
        <f t="shared" si="112"/>
        <v>0</v>
      </c>
      <c r="AQ472" s="24">
        <f>SUMIFS(инфо!$H$15:$H$28,инфо!$A$15:$A$28,F472)</f>
        <v>0</v>
      </c>
      <c r="AR472" s="35">
        <f t="shared" si="110"/>
        <v>0</v>
      </c>
      <c r="AS472" s="12">
        <f t="shared" si="113"/>
        <v>0</v>
      </c>
      <c r="AT472" s="24">
        <f>SUMIFS(инфо!$I$15:$I$28,инфо!$A$15:$A$28,F472)</f>
        <v>0</v>
      </c>
      <c r="AU472" s="35">
        <f t="shared" si="118"/>
        <v>0</v>
      </c>
      <c r="AV472" s="12">
        <f t="shared" si="114"/>
        <v>0</v>
      </c>
      <c r="AX472" s="68">
        <f>SUMIFS(инфо!$C$15:$C$28,инфо!$A$15:$A$28,F472)*H471</f>
        <v>0</v>
      </c>
    </row>
    <row r="473" spans="1:50" x14ac:dyDescent="0.25">
      <c r="A473" s="70">
        <f t="shared" si="105"/>
        <v>46300</v>
      </c>
      <c r="B473" s="78"/>
      <c r="C473" s="15"/>
      <c r="D473" s="16"/>
      <c r="E473" s="83"/>
      <c r="F473" s="28"/>
      <c r="G473" s="34"/>
      <c r="H473" s="23"/>
      <c r="I473" s="118">
        <f>IFERROR(H473*VLOOKUP(F473,инфо!$A$15:$C$28,3,FALSE)/1000,0)</f>
        <v>0</v>
      </c>
      <c r="J473" s="20"/>
      <c r="K473" s="20"/>
      <c r="L473" s="20"/>
      <c r="M473" s="20"/>
      <c r="N473" s="20"/>
      <c r="O473" s="34"/>
      <c r="P473" s="34"/>
      <c r="Q473" s="34"/>
      <c r="R473" s="34"/>
      <c r="S473" s="68">
        <f t="shared" si="115"/>
        <v>0</v>
      </c>
      <c r="T473" s="15"/>
      <c r="U473" s="16"/>
      <c r="V473" s="34"/>
      <c r="W473" s="81"/>
      <c r="X473" s="34"/>
      <c r="Y473" s="15"/>
      <c r="Z473" s="34"/>
      <c r="AA473" s="34"/>
      <c r="AB473" s="34"/>
      <c r="AC473" s="81"/>
      <c r="AD473" s="16"/>
      <c r="AE473" s="24">
        <f>SUMIFS(инфо!$D$15:$D$28,инфо!$A$15:$A$28,F473)</f>
        <v>0</v>
      </c>
      <c r="AF473" s="35">
        <f t="shared" si="106"/>
        <v>0</v>
      </c>
      <c r="AG473" s="12">
        <f t="shared" si="116"/>
        <v>0</v>
      </c>
      <c r="AH473" s="24">
        <f>SUMIFS(инфо!$E$15:$E$28,инфо!$A$15:$A$28,F473)</f>
        <v>0</v>
      </c>
      <c r="AI473" s="32">
        <f t="shared" si="107"/>
        <v>0</v>
      </c>
      <c r="AJ473" s="12">
        <f t="shared" si="117"/>
        <v>0</v>
      </c>
      <c r="AK473" s="24">
        <f>SUMIFS(инфо!$F$15:$F$28,инфо!$A$15:$A$28,F473)</f>
        <v>0</v>
      </c>
      <c r="AL473" s="32">
        <f t="shared" si="108"/>
        <v>0</v>
      </c>
      <c r="AM473" s="12">
        <f t="shared" si="111"/>
        <v>0</v>
      </c>
      <c r="AN473" s="24">
        <f>SUMIFS(инфо!$G$15:$G$28,инфо!$A$15:$A$28,F473)</f>
        <v>0</v>
      </c>
      <c r="AO473" s="32">
        <f t="shared" si="109"/>
        <v>0</v>
      </c>
      <c r="AP473" s="12">
        <f t="shared" si="112"/>
        <v>0</v>
      </c>
      <c r="AQ473" s="24">
        <f>SUMIFS(инфо!$H$15:$H$28,инфо!$A$15:$A$28,F473)</f>
        <v>0</v>
      </c>
      <c r="AR473" s="35">
        <f t="shared" si="110"/>
        <v>0</v>
      </c>
      <c r="AS473" s="12">
        <f t="shared" si="113"/>
        <v>0</v>
      </c>
      <c r="AT473" s="24">
        <f>SUMIFS(инфо!$I$15:$I$28,инфо!$A$15:$A$28,F473)</f>
        <v>0</v>
      </c>
      <c r="AU473" s="35">
        <f t="shared" si="118"/>
        <v>0</v>
      </c>
      <c r="AV473" s="12">
        <f t="shared" si="114"/>
        <v>0</v>
      </c>
      <c r="AX473" s="68">
        <f>SUMIFS(инфо!$C$15:$C$28,инфо!$A$15:$A$28,F473)*H472</f>
        <v>0</v>
      </c>
    </row>
    <row r="474" spans="1:50" x14ac:dyDescent="0.25">
      <c r="A474" s="70">
        <f t="shared" si="105"/>
        <v>46301</v>
      </c>
      <c r="B474" s="78"/>
      <c r="C474" s="17"/>
      <c r="D474" s="18"/>
      <c r="E474" s="83"/>
      <c r="F474" s="28"/>
      <c r="G474" s="19"/>
      <c r="H474" s="28"/>
      <c r="I474" s="118">
        <f>IFERROR(H474*VLOOKUP(F474,инфо!$A$15:$C$28,3,FALSE)/1000,0)</f>
        <v>0</v>
      </c>
      <c r="J474" s="20"/>
      <c r="K474" s="20"/>
      <c r="L474" s="20"/>
      <c r="M474" s="20"/>
      <c r="N474" s="23"/>
      <c r="O474" s="19"/>
      <c r="P474" s="19"/>
      <c r="Q474" s="19"/>
      <c r="R474" s="19"/>
      <c r="S474" s="69">
        <f t="shared" si="115"/>
        <v>0</v>
      </c>
      <c r="T474" s="17"/>
      <c r="U474" s="18"/>
      <c r="V474" s="19"/>
      <c r="W474" s="81"/>
      <c r="X474" s="19"/>
      <c r="Y474" s="17"/>
      <c r="Z474" s="19"/>
      <c r="AA474" s="19"/>
      <c r="AB474" s="19"/>
      <c r="AC474" s="81"/>
      <c r="AD474" s="18"/>
      <c r="AE474" s="25">
        <f>SUMIFS(инфо!$D$15:$D$28,инфо!$A$15:$A$28,F474)</f>
        <v>0</v>
      </c>
      <c r="AF474" s="35">
        <f t="shared" si="106"/>
        <v>0</v>
      </c>
      <c r="AG474" s="14">
        <f t="shared" si="116"/>
        <v>0</v>
      </c>
      <c r="AH474" s="25">
        <f>SUMIFS(инфо!$E$15:$E$28,инфо!$A$15:$A$28,F474)</f>
        <v>0</v>
      </c>
      <c r="AI474" s="32">
        <f t="shared" si="107"/>
        <v>0</v>
      </c>
      <c r="AJ474" s="14">
        <f t="shared" si="117"/>
        <v>0</v>
      </c>
      <c r="AK474" s="25">
        <f>SUMIFS(инфо!$F$15:$F$28,инфо!$A$15:$A$28,F474)</f>
        <v>0</v>
      </c>
      <c r="AL474" s="32">
        <f t="shared" si="108"/>
        <v>0</v>
      </c>
      <c r="AM474" s="14">
        <f t="shared" si="111"/>
        <v>0</v>
      </c>
      <c r="AN474" s="25">
        <f>SUMIFS(инфо!$G$15:$G$28,инфо!$A$15:$A$28,F474)</f>
        <v>0</v>
      </c>
      <c r="AO474" s="32">
        <f t="shared" si="109"/>
        <v>0</v>
      </c>
      <c r="AP474" s="14">
        <f t="shared" si="112"/>
        <v>0</v>
      </c>
      <c r="AQ474" s="25">
        <f>SUMIFS(инфо!$H$15:$H$28,инфо!$A$15:$A$28,F474)</f>
        <v>0</v>
      </c>
      <c r="AR474" s="26">
        <f t="shared" si="110"/>
        <v>0</v>
      </c>
      <c r="AS474" s="14">
        <f t="shared" si="113"/>
        <v>0</v>
      </c>
      <c r="AT474" s="25">
        <f>SUMIFS(инфо!$I$15:$I$28,инфо!$A$15:$A$28,F474)</f>
        <v>0</v>
      </c>
      <c r="AU474" s="35">
        <f t="shared" si="118"/>
        <v>0</v>
      </c>
      <c r="AV474" s="14">
        <f t="shared" si="114"/>
        <v>0</v>
      </c>
      <c r="AX474" s="69">
        <f>SUMIFS(инфо!$C$15:$C$28,инфо!$A$15:$A$28,F474)*H473</f>
        <v>0</v>
      </c>
    </row>
    <row r="475" spans="1:50" x14ac:dyDescent="0.25">
      <c r="A475" s="70">
        <f t="shared" si="105"/>
        <v>46301</v>
      </c>
      <c r="B475" s="78"/>
      <c r="C475" s="29"/>
      <c r="D475" s="30"/>
      <c r="E475" s="83"/>
      <c r="F475" s="28"/>
      <c r="G475" s="27"/>
      <c r="H475" s="20"/>
      <c r="I475" s="118">
        <f>IFERROR(H475*VLOOKUP(F475,инфо!$A$15:$C$28,3,FALSE)/1000,0)</f>
        <v>0</v>
      </c>
      <c r="J475" s="20"/>
      <c r="K475" s="20"/>
      <c r="L475" s="20"/>
      <c r="M475" s="20"/>
      <c r="N475" s="28"/>
      <c r="O475" s="27"/>
      <c r="P475" s="27"/>
      <c r="Q475" s="27"/>
      <c r="R475" s="27"/>
      <c r="S475" s="67">
        <f t="shared" si="115"/>
        <v>0</v>
      </c>
      <c r="T475" s="29"/>
      <c r="U475" s="30"/>
      <c r="V475" s="27"/>
      <c r="W475" s="81"/>
      <c r="X475" s="27"/>
      <c r="Y475" s="29"/>
      <c r="Z475" s="27"/>
      <c r="AA475" s="27"/>
      <c r="AB475" s="27"/>
      <c r="AC475" s="81"/>
      <c r="AD475" s="30"/>
      <c r="AE475" s="31">
        <f>SUMIFS(инфо!$D$15:$D$28,инфо!$A$15:$A$28,F475)</f>
        <v>0</v>
      </c>
      <c r="AF475" s="35">
        <f t="shared" si="106"/>
        <v>0</v>
      </c>
      <c r="AG475" s="33">
        <f t="shared" si="116"/>
        <v>0</v>
      </c>
      <c r="AH475" s="31">
        <f>SUMIFS(инфо!$E$15:$E$28,инфо!$A$15:$A$28,F475)</f>
        <v>0</v>
      </c>
      <c r="AI475" s="32">
        <f t="shared" si="107"/>
        <v>0</v>
      </c>
      <c r="AJ475" s="33">
        <f t="shared" si="117"/>
        <v>0</v>
      </c>
      <c r="AK475" s="31">
        <f>SUMIFS(инфо!$F$15:$F$28,инфо!$A$15:$A$28,F475)</f>
        <v>0</v>
      </c>
      <c r="AL475" s="32">
        <f t="shared" si="108"/>
        <v>0</v>
      </c>
      <c r="AM475" s="33">
        <f t="shared" si="111"/>
        <v>0</v>
      </c>
      <c r="AN475" s="31">
        <f>SUMIFS(инфо!$G$15:$G$28,инфо!$A$15:$A$28,F475)</f>
        <v>0</v>
      </c>
      <c r="AO475" s="32">
        <f t="shared" si="109"/>
        <v>0</v>
      </c>
      <c r="AP475" s="33">
        <f t="shared" si="112"/>
        <v>0</v>
      </c>
      <c r="AQ475" s="31">
        <f>SUMIFS(инфо!$H$15:$H$28,инфо!$A$15:$A$28,F475)</f>
        <v>0</v>
      </c>
      <c r="AR475" s="32">
        <f t="shared" si="110"/>
        <v>0</v>
      </c>
      <c r="AS475" s="33">
        <f t="shared" si="113"/>
        <v>0</v>
      </c>
      <c r="AT475" s="31">
        <f>SUMIFS(инфо!$I$15:$I$28,инфо!$A$15:$A$28,F475)</f>
        <v>0</v>
      </c>
      <c r="AU475" s="35">
        <f t="shared" si="118"/>
        <v>0</v>
      </c>
      <c r="AV475" s="33">
        <f t="shared" si="114"/>
        <v>0</v>
      </c>
      <c r="AX475" s="67">
        <f>SUMIFS(инфо!$C$15:$C$28,инфо!$A$15:$A$28,F475)*H474</f>
        <v>0</v>
      </c>
    </row>
    <row r="476" spans="1:50" x14ac:dyDescent="0.25">
      <c r="A476" s="70">
        <f t="shared" ref="A476:A539" si="119">A474+1</f>
        <v>46302</v>
      </c>
      <c r="B476" s="78"/>
      <c r="C476" s="15"/>
      <c r="D476" s="16"/>
      <c r="E476" s="83"/>
      <c r="F476" s="28"/>
      <c r="G476" s="34"/>
      <c r="H476" s="20"/>
      <c r="I476" s="118">
        <f>IFERROR(H476*VLOOKUP(F476,инфо!$A$15:$C$28,3,FALSE)/1000,0)</f>
        <v>0</v>
      </c>
      <c r="J476" s="20"/>
      <c r="K476" s="20"/>
      <c r="L476" s="20"/>
      <c r="M476" s="20"/>
      <c r="N476" s="20"/>
      <c r="O476" s="34"/>
      <c r="P476" s="34"/>
      <c r="Q476" s="34"/>
      <c r="R476" s="34"/>
      <c r="S476" s="68">
        <f t="shared" si="115"/>
        <v>0</v>
      </c>
      <c r="T476" s="15"/>
      <c r="U476" s="16"/>
      <c r="V476" s="34"/>
      <c r="W476" s="81"/>
      <c r="X476" s="34"/>
      <c r="Y476" s="15"/>
      <c r="Z476" s="34"/>
      <c r="AA476" s="34"/>
      <c r="AB476" s="34"/>
      <c r="AC476" s="81"/>
      <c r="AD476" s="16"/>
      <c r="AE476" s="24">
        <f>SUMIFS(инфо!$D$15:$D$28,инфо!$A$15:$A$28,F476)</f>
        <v>0</v>
      </c>
      <c r="AF476" s="35">
        <f t="shared" si="106"/>
        <v>0</v>
      </c>
      <c r="AG476" s="12">
        <f t="shared" si="116"/>
        <v>0</v>
      </c>
      <c r="AH476" s="24">
        <f>SUMIFS(инфо!$E$15:$E$28,инфо!$A$15:$A$28,F476)</f>
        <v>0</v>
      </c>
      <c r="AI476" s="32">
        <f t="shared" si="107"/>
        <v>0</v>
      </c>
      <c r="AJ476" s="12">
        <f t="shared" si="117"/>
        <v>0</v>
      </c>
      <c r="AK476" s="24">
        <f>SUMIFS(инфо!$F$15:$F$28,инфо!$A$15:$A$28,F476)</f>
        <v>0</v>
      </c>
      <c r="AL476" s="32">
        <f t="shared" si="108"/>
        <v>0</v>
      </c>
      <c r="AM476" s="12">
        <f t="shared" si="111"/>
        <v>0</v>
      </c>
      <c r="AN476" s="24">
        <f>SUMIFS(инфо!$G$15:$G$28,инфо!$A$15:$A$28,F476)</f>
        <v>0</v>
      </c>
      <c r="AO476" s="32">
        <f t="shared" si="109"/>
        <v>0</v>
      </c>
      <c r="AP476" s="12">
        <f t="shared" si="112"/>
        <v>0</v>
      </c>
      <c r="AQ476" s="24">
        <f>SUMIFS(инфо!$H$15:$H$28,инфо!$A$15:$A$28,F476)</f>
        <v>0</v>
      </c>
      <c r="AR476" s="35">
        <f t="shared" si="110"/>
        <v>0</v>
      </c>
      <c r="AS476" s="12">
        <f t="shared" si="113"/>
        <v>0</v>
      </c>
      <c r="AT476" s="24">
        <f>SUMIFS(инфо!$I$15:$I$28,инфо!$A$15:$A$28,F476)</f>
        <v>0</v>
      </c>
      <c r="AU476" s="35">
        <f t="shared" si="118"/>
        <v>0</v>
      </c>
      <c r="AV476" s="12">
        <f t="shared" si="114"/>
        <v>0</v>
      </c>
      <c r="AX476" s="68">
        <f>SUMIFS(инфо!$C$15:$C$28,инфо!$A$15:$A$28,F476)*H475</f>
        <v>0</v>
      </c>
    </row>
    <row r="477" spans="1:50" x14ac:dyDescent="0.25">
      <c r="A477" s="70">
        <f t="shared" si="119"/>
        <v>46302</v>
      </c>
      <c r="B477" s="78"/>
      <c r="C477" s="15"/>
      <c r="D477" s="16"/>
      <c r="E477" s="83"/>
      <c r="F477" s="28"/>
      <c r="G477" s="34"/>
      <c r="H477" s="23"/>
      <c r="I477" s="118">
        <f>IFERROR(H477*VLOOKUP(F477,инфо!$A$15:$C$28,3,FALSE)/1000,0)</f>
        <v>0</v>
      </c>
      <c r="J477" s="20"/>
      <c r="K477" s="20"/>
      <c r="L477" s="20"/>
      <c r="M477" s="20"/>
      <c r="N477" s="20"/>
      <c r="O477" s="34"/>
      <c r="P477" s="34"/>
      <c r="Q477" s="34"/>
      <c r="R477" s="34"/>
      <c r="S477" s="68">
        <f t="shared" si="115"/>
        <v>0</v>
      </c>
      <c r="T477" s="15"/>
      <c r="U477" s="16"/>
      <c r="V477" s="34"/>
      <c r="W477" s="81"/>
      <c r="X477" s="34"/>
      <c r="Y477" s="15"/>
      <c r="Z477" s="34"/>
      <c r="AA477" s="34"/>
      <c r="AB477" s="34"/>
      <c r="AC477" s="81"/>
      <c r="AD477" s="16"/>
      <c r="AE477" s="24">
        <f>SUMIFS(инфо!$D$15:$D$28,инфо!$A$15:$A$28,F477)</f>
        <v>0</v>
      </c>
      <c r="AF477" s="35">
        <f t="shared" si="106"/>
        <v>0</v>
      </c>
      <c r="AG477" s="12">
        <f t="shared" si="116"/>
        <v>0</v>
      </c>
      <c r="AH477" s="24">
        <f>SUMIFS(инфо!$E$15:$E$28,инфо!$A$15:$A$28,F477)</f>
        <v>0</v>
      </c>
      <c r="AI477" s="32">
        <f t="shared" si="107"/>
        <v>0</v>
      </c>
      <c r="AJ477" s="12">
        <f t="shared" si="117"/>
        <v>0</v>
      </c>
      <c r="AK477" s="24">
        <f>SUMIFS(инфо!$F$15:$F$28,инфо!$A$15:$A$28,F477)</f>
        <v>0</v>
      </c>
      <c r="AL477" s="32">
        <f t="shared" si="108"/>
        <v>0</v>
      </c>
      <c r="AM477" s="12">
        <f t="shared" si="111"/>
        <v>0</v>
      </c>
      <c r="AN477" s="24">
        <f>SUMIFS(инфо!$G$15:$G$28,инфо!$A$15:$A$28,F477)</f>
        <v>0</v>
      </c>
      <c r="AO477" s="32">
        <f t="shared" si="109"/>
        <v>0</v>
      </c>
      <c r="AP477" s="12">
        <f t="shared" si="112"/>
        <v>0</v>
      </c>
      <c r="AQ477" s="24">
        <f>SUMIFS(инфо!$H$15:$H$28,инфо!$A$15:$A$28,F477)</f>
        <v>0</v>
      </c>
      <c r="AR477" s="35">
        <f t="shared" si="110"/>
        <v>0</v>
      </c>
      <c r="AS477" s="12">
        <f t="shared" si="113"/>
        <v>0</v>
      </c>
      <c r="AT477" s="24">
        <f>SUMIFS(инфо!$I$15:$I$28,инфо!$A$15:$A$28,F477)</f>
        <v>0</v>
      </c>
      <c r="AU477" s="35">
        <f t="shared" si="118"/>
        <v>0</v>
      </c>
      <c r="AV477" s="12">
        <f t="shared" si="114"/>
        <v>0</v>
      </c>
      <c r="AX477" s="68">
        <f>SUMIFS(инфо!$C$15:$C$28,инфо!$A$15:$A$28,F477)*H476</f>
        <v>0</v>
      </c>
    </row>
    <row r="478" spans="1:50" x14ac:dyDescent="0.25">
      <c r="A478" s="70">
        <f t="shared" si="119"/>
        <v>46303</v>
      </c>
      <c r="B478" s="78"/>
      <c r="C478" s="17"/>
      <c r="D478" s="18"/>
      <c r="E478" s="83"/>
      <c r="F478" s="28"/>
      <c r="G478" s="19"/>
      <c r="H478" s="28"/>
      <c r="I478" s="118">
        <f>IFERROR(H478*VLOOKUP(F478,инфо!$A$15:$C$28,3,FALSE)/1000,0)</f>
        <v>0</v>
      </c>
      <c r="J478" s="20"/>
      <c r="K478" s="20"/>
      <c r="L478" s="20"/>
      <c r="M478" s="20"/>
      <c r="N478" s="23"/>
      <c r="O478" s="19"/>
      <c r="P478" s="19"/>
      <c r="Q478" s="19"/>
      <c r="R478" s="19"/>
      <c r="S478" s="69">
        <f t="shared" si="115"/>
        <v>0</v>
      </c>
      <c r="T478" s="17"/>
      <c r="U478" s="18"/>
      <c r="V478" s="19"/>
      <c r="W478" s="81"/>
      <c r="X478" s="19"/>
      <c r="Y478" s="17"/>
      <c r="Z478" s="19"/>
      <c r="AA478" s="19"/>
      <c r="AB478" s="19"/>
      <c r="AC478" s="81"/>
      <c r="AD478" s="18"/>
      <c r="AE478" s="25">
        <f>SUMIFS(инфо!$D$15:$D$28,инфо!$A$15:$A$28,F478)</f>
        <v>0</v>
      </c>
      <c r="AF478" s="35">
        <f t="shared" si="106"/>
        <v>0</v>
      </c>
      <c r="AG478" s="14">
        <f t="shared" si="116"/>
        <v>0</v>
      </c>
      <c r="AH478" s="25">
        <f>SUMIFS(инфо!$E$15:$E$28,инфо!$A$15:$A$28,F478)</f>
        <v>0</v>
      </c>
      <c r="AI478" s="32">
        <f t="shared" si="107"/>
        <v>0</v>
      </c>
      <c r="AJ478" s="14">
        <f t="shared" si="117"/>
        <v>0</v>
      </c>
      <c r="AK478" s="25">
        <f>SUMIFS(инфо!$F$15:$F$28,инфо!$A$15:$A$28,F478)</f>
        <v>0</v>
      </c>
      <c r="AL478" s="32">
        <f t="shared" si="108"/>
        <v>0</v>
      </c>
      <c r="AM478" s="14">
        <f t="shared" si="111"/>
        <v>0</v>
      </c>
      <c r="AN478" s="25">
        <f>SUMIFS(инфо!$G$15:$G$28,инфо!$A$15:$A$28,F478)</f>
        <v>0</v>
      </c>
      <c r="AO478" s="32">
        <f t="shared" si="109"/>
        <v>0</v>
      </c>
      <c r="AP478" s="14">
        <f t="shared" si="112"/>
        <v>0</v>
      </c>
      <c r="AQ478" s="25">
        <f>SUMIFS(инфо!$H$15:$H$28,инфо!$A$15:$A$28,F478)</f>
        <v>0</v>
      </c>
      <c r="AR478" s="26">
        <f t="shared" si="110"/>
        <v>0</v>
      </c>
      <c r="AS478" s="14">
        <f t="shared" si="113"/>
        <v>0</v>
      </c>
      <c r="AT478" s="25">
        <f>SUMIFS(инфо!$I$15:$I$28,инфо!$A$15:$A$28,F478)</f>
        <v>0</v>
      </c>
      <c r="AU478" s="35">
        <f t="shared" si="118"/>
        <v>0</v>
      </c>
      <c r="AV478" s="14">
        <f t="shared" si="114"/>
        <v>0</v>
      </c>
      <c r="AX478" s="69">
        <f>SUMIFS(инфо!$C$15:$C$28,инфо!$A$15:$A$28,F478)*H477</f>
        <v>0</v>
      </c>
    </row>
    <row r="479" spans="1:50" x14ac:dyDescent="0.25">
      <c r="A479" s="70">
        <f t="shared" si="119"/>
        <v>46303</v>
      </c>
      <c r="B479" s="78"/>
      <c r="C479" s="29"/>
      <c r="D479" s="30"/>
      <c r="E479" s="83"/>
      <c r="F479" s="28"/>
      <c r="G479" s="27"/>
      <c r="H479" s="20"/>
      <c r="I479" s="118">
        <f>IFERROR(H479*VLOOKUP(F479,инфо!$A$15:$C$28,3,FALSE)/1000,0)</f>
        <v>0</v>
      </c>
      <c r="J479" s="20"/>
      <c r="K479" s="20"/>
      <c r="L479" s="20"/>
      <c r="M479" s="20"/>
      <c r="N479" s="28"/>
      <c r="O479" s="27"/>
      <c r="P479" s="27"/>
      <c r="Q479" s="27"/>
      <c r="R479" s="27"/>
      <c r="S479" s="67">
        <f t="shared" si="115"/>
        <v>0</v>
      </c>
      <c r="T479" s="29"/>
      <c r="U479" s="30"/>
      <c r="V479" s="27"/>
      <c r="W479" s="81"/>
      <c r="X479" s="27"/>
      <c r="Y479" s="29"/>
      <c r="Z479" s="27"/>
      <c r="AA479" s="27"/>
      <c r="AB479" s="27"/>
      <c r="AC479" s="81"/>
      <c r="AD479" s="30"/>
      <c r="AE479" s="31">
        <f>SUMIFS(инфо!$D$15:$D$28,инфо!$A$15:$A$28,F479)</f>
        <v>0</v>
      </c>
      <c r="AF479" s="35">
        <f t="shared" si="106"/>
        <v>0</v>
      </c>
      <c r="AG479" s="33">
        <f t="shared" si="116"/>
        <v>0</v>
      </c>
      <c r="AH479" s="31">
        <f>SUMIFS(инфо!$E$15:$E$28,инфо!$A$15:$A$28,F479)</f>
        <v>0</v>
      </c>
      <c r="AI479" s="32">
        <f t="shared" si="107"/>
        <v>0</v>
      </c>
      <c r="AJ479" s="33">
        <f t="shared" si="117"/>
        <v>0</v>
      </c>
      <c r="AK479" s="31">
        <f>SUMIFS(инфо!$F$15:$F$28,инфо!$A$15:$A$28,F479)</f>
        <v>0</v>
      </c>
      <c r="AL479" s="32">
        <f t="shared" si="108"/>
        <v>0</v>
      </c>
      <c r="AM479" s="33">
        <f t="shared" si="111"/>
        <v>0</v>
      </c>
      <c r="AN479" s="31">
        <f>SUMIFS(инфо!$G$15:$G$28,инфо!$A$15:$A$28,F479)</f>
        <v>0</v>
      </c>
      <c r="AO479" s="32">
        <f t="shared" si="109"/>
        <v>0</v>
      </c>
      <c r="AP479" s="33">
        <f t="shared" si="112"/>
        <v>0</v>
      </c>
      <c r="AQ479" s="31">
        <f>SUMIFS(инфо!$H$15:$H$28,инфо!$A$15:$A$28,F479)</f>
        <v>0</v>
      </c>
      <c r="AR479" s="32">
        <f t="shared" si="110"/>
        <v>0</v>
      </c>
      <c r="AS479" s="33">
        <f t="shared" si="113"/>
        <v>0</v>
      </c>
      <c r="AT479" s="31">
        <f>SUMIFS(инфо!$I$15:$I$28,инфо!$A$15:$A$28,F479)</f>
        <v>0</v>
      </c>
      <c r="AU479" s="35">
        <f t="shared" si="118"/>
        <v>0</v>
      </c>
      <c r="AV479" s="33">
        <f t="shared" si="114"/>
        <v>0</v>
      </c>
      <c r="AX479" s="67">
        <f>SUMIFS(инфо!$C$15:$C$28,инфо!$A$15:$A$28,F479)*H478</f>
        <v>0</v>
      </c>
    </row>
    <row r="480" spans="1:50" x14ac:dyDescent="0.25">
      <c r="A480" s="70">
        <f t="shared" si="119"/>
        <v>46304</v>
      </c>
      <c r="B480" s="78"/>
      <c r="C480" s="15"/>
      <c r="D480" s="16"/>
      <c r="E480" s="83"/>
      <c r="F480" s="28"/>
      <c r="G480" s="34"/>
      <c r="H480" s="20"/>
      <c r="I480" s="118">
        <f>IFERROR(H480*VLOOKUP(F480,инфо!$A$15:$C$28,3,FALSE)/1000,0)</f>
        <v>0</v>
      </c>
      <c r="J480" s="20"/>
      <c r="K480" s="20"/>
      <c r="L480" s="20"/>
      <c r="M480" s="20"/>
      <c r="N480" s="20"/>
      <c r="O480" s="34"/>
      <c r="P480" s="34"/>
      <c r="Q480" s="34"/>
      <c r="R480" s="34"/>
      <c r="S480" s="68">
        <f t="shared" si="115"/>
        <v>0</v>
      </c>
      <c r="T480" s="15"/>
      <c r="U480" s="16"/>
      <c r="V480" s="34"/>
      <c r="W480" s="81"/>
      <c r="X480" s="34"/>
      <c r="Y480" s="15"/>
      <c r="Z480" s="34"/>
      <c r="AA480" s="34"/>
      <c r="AB480" s="34"/>
      <c r="AC480" s="81"/>
      <c r="AD480" s="16"/>
      <c r="AE480" s="24">
        <f>SUMIFS(инфо!$D$15:$D$28,инфо!$A$15:$A$28,F480)</f>
        <v>0</v>
      </c>
      <c r="AF480" s="35">
        <f t="shared" si="106"/>
        <v>0</v>
      </c>
      <c r="AG480" s="12">
        <f t="shared" si="116"/>
        <v>0</v>
      </c>
      <c r="AH480" s="24">
        <f>SUMIFS(инфо!$E$15:$E$28,инфо!$A$15:$A$28,F480)</f>
        <v>0</v>
      </c>
      <c r="AI480" s="32">
        <f t="shared" si="107"/>
        <v>0</v>
      </c>
      <c r="AJ480" s="12">
        <f t="shared" si="117"/>
        <v>0</v>
      </c>
      <c r="AK480" s="24">
        <f>SUMIFS(инфо!$F$15:$F$28,инфо!$A$15:$A$28,F480)</f>
        <v>0</v>
      </c>
      <c r="AL480" s="32">
        <f t="shared" si="108"/>
        <v>0</v>
      </c>
      <c r="AM480" s="12">
        <f t="shared" si="111"/>
        <v>0</v>
      </c>
      <c r="AN480" s="24">
        <f>SUMIFS(инфо!$G$15:$G$28,инфо!$A$15:$A$28,F480)</f>
        <v>0</v>
      </c>
      <c r="AO480" s="32">
        <f t="shared" si="109"/>
        <v>0</v>
      </c>
      <c r="AP480" s="12">
        <f t="shared" si="112"/>
        <v>0</v>
      </c>
      <c r="AQ480" s="24">
        <f>SUMIFS(инфо!$H$15:$H$28,инфо!$A$15:$A$28,F480)</f>
        <v>0</v>
      </c>
      <c r="AR480" s="35">
        <f t="shared" si="110"/>
        <v>0</v>
      </c>
      <c r="AS480" s="12">
        <f t="shared" si="113"/>
        <v>0</v>
      </c>
      <c r="AT480" s="24">
        <f>SUMIFS(инфо!$I$15:$I$28,инфо!$A$15:$A$28,F480)</f>
        <v>0</v>
      </c>
      <c r="AU480" s="35">
        <f t="shared" si="118"/>
        <v>0</v>
      </c>
      <c r="AV480" s="12">
        <f t="shared" si="114"/>
        <v>0</v>
      </c>
      <c r="AX480" s="68">
        <f>SUMIFS(инфо!$C$15:$C$28,инфо!$A$15:$A$28,F480)*H479</f>
        <v>0</v>
      </c>
    </row>
    <row r="481" spans="1:50" x14ac:dyDescent="0.25">
      <c r="A481" s="70">
        <f t="shared" si="119"/>
        <v>46304</v>
      </c>
      <c r="B481" s="78"/>
      <c r="C481" s="15"/>
      <c r="D481" s="16"/>
      <c r="E481" s="83"/>
      <c r="F481" s="28"/>
      <c r="G481" s="34"/>
      <c r="H481" s="23"/>
      <c r="I481" s="118">
        <f>IFERROR(H481*VLOOKUP(F481,инфо!$A$15:$C$28,3,FALSE)/1000,0)</f>
        <v>0</v>
      </c>
      <c r="J481" s="20"/>
      <c r="K481" s="20"/>
      <c r="L481" s="20"/>
      <c r="M481" s="20"/>
      <c r="N481" s="20"/>
      <c r="O481" s="34"/>
      <c r="P481" s="34"/>
      <c r="Q481" s="34"/>
      <c r="R481" s="34"/>
      <c r="S481" s="68">
        <f t="shared" si="115"/>
        <v>0</v>
      </c>
      <c r="T481" s="15"/>
      <c r="U481" s="16"/>
      <c r="V481" s="34"/>
      <c r="W481" s="81"/>
      <c r="X481" s="34"/>
      <c r="Y481" s="15"/>
      <c r="Z481" s="34"/>
      <c r="AA481" s="34"/>
      <c r="AB481" s="34"/>
      <c r="AC481" s="81"/>
      <c r="AD481" s="16"/>
      <c r="AE481" s="24">
        <f>SUMIFS(инфо!$D$15:$D$28,инфо!$A$15:$A$28,F481)</f>
        <v>0</v>
      </c>
      <c r="AF481" s="35">
        <f t="shared" si="106"/>
        <v>0</v>
      </c>
      <c r="AG481" s="12">
        <f t="shared" si="116"/>
        <v>0</v>
      </c>
      <c r="AH481" s="24">
        <f>SUMIFS(инфо!$E$15:$E$28,инфо!$A$15:$A$28,F481)</f>
        <v>0</v>
      </c>
      <c r="AI481" s="32">
        <f t="shared" si="107"/>
        <v>0</v>
      </c>
      <c r="AJ481" s="12">
        <f t="shared" si="117"/>
        <v>0</v>
      </c>
      <c r="AK481" s="24">
        <f>SUMIFS(инфо!$F$15:$F$28,инфо!$A$15:$A$28,F481)</f>
        <v>0</v>
      </c>
      <c r="AL481" s="32">
        <f t="shared" si="108"/>
        <v>0</v>
      </c>
      <c r="AM481" s="12">
        <f t="shared" si="111"/>
        <v>0</v>
      </c>
      <c r="AN481" s="24">
        <f>SUMIFS(инфо!$G$15:$G$28,инфо!$A$15:$A$28,F481)</f>
        <v>0</v>
      </c>
      <c r="AO481" s="32">
        <f t="shared" si="109"/>
        <v>0</v>
      </c>
      <c r="AP481" s="12">
        <f t="shared" si="112"/>
        <v>0</v>
      </c>
      <c r="AQ481" s="24">
        <f>SUMIFS(инфо!$H$15:$H$28,инфо!$A$15:$A$28,F481)</f>
        <v>0</v>
      </c>
      <c r="AR481" s="35">
        <f t="shared" si="110"/>
        <v>0</v>
      </c>
      <c r="AS481" s="12">
        <f t="shared" si="113"/>
        <v>0</v>
      </c>
      <c r="AT481" s="24">
        <f>SUMIFS(инфо!$I$15:$I$28,инфо!$A$15:$A$28,F481)</f>
        <v>0</v>
      </c>
      <c r="AU481" s="35">
        <f t="shared" si="118"/>
        <v>0</v>
      </c>
      <c r="AV481" s="12">
        <f t="shared" si="114"/>
        <v>0</v>
      </c>
      <c r="AX481" s="68">
        <f>SUMIFS(инфо!$C$15:$C$28,инфо!$A$15:$A$28,F481)*H480</f>
        <v>0</v>
      </c>
    </row>
    <row r="482" spans="1:50" x14ac:dyDescent="0.25">
      <c r="A482" s="70">
        <f t="shared" si="119"/>
        <v>46305</v>
      </c>
      <c r="B482" s="78"/>
      <c r="C482" s="17"/>
      <c r="D482" s="18"/>
      <c r="E482" s="83"/>
      <c r="F482" s="28"/>
      <c r="G482" s="19"/>
      <c r="H482" s="28"/>
      <c r="I482" s="118">
        <f>IFERROR(H482*VLOOKUP(F482,инфо!$A$15:$C$28,3,FALSE)/1000,0)</f>
        <v>0</v>
      </c>
      <c r="J482" s="20"/>
      <c r="K482" s="20"/>
      <c r="L482" s="20"/>
      <c r="M482" s="20"/>
      <c r="N482" s="23"/>
      <c r="O482" s="19"/>
      <c r="P482" s="19"/>
      <c r="Q482" s="19"/>
      <c r="R482" s="19"/>
      <c r="S482" s="69">
        <f t="shared" si="115"/>
        <v>0</v>
      </c>
      <c r="T482" s="17"/>
      <c r="U482" s="18"/>
      <c r="V482" s="19"/>
      <c r="W482" s="81"/>
      <c r="X482" s="19"/>
      <c r="Y482" s="17"/>
      <c r="Z482" s="19"/>
      <c r="AA482" s="19"/>
      <c r="AB482" s="19"/>
      <c r="AC482" s="81"/>
      <c r="AD482" s="18"/>
      <c r="AE482" s="25">
        <f>SUMIFS(инфо!$D$15:$D$28,инфо!$A$15:$A$28,F482)</f>
        <v>0</v>
      </c>
      <c r="AF482" s="35">
        <f t="shared" si="106"/>
        <v>0</v>
      </c>
      <c r="AG482" s="14">
        <f t="shared" si="116"/>
        <v>0</v>
      </c>
      <c r="AH482" s="25">
        <f>SUMIFS(инфо!$E$15:$E$28,инфо!$A$15:$A$28,F482)</f>
        <v>0</v>
      </c>
      <c r="AI482" s="32">
        <f t="shared" si="107"/>
        <v>0</v>
      </c>
      <c r="AJ482" s="14">
        <f t="shared" si="117"/>
        <v>0</v>
      </c>
      <c r="AK482" s="25">
        <f>SUMIFS(инфо!$F$15:$F$28,инфо!$A$15:$A$28,F482)</f>
        <v>0</v>
      </c>
      <c r="AL482" s="32">
        <f t="shared" si="108"/>
        <v>0</v>
      </c>
      <c r="AM482" s="14">
        <f t="shared" si="111"/>
        <v>0</v>
      </c>
      <c r="AN482" s="25">
        <f>SUMIFS(инфо!$G$15:$G$28,инфо!$A$15:$A$28,F482)</f>
        <v>0</v>
      </c>
      <c r="AO482" s="32">
        <f t="shared" si="109"/>
        <v>0</v>
      </c>
      <c r="AP482" s="14">
        <f t="shared" si="112"/>
        <v>0</v>
      </c>
      <c r="AQ482" s="25">
        <f>SUMIFS(инфо!$H$15:$H$28,инфо!$A$15:$A$28,F482)</f>
        <v>0</v>
      </c>
      <c r="AR482" s="26">
        <f t="shared" si="110"/>
        <v>0</v>
      </c>
      <c r="AS482" s="14">
        <f t="shared" si="113"/>
        <v>0</v>
      </c>
      <c r="AT482" s="25">
        <f>SUMIFS(инфо!$I$15:$I$28,инфо!$A$15:$A$28,F482)</f>
        <v>0</v>
      </c>
      <c r="AU482" s="35">
        <f t="shared" si="118"/>
        <v>0</v>
      </c>
      <c r="AV482" s="14">
        <f t="shared" si="114"/>
        <v>0</v>
      </c>
      <c r="AX482" s="69">
        <f>SUMIFS(инфо!$C$15:$C$28,инфо!$A$15:$A$28,F482)*H481</f>
        <v>0</v>
      </c>
    </row>
    <row r="483" spans="1:50" x14ac:dyDescent="0.25">
      <c r="A483" s="70">
        <f t="shared" si="119"/>
        <v>46305</v>
      </c>
      <c r="B483" s="78"/>
      <c r="C483" s="29"/>
      <c r="D483" s="30"/>
      <c r="E483" s="83"/>
      <c r="F483" s="28"/>
      <c r="G483" s="27"/>
      <c r="H483" s="20"/>
      <c r="I483" s="118">
        <f>IFERROR(H483*VLOOKUP(F483,инфо!$A$15:$C$28,3,FALSE)/1000,0)</f>
        <v>0</v>
      </c>
      <c r="J483" s="20"/>
      <c r="K483" s="20"/>
      <c r="L483" s="20"/>
      <c r="M483" s="20"/>
      <c r="N483" s="28"/>
      <c r="O483" s="27"/>
      <c r="P483" s="27"/>
      <c r="Q483" s="27"/>
      <c r="R483" s="27"/>
      <c r="S483" s="67">
        <f t="shared" si="115"/>
        <v>0</v>
      </c>
      <c r="T483" s="29"/>
      <c r="U483" s="30"/>
      <c r="V483" s="27"/>
      <c r="W483" s="81"/>
      <c r="X483" s="27"/>
      <c r="Y483" s="29"/>
      <c r="Z483" s="27"/>
      <c r="AA483" s="27"/>
      <c r="AB483" s="27"/>
      <c r="AC483" s="81"/>
      <c r="AD483" s="30"/>
      <c r="AE483" s="31">
        <f>SUMIFS(инфо!$D$15:$D$28,инфо!$A$15:$A$28,F483)</f>
        <v>0</v>
      </c>
      <c r="AF483" s="35">
        <f t="shared" si="106"/>
        <v>0</v>
      </c>
      <c r="AG483" s="33">
        <f t="shared" si="116"/>
        <v>0</v>
      </c>
      <c r="AH483" s="31">
        <f>SUMIFS(инфо!$E$15:$E$28,инфо!$A$15:$A$28,F483)</f>
        <v>0</v>
      </c>
      <c r="AI483" s="32">
        <f t="shared" si="107"/>
        <v>0</v>
      </c>
      <c r="AJ483" s="33">
        <f t="shared" si="117"/>
        <v>0</v>
      </c>
      <c r="AK483" s="31">
        <f>SUMIFS(инфо!$F$15:$F$28,инфо!$A$15:$A$28,F483)</f>
        <v>0</v>
      </c>
      <c r="AL483" s="32">
        <f t="shared" si="108"/>
        <v>0</v>
      </c>
      <c r="AM483" s="33">
        <f t="shared" si="111"/>
        <v>0</v>
      </c>
      <c r="AN483" s="31">
        <f>SUMIFS(инфо!$G$15:$G$28,инфо!$A$15:$A$28,F483)</f>
        <v>0</v>
      </c>
      <c r="AO483" s="32">
        <f t="shared" si="109"/>
        <v>0</v>
      </c>
      <c r="AP483" s="33">
        <f t="shared" si="112"/>
        <v>0</v>
      </c>
      <c r="AQ483" s="31">
        <f>SUMIFS(инфо!$H$15:$H$28,инфо!$A$15:$A$28,F483)</f>
        <v>0</v>
      </c>
      <c r="AR483" s="32">
        <f t="shared" si="110"/>
        <v>0</v>
      </c>
      <c r="AS483" s="33">
        <f t="shared" si="113"/>
        <v>0</v>
      </c>
      <c r="AT483" s="31">
        <f>SUMIFS(инфо!$I$15:$I$28,инфо!$A$15:$A$28,F483)</f>
        <v>0</v>
      </c>
      <c r="AU483" s="35">
        <f t="shared" si="118"/>
        <v>0</v>
      </c>
      <c r="AV483" s="33">
        <f t="shared" si="114"/>
        <v>0</v>
      </c>
      <c r="AX483" s="67">
        <f>SUMIFS(инфо!$C$15:$C$28,инфо!$A$15:$A$28,F483)*H482</f>
        <v>0</v>
      </c>
    </row>
    <row r="484" spans="1:50" x14ac:dyDescent="0.25">
      <c r="A484" s="70">
        <f t="shared" si="119"/>
        <v>46306</v>
      </c>
      <c r="B484" s="78"/>
      <c r="C484" s="15"/>
      <c r="D484" s="16"/>
      <c r="E484" s="83"/>
      <c r="F484" s="28"/>
      <c r="G484" s="34"/>
      <c r="H484" s="20"/>
      <c r="I484" s="118">
        <f>IFERROR(H484*VLOOKUP(F484,инфо!$A$15:$C$28,3,FALSE)/1000,0)</f>
        <v>0</v>
      </c>
      <c r="J484" s="20"/>
      <c r="K484" s="20"/>
      <c r="L484" s="20"/>
      <c r="M484" s="20"/>
      <c r="N484" s="20"/>
      <c r="O484" s="34"/>
      <c r="P484" s="34"/>
      <c r="Q484" s="34"/>
      <c r="R484" s="34"/>
      <c r="S484" s="68">
        <f t="shared" si="115"/>
        <v>0</v>
      </c>
      <c r="T484" s="15"/>
      <c r="U484" s="16"/>
      <c r="V484" s="34"/>
      <c r="W484" s="81"/>
      <c r="X484" s="34"/>
      <c r="Y484" s="15"/>
      <c r="Z484" s="34"/>
      <c r="AA484" s="34"/>
      <c r="AB484" s="34"/>
      <c r="AC484" s="81"/>
      <c r="AD484" s="16"/>
      <c r="AE484" s="24">
        <f>SUMIFS(инфо!$D$15:$D$28,инфо!$A$15:$A$28,F484)</f>
        <v>0</v>
      </c>
      <c r="AF484" s="35">
        <f t="shared" si="106"/>
        <v>0</v>
      </c>
      <c r="AG484" s="12">
        <f t="shared" si="116"/>
        <v>0</v>
      </c>
      <c r="AH484" s="24">
        <f>SUMIFS(инфо!$E$15:$E$28,инфо!$A$15:$A$28,F484)</f>
        <v>0</v>
      </c>
      <c r="AI484" s="32">
        <f t="shared" si="107"/>
        <v>0</v>
      </c>
      <c r="AJ484" s="12">
        <f t="shared" si="117"/>
        <v>0</v>
      </c>
      <c r="AK484" s="24">
        <f>SUMIFS(инфо!$F$15:$F$28,инфо!$A$15:$A$28,F484)</f>
        <v>0</v>
      </c>
      <c r="AL484" s="32">
        <f t="shared" si="108"/>
        <v>0</v>
      </c>
      <c r="AM484" s="12">
        <f t="shared" si="111"/>
        <v>0</v>
      </c>
      <c r="AN484" s="24">
        <f>SUMIFS(инфо!$G$15:$G$28,инфо!$A$15:$A$28,F484)</f>
        <v>0</v>
      </c>
      <c r="AO484" s="32">
        <f t="shared" si="109"/>
        <v>0</v>
      </c>
      <c r="AP484" s="12">
        <f t="shared" si="112"/>
        <v>0</v>
      </c>
      <c r="AQ484" s="24">
        <f>SUMIFS(инфо!$H$15:$H$28,инфо!$A$15:$A$28,F484)</f>
        <v>0</v>
      </c>
      <c r="AR484" s="35">
        <f t="shared" si="110"/>
        <v>0</v>
      </c>
      <c r="AS484" s="12">
        <f t="shared" si="113"/>
        <v>0</v>
      </c>
      <c r="AT484" s="24">
        <f>SUMIFS(инфо!$I$15:$I$28,инфо!$A$15:$A$28,F484)</f>
        <v>0</v>
      </c>
      <c r="AU484" s="35">
        <f t="shared" si="118"/>
        <v>0</v>
      </c>
      <c r="AV484" s="12">
        <f t="shared" si="114"/>
        <v>0</v>
      </c>
      <c r="AX484" s="68">
        <f>SUMIFS(инфо!$C$15:$C$28,инфо!$A$15:$A$28,F484)*H483</f>
        <v>0</v>
      </c>
    </row>
    <row r="485" spans="1:50" x14ac:dyDescent="0.25">
      <c r="A485" s="70">
        <f t="shared" si="119"/>
        <v>46306</v>
      </c>
      <c r="B485" s="78"/>
      <c r="C485" s="15"/>
      <c r="D485" s="16"/>
      <c r="E485" s="83"/>
      <c r="F485" s="28"/>
      <c r="G485" s="34"/>
      <c r="H485" s="23"/>
      <c r="I485" s="118">
        <f>IFERROR(H485*VLOOKUP(F485,инфо!$A$15:$C$28,3,FALSE)/1000,0)</f>
        <v>0</v>
      </c>
      <c r="J485" s="20"/>
      <c r="K485" s="20"/>
      <c r="L485" s="20"/>
      <c r="M485" s="20"/>
      <c r="N485" s="20"/>
      <c r="O485" s="34"/>
      <c r="P485" s="34"/>
      <c r="Q485" s="34"/>
      <c r="R485" s="34"/>
      <c r="S485" s="68">
        <f t="shared" si="115"/>
        <v>0</v>
      </c>
      <c r="T485" s="15"/>
      <c r="U485" s="16"/>
      <c r="V485" s="34"/>
      <c r="W485" s="81"/>
      <c r="X485" s="34"/>
      <c r="Y485" s="15"/>
      <c r="Z485" s="34"/>
      <c r="AA485" s="34"/>
      <c r="AB485" s="34"/>
      <c r="AC485" s="81"/>
      <c r="AD485" s="16"/>
      <c r="AE485" s="24">
        <f>SUMIFS(инфо!$D$15:$D$28,инфо!$A$15:$A$28,F485)</f>
        <v>0</v>
      </c>
      <c r="AF485" s="35">
        <f t="shared" si="106"/>
        <v>0</v>
      </c>
      <c r="AG485" s="12">
        <f t="shared" si="116"/>
        <v>0</v>
      </c>
      <c r="AH485" s="24">
        <f>SUMIFS(инфо!$E$15:$E$28,инфо!$A$15:$A$28,F485)</f>
        <v>0</v>
      </c>
      <c r="AI485" s="32">
        <f t="shared" si="107"/>
        <v>0</v>
      </c>
      <c r="AJ485" s="12">
        <f t="shared" si="117"/>
        <v>0</v>
      </c>
      <c r="AK485" s="24">
        <f>SUMIFS(инфо!$F$15:$F$28,инфо!$A$15:$A$28,F485)</f>
        <v>0</v>
      </c>
      <c r="AL485" s="32">
        <f t="shared" si="108"/>
        <v>0</v>
      </c>
      <c r="AM485" s="12">
        <f t="shared" si="111"/>
        <v>0</v>
      </c>
      <c r="AN485" s="24">
        <f>SUMIFS(инфо!$G$15:$G$28,инфо!$A$15:$A$28,F485)</f>
        <v>0</v>
      </c>
      <c r="AO485" s="32">
        <f t="shared" si="109"/>
        <v>0</v>
      </c>
      <c r="AP485" s="12">
        <f t="shared" si="112"/>
        <v>0</v>
      </c>
      <c r="AQ485" s="24">
        <f>SUMIFS(инфо!$H$15:$H$28,инфо!$A$15:$A$28,F485)</f>
        <v>0</v>
      </c>
      <c r="AR485" s="35">
        <f t="shared" si="110"/>
        <v>0</v>
      </c>
      <c r="AS485" s="12">
        <f t="shared" si="113"/>
        <v>0</v>
      </c>
      <c r="AT485" s="24">
        <f>SUMIFS(инфо!$I$15:$I$28,инфо!$A$15:$A$28,F485)</f>
        <v>0</v>
      </c>
      <c r="AU485" s="35">
        <f t="shared" si="118"/>
        <v>0</v>
      </c>
      <c r="AV485" s="12">
        <f t="shared" si="114"/>
        <v>0</v>
      </c>
      <c r="AX485" s="68">
        <f>SUMIFS(инфо!$C$15:$C$28,инфо!$A$15:$A$28,F485)*H484</f>
        <v>0</v>
      </c>
    </row>
    <row r="486" spans="1:50" x14ac:dyDescent="0.25">
      <c r="A486" s="70">
        <f t="shared" si="119"/>
        <v>46307</v>
      </c>
      <c r="B486" s="78"/>
      <c r="C486" s="17"/>
      <c r="D486" s="18"/>
      <c r="E486" s="83"/>
      <c r="F486" s="28"/>
      <c r="G486" s="19"/>
      <c r="H486" s="28"/>
      <c r="I486" s="118">
        <f>IFERROR(H486*VLOOKUP(F486,инфо!$A$15:$C$28,3,FALSE)/1000,0)</f>
        <v>0</v>
      </c>
      <c r="J486" s="20"/>
      <c r="K486" s="20"/>
      <c r="L486" s="20"/>
      <c r="M486" s="20"/>
      <c r="N486" s="23"/>
      <c r="O486" s="19"/>
      <c r="P486" s="19"/>
      <c r="Q486" s="19"/>
      <c r="R486" s="19"/>
      <c r="S486" s="69">
        <f t="shared" si="115"/>
        <v>0</v>
      </c>
      <c r="T486" s="17"/>
      <c r="U486" s="18"/>
      <c r="V486" s="19"/>
      <c r="W486" s="81"/>
      <c r="X486" s="19"/>
      <c r="Y486" s="17"/>
      <c r="Z486" s="19"/>
      <c r="AA486" s="19"/>
      <c r="AB486" s="19"/>
      <c r="AC486" s="81"/>
      <c r="AD486" s="18"/>
      <c r="AE486" s="25">
        <f>SUMIFS(инфо!$D$15:$D$28,инфо!$A$15:$A$28,F486)</f>
        <v>0</v>
      </c>
      <c r="AF486" s="35">
        <f t="shared" si="106"/>
        <v>0</v>
      </c>
      <c r="AG486" s="14">
        <f t="shared" si="116"/>
        <v>0</v>
      </c>
      <c r="AH486" s="25">
        <f>SUMIFS(инфо!$E$15:$E$28,инфо!$A$15:$A$28,F486)</f>
        <v>0</v>
      </c>
      <c r="AI486" s="32">
        <f t="shared" si="107"/>
        <v>0</v>
      </c>
      <c r="AJ486" s="14">
        <f t="shared" si="117"/>
        <v>0</v>
      </c>
      <c r="AK486" s="25">
        <f>SUMIFS(инфо!$F$15:$F$28,инфо!$A$15:$A$28,F486)</f>
        <v>0</v>
      </c>
      <c r="AL486" s="32">
        <f t="shared" si="108"/>
        <v>0</v>
      </c>
      <c r="AM486" s="14">
        <f t="shared" si="111"/>
        <v>0</v>
      </c>
      <c r="AN486" s="25">
        <f>SUMIFS(инфо!$G$15:$G$28,инфо!$A$15:$A$28,F486)</f>
        <v>0</v>
      </c>
      <c r="AO486" s="32">
        <f t="shared" si="109"/>
        <v>0</v>
      </c>
      <c r="AP486" s="14">
        <f t="shared" si="112"/>
        <v>0</v>
      </c>
      <c r="AQ486" s="25">
        <f>SUMIFS(инфо!$H$15:$H$28,инфо!$A$15:$A$28,F486)</f>
        <v>0</v>
      </c>
      <c r="AR486" s="26">
        <f t="shared" si="110"/>
        <v>0</v>
      </c>
      <c r="AS486" s="14">
        <f t="shared" si="113"/>
        <v>0</v>
      </c>
      <c r="AT486" s="25">
        <f>SUMIFS(инфо!$I$15:$I$28,инфо!$A$15:$A$28,F486)</f>
        <v>0</v>
      </c>
      <c r="AU486" s="35">
        <f t="shared" si="118"/>
        <v>0</v>
      </c>
      <c r="AV486" s="14">
        <f t="shared" si="114"/>
        <v>0</v>
      </c>
      <c r="AX486" s="69">
        <f>SUMIFS(инфо!$C$15:$C$28,инфо!$A$15:$A$28,F486)*H485</f>
        <v>0</v>
      </c>
    </row>
    <row r="487" spans="1:50" x14ac:dyDescent="0.25">
      <c r="A487" s="70">
        <f t="shared" si="119"/>
        <v>46307</v>
      </c>
      <c r="B487" s="78"/>
      <c r="C487" s="29"/>
      <c r="D487" s="30"/>
      <c r="E487" s="83"/>
      <c r="F487" s="28"/>
      <c r="G487" s="27"/>
      <c r="H487" s="20"/>
      <c r="I487" s="118">
        <f>IFERROR(H487*VLOOKUP(F487,инфо!$A$15:$C$28,3,FALSE)/1000,0)</f>
        <v>0</v>
      </c>
      <c r="J487" s="20"/>
      <c r="K487" s="20"/>
      <c r="L487" s="20"/>
      <c r="M487" s="20"/>
      <c r="N487" s="28"/>
      <c r="O487" s="27"/>
      <c r="P487" s="27"/>
      <c r="Q487" s="27"/>
      <c r="R487" s="27"/>
      <c r="S487" s="67">
        <f t="shared" si="115"/>
        <v>0</v>
      </c>
      <c r="T487" s="29"/>
      <c r="U487" s="30"/>
      <c r="V487" s="27"/>
      <c r="W487" s="81"/>
      <c r="X487" s="27"/>
      <c r="Y487" s="29"/>
      <c r="Z487" s="27"/>
      <c r="AA487" s="27"/>
      <c r="AB487" s="27"/>
      <c r="AC487" s="81"/>
      <c r="AD487" s="30"/>
      <c r="AE487" s="31">
        <f>SUMIFS(инфо!$D$15:$D$28,инфо!$A$15:$A$28,F487)</f>
        <v>0</v>
      </c>
      <c r="AF487" s="35">
        <f t="shared" si="106"/>
        <v>0</v>
      </c>
      <c r="AG487" s="33">
        <f t="shared" si="116"/>
        <v>0</v>
      </c>
      <c r="AH487" s="31">
        <f>SUMIFS(инфо!$E$15:$E$28,инфо!$A$15:$A$28,F487)</f>
        <v>0</v>
      </c>
      <c r="AI487" s="32">
        <f t="shared" si="107"/>
        <v>0</v>
      </c>
      <c r="AJ487" s="33">
        <f t="shared" si="117"/>
        <v>0</v>
      </c>
      <c r="AK487" s="31">
        <f>SUMIFS(инфо!$F$15:$F$28,инфо!$A$15:$A$28,F487)</f>
        <v>0</v>
      </c>
      <c r="AL487" s="32">
        <f t="shared" si="108"/>
        <v>0</v>
      </c>
      <c r="AM487" s="33">
        <f t="shared" si="111"/>
        <v>0</v>
      </c>
      <c r="AN487" s="31">
        <f>SUMIFS(инфо!$G$15:$G$28,инфо!$A$15:$A$28,F487)</f>
        <v>0</v>
      </c>
      <c r="AO487" s="32">
        <f t="shared" si="109"/>
        <v>0</v>
      </c>
      <c r="AP487" s="33">
        <f t="shared" si="112"/>
        <v>0</v>
      </c>
      <c r="AQ487" s="31">
        <f>SUMIFS(инфо!$H$15:$H$28,инфо!$A$15:$A$28,F487)</f>
        <v>0</v>
      </c>
      <c r="AR487" s="32">
        <f t="shared" si="110"/>
        <v>0</v>
      </c>
      <c r="AS487" s="33">
        <f t="shared" si="113"/>
        <v>0</v>
      </c>
      <c r="AT487" s="31">
        <f>SUMIFS(инфо!$I$15:$I$28,инфо!$A$15:$A$28,F487)</f>
        <v>0</v>
      </c>
      <c r="AU487" s="35">
        <f t="shared" si="118"/>
        <v>0</v>
      </c>
      <c r="AV487" s="33">
        <f t="shared" si="114"/>
        <v>0</v>
      </c>
      <c r="AX487" s="67">
        <f>SUMIFS(инфо!$C$15:$C$28,инфо!$A$15:$A$28,F487)*H486</f>
        <v>0</v>
      </c>
    </row>
    <row r="488" spans="1:50" x14ac:dyDescent="0.25">
      <c r="A488" s="70">
        <f t="shared" si="119"/>
        <v>46308</v>
      </c>
      <c r="B488" s="78"/>
      <c r="C488" s="15"/>
      <c r="D488" s="16"/>
      <c r="E488" s="83"/>
      <c r="F488" s="28"/>
      <c r="G488" s="34"/>
      <c r="H488" s="20"/>
      <c r="I488" s="118">
        <f>IFERROR(H488*VLOOKUP(F488,инфо!$A$15:$C$28,3,FALSE)/1000,0)</f>
        <v>0</v>
      </c>
      <c r="J488" s="20"/>
      <c r="K488" s="20"/>
      <c r="L488" s="20"/>
      <c r="M488" s="20"/>
      <c r="N488" s="20"/>
      <c r="O488" s="34"/>
      <c r="P488" s="34"/>
      <c r="Q488" s="34"/>
      <c r="R488" s="34"/>
      <c r="S488" s="68">
        <f t="shared" si="115"/>
        <v>0</v>
      </c>
      <c r="T488" s="15"/>
      <c r="U488" s="16"/>
      <c r="V488" s="34"/>
      <c r="W488" s="81"/>
      <c r="X488" s="34"/>
      <c r="Y488" s="15"/>
      <c r="Z488" s="34"/>
      <c r="AA488" s="34"/>
      <c r="AB488" s="34"/>
      <c r="AC488" s="81"/>
      <c r="AD488" s="16"/>
      <c r="AE488" s="24">
        <f>SUMIFS(инфо!$D$15:$D$28,инфо!$A$15:$A$28,F488)</f>
        <v>0</v>
      </c>
      <c r="AF488" s="35">
        <f t="shared" si="106"/>
        <v>0</v>
      </c>
      <c r="AG488" s="12">
        <f t="shared" si="116"/>
        <v>0</v>
      </c>
      <c r="AH488" s="24">
        <f>SUMIFS(инфо!$E$15:$E$28,инфо!$A$15:$A$28,F488)</f>
        <v>0</v>
      </c>
      <c r="AI488" s="32">
        <f t="shared" si="107"/>
        <v>0</v>
      </c>
      <c r="AJ488" s="12">
        <f t="shared" si="117"/>
        <v>0</v>
      </c>
      <c r="AK488" s="24">
        <f>SUMIFS(инфо!$F$15:$F$28,инфо!$A$15:$A$28,F488)</f>
        <v>0</v>
      </c>
      <c r="AL488" s="32">
        <f t="shared" si="108"/>
        <v>0</v>
      </c>
      <c r="AM488" s="12">
        <f t="shared" si="111"/>
        <v>0</v>
      </c>
      <c r="AN488" s="24">
        <f>SUMIFS(инфо!$G$15:$G$28,инфо!$A$15:$A$28,F488)</f>
        <v>0</v>
      </c>
      <c r="AO488" s="32">
        <f t="shared" si="109"/>
        <v>0</v>
      </c>
      <c r="AP488" s="12">
        <f t="shared" si="112"/>
        <v>0</v>
      </c>
      <c r="AQ488" s="24">
        <f>SUMIFS(инфо!$H$15:$H$28,инфо!$A$15:$A$28,F488)</f>
        <v>0</v>
      </c>
      <c r="AR488" s="35">
        <f t="shared" si="110"/>
        <v>0</v>
      </c>
      <c r="AS488" s="12">
        <f t="shared" si="113"/>
        <v>0</v>
      </c>
      <c r="AT488" s="24">
        <f>SUMIFS(инфо!$I$15:$I$28,инфо!$A$15:$A$28,F488)</f>
        <v>0</v>
      </c>
      <c r="AU488" s="35">
        <f t="shared" si="118"/>
        <v>0</v>
      </c>
      <c r="AV488" s="12">
        <f t="shared" si="114"/>
        <v>0</v>
      </c>
      <c r="AX488" s="68">
        <f>SUMIFS(инфо!$C$15:$C$28,инфо!$A$15:$A$28,F488)*H487</f>
        <v>0</v>
      </c>
    </row>
    <row r="489" spans="1:50" x14ac:dyDescent="0.25">
      <c r="A489" s="70">
        <f t="shared" si="119"/>
        <v>46308</v>
      </c>
      <c r="B489" s="78"/>
      <c r="C489" s="15"/>
      <c r="D489" s="16"/>
      <c r="E489" s="83"/>
      <c r="F489" s="28"/>
      <c r="G489" s="34"/>
      <c r="H489" s="23"/>
      <c r="I489" s="118">
        <f>IFERROR(H489*VLOOKUP(F489,инфо!$A$15:$C$28,3,FALSE)/1000,0)</f>
        <v>0</v>
      </c>
      <c r="J489" s="20"/>
      <c r="K489" s="20"/>
      <c r="L489" s="20"/>
      <c r="M489" s="20"/>
      <c r="N489" s="20"/>
      <c r="O489" s="34"/>
      <c r="P489" s="34"/>
      <c r="Q489" s="34"/>
      <c r="R489" s="34"/>
      <c r="S489" s="68">
        <f t="shared" si="115"/>
        <v>0</v>
      </c>
      <c r="T489" s="15"/>
      <c r="U489" s="16"/>
      <c r="V489" s="34"/>
      <c r="W489" s="81"/>
      <c r="X489" s="34"/>
      <c r="Y489" s="15"/>
      <c r="Z489" s="34"/>
      <c r="AA489" s="34"/>
      <c r="AB489" s="34"/>
      <c r="AC489" s="81"/>
      <c r="AD489" s="16"/>
      <c r="AE489" s="24">
        <f>SUMIFS(инфо!$D$15:$D$28,инфо!$A$15:$A$28,F489)</f>
        <v>0</v>
      </c>
      <c r="AF489" s="35">
        <f t="shared" si="106"/>
        <v>0</v>
      </c>
      <c r="AG489" s="12">
        <f t="shared" si="116"/>
        <v>0</v>
      </c>
      <c r="AH489" s="24">
        <f>SUMIFS(инфо!$E$15:$E$28,инфо!$A$15:$A$28,F489)</f>
        <v>0</v>
      </c>
      <c r="AI489" s="32">
        <f t="shared" si="107"/>
        <v>0</v>
      </c>
      <c r="AJ489" s="12">
        <f t="shared" si="117"/>
        <v>0</v>
      </c>
      <c r="AK489" s="24">
        <f>SUMIFS(инфо!$F$15:$F$28,инфо!$A$15:$A$28,F489)</f>
        <v>0</v>
      </c>
      <c r="AL489" s="32">
        <f t="shared" si="108"/>
        <v>0</v>
      </c>
      <c r="AM489" s="12">
        <f t="shared" si="111"/>
        <v>0</v>
      </c>
      <c r="AN489" s="24">
        <f>SUMIFS(инфо!$G$15:$G$28,инфо!$A$15:$A$28,F489)</f>
        <v>0</v>
      </c>
      <c r="AO489" s="32">
        <f t="shared" si="109"/>
        <v>0</v>
      </c>
      <c r="AP489" s="12">
        <f t="shared" si="112"/>
        <v>0</v>
      </c>
      <c r="AQ489" s="24">
        <f>SUMIFS(инфо!$H$15:$H$28,инфо!$A$15:$A$28,F489)</f>
        <v>0</v>
      </c>
      <c r="AR489" s="35">
        <f t="shared" si="110"/>
        <v>0</v>
      </c>
      <c r="AS489" s="12">
        <f t="shared" si="113"/>
        <v>0</v>
      </c>
      <c r="AT489" s="24">
        <f>SUMIFS(инфо!$I$15:$I$28,инфо!$A$15:$A$28,F489)</f>
        <v>0</v>
      </c>
      <c r="AU489" s="35">
        <f t="shared" si="118"/>
        <v>0</v>
      </c>
      <c r="AV489" s="12">
        <f t="shared" si="114"/>
        <v>0</v>
      </c>
      <c r="AX489" s="68">
        <f>SUMIFS(инфо!$C$15:$C$28,инфо!$A$15:$A$28,F489)*H488</f>
        <v>0</v>
      </c>
    </row>
    <row r="490" spans="1:50" x14ac:dyDescent="0.25">
      <c r="A490" s="70">
        <f t="shared" si="119"/>
        <v>46309</v>
      </c>
      <c r="B490" s="78"/>
      <c r="C490" s="17"/>
      <c r="D490" s="18"/>
      <c r="E490" s="83"/>
      <c r="F490" s="28"/>
      <c r="G490" s="19"/>
      <c r="H490" s="28"/>
      <c r="I490" s="118">
        <f>IFERROR(H490*VLOOKUP(F490,инфо!$A$15:$C$28,3,FALSE)/1000,0)</f>
        <v>0</v>
      </c>
      <c r="J490" s="20"/>
      <c r="K490" s="20"/>
      <c r="L490" s="20"/>
      <c r="M490" s="20"/>
      <c r="N490" s="23"/>
      <c r="O490" s="19"/>
      <c r="P490" s="19"/>
      <c r="Q490" s="19"/>
      <c r="R490" s="19"/>
      <c r="S490" s="69">
        <f t="shared" si="115"/>
        <v>0</v>
      </c>
      <c r="T490" s="17"/>
      <c r="U490" s="18"/>
      <c r="V490" s="19"/>
      <c r="W490" s="81"/>
      <c r="X490" s="19"/>
      <c r="Y490" s="17"/>
      <c r="Z490" s="19"/>
      <c r="AA490" s="19"/>
      <c r="AB490" s="19"/>
      <c r="AC490" s="81"/>
      <c r="AD490" s="18"/>
      <c r="AE490" s="25">
        <f>SUMIFS(инфо!$D$15:$D$28,инфо!$A$15:$A$28,F490)</f>
        <v>0</v>
      </c>
      <c r="AF490" s="35">
        <f t="shared" si="106"/>
        <v>0</v>
      </c>
      <c r="AG490" s="14">
        <f t="shared" si="116"/>
        <v>0</v>
      </c>
      <c r="AH490" s="25">
        <f>SUMIFS(инфо!$E$15:$E$28,инфо!$A$15:$A$28,F490)</f>
        <v>0</v>
      </c>
      <c r="AI490" s="32">
        <f t="shared" si="107"/>
        <v>0</v>
      </c>
      <c r="AJ490" s="14">
        <f t="shared" si="117"/>
        <v>0</v>
      </c>
      <c r="AK490" s="25">
        <f>SUMIFS(инфо!$F$15:$F$28,инфо!$A$15:$A$28,F490)</f>
        <v>0</v>
      </c>
      <c r="AL490" s="32">
        <f t="shared" si="108"/>
        <v>0</v>
      </c>
      <c r="AM490" s="14">
        <f t="shared" si="111"/>
        <v>0</v>
      </c>
      <c r="AN490" s="25">
        <f>SUMIFS(инфо!$G$15:$G$28,инфо!$A$15:$A$28,F490)</f>
        <v>0</v>
      </c>
      <c r="AO490" s="32">
        <f t="shared" si="109"/>
        <v>0</v>
      </c>
      <c r="AP490" s="14">
        <f t="shared" si="112"/>
        <v>0</v>
      </c>
      <c r="AQ490" s="25">
        <f>SUMIFS(инфо!$H$15:$H$28,инфо!$A$15:$A$28,F490)</f>
        <v>0</v>
      </c>
      <c r="AR490" s="26">
        <f t="shared" si="110"/>
        <v>0</v>
      </c>
      <c r="AS490" s="14">
        <f t="shared" si="113"/>
        <v>0</v>
      </c>
      <c r="AT490" s="25">
        <f>SUMIFS(инфо!$I$15:$I$28,инфо!$A$15:$A$28,F490)</f>
        <v>0</v>
      </c>
      <c r="AU490" s="35">
        <f t="shared" si="118"/>
        <v>0</v>
      </c>
      <c r="AV490" s="14">
        <f t="shared" si="114"/>
        <v>0</v>
      </c>
      <c r="AX490" s="69">
        <f>SUMIFS(инфо!$C$15:$C$28,инфо!$A$15:$A$28,F490)*H489</f>
        <v>0</v>
      </c>
    </row>
    <row r="491" spans="1:50" x14ac:dyDescent="0.25">
      <c r="A491" s="70">
        <f t="shared" si="119"/>
        <v>46309</v>
      </c>
      <c r="B491" s="78"/>
      <c r="C491" s="29"/>
      <c r="D491" s="30"/>
      <c r="E491" s="83"/>
      <c r="F491" s="28"/>
      <c r="G491" s="27"/>
      <c r="H491" s="20"/>
      <c r="I491" s="118">
        <f>IFERROR(H491*VLOOKUP(F491,инфо!$A$15:$C$28,3,FALSE)/1000,0)</f>
        <v>0</v>
      </c>
      <c r="J491" s="20"/>
      <c r="K491" s="20"/>
      <c r="L491" s="20"/>
      <c r="M491" s="20"/>
      <c r="N491" s="28"/>
      <c r="O491" s="27"/>
      <c r="P491" s="27"/>
      <c r="Q491" s="27"/>
      <c r="R491" s="27"/>
      <c r="S491" s="67">
        <f t="shared" si="115"/>
        <v>0</v>
      </c>
      <c r="T491" s="29"/>
      <c r="U491" s="30"/>
      <c r="V491" s="27"/>
      <c r="W491" s="81"/>
      <c r="X491" s="27"/>
      <c r="Y491" s="29"/>
      <c r="Z491" s="27"/>
      <c r="AA491" s="27"/>
      <c r="AB491" s="27"/>
      <c r="AC491" s="81"/>
      <c r="AD491" s="30"/>
      <c r="AE491" s="31">
        <f>SUMIFS(инфо!$D$15:$D$28,инфо!$A$15:$A$28,F491)</f>
        <v>0</v>
      </c>
      <c r="AF491" s="35">
        <f t="shared" si="106"/>
        <v>0</v>
      </c>
      <c r="AG491" s="33">
        <f t="shared" si="116"/>
        <v>0</v>
      </c>
      <c r="AH491" s="31">
        <f>SUMIFS(инфо!$E$15:$E$28,инфо!$A$15:$A$28,F491)</f>
        <v>0</v>
      </c>
      <c r="AI491" s="32">
        <f t="shared" si="107"/>
        <v>0</v>
      </c>
      <c r="AJ491" s="33">
        <f t="shared" si="117"/>
        <v>0</v>
      </c>
      <c r="AK491" s="31">
        <f>SUMIFS(инфо!$F$15:$F$28,инфо!$A$15:$A$28,F491)</f>
        <v>0</v>
      </c>
      <c r="AL491" s="32">
        <f t="shared" si="108"/>
        <v>0</v>
      </c>
      <c r="AM491" s="33">
        <f t="shared" si="111"/>
        <v>0</v>
      </c>
      <c r="AN491" s="31">
        <f>SUMIFS(инфо!$G$15:$G$28,инфо!$A$15:$A$28,F491)</f>
        <v>0</v>
      </c>
      <c r="AO491" s="32">
        <f t="shared" si="109"/>
        <v>0</v>
      </c>
      <c r="AP491" s="33">
        <f t="shared" si="112"/>
        <v>0</v>
      </c>
      <c r="AQ491" s="31">
        <f>SUMIFS(инфо!$H$15:$H$28,инфо!$A$15:$A$28,F491)</f>
        <v>0</v>
      </c>
      <c r="AR491" s="32">
        <f t="shared" si="110"/>
        <v>0</v>
      </c>
      <c r="AS491" s="33">
        <f t="shared" si="113"/>
        <v>0</v>
      </c>
      <c r="AT491" s="31">
        <f>SUMIFS(инфо!$I$15:$I$28,инфо!$A$15:$A$28,F491)</f>
        <v>0</v>
      </c>
      <c r="AU491" s="35">
        <f t="shared" si="118"/>
        <v>0</v>
      </c>
      <c r="AV491" s="33">
        <f t="shared" si="114"/>
        <v>0</v>
      </c>
      <c r="AX491" s="67">
        <f>SUMIFS(инфо!$C$15:$C$28,инфо!$A$15:$A$28,F491)*H490</f>
        <v>0</v>
      </c>
    </row>
    <row r="492" spans="1:50" x14ac:dyDescent="0.25">
      <c r="A492" s="70">
        <f t="shared" si="119"/>
        <v>46310</v>
      </c>
      <c r="B492" s="78"/>
      <c r="C492" s="15"/>
      <c r="D492" s="16"/>
      <c r="E492" s="83"/>
      <c r="F492" s="28"/>
      <c r="G492" s="34"/>
      <c r="H492" s="20"/>
      <c r="I492" s="118">
        <f>IFERROR(H492*VLOOKUP(F492,инфо!$A$15:$C$28,3,FALSE)/1000,0)</f>
        <v>0</v>
      </c>
      <c r="J492" s="20"/>
      <c r="K492" s="20"/>
      <c r="L492" s="20"/>
      <c r="M492" s="20"/>
      <c r="N492" s="20"/>
      <c r="O492" s="34"/>
      <c r="P492" s="34"/>
      <c r="Q492" s="34"/>
      <c r="R492" s="34"/>
      <c r="S492" s="68">
        <f t="shared" si="115"/>
        <v>0</v>
      </c>
      <c r="T492" s="15"/>
      <c r="U492" s="16"/>
      <c r="V492" s="34"/>
      <c r="W492" s="81"/>
      <c r="X492" s="34"/>
      <c r="Y492" s="15"/>
      <c r="Z492" s="34"/>
      <c r="AA492" s="34"/>
      <c r="AB492" s="34"/>
      <c r="AC492" s="81"/>
      <c r="AD492" s="16"/>
      <c r="AE492" s="24">
        <f>SUMIFS(инфо!$D$15:$D$28,инфо!$A$15:$A$28,F492)</f>
        <v>0</v>
      </c>
      <c r="AF492" s="35">
        <f t="shared" si="106"/>
        <v>0</v>
      </c>
      <c r="AG492" s="12">
        <f t="shared" si="116"/>
        <v>0</v>
      </c>
      <c r="AH492" s="24">
        <f>SUMIFS(инфо!$E$15:$E$28,инфо!$A$15:$A$28,F492)</f>
        <v>0</v>
      </c>
      <c r="AI492" s="32">
        <f t="shared" si="107"/>
        <v>0</v>
      </c>
      <c r="AJ492" s="12">
        <f t="shared" si="117"/>
        <v>0</v>
      </c>
      <c r="AK492" s="24">
        <f>SUMIFS(инфо!$F$15:$F$28,инфо!$A$15:$A$28,F492)</f>
        <v>0</v>
      </c>
      <c r="AL492" s="32">
        <f t="shared" si="108"/>
        <v>0</v>
      </c>
      <c r="AM492" s="12">
        <f t="shared" si="111"/>
        <v>0</v>
      </c>
      <c r="AN492" s="24">
        <f>SUMIFS(инфо!$G$15:$G$28,инфо!$A$15:$A$28,F492)</f>
        <v>0</v>
      </c>
      <c r="AO492" s="32">
        <f t="shared" si="109"/>
        <v>0</v>
      </c>
      <c r="AP492" s="12">
        <f t="shared" si="112"/>
        <v>0</v>
      </c>
      <c r="AQ492" s="24">
        <f>SUMIFS(инфо!$H$15:$H$28,инфо!$A$15:$A$28,F492)</f>
        <v>0</v>
      </c>
      <c r="AR492" s="35">
        <f t="shared" si="110"/>
        <v>0</v>
      </c>
      <c r="AS492" s="12">
        <f t="shared" si="113"/>
        <v>0</v>
      </c>
      <c r="AT492" s="24">
        <f>SUMIFS(инфо!$I$15:$I$28,инфо!$A$15:$A$28,F492)</f>
        <v>0</v>
      </c>
      <c r="AU492" s="35">
        <f t="shared" si="118"/>
        <v>0</v>
      </c>
      <c r="AV492" s="12">
        <f t="shared" si="114"/>
        <v>0</v>
      </c>
      <c r="AX492" s="68">
        <f>SUMIFS(инфо!$C$15:$C$28,инфо!$A$15:$A$28,F492)*H491</f>
        <v>0</v>
      </c>
    </row>
    <row r="493" spans="1:50" x14ac:dyDescent="0.25">
      <c r="A493" s="70">
        <f t="shared" si="119"/>
        <v>46310</v>
      </c>
      <c r="B493" s="78"/>
      <c r="C493" s="15"/>
      <c r="D493" s="16"/>
      <c r="E493" s="83"/>
      <c r="F493" s="28"/>
      <c r="G493" s="34"/>
      <c r="H493" s="23"/>
      <c r="I493" s="118">
        <f>IFERROR(H493*VLOOKUP(F493,инфо!$A$15:$C$28,3,FALSE)/1000,0)</f>
        <v>0</v>
      </c>
      <c r="J493" s="20"/>
      <c r="K493" s="20"/>
      <c r="L493" s="20"/>
      <c r="M493" s="20"/>
      <c r="N493" s="20"/>
      <c r="O493" s="34"/>
      <c r="P493" s="34"/>
      <c r="Q493" s="34"/>
      <c r="R493" s="34"/>
      <c r="S493" s="68">
        <f t="shared" si="115"/>
        <v>0</v>
      </c>
      <c r="T493" s="15"/>
      <c r="U493" s="16"/>
      <c r="V493" s="34"/>
      <c r="W493" s="81"/>
      <c r="X493" s="34"/>
      <c r="Y493" s="15"/>
      <c r="Z493" s="34"/>
      <c r="AA493" s="34"/>
      <c r="AB493" s="34"/>
      <c r="AC493" s="81"/>
      <c r="AD493" s="16"/>
      <c r="AE493" s="24">
        <f>SUMIFS(инфо!$D$15:$D$28,инфо!$A$15:$A$28,F493)</f>
        <v>0</v>
      </c>
      <c r="AF493" s="35">
        <f t="shared" ref="AF493:AF556" si="120">IF(H493=0,0,N493/H493)</f>
        <v>0</v>
      </c>
      <c r="AG493" s="12">
        <f t="shared" si="116"/>
        <v>0</v>
      </c>
      <c r="AH493" s="24">
        <f>SUMIFS(инфо!$E$15:$E$28,инфо!$A$15:$A$28,F493)</f>
        <v>0</v>
      </c>
      <c r="AI493" s="32">
        <f t="shared" ref="AI493:AI556" si="121">IF(H493=0,0,S493/H493)</f>
        <v>0</v>
      </c>
      <c r="AJ493" s="12">
        <f t="shared" si="117"/>
        <v>0</v>
      </c>
      <c r="AK493" s="24">
        <f>SUMIFS(инфо!$F$15:$F$28,инфо!$A$15:$A$28,F493)</f>
        <v>0</v>
      </c>
      <c r="AL493" s="32">
        <f t="shared" ref="AL493:AL556" si="122">IF(H493=0,0,Y493/H493)</f>
        <v>0</v>
      </c>
      <c r="AM493" s="12">
        <f t="shared" si="111"/>
        <v>0</v>
      </c>
      <c r="AN493" s="24">
        <f>SUMIFS(инфо!$G$15:$G$28,инфо!$A$15:$A$28,F493)</f>
        <v>0</v>
      </c>
      <c r="AO493" s="32">
        <f t="shared" ref="AO493:AO556" si="123">IF(H493=0,0,AA493/H493)</f>
        <v>0</v>
      </c>
      <c r="AP493" s="12">
        <f t="shared" si="112"/>
        <v>0</v>
      </c>
      <c r="AQ493" s="24">
        <f>SUMIFS(инфо!$H$15:$H$28,инфо!$A$15:$A$28,F493)</f>
        <v>0</v>
      </c>
      <c r="AR493" s="35">
        <f t="shared" si="110"/>
        <v>0</v>
      </c>
      <c r="AS493" s="12">
        <f t="shared" si="113"/>
        <v>0</v>
      </c>
      <c r="AT493" s="24">
        <f>SUMIFS(инфо!$I$15:$I$28,инфо!$A$15:$A$28,F493)</f>
        <v>0</v>
      </c>
      <c r="AU493" s="35">
        <f t="shared" si="118"/>
        <v>0</v>
      </c>
      <c r="AV493" s="12">
        <f t="shared" si="114"/>
        <v>0</v>
      </c>
      <c r="AX493" s="68">
        <f>SUMIFS(инфо!$C$15:$C$28,инфо!$A$15:$A$28,F493)*H492</f>
        <v>0</v>
      </c>
    </row>
    <row r="494" spans="1:50" x14ac:dyDescent="0.25">
      <c r="A494" s="70">
        <f t="shared" si="119"/>
        <v>46311</v>
      </c>
      <c r="B494" s="78"/>
      <c r="C494" s="17"/>
      <c r="D494" s="18"/>
      <c r="E494" s="83"/>
      <c r="F494" s="28"/>
      <c r="G494" s="19"/>
      <c r="H494" s="28"/>
      <c r="I494" s="118">
        <f>IFERROR(H494*VLOOKUP(F494,инфо!$A$15:$C$28,3,FALSE)/1000,0)</f>
        <v>0</v>
      </c>
      <c r="J494" s="20"/>
      <c r="K494" s="20"/>
      <c r="L494" s="20"/>
      <c r="M494" s="20"/>
      <c r="N494" s="23"/>
      <c r="O494" s="19"/>
      <c r="P494" s="19"/>
      <c r="Q494" s="19"/>
      <c r="R494" s="19"/>
      <c r="S494" s="69">
        <f t="shared" si="115"/>
        <v>0</v>
      </c>
      <c r="T494" s="17"/>
      <c r="U494" s="18"/>
      <c r="V494" s="19"/>
      <c r="W494" s="81"/>
      <c r="X494" s="19"/>
      <c r="Y494" s="17"/>
      <c r="Z494" s="19"/>
      <c r="AA494" s="19"/>
      <c r="AB494" s="19"/>
      <c r="AC494" s="81"/>
      <c r="AD494" s="18"/>
      <c r="AE494" s="25">
        <f>SUMIFS(инфо!$D$15:$D$28,инфо!$A$15:$A$28,F494)</f>
        <v>0</v>
      </c>
      <c r="AF494" s="35">
        <f t="shared" si="120"/>
        <v>0</v>
      </c>
      <c r="AG494" s="14">
        <f t="shared" si="116"/>
        <v>0</v>
      </c>
      <c r="AH494" s="25">
        <f>SUMIFS(инфо!$E$15:$E$28,инфо!$A$15:$A$28,F494)</f>
        <v>0</v>
      </c>
      <c r="AI494" s="32">
        <f t="shared" si="121"/>
        <v>0</v>
      </c>
      <c r="AJ494" s="14">
        <f t="shared" si="117"/>
        <v>0</v>
      </c>
      <c r="AK494" s="25">
        <f>SUMIFS(инфо!$F$15:$F$28,инфо!$A$15:$A$28,F494)</f>
        <v>0</v>
      </c>
      <c r="AL494" s="32">
        <f t="shared" si="122"/>
        <v>0</v>
      </c>
      <c r="AM494" s="14">
        <f t="shared" si="111"/>
        <v>0</v>
      </c>
      <c r="AN494" s="25">
        <f>SUMIFS(инфо!$G$15:$G$28,инфо!$A$15:$A$28,F494)</f>
        <v>0</v>
      </c>
      <c r="AO494" s="32">
        <f t="shared" si="123"/>
        <v>0</v>
      </c>
      <c r="AP494" s="14">
        <f t="shared" si="112"/>
        <v>0</v>
      </c>
      <c r="AQ494" s="25">
        <f>SUMIFS(инфо!$H$15:$H$28,инфо!$A$15:$A$28,F494)</f>
        <v>0</v>
      </c>
      <c r="AR494" s="26">
        <f t="shared" ref="AR494:AR557" si="124">IF(H493=0,0,AC494/H493)</f>
        <v>0</v>
      </c>
      <c r="AS494" s="14">
        <f t="shared" si="113"/>
        <v>0</v>
      </c>
      <c r="AT494" s="25">
        <f>SUMIFS(инфо!$I$15:$I$28,инфо!$A$15:$A$28,F494)</f>
        <v>0</v>
      </c>
      <c r="AU494" s="35">
        <f t="shared" si="118"/>
        <v>0</v>
      </c>
      <c r="AV494" s="14">
        <f t="shared" si="114"/>
        <v>0</v>
      </c>
      <c r="AX494" s="69">
        <f>SUMIFS(инфо!$C$15:$C$28,инфо!$A$15:$A$28,F494)*H493</f>
        <v>0</v>
      </c>
    </row>
    <row r="495" spans="1:50" x14ac:dyDescent="0.25">
      <c r="A495" s="70">
        <f t="shared" si="119"/>
        <v>46311</v>
      </c>
      <c r="B495" s="78"/>
      <c r="C495" s="29"/>
      <c r="D495" s="30"/>
      <c r="E495" s="83"/>
      <c r="F495" s="28"/>
      <c r="G495" s="27"/>
      <c r="H495" s="20"/>
      <c r="I495" s="118">
        <f>IFERROR(H495*VLOOKUP(F495,инфо!$A$15:$C$28,3,FALSE)/1000,0)</f>
        <v>0</v>
      </c>
      <c r="J495" s="20"/>
      <c r="K495" s="20"/>
      <c r="L495" s="20"/>
      <c r="M495" s="20"/>
      <c r="N495" s="28"/>
      <c r="O495" s="27"/>
      <c r="P495" s="27"/>
      <c r="Q495" s="27"/>
      <c r="R495" s="27"/>
      <c r="S495" s="67">
        <f t="shared" si="115"/>
        <v>0</v>
      </c>
      <c r="T495" s="29"/>
      <c r="U495" s="30"/>
      <c r="V495" s="27"/>
      <c r="W495" s="81"/>
      <c r="X495" s="27"/>
      <c r="Y495" s="29"/>
      <c r="Z495" s="27"/>
      <c r="AA495" s="27"/>
      <c r="AB495" s="27"/>
      <c r="AC495" s="81"/>
      <c r="AD495" s="30"/>
      <c r="AE495" s="31">
        <f>SUMIFS(инфо!$D$15:$D$28,инфо!$A$15:$A$28,F495)</f>
        <v>0</v>
      </c>
      <c r="AF495" s="35">
        <f t="shared" si="120"/>
        <v>0</v>
      </c>
      <c r="AG495" s="33">
        <f t="shared" si="116"/>
        <v>0</v>
      </c>
      <c r="AH495" s="31">
        <f>SUMIFS(инфо!$E$15:$E$28,инфо!$A$15:$A$28,F495)</f>
        <v>0</v>
      </c>
      <c r="AI495" s="32">
        <f t="shared" si="121"/>
        <v>0</v>
      </c>
      <c r="AJ495" s="33">
        <f t="shared" si="117"/>
        <v>0</v>
      </c>
      <c r="AK495" s="31">
        <f>SUMIFS(инфо!$F$15:$F$28,инфо!$A$15:$A$28,F495)</f>
        <v>0</v>
      </c>
      <c r="AL495" s="32">
        <f t="shared" si="122"/>
        <v>0</v>
      </c>
      <c r="AM495" s="33">
        <f t="shared" ref="AM495:AM558" si="125">AL495-AK495</f>
        <v>0</v>
      </c>
      <c r="AN495" s="31">
        <f>SUMIFS(инфо!$G$15:$G$28,инфо!$A$15:$A$28,F495)</f>
        <v>0</v>
      </c>
      <c r="AO495" s="32">
        <f t="shared" si="123"/>
        <v>0</v>
      </c>
      <c r="AP495" s="33">
        <f t="shared" ref="AP495:AP558" si="126">AO495-AN495</f>
        <v>0</v>
      </c>
      <c r="AQ495" s="31">
        <f>SUMIFS(инфо!$H$15:$H$28,инфо!$A$15:$A$28,F495)</f>
        <v>0</v>
      </c>
      <c r="AR495" s="32">
        <f t="shared" si="124"/>
        <v>0</v>
      </c>
      <c r="AS495" s="33">
        <f t="shared" ref="AS495:AS558" si="127">AR495-AQ495</f>
        <v>0</v>
      </c>
      <c r="AT495" s="31">
        <f>SUMIFS(инфо!$I$15:$I$28,инфо!$A$15:$A$28,F495)</f>
        <v>0</v>
      </c>
      <c r="AU495" s="35">
        <f t="shared" si="118"/>
        <v>0</v>
      </c>
      <c r="AV495" s="33">
        <f t="shared" ref="AV495:AV558" si="128">AU495-AT495</f>
        <v>0</v>
      </c>
      <c r="AX495" s="67">
        <f>SUMIFS(инфо!$C$15:$C$28,инфо!$A$15:$A$28,F495)*H494</f>
        <v>0</v>
      </c>
    </row>
    <row r="496" spans="1:50" x14ac:dyDescent="0.25">
      <c r="A496" s="70">
        <f t="shared" si="119"/>
        <v>46312</v>
      </c>
      <c r="B496" s="78"/>
      <c r="C496" s="15"/>
      <c r="D496" s="16"/>
      <c r="E496" s="83"/>
      <c r="F496" s="28"/>
      <c r="G496" s="34"/>
      <c r="H496" s="20"/>
      <c r="I496" s="118">
        <f>IFERROR(H496*VLOOKUP(F496,инфо!$A$15:$C$28,3,FALSE)/1000,0)</f>
        <v>0</v>
      </c>
      <c r="J496" s="20"/>
      <c r="K496" s="20"/>
      <c r="L496" s="20"/>
      <c r="M496" s="20"/>
      <c r="N496" s="20"/>
      <c r="O496" s="34"/>
      <c r="P496" s="34"/>
      <c r="Q496" s="34"/>
      <c r="R496" s="34"/>
      <c r="S496" s="68">
        <f t="shared" ref="S496:S559" si="129">SUM(O496:R496)</f>
        <v>0</v>
      </c>
      <c r="T496" s="15"/>
      <c r="U496" s="16"/>
      <c r="V496" s="34"/>
      <c r="W496" s="81"/>
      <c r="X496" s="34"/>
      <c r="Y496" s="15"/>
      <c r="Z496" s="34"/>
      <c r="AA496" s="34"/>
      <c r="AB496" s="34"/>
      <c r="AC496" s="81"/>
      <c r="AD496" s="16"/>
      <c r="AE496" s="24">
        <f>SUMIFS(инфо!$D$15:$D$28,инфо!$A$15:$A$28,F496)</f>
        <v>0</v>
      </c>
      <c r="AF496" s="35">
        <f t="shared" si="120"/>
        <v>0</v>
      </c>
      <c r="AG496" s="12">
        <f t="shared" si="116"/>
        <v>0</v>
      </c>
      <c r="AH496" s="24">
        <f>SUMIFS(инфо!$E$15:$E$28,инфо!$A$15:$A$28,F496)</f>
        <v>0</v>
      </c>
      <c r="AI496" s="32">
        <f t="shared" si="121"/>
        <v>0</v>
      </c>
      <c r="AJ496" s="12">
        <f t="shared" si="117"/>
        <v>0</v>
      </c>
      <c r="AK496" s="24">
        <f>SUMIFS(инфо!$F$15:$F$28,инфо!$A$15:$A$28,F496)</f>
        <v>0</v>
      </c>
      <c r="AL496" s="32">
        <f t="shared" si="122"/>
        <v>0</v>
      </c>
      <c r="AM496" s="12">
        <f t="shared" si="125"/>
        <v>0</v>
      </c>
      <c r="AN496" s="24">
        <f>SUMIFS(инфо!$G$15:$G$28,инфо!$A$15:$A$28,F496)</f>
        <v>0</v>
      </c>
      <c r="AO496" s="32">
        <f t="shared" si="123"/>
        <v>0</v>
      </c>
      <c r="AP496" s="12">
        <f t="shared" si="126"/>
        <v>0</v>
      </c>
      <c r="AQ496" s="24">
        <f>SUMIFS(инфо!$H$15:$H$28,инфо!$A$15:$A$28,F496)</f>
        <v>0</v>
      </c>
      <c r="AR496" s="35">
        <f t="shared" si="124"/>
        <v>0</v>
      </c>
      <c r="AS496" s="12">
        <f t="shared" si="127"/>
        <v>0</v>
      </c>
      <c r="AT496" s="24">
        <f>SUMIFS(инфо!$I$15:$I$28,инфо!$A$15:$A$28,F496)</f>
        <v>0</v>
      </c>
      <c r="AU496" s="35">
        <f t="shared" si="118"/>
        <v>0</v>
      </c>
      <c r="AV496" s="12">
        <f t="shared" si="128"/>
        <v>0</v>
      </c>
      <c r="AX496" s="68">
        <f>SUMIFS(инфо!$C$15:$C$28,инфо!$A$15:$A$28,F496)*H495</f>
        <v>0</v>
      </c>
    </row>
    <row r="497" spans="1:50" x14ac:dyDescent="0.25">
      <c r="A497" s="70">
        <f t="shared" si="119"/>
        <v>46312</v>
      </c>
      <c r="B497" s="78"/>
      <c r="C497" s="15"/>
      <c r="D497" s="16"/>
      <c r="E497" s="83"/>
      <c r="F497" s="28"/>
      <c r="G497" s="34"/>
      <c r="H497" s="23"/>
      <c r="I497" s="118">
        <f>IFERROR(H497*VLOOKUP(F497,инфо!$A$15:$C$28,3,FALSE)/1000,0)</f>
        <v>0</v>
      </c>
      <c r="J497" s="20"/>
      <c r="K497" s="20"/>
      <c r="L497" s="20"/>
      <c r="M497" s="20"/>
      <c r="N497" s="20"/>
      <c r="O497" s="34"/>
      <c r="P497" s="34"/>
      <c r="Q497" s="34"/>
      <c r="R497" s="34"/>
      <c r="S497" s="68">
        <f t="shared" si="129"/>
        <v>0</v>
      </c>
      <c r="T497" s="15"/>
      <c r="U497" s="16"/>
      <c r="V497" s="34"/>
      <c r="W497" s="81"/>
      <c r="X497" s="34"/>
      <c r="Y497" s="15"/>
      <c r="Z497" s="34"/>
      <c r="AA497" s="34"/>
      <c r="AB497" s="34"/>
      <c r="AC497" s="81"/>
      <c r="AD497" s="16"/>
      <c r="AE497" s="24">
        <f>SUMIFS(инфо!$D$15:$D$28,инфо!$A$15:$A$28,F497)</f>
        <v>0</v>
      </c>
      <c r="AF497" s="35">
        <f t="shared" si="120"/>
        <v>0</v>
      </c>
      <c r="AG497" s="12">
        <f t="shared" si="116"/>
        <v>0</v>
      </c>
      <c r="AH497" s="24">
        <f>SUMIFS(инфо!$E$15:$E$28,инфо!$A$15:$A$28,F497)</f>
        <v>0</v>
      </c>
      <c r="AI497" s="32">
        <f t="shared" si="121"/>
        <v>0</v>
      </c>
      <c r="AJ497" s="12">
        <f t="shared" si="117"/>
        <v>0</v>
      </c>
      <c r="AK497" s="24">
        <f>SUMIFS(инфо!$F$15:$F$28,инфо!$A$15:$A$28,F497)</f>
        <v>0</v>
      </c>
      <c r="AL497" s="32">
        <f t="shared" si="122"/>
        <v>0</v>
      </c>
      <c r="AM497" s="12">
        <f t="shared" si="125"/>
        <v>0</v>
      </c>
      <c r="AN497" s="24">
        <f>SUMIFS(инфо!$G$15:$G$28,инфо!$A$15:$A$28,F497)</f>
        <v>0</v>
      </c>
      <c r="AO497" s="32">
        <f t="shared" si="123"/>
        <v>0</v>
      </c>
      <c r="AP497" s="12">
        <f t="shared" si="126"/>
        <v>0</v>
      </c>
      <c r="AQ497" s="24">
        <f>SUMIFS(инфо!$H$15:$H$28,инфо!$A$15:$A$28,F497)</f>
        <v>0</v>
      </c>
      <c r="AR497" s="35">
        <f t="shared" si="124"/>
        <v>0</v>
      </c>
      <c r="AS497" s="12">
        <f t="shared" si="127"/>
        <v>0</v>
      </c>
      <c r="AT497" s="24">
        <f>SUMIFS(инфо!$I$15:$I$28,инфо!$A$15:$A$28,F497)</f>
        <v>0</v>
      </c>
      <c r="AU497" s="35">
        <f t="shared" si="118"/>
        <v>0</v>
      </c>
      <c r="AV497" s="12">
        <f t="shared" si="128"/>
        <v>0</v>
      </c>
      <c r="AX497" s="68">
        <f>SUMIFS(инфо!$C$15:$C$28,инфо!$A$15:$A$28,F497)*H496</f>
        <v>0</v>
      </c>
    </row>
    <row r="498" spans="1:50" x14ac:dyDescent="0.25">
      <c r="A498" s="70">
        <f t="shared" si="119"/>
        <v>46313</v>
      </c>
      <c r="B498" s="78"/>
      <c r="C498" s="17"/>
      <c r="D498" s="18"/>
      <c r="E498" s="83"/>
      <c r="F498" s="28"/>
      <c r="G498" s="19"/>
      <c r="H498" s="28"/>
      <c r="I498" s="118">
        <f>IFERROR(H498*VLOOKUP(F498,инфо!$A$15:$C$28,3,FALSE)/1000,0)</f>
        <v>0</v>
      </c>
      <c r="J498" s="20"/>
      <c r="K498" s="20"/>
      <c r="L498" s="20"/>
      <c r="M498" s="20"/>
      <c r="N498" s="23"/>
      <c r="O498" s="19"/>
      <c r="P498" s="19"/>
      <c r="Q498" s="19"/>
      <c r="R498" s="19"/>
      <c r="S498" s="69">
        <f t="shared" si="129"/>
        <v>0</v>
      </c>
      <c r="T498" s="17"/>
      <c r="U498" s="18"/>
      <c r="V498" s="19"/>
      <c r="W498" s="81"/>
      <c r="X498" s="19"/>
      <c r="Y498" s="17"/>
      <c r="Z498" s="19"/>
      <c r="AA498" s="19"/>
      <c r="AB498" s="19"/>
      <c r="AC498" s="81"/>
      <c r="AD498" s="18"/>
      <c r="AE498" s="25">
        <f>SUMIFS(инфо!$D$15:$D$28,инфо!$A$15:$A$28,F498)</f>
        <v>0</v>
      </c>
      <c r="AF498" s="35">
        <f t="shared" si="120"/>
        <v>0</v>
      </c>
      <c r="AG498" s="14">
        <f t="shared" si="116"/>
        <v>0</v>
      </c>
      <c r="AH498" s="25">
        <f>SUMIFS(инфо!$E$15:$E$28,инфо!$A$15:$A$28,F498)</f>
        <v>0</v>
      </c>
      <c r="AI498" s="32">
        <f t="shared" si="121"/>
        <v>0</v>
      </c>
      <c r="AJ498" s="14">
        <f t="shared" si="117"/>
        <v>0</v>
      </c>
      <c r="AK498" s="25">
        <f>SUMIFS(инфо!$F$15:$F$28,инфо!$A$15:$A$28,F498)</f>
        <v>0</v>
      </c>
      <c r="AL498" s="32">
        <f t="shared" si="122"/>
        <v>0</v>
      </c>
      <c r="AM498" s="14">
        <f t="shared" si="125"/>
        <v>0</v>
      </c>
      <c r="AN498" s="25">
        <f>SUMIFS(инфо!$G$15:$G$28,инфо!$A$15:$A$28,F498)</f>
        <v>0</v>
      </c>
      <c r="AO498" s="32">
        <f t="shared" si="123"/>
        <v>0</v>
      </c>
      <c r="AP498" s="14">
        <f t="shared" si="126"/>
        <v>0</v>
      </c>
      <c r="AQ498" s="25">
        <f>SUMIFS(инфо!$H$15:$H$28,инфо!$A$15:$A$28,F498)</f>
        <v>0</v>
      </c>
      <c r="AR498" s="26">
        <f t="shared" si="124"/>
        <v>0</v>
      </c>
      <c r="AS498" s="14">
        <f t="shared" si="127"/>
        <v>0</v>
      </c>
      <c r="AT498" s="25">
        <f>SUMIFS(инфо!$I$15:$I$28,инфо!$A$15:$A$28,F498)</f>
        <v>0</v>
      </c>
      <c r="AU498" s="35">
        <f t="shared" si="118"/>
        <v>0</v>
      </c>
      <c r="AV498" s="14">
        <f t="shared" si="128"/>
        <v>0</v>
      </c>
      <c r="AX498" s="69">
        <f>SUMIFS(инфо!$C$15:$C$28,инфо!$A$15:$A$28,F498)*H497</f>
        <v>0</v>
      </c>
    </row>
    <row r="499" spans="1:50" x14ac:dyDescent="0.25">
      <c r="A499" s="70">
        <f t="shared" si="119"/>
        <v>46313</v>
      </c>
      <c r="B499" s="78"/>
      <c r="C499" s="29"/>
      <c r="D499" s="30"/>
      <c r="E499" s="83"/>
      <c r="F499" s="28"/>
      <c r="G499" s="27"/>
      <c r="H499" s="20"/>
      <c r="I499" s="118">
        <f>IFERROR(H499*VLOOKUP(F499,инфо!$A$15:$C$28,3,FALSE)/1000,0)</f>
        <v>0</v>
      </c>
      <c r="J499" s="20"/>
      <c r="K499" s="20"/>
      <c r="L499" s="20"/>
      <c r="M499" s="20"/>
      <c r="N499" s="28"/>
      <c r="O499" s="27"/>
      <c r="P499" s="27"/>
      <c r="Q499" s="27"/>
      <c r="R499" s="27"/>
      <c r="S499" s="67">
        <f t="shared" si="129"/>
        <v>0</v>
      </c>
      <c r="T499" s="29"/>
      <c r="U499" s="30"/>
      <c r="V499" s="27"/>
      <c r="W499" s="81"/>
      <c r="X499" s="27"/>
      <c r="Y499" s="29"/>
      <c r="Z499" s="27"/>
      <c r="AA499" s="27"/>
      <c r="AB499" s="27"/>
      <c r="AC499" s="81"/>
      <c r="AD499" s="30"/>
      <c r="AE499" s="31">
        <f>SUMIFS(инфо!$D$15:$D$28,инфо!$A$15:$A$28,F499)</f>
        <v>0</v>
      </c>
      <c r="AF499" s="35">
        <f t="shared" si="120"/>
        <v>0</v>
      </c>
      <c r="AG499" s="33">
        <f t="shared" si="116"/>
        <v>0</v>
      </c>
      <c r="AH499" s="31">
        <f>SUMIFS(инфо!$E$15:$E$28,инфо!$A$15:$A$28,F499)</f>
        <v>0</v>
      </c>
      <c r="AI499" s="32">
        <f t="shared" si="121"/>
        <v>0</v>
      </c>
      <c r="AJ499" s="33">
        <f t="shared" si="117"/>
        <v>0</v>
      </c>
      <c r="AK499" s="31">
        <f>SUMIFS(инфо!$F$15:$F$28,инфо!$A$15:$A$28,F499)</f>
        <v>0</v>
      </c>
      <c r="AL499" s="32">
        <f t="shared" si="122"/>
        <v>0</v>
      </c>
      <c r="AM499" s="33">
        <f t="shared" si="125"/>
        <v>0</v>
      </c>
      <c r="AN499" s="31">
        <f>SUMIFS(инфо!$G$15:$G$28,инфо!$A$15:$A$28,F499)</f>
        <v>0</v>
      </c>
      <c r="AO499" s="32">
        <f t="shared" si="123"/>
        <v>0</v>
      </c>
      <c r="AP499" s="33">
        <f t="shared" si="126"/>
        <v>0</v>
      </c>
      <c r="AQ499" s="31">
        <f>SUMIFS(инфо!$H$15:$H$28,инфо!$A$15:$A$28,F499)</f>
        <v>0</v>
      </c>
      <c r="AR499" s="32">
        <f t="shared" si="124"/>
        <v>0</v>
      </c>
      <c r="AS499" s="33">
        <f t="shared" si="127"/>
        <v>0</v>
      </c>
      <c r="AT499" s="31">
        <f>SUMIFS(инфо!$I$15:$I$28,инфо!$A$15:$A$28,F499)</f>
        <v>0</v>
      </c>
      <c r="AU499" s="35">
        <f t="shared" si="118"/>
        <v>0</v>
      </c>
      <c r="AV499" s="33">
        <f t="shared" si="128"/>
        <v>0</v>
      </c>
      <c r="AX499" s="67">
        <f>SUMIFS(инфо!$C$15:$C$28,инфо!$A$15:$A$28,F499)*H498</f>
        <v>0</v>
      </c>
    </row>
    <row r="500" spans="1:50" x14ac:dyDescent="0.25">
      <c r="A500" s="70">
        <f t="shared" si="119"/>
        <v>46314</v>
      </c>
      <c r="B500" s="78"/>
      <c r="C500" s="15"/>
      <c r="D500" s="16"/>
      <c r="E500" s="83"/>
      <c r="F500" s="28"/>
      <c r="G500" s="34"/>
      <c r="H500" s="20"/>
      <c r="I500" s="118">
        <f>IFERROR(H500*VLOOKUP(F500,инфо!$A$15:$C$28,3,FALSE)/1000,0)</f>
        <v>0</v>
      </c>
      <c r="J500" s="20"/>
      <c r="K500" s="20"/>
      <c r="L500" s="20"/>
      <c r="M500" s="20"/>
      <c r="N500" s="20"/>
      <c r="O500" s="34"/>
      <c r="P500" s="34"/>
      <c r="Q500" s="34"/>
      <c r="R500" s="34"/>
      <c r="S500" s="68">
        <f t="shared" si="129"/>
        <v>0</v>
      </c>
      <c r="T500" s="15"/>
      <c r="U500" s="16"/>
      <c r="V500" s="34"/>
      <c r="W500" s="81"/>
      <c r="X500" s="34"/>
      <c r="Y500" s="15"/>
      <c r="Z500" s="34"/>
      <c r="AA500" s="34"/>
      <c r="AB500" s="34"/>
      <c r="AC500" s="81"/>
      <c r="AD500" s="16"/>
      <c r="AE500" s="24">
        <f>SUMIFS(инфо!$D$15:$D$28,инфо!$A$15:$A$28,F500)</f>
        <v>0</v>
      </c>
      <c r="AF500" s="35">
        <f t="shared" si="120"/>
        <v>0</v>
      </c>
      <c r="AG500" s="12">
        <f t="shared" si="116"/>
        <v>0</v>
      </c>
      <c r="AH500" s="24">
        <f>SUMIFS(инфо!$E$15:$E$28,инфо!$A$15:$A$28,F500)</f>
        <v>0</v>
      </c>
      <c r="AI500" s="32">
        <f t="shared" si="121"/>
        <v>0</v>
      </c>
      <c r="AJ500" s="12">
        <f t="shared" si="117"/>
        <v>0</v>
      </c>
      <c r="AK500" s="24">
        <f>SUMIFS(инфо!$F$15:$F$28,инфо!$A$15:$A$28,F500)</f>
        <v>0</v>
      </c>
      <c r="AL500" s="32">
        <f t="shared" si="122"/>
        <v>0</v>
      </c>
      <c r="AM500" s="12">
        <f t="shared" si="125"/>
        <v>0</v>
      </c>
      <c r="AN500" s="24">
        <f>SUMIFS(инфо!$G$15:$G$28,инфо!$A$15:$A$28,F500)</f>
        <v>0</v>
      </c>
      <c r="AO500" s="32">
        <f t="shared" si="123"/>
        <v>0</v>
      </c>
      <c r="AP500" s="12">
        <f t="shared" si="126"/>
        <v>0</v>
      </c>
      <c r="AQ500" s="24">
        <f>SUMIFS(инфо!$H$15:$H$28,инфо!$A$15:$A$28,F500)</f>
        <v>0</v>
      </c>
      <c r="AR500" s="35">
        <f t="shared" si="124"/>
        <v>0</v>
      </c>
      <c r="AS500" s="12">
        <f t="shared" si="127"/>
        <v>0</v>
      </c>
      <c r="AT500" s="24">
        <f>SUMIFS(инфо!$I$15:$I$28,инфо!$A$15:$A$28,F500)</f>
        <v>0</v>
      </c>
      <c r="AU500" s="35">
        <f t="shared" si="118"/>
        <v>0</v>
      </c>
      <c r="AV500" s="12">
        <f t="shared" si="128"/>
        <v>0</v>
      </c>
      <c r="AX500" s="68">
        <f>SUMIFS(инфо!$C$15:$C$28,инфо!$A$15:$A$28,F500)*H499</f>
        <v>0</v>
      </c>
    </row>
    <row r="501" spans="1:50" x14ac:dyDescent="0.25">
      <c r="A501" s="70">
        <f t="shared" si="119"/>
        <v>46314</v>
      </c>
      <c r="B501" s="78"/>
      <c r="C501" s="15"/>
      <c r="D501" s="16"/>
      <c r="E501" s="83"/>
      <c r="F501" s="28"/>
      <c r="G501" s="34"/>
      <c r="H501" s="23"/>
      <c r="I501" s="118">
        <f>IFERROR(H501*VLOOKUP(F501,инфо!$A$15:$C$28,3,FALSE)/1000,0)</f>
        <v>0</v>
      </c>
      <c r="J501" s="20"/>
      <c r="K501" s="20"/>
      <c r="L501" s="20"/>
      <c r="M501" s="20"/>
      <c r="N501" s="20"/>
      <c r="O501" s="34"/>
      <c r="P501" s="34"/>
      <c r="Q501" s="34"/>
      <c r="R501" s="34"/>
      <c r="S501" s="68">
        <f t="shared" si="129"/>
        <v>0</v>
      </c>
      <c r="T501" s="15"/>
      <c r="U501" s="16"/>
      <c r="V501" s="34"/>
      <c r="W501" s="81"/>
      <c r="X501" s="34"/>
      <c r="Y501" s="15"/>
      <c r="Z501" s="34"/>
      <c r="AA501" s="34"/>
      <c r="AB501" s="34"/>
      <c r="AC501" s="81"/>
      <c r="AD501" s="16"/>
      <c r="AE501" s="24">
        <f>SUMIFS(инфо!$D$15:$D$28,инфо!$A$15:$A$28,F501)</f>
        <v>0</v>
      </c>
      <c r="AF501" s="35">
        <f t="shared" si="120"/>
        <v>0</v>
      </c>
      <c r="AG501" s="12">
        <f t="shared" si="116"/>
        <v>0</v>
      </c>
      <c r="AH501" s="24">
        <f>SUMIFS(инфо!$E$15:$E$28,инфо!$A$15:$A$28,F501)</f>
        <v>0</v>
      </c>
      <c r="AI501" s="32">
        <f t="shared" si="121"/>
        <v>0</v>
      </c>
      <c r="AJ501" s="12">
        <f t="shared" si="117"/>
        <v>0</v>
      </c>
      <c r="AK501" s="24">
        <f>SUMIFS(инфо!$F$15:$F$28,инфо!$A$15:$A$28,F501)</f>
        <v>0</v>
      </c>
      <c r="AL501" s="32">
        <f t="shared" si="122"/>
        <v>0</v>
      </c>
      <c r="AM501" s="12">
        <f t="shared" si="125"/>
        <v>0</v>
      </c>
      <c r="AN501" s="24">
        <f>SUMIFS(инфо!$G$15:$G$28,инфо!$A$15:$A$28,F501)</f>
        <v>0</v>
      </c>
      <c r="AO501" s="32">
        <f t="shared" si="123"/>
        <v>0</v>
      </c>
      <c r="AP501" s="12">
        <f t="shared" si="126"/>
        <v>0</v>
      </c>
      <c r="AQ501" s="24">
        <f>SUMIFS(инфо!$H$15:$H$28,инфо!$A$15:$A$28,F501)</f>
        <v>0</v>
      </c>
      <c r="AR501" s="35">
        <f t="shared" si="124"/>
        <v>0</v>
      </c>
      <c r="AS501" s="12">
        <f t="shared" si="127"/>
        <v>0</v>
      </c>
      <c r="AT501" s="24">
        <f>SUMIFS(инфо!$I$15:$I$28,инфо!$A$15:$A$28,F501)</f>
        <v>0</v>
      </c>
      <c r="AU501" s="35">
        <f t="shared" si="118"/>
        <v>0</v>
      </c>
      <c r="AV501" s="12">
        <f t="shared" si="128"/>
        <v>0</v>
      </c>
      <c r="AX501" s="68">
        <f>SUMIFS(инфо!$C$15:$C$28,инфо!$A$15:$A$28,F501)*H500</f>
        <v>0</v>
      </c>
    </row>
    <row r="502" spans="1:50" x14ac:dyDescent="0.25">
      <c r="A502" s="70">
        <f t="shared" si="119"/>
        <v>46315</v>
      </c>
      <c r="B502" s="78"/>
      <c r="C502" s="17"/>
      <c r="D502" s="18"/>
      <c r="E502" s="83"/>
      <c r="F502" s="28"/>
      <c r="G502" s="19"/>
      <c r="H502" s="28"/>
      <c r="I502" s="118">
        <f>IFERROR(H502*VLOOKUP(F502,инфо!$A$15:$C$28,3,FALSE)/1000,0)</f>
        <v>0</v>
      </c>
      <c r="J502" s="20"/>
      <c r="K502" s="20"/>
      <c r="L502" s="20"/>
      <c r="M502" s="20"/>
      <c r="N502" s="23"/>
      <c r="O502" s="19"/>
      <c r="P502" s="19"/>
      <c r="Q502" s="19"/>
      <c r="R502" s="19"/>
      <c r="S502" s="69">
        <f t="shared" si="129"/>
        <v>0</v>
      </c>
      <c r="T502" s="17"/>
      <c r="U502" s="18"/>
      <c r="V502" s="19"/>
      <c r="W502" s="81"/>
      <c r="X502" s="19"/>
      <c r="Y502" s="17"/>
      <c r="Z502" s="19"/>
      <c r="AA502" s="19"/>
      <c r="AB502" s="19"/>
      <c r="AC502" s="81"/>
      <c r="AD502" s="18"/>
      <c r="AE502" s="25">
        <f>SUMIFS(инфо!$D$15:$D$28,инфо!$A$15:$A$28,F502)</f>
        <v>0</v>
      </c>
      <c r="AF502" s="35">
        <f t="shared" si="120"/>
        <v>0</v>
      </c>
      <c r="AG502" s="14">
        <f t="shared" si="116"/>
        <v>0</v>
      </c>
      <c r="AH502" s="25">
        <f>SUMIFS(инфо!$E$15:$E$28,инфо!$A$15:$A$28,F502)</f>
        <v>0</v>
      </c>
      <c r="AI502" s="32">
        <f t="shared" si="121"/>
        <v>0</v>
      </c>
      <c r="AJ502" s="14">
        <f t="shared" si="117"/>
        <v>0</v>
      </c>
      <c r="AK502" s="25">
        <f>SUMIFS(инфо!$F$15:$F$28,инфо!$A$15:$A$28,F502)</f>
        <v>0</v>
      </c>
      <c r="AL502" s="32">
        <f t="shared" si="122"/>
        <v>0</v>
      </c>
      <c r="AM502" s="14">
        <f t="shared" si="125"/>
        <v>0</v>
      </c>
      <c r="AN502" s="25">
        <f>SUMIFS(инфо!$G$15:$G$28,инфо!$A$15:$A$28,F502)</f>
        <v>0</v>
      </c>
      <c r="AO502" s="32">
        <f t="shared" si="123"/>
        <v>0</v>
      </c>
      <c r="AP502" s="14">
        <f t="shared" si="126"/>
        <v>0</v>
      </c>
      <c r="AQ502" s="25">
        <f>SUMIFS(инфо!$H$15:$H$28,инфо!$A$15:$A$28,F502)</f>
        <v>0</v>
      </c>
      <c r="AR502" s="26">
        <f t="shared" si="124"/>
        <v>0</v>
      </c>
      <c r="AS502" s="14">
        <f t="shared" si="127"/>
        <v>0</v>
      </c>
      <c r="AT502" s="25">
        <f>SUMIFS(инфо!$I$15:$I$28,инфо!$A$15:$A$28,F502)</f>
        <v>0</v>
      </c>
      <c r="AU502" s="35">
        <f t="shared" si="118"/>
        <v>0</v>
      </c>
      <c r="AV502" s="14">
        <f t="shared" si="128"/>
        <v>0</v>
      </c>
      <c r="AX502" s="69">
        <f>SUMIFS(инфо!$C$15:$C$28,инфо!$A$15:$A$28,F502)*H501</f>
        <v>0</v>
      </c>
    </row>
    <row r="503" spans="1:50" x14ac:dyDescent="0.25">
      <c r="A503" s="70">
        <f t="shared" si="119"/>
        <v>46315</v>
      </c>
      <c r="B503" s="78"/>
      <c r="C503" s="29"/>
      <c r="D503" s="30"/>
      <c r="E503" s="83"/>
      <c r="F503" s="28"/>
      <c r="G503" s="27"/>
      <c r="H503" s="20"/>
      <c r="I503" s="118">
        <f>IFERROR(H503*VLOOKUP(F503,инфо!$A$15:$C$28,3,FALSE)/1000,0)</f>
        <v>0</v>
      </c>
      <c r="J503" s="20"/>
      <c r="K503" s="20"/>
      <c r="L503" s="20"/>
      <c r="M503" s="20"/>
      <c r="N503" s="28"/>
      <c r="O503" s="27"/>
      <c r="P503" s="27"/>
      <c r="Q503" s="27"/>
      <c r="R503" s="27"/>
      <c r="S503" s="67">
        <f t="shared" si="129"/>
        <v>0</v>
      </c>
      <c r="T503" s="29"/>
      <c r="U503" s="30"/>
      <c r="V503" s="27"/>
      <c r="W503" s="81"/>
      <c r="X503" s="27"/>
      <c r="Y503" s="29"/>
      <c r="Z503" s="27"/>
      <c r="AA503" s="27"/>
      <c r="AB503" s="27"/>
      <c r="AC503" s="81"/>
      <c r="AD503" s="30"/>
      <c r="AE503" s="31">
        <f>SUMIFS(инфо!$D$15:$D$28,инфо!$A$15:$A$28,F503)</f>
        <v>0</v>
      </c>
      <c r="AF503" s="35">
        <f t="shared" si="120"/>
        <v>0</v>
      </c>
      <c r="AG503" s="33">
        <f t="shared" si="116"/>
        <v>0</v>
      </c>
      <c r="AH503" s="31">
        <f>SUMIFS(инфо!$E$15:$E$28,инфо!$A$15:$A$28,F503)</f>
        <v>0</v>
      </c>
      <c r="AI503" s="32">
        <f t="shared" si="121"/>
        <v>0</v>
      </c>
      <c r="AJ503" s="33">
        <f t="shared" si="117"/>
        <v>0</v>
      </c>
      <c r="AK503" s="31">
        <f>SUMIFS(инфо!$F$15:$F$28,инфо!$A$15:$A$28,F503)</f>
        <v>0</v>
      </c>
      <c r="AL503" s="32">
        <f t="shared" si="122"/>
        <v>0</v>
      </c>
      <c r="AM503" s="33">
        <f t="shared" si="125"/>
        <v>0</v>
      </c>
      <c r="AN503" s="31">
        <f>SUMIFS(инфо!$G$15:$G$28,инфо!$A$15:$A$28,F503)</f>
        <v>0</v>
      </c>
      <c r="AO503" s="32">
        <f t="shared" si="123"/>
        <v>0</v>
      </c>
      <c r="AP503" s="33">
        <f t="shared" si="126"/>
        <v>0</v>
      </c>
      <c r="AQ503" s="31">
        <f>SUMIFS(инфо!$H$15:$H$28,инфо!$A$15:$A$28,F503)</f>
        <v>0</v>
      </c>
      <c r="AR503" s="32">
        <f t="shared" si="124"/>
        <v>0</v>
      </c>
      <c r="AS503" s="33">
        <f t="shared" si="127"/>
        <v>0</v>
      </c>
      <c r="AT503" s="31">
        <f>SUMIFS(инфо!$I$15:$I$28,инфо!$A$15:$A$28,F503)</f>
        <v>0</v>
      </c>
      <c r="AU503" s="35">
        <f t="shared" si="118"/>
        <v>0</v>
      </c>
      <c r="AV503" s="33">
        <f t="shared" si="128"/>
        <v>0</v>
      </c>
      <c r="AX503" s="67">
        <f>SUMIFS(инфо!$C$15:$C$28,инфо!$A$15:$A$28,F503)*H502</f>
        <v>0</v>
      </c>
    </row>
    <row r="504" spans="1:50" x14ac:dyDescent="0.25">
      <c r="A504" s="70">
        <f t="shared" si="119"/>
        <v>46316</v>
      </c>
      <c r="B504" s="78"/>
      <c r="C504" s="15"/>
      <c r="D504" s="16"/>
      <c r="E504" s="83"/>
      <c r="F504" s="28"/>
      <c r="G504" s="34"/>
      <c r="H504" s="20"/>
      <c r="I504" s="118">
        <f>IFERROR(H504*VLOOKUP(F504,инфо!$A$15:$C$28,3,FALSE)/1000,0)</f>
        <v>0</v>
      </c>
      <c r="J504" s="20"/>
      <c r="K504" s="20"/>
      <c r="L504" s="20"/>
      <c r="M504" s="20"/>
      <c r="N504" s="20"/>
      <c r="O504" s="34"/>
      <c r="P504" s="34"/>
      <c r="Q504" s="34"/>
      <c r="R504" s="34"/>
      <c r="S504" s="68">
        <f t="shared" si="129"/>
        <v>0</v>
      </c>
      <c r="T504" s="15"/>
      <c r="U504" s="16"/>
      <c r="V504" s="34"/>
      <c r="W504" s="81"/>
      <c r="X504" s="34"/>
      <c r="Y504" s="15"/>
      <c r="Z504" s="34"/>
      <c r="AA504" s="34"/>
      <c r="AB504" s="34"/>
      <c r="AC504" s="81"/>
      <c r="AD504" s="16"/>
      <c r="AE504" s="24">
        <f>SUMIFS(инфо!$D$15:$D$28,инфо!$A$15:$A$28,F504)</f>
        <v>0</v>
      </c>
      <c r="AF504" s="35">
        <f t="shared" si="120"/>
        <v>0</v>
      </c>
      <c r="AG504" s="12">
        <f t="shared" si="116"/>
        <v>0</v>
      </c>
      <c r="AH504" s="24">
        <f>SUMIFS(инфо!$E$15:$E$28,инфо!$A$15:$A$28,F504)</f>
        <v>0</v>
      </c>
      <c r="AI504" s="32">
        <f t="shared" si="121"/>
        <v>0</v>
      </c>
      <c r="AJ504" s="12">
        <f t="shared" si="117"/>
        <v>0</v>
      </c>
      <c r="AK504" s="24">
        <f>SUMIFS(инфо!$F$15:$F$28,инфо!$A$15:$A$28,F504)</f>
        <v>0</v>
      </c>
      <c r="AL504" s="32">
        <f t="shared" si="122"/>
        <v>0</v>
      </c>
      <c r="AM504" s="12">
        <f t="shared" si="125"/>
        <v>0</v>
      </c>
      <c r="AN504" s="24">
        <f>SUMIFS(инфо!$G$15:$G$28,инфо!$A$15:$A$28,F504)</f>
        <v>0</v>
      </c>
      <c r="AO504" s="32">
        <f t="shared" si="123"/>
        <v>0</v>
      </c>
      <c r="AP504" s="12">
        <f t="shared" si="126"/>
        <v>0</v>
      </c>
      <c r="AQ504" s="24">
        <f>SUMIFS(инфо!$H$15:$H$28,инфо!$A$15:$A$28,F504)</f>
        <v>0</v>
      </c>
      <c r="AR504" s="35">
        <f t="shared" si="124"/>
        <v>0</v>
      </c>
      <c r="AS504" s="12">
        <f t="shared" si="127"/>
        <v>0</v>
      </c>
      <c r="AT504" s="24">
        <f>SUMIFS(инфо!$I$15:$I$28,инфо!$A$15:$A$28,F504)</f>
        <v>0</v>
      </c>
      <c r="AU504" s="35">
        <f t="shared" si="118"/>
        <v>0</v>
      </c>
      <c r="AV504" s="12">
        <f t="shared" si="128"/>
        <v>0</v>
      </c>
      <c r="AX504" s="68">
        <f>SUMIFS(инфо!$C$15:$C$28,инфо!$A$15:$A$28,F504)*H503</f>
        <v>0</v>
      </c>
    </row>
    <row r="505" spans="1:50" x14ac:dyDescent="0.25">
      <c r="A505" s="70">
        <f t="shared" si="119"/>
        <v>46316</v>
      </c>
      <c r="B505" s="78"/>
      <c r="C505" s="15"/>
      <c r="D505" s="16"/>
      <c r="E505" s="83"/>
      <c r="F505" s="28"/>
      <c r="G505" s="34"/>
      <c r="H505" s="23"/>
      <c r="I505" s="118">
        <f>IFERROR(H505*VLOOKUP(F505,инфо!$A$15:$C$28,3,FALSE)/1000,0)</f>
        <v>0</v>
      </c>
      <c r="J505" s="20"/>
      <c r="K505" s="20"/>
      <c r="L505" s="20"/>
      <c r="M505" s="20"/>
      <c r="N505" s="20"/>
      <c r="O505" s="34"/>
      <c r="P505" s="34"/>
      <c r="Q505" s="34"/>
      <c r="R505" s="34"/>
      <c r="S505" s="68">
        <f t="shared" si="129"/>
        <v>0</v>
      </c>
      <c r="T505" s="15"/>
      <c r="U505" s="16"/>
      <c r="V505" s="34"/>
      <c r="W505" s="81"/>
      <c r="X505" s="34"/>
      <c r="Y505" s="15"/>
      <c r="Z505" s="34"/>
      <c r="AA505" s="34"/>
      <c r="AB505" s="34"/>
      <c r="AC505" s="81"/>
      <c r="AD505" s="16"/>
      <c r="AE505" s="24">
        <f>SUMIFS(инфо!$D$15:$D$28,инфо!$A$15:$A$28,F505)</f>
        <v>0</v>
      </c>
      <c r="AF505" s="35">
        <f t="shared" si="120"/>
        <v>0</v>
      </c>
      <c r="AG505" s="12">
        <f t="shared" si="116"/>
        <v>0</v>
      </c>
      <c r="AH505" s="24">
        <f>SUMIFS(инфо!$E$15:$E$28,инфо!$A$15:$A$28,F505)</f>
        <v>0</v>
      </c>
      <c r="AI505" s="32">
        <f t="shared" si="121"/>
        <v>0</v>
      </c>
      <c r="AJ505" s="12">
        <f t="shared" si="117"/>
        <v>0</v>
      </c>
      <c r="AK505" s="24">
        <f>SUMIFS(инфо!$F$15:$F$28,инфо!$A$15:$A$28,F505)</f>
        <v>0</v>
      </c>
      <c r="AL505" s="32">
        <f t="shared" si="122"/>
        <v>0</v>
      </c>
      <c r="AM505" s="12">
        <f t="shared" si="125"/>
        <v>0</v>
      </c>
      <c r="AN505" s="24">
        <f>SUMIFS(инфо!$G$15:$G$28,инфо!$A$15:$A$28,F505)</f>
        <v>0</v>
      </c>
      <c r="AO505" s="32">
        <f t="shared" si="123"/>
        <v>0</v>
      </c>
      <c r="AP505" s="12">
        <f t="shared" si="126"/>
        <v>0</v>
      </c>
      <c r="AQ505" s="24">
        <f>SUMIFS(инфо!$H$15:$H$28,инфо!$A$15:$A$28,F505)</f>
        <v>0</v>
      </c>
      <c r="AR505" s="35">
        <f t="shared" si="124"/>
        <v>0</v>
      </c>
      <c r="AS505" s="12">
        <f t="shared" si="127"/>
        <v>0</v>
      </c>
      <c r="AT505" s="24">
        <f>SUMIFS(инфо!$I$15:$I$28,инфо!$A$15:$A$28,F505)</f>
        <v>0</v>
      </c>
      <c r="AU505" s="35">
        <f t="shared" si="118"/>
        <v>0</v>
      </c>
      <c r="AV505" s="12">
        <f t="shared" si="128"/>
        <v>0</v>
      </c>
      <c r="AX505" s="68">
        <f>SUMIFS(инфо!$C$15:$C$28,инфо!$A$15:$A$28,F505)*H504</f>
        <v>0</v>
      </c>
    </row>
    <row r="506" spans="1:50" x14ac:dyDescent="0.25">
      <c r="A506" s="70">
        <f t="shared" si="119"/>
        <v>46317</v>
      </c>
      <c r="B506" s="78"/>
      <c r="C506" s="17"/>
      <c r="D506" s="18"/>
      <c r="E506" s="83"/>
      <c r="F506" s="28"/>
      <c r="G506" s="19"/>
      <c r="H506" s="28"/>
      <c r="I506" s="118">
        <f>IFERROR(H506*VLOOKUP(F506,инфо!$A$15:$C$28,3,FALSE)/1000,0)</f>
        <v>0</v>
      </c>
      <c r="J506" s="20"/>
      <c r="K506" s="20"/>
      <c r="L506" s="20"/>
      <c r="M506" s="20"/>
      <c r="N506" s="23"/>
      <c r="O506" s="19"/>
      <c r="P506" s="19"/>
      <c r="Q506" s="19"/>
      <c r="R506" s="19"/>
      <c r="S506" s="69">
        <f t="shared" si="129"/>
        <v>0</v>
      </c>
      <c r="T506" s="17"/>
      <c r="U506" s="18"/>
      <c r="V506" s="19"/>
      <c r="W506" s="81"/>
      <c r="X506" s="19"/>
      <c r="Y506" s="17"/>
      <c r="Z506" s="19"/>
      <c r="AA506" s="19"/>
      <c r="AB506" s="19"/>
      <c r="AC506" s="81"/>
      <c r="AD506" s="18"/>
      <c r="AE506" s="25">
        <f>SUMIFS(инфо!$D$15:$D$28,инфо!$A$15:$A$28,F506)</f>
        <v>0</v>
      </c>
      <c r="AF506" s="35">
        <f t="shared" si="120"/>
        <v>0</v>
      </c>
      <c r="AG506" s="14">
        <f t="shared" si="116"/>
        <v>0</v>
      </c>
      <c r="AH506" s="25">
        <f>SUMIFS(инфо!$E$15:$E$28,инфо!$A$15:$A$28,F506)</f>
        <v>0</v>
      </c>
      <c r="AI506" s="32">
        <f t="shared" si="121"/>
        <v>0</v>
      </c>
      <c r="AJ506" s="14">
        <f t="shared" si="117"/>
        <v>0</v>
      </c>
      <c r="AK506" s="25">
        <f>SUMIFS(инфо!$F$15:$F$28,инфо!$A$15:$A$28,F506)</f>
        <v>0</v>
      </c>
      <c r="AL506" s="32">
        <f t="shared" si="122"/>
        <v>0</v>
      </c>
      <c r="AM506" s="14">
        <f t="shared" si="125"/>
        <v>0</v>
      </c>
      <c r="AN506" s="25">
        <f>SUMIFS(инфо!$G$15:$G$28,инфо!$A$15:$A$28,F506)</f>
        <v>0</v>
      </c>
      <c r="AO506" s="32">
        <f t="shared" si="123"/>
        <v>0</v>
      </c>
      <c r="AP506" s="14">
        <f t="shared" si="126"/>
        <v>0</v>
      </c>
      <c r="AQ506" s="25">
        <f>SUMIFS(инфо!$H$15:$H$28,инфо!$A$15:$A$28,F506)</f>
        <v>0</v>
      </c>
      <c r="AR506" s="26">
        <f t="shared" si="124"/>
        <v>0</v>
      </c>
      <c r="AS506" s="14">
        <f t="shared" si="127"/>
        <v>0</v>
      </c>
      <c r="AT506" s="25">
        <f>SUMIFS(инфо!$I$15:$I$28,инфо!$A$15:$A$28,F506)</f>
        <v>0</v>
      </c>
      <c r="AU506" s="35">
        <f t="shared" si="118"/>
        <v>0</v>
      </c>
      <c r="AV506" s="14">
        <f t="shared" si="128"/>
        <v>0</v>
      </c>
      <c r="AX506" s="69">
        <f>SUMIFS(инфо!$C$15:$C$28,инфо!$A$15:$A$28,F506)*H505</f>
        <v>0</v>
      </c>
    </row>
    <row r="507" spans="1:50" x14ac:dyDescent="0.25">
      <c r="A507" s="70">
        <f t="shared" si="119"/>
        <v>46317</v>
      </c>
      <c r="B507" s="78"/>
      <c r="C507" s="29"/>
      <c r="D507" s="30"/>
      <c r="E507" s="83"/>
      <c r="F507" s="28"/>
      <c r="G507" s="27"/>
      <c r="H507" s="20"/>
      <c r="I507" s="118">
        <f>IFERROR(H507*VLOOKUP(F507,инфо!$A$15:$C$28,3,FALSE)/1000,0)</f>
        <v>0</v>
      </c>
      <c r="J507" s="20"/>
      <c r="K507" s="20"/>
      <c r="L507" s="20"/>
      <c r="M507" s="20"/>
      <c r="N507" s="28"/>
      <c r="O507" s="27"/>
      <c r="P507" s="27"/>
      <c r="Q507" s="27"/>
      <c r="R507" s="27"/>
      <c r="S507" s="67">
        <f t="shared" si="129"/>
        <v>0</v>
      </c>
      <c r="T507" s="29"/>
      <c r="U507" s="30"/>
      <c r="V507" s="27"/>
      <c r="W507" s="81"/>
      <c r="X507" s="27"/>
      <c r="Y507" s="29"/>
      <c r="Z507" s="27"/>
      <c r="AA507" s="27"/>
      <c r="AB507" s="27"/>
      <c r="AC507" s="81"/>
      <c r="AD507" s="30"/>
      <c r="AE507" s="31">
        <f>SUMIFS(инфо!$D$15:$D$28,инфо!$A$15:$A$28,F507)</f>
        <v>0</v>
      </c>
      <c r="AF507" s="35">
        <f t="shared" si="120"/>
        <v>0</v>
      </c>
      <c r="AG507" s="33">
        <f t="shared" si="116"/>
        <v>0</v>
      </c>
      <c r="AH507" s="31">
        <f>SUMIFS(инфо!$E$15:$E$28,инфо!$A$15:$A$28,F507)</f>
        <v>0</v>
      </c>
      <c r="AI507" s="32">
        <f t="shared" si="121"/>
        <v>0</v>
      </c>
      <c r="AJ507" s="33">
        <f t="shared" si="117"/>
        <v>0</v>
      </c>
      <c r="AK507" s="31">
        <f>SUMIFS(инфо!$F$15:$F$28,инфо!$A$15:$A$28,F507)</f>
        <v>0</v>
      </c>
      <c r="AL507" s="32">
        <f t="shared" si="122"/>
        <v>0</v>
      </c>
      <c r="AM507" s="33">
        <f t="shared" si="125"/>
        <v>0</v>
      </c>
      <c r="AN507" s="31">
        <f>SUMIFS(инфо!$G$15:$G$28,инфо!$A$15:$A$28,F507)</f>
        <v>0</v>
      </c>
      <c r="AO507" s="32">
        <f t="shared" si="123"/>
        <v>0</v>
      </c>
      <c r="AP507" s="33">
        <f t="shared" si="126"/>
        <v>0</v>
      </c>
      <c r="AQ507" s="31">
        <f>SUMIFS(инфо!$H$15:$H$28,инфо!$A$15:$A$28,F507)</f>
        <v>0</v>
      </c>
      <c r="AR507" s="32">
        <f t="shared" si="124"/>
        <v>0</v>
      </c>
      <c r="AS507" s="33">
        <f t="shared" si="127"/>
        <v>0</v>
      </c>
      <c r="AT507" s="31">
        <f>SUMIFS(инфо!$I$15:$I$28,инфо!$A$15:$A$28,F507)</f>
        <v>0</v>
      </c>
      <c r="AU507" s="35">
        <f t="shared" si="118"/>
        <v>0</v>
      </c>
      <c r="AV507" s="33">
        <f t="shared" si="128"/>
        <v>0</v>
      </c>
      <c r="AX507" s="67">
        <f>SUMIFS(инфо!$C$15:$C$28,инфо!$A$15:$A$28,F507)*H506</f>
        <v>0</v>
      </c>
    </row>
    <row r="508" spans="1:50" x14ac:dyDescent="0.25">
      <c r="A508" s="70">
        <f t="shared" si="119"/>
        <v>46318</v>
      </c>
      <c r="B508" s="78"/>
      <c r="C508" s="15"/>
      <c r="D508" s="16"/>
      <c r="E508" s="83"/>
      <c r="F508" s="28"/>
      <c r="G508" s="34"/>
      <c r="H508" s="20"/>
      <c r="I508" s="118">
        <f>IFERROR(H508*VLOOKUP(F508,инфо!$A$15:$C$28,3,FALSE)/1000,0)</f>
        <v>0</v>
      </c>
      <c r="J508" s="20"/>
      <c r="K508" s="20"/>
      <c r="L508" s="20"/>
      <c r="M508" s="20"/>
      <c r="N508" s="20"/>
      <c r="O508" s="34"/>
      <c r="P508" s="34"/>
      <c r="Q508" s="34"/>
      <c r="R508" s="34"/>
      <c r="S508" s="68">
        <f t="shared" si="129"/>
        <v>0</v>
      </c>
      <c r="T508" s="15"/>
      <c r="U508" s="16"/>
      <c r="V508" s="34"/>
      <c r="W508" s="81"/>
      <c r="X508" s="34"/>
      <c r="Y508" s="15"/>
      <c r="Z508" s="34"/>
      <c r="AA508" s="34"/>
      <c r="AB508" s="34"/>
      <c r="AC508" s="81"/>
      <c r="AD508" s="16"/>
      <c r="AE508" s="24">
        <f>SUMIFS(инфо!$D$15:$D$28,инфо!$A$15:$A$28,F508)</f>
        <v>0</v>
      </c>
      <c r="AF508" s="35">
        <f t="shared" si="120"/>
        <v>0</v>
      </c>
      <c r="AG508" s="12">
        <f t="shared" si="116"/>
        <v>0</v>
      </c>
      <c r="AH508" s="24">
        <f>SUMIFS(инфо!$E$15:$E$28,инфо!$A$15:$A$28,F508)</f>
        <v>0</v>
      </c>
      <c r="AI508" s="32">
        <f t="shared" si="121"/>
        <v>0</v>
      </c>
      <c r="AJ508" s="12">
        <f t="shared" si="117"/>
        <v>0</v>
      </c>
      <c r="AK508" s="24">
        <f>SUMIFS(инфо!$F$15:$F$28,инфо!$A$15:$A$28,F508)</f>
        <v>0</v>
      </c>
      <c r="AL508" s="32">
        <f t="shared" si="122"/>
        <v>0</v>
      </c>
      <c r="AM508" s="12">
        <f t="shared" si="125"/>
        <v>0</v>
      </c>
      <c r="AN508" s="24">
        <f>SUMIFS(инфо!$G$15:$G$28,инфо!$A$15:$A$28,F508)</f>
        <v>0</v>
      </c>
      <c r="AO508" s="32">
        <f t="shared" si="123"/>
        <v>0</v>
      </c>
      <c r="AP508" s="12">
        <f t="shared" si="126"/>
        <v>0</v>
      </c>
      <c r="AQ508" s="24">
        <f>SUMIFS(инфо!$H$15:$H$28,инфо!$A$15:$A$28,F508)</f>
        <v>0</v>
      </c>
      <c r="AR508" s="35">
        <f t="shared" si="124"/>
        <v>0</v>
      </c>
      <c r="AS508" s="12">
        <f t="shared" si="127"/>
        <v>0</v>
      </c>
      <c r="AT508" s="24">
        <f>SUMIFS(инфо!$I$15:$I$28,инфо!$A$15:$A$28,F508)</f>
        <v>0</v>
      </c>
      <c r="AU508" s="35">
        <f t="shared" si="118"/>
        <v>0</v>
      </c>
      <c r="AV508" s="12">
        <f t="shared" si="128"/>
        <v>0</v>
      </c>
      <c r="AX508" s="68">
        <f>SUMIFS(инфо!$C$15:$C$28,инфо!$A$15:$A$28,F508)*H507</f>
        <v>0</v>
      </c>
    </row>
    <row r="509" spans="1:50" x14ac:dyDescent="0.25">
      <c r="A509" s="70">
        <f t="shared" si="119"/>
        <v>46318</v>
      </c>
      <c r="B509" s="78"/>
      <c r="C509" s="15"/>
      <c r="D509" s="16"/>
      <c r="E509" s="83"/>
      <c r="F509" s="28"/>
      <c r="G509" s="34"/>
      <c r="H509" s="23"/>
      <c r="I509" s="118">
        <f>IFERROR(H509*VLOOKUP(F509,инфо!$A$15:$C$28,3,FALSE)/1000,0)</f>
        <v>0</v>
      </c>
      <c r="J509" s="20"/>
      <c r="K509" s="20"/>
      <c r="L509" s="20"/>
      <c r="M509" s="20"/>
      <c r="N509" s="20"/>
      <c r="O509" s="34"/>
      <c r="P509" s="34"/>
      <c r="Q509" s="34"/>
      <c r="R509" s="34"/>
      <c r="S509" s="68">
        <f t="shared" si="129"/>
        <v>0</v>
      </c>
      <c r="T509" s="15"/>
      <c r="U509" s="16"/>
      <c r="V509" s="34"/>
      <c r="W509" s="81"/>
      <c r="X509" s="34"/>
      <c r="Y509" s="15"/>
      <c r="Z509" s="34"/>
      <c r="AA509" s="34"/>
      <c r="AB509" s="34"/>
      <c r="AC509" s="81"/>
      <c r="AD509" s="16"/>
      <c r="AE509" s="24">
        <f>SUMIFS(инфо!$D$15:$D$28,инфо!$A$15:$A$28,F509)</f>
        <v>0</v>
      </c>
      <c r="AF509" s="35">
        <f t="shared" si="120"/>
        <v>0</v>
      </c>
      <c r="AG509" s="12">
        <f t="shared" ref="AG509:AG572" si="130">AF509-AE509</f>
        <v>0</v>
      </c>
      <c r="AH509" s="24">
        <f>SUMIFS(инфо!$E$15:$E$28,инфо!$A$15:$A$28,F509)</f>
        <v>0</v>
      </c>
      <c r="AI509" s="32">
        <f t="shared" si="121"/>
        <v>0</v>
      </c>
      <c r="AJ509" s="12">
        <f t="shared" ref="AJ509:AJ572" si="131">AI509-AH509</f>
        <v>0</v>
      </c>
      <c r="AK509" s="24">
        <f>SUMIFS(инфо!$F$15:$F$28,инфо!$A$15:$A$28,F509)</f>
        <v>0</v>
      </c>
      <c r="AL509" s="32">
        <f t="shared" si="122"/>
        <v>0</v>
      </c>
      <c r="AM509" s="12">
        <f t="shared" si="125"/>
        <v>0</v>
      </c>
      <c r="AN509" s="24">
        <f>SUMIFS(инфо!$G$15:$G$28,инфо!$A$15:$A$28,F509)</f>
        <v>0</v>
      </c>
      <c r="AO509" s="32">
        <f t="shared" si="123"/>
        <v>0</v>
      </c>
      <c r="AP509" s="12">
        <f t="shared" si="126"/>
        <v>0</v>
      </c>
      <c r="AQ509" s="24">
        <f>SUMIFS(инфо!$H$15:$H$28,инфо!$A$15:$A$28,F509)</f>
        <v>0</v>
      </c>
      <c r="AR509" s="35">
        <f t="shared" si="124"/>
        <v>0</v>
      </c>
      <c r="AS509" s="12">
        <f t="shared" si="127"/>
        <v>0</v>
      </c>
      <c r="AT509" s="24">
        <f>SUMIFS(инфо!$I$15:$I$28,инфо!$A$15:$A$28,F509)</f>
        <v>0</v>
      </c>
      <c r="AU509" s="35">
        <f t="shared" si="118"/>
        <v>0</v>
      </c>
      <c r="AV509" s="12">
        <f t="shared" si="128"/>
        <v>0</v>
      </c>
      <c r="AX509" s="68">
        <f>SUMIFS(инфо!$C$15:$C$28,инфо!$A$15:$A$28,F509)*H508</f>
        <v>0</v>
      </c>
    </row>
    <row r="510" spans="1:50" x14ac:dyDescent="0.25">
      <c r="A510" s="70">
        <f t="shared" si="119"/>
        <v>46319</v>
      </c>
      <c r="B510" s="78"/>
      <c r="C510" s="17"/>
      <c r="D510" s="18"/>
      <c r="E510" s="83"/>
      <c r="F510" s="28"/>
      <c r="G510" s="19"/>
      <c r="H510" s="28"/>
      <c r="I510" s="118">
        <f>IFERROR(H510*VLOOKUP(F510,инфо!$A$15:$C$28,3,FALSE)/1000,0)</f>
        <v>0</v>
      </c>
      <c r="J510" s="20"/>
      <c r="K510" s="20"/>
      <c r="L510" s="20"/>
      <c r="M510" s="20"/>
      <c r="N510" s="23"/>
      <c r="O510" s="19"/>
      <c r="P510" s="19"/>
      <c r="Q510" s="19"/>
      <c r="R510" s="19"/>
      <c r="S510" s="69">
        <f t="shared" si="129"/>
        <v>0</v>
      </c>
      <c r="T510" s="17"/>
      <c r="U510" s="18"/>
      <c r="V510" s="19"/>
      <c r="W510" s="81"/>
      <c r="X510" s="19"/>
      <c r="Y510" s="17"/>
      <c r="Z510" s="19"/>
      <c r="AA510" s="19"/>
      <c r="AB510" s="19"/>
      <c r="AC510" s="81"/>
      <c r="AD510" s="18"/>
      <c r="AE510" s="25">
        <f>SUMIFS(инфо!$D$15:$D$28,инфо!$A$15:$A$28,F510)</f>
        <v>0</v>
      </c>
      <c r="AF510" s="35">
        <f t="shared" si="120"/>
        <v>0</v>
      </c>
      <c r="AG510" s="14">
        <f t="shared" si="130"/>
        <v>0</v>
      </c>
      <c r="AH510" s="25">
        <f>SUMIFS(инфо!$E$15:$E$28,инфо!$A$15:$A$28,F510)</f>
        <v>0</v>
      </c>
      <c r="AI510" s="32">
        <f t="shared" si="121"/>
        <v>0</v>
      </c>
      <c r="AJ510" s="14">
        <f t="shared" si="131"/>
        <v>0</v>
      </c>
      <c r="AK510" s="25">
        <f>SUMIFS(инфо!$F$15:$F$28,инфо!$A$15:$A$28,F510)</f>
        <v>0</v>
      </c>
      <c r="AL510" s="32">
        <f t="shared" si="122"/>
        <v>0</v>
      </c>
      <c r="AM510" s="14">
        <f t="shared" si="125"/>
        <v>0</v>
      </c>
      <c r="AN510" s="25">
        <f>SUMIFS(инфо!$G$15:$G$28,инфо!$A$15:$A$28,F510)</f>
        <v>0</v>
      </c>
      <c r="AO510" s="32">
        <f t="shared" si="123"/>
        <v>0</v>
      </c>
      <c r="AP510" s="14">
        <f t="shared" si="126"/>
        <v>0</v>
      </c>
      <c r="AQ510" s="25">
        <f>SUMIFS(инфо!$H$15:$H$28,инфо!$A$15:$A$28,F510)</f>
        <v>0</v>
      </c>
      <c r="AR510" s="26">
        <f t="shared" si="124"/>
        <v>0</v>
      </c>
      <c r="AS510" s="14">
        <f t="shared" si="127"/>
        <v>0</v>
      </c>
      <c r="AT510" s="25">
        <f>SUMIFS(инфо!$I$15:$I$28,инфо!$A$15:$A$28,F510)</f>
        <v>0</v>
      </c>
      <c r="AU510" s="35">
        <f t="shared" si="118"/>
        <v>0</v>
      </c>
      <c r="AV510" s="14">
        <f t="shared" si="128"/>
        <v>0</v>
      </c>
      <c r="AX510" s="69">
        <f>SUMIFS(инфо!$C$15:$C$28,инфо!$A$15:$A$28,F510)*H509</f>
        <v>0</v>
      </c>
    </row>
    <row r="511" spans="1:50" x14ac:dyDescent="0.25">
      <c r="A511" s="70">
        <f t="shared" si="119"/>
        <v>46319</v>
      </c>
      <c r="B511" s="78"/>
      <c r="C511" s="29"/>
      <c r="D511" s="30"/>
      <c r="E511" s="83"/>
      <c r="F511" s="28"/>
      <c r="G511" s="27"/>
      <c r="H511" s="20"/>
      <c r="I511" s="118">
        <f>IFERROR(H511*VLOOKUP(F511,инфо!$A$15:$C$28,3,FALSE)/1000,0)</f>
        <v>0</v>
      </c>
      <c r="J511" s="20"/>
      <c r="K511" s="20"/>
      <c r="L511" s="20"/>
      <c r="M511" s="20"/>
      <c r="N511" s="28"/>
      <c r="O511" s="27"/>
      <c r="P511" s="27"/>
      <c r="Q511" s="27"/>
      <c r="R511" s="27"/>
      <c r="S511" s="67">
        <f t="shared" si="129"/>
        <v>0</v>
      </c>
      <c r="T511" s="29"/>
      <c r="U511" s="30"/>
      <c r="V511" s="27"/>
      <c r="W511" s="81"/>
      <c r="X511" s="27"/>
      <c r="Y511" s="29"/>
      <c r="Z511" s="27"/>
      <c r="AA511" s="27"/>
      <c r="AB511" s="27"/>
      <c r="AC511" s="81"/>
      <c r="AD511" s="30"/>
      <c r="AE511" s="31">
        <f>SUMIFS(инфо!$D$15:$D$28,инфо!$A$15:$A$28,F511)</f>
        <v>0</v>
      </c>
      <c r="AF511" s="35">
        <f t="shared" si="120"/>
        <v>0</v>
      </c>
      <c r="AG511" s="33">
        <f t="shared" si="130"/>
        <v>0</v>
      </c>
      <c r="AH511" s="31">
        <f>SUMIFS(инфо!$E$15:$E$28,инфо!$A$15:$A$28,F511)</f>
        <v>0</v>
      </c>
      <c r="AI511" s="32">
        <f t="shared" si="121"/>
        <v>0</v>
      </c>
      <c r="AJ511" s="33">
        <f t="shared" si="131"/>
        <v>0</v>
      </c>
      <c r="AK511" s="31">
        <f>SUMIFS(инфо!$F$15:$F$28,инфо!$A$15:$A$28,F511)</f>
        <v>0</v>
      </c>
      <c r="AL511" s="32">
        <f t="shared" si="122"/>
        <v>0</v>
      </c>
      <c r="AM511" s="33">
        <f t="shared" si="125"/>
        <v>0</v>
      </c>
      <c r="AN511" s="31">
        <f>SUMIFS(инфо!$G$15:$G$28,инфо!$A$15:$A$28,F511)</f>
        <v>0</v>
      </c>
      <c r="AO511" s="32">
        <f t="shared" si="123"/>
        <v>0</v>
      </c>
      <c r="AP511" s="33">
        <f t="shared" si="126"/>
        <v>0</v>
      </c>
      <c r="AQ511" s="31">
        <f>SUMIFS(инфо!$H$15:$H$28,инфо!$A$15:$A$28,F511)</f>
        <v>0</v>
      </c>
      <c r="AR511" s="32">
        <f t="shared" si="124"/>
        <v>0</v>
      </c>
      <c r="AS511" s="33">
        <f t="shared" si="127"/>
        <v>0</v>
      </c>
      <c r="AT511" s="31">
        <f>SUMIFS(инфо!$I$15:$I$28,инфо!$A$15:$A$28,F511)</f>
        <v>0</v>
      </c>
      <c r="AU511" s="35">
        <f t="shared" si="118"/>
        <v>0</v>
      </c>
      <c r="AV511" s="33">
        <f t="shared" si="128"/>
        <v>0</v>
      </c>
      <c r="AX511" s="67">
        <f>SUMIFS(инфо!$C$15:$C$28,инфо!$A$15:$A$28,F511)*H510</f>
        <v>0</v>
      </c>
    </row>
    <row r="512" spans="1:50" x14ac:dyDescent="0.25">
      <c r="A512" s="70">
        <f t="shared" si="119"/>
        <v>46320</v>
      </c>
      <c r="B512" s="78"/>
      <c r="C512" s="15"/>
      <c r="D512" s="16"/>
      <c r="E512" s="83"/>
      <c r="F512" s="28"/>
      <c r="G512" s="34"/>
      <c r="H512" s="20"/>
      <c r="I512" s="118">
        <f>IFERROR(H512*VLOOKUP(F512,инфо!$A$15:$C$28,3,FALSE)/1000,0)</f>
        <v>0</v>
      </c>
      <c r="J512" s="20"/>
      <c r="K512" s="20"/>
      <c r="L512" s="20"/>
      <c r="M512" s="20"/>
      <c r="N512" s="20"/>
      <c r="O512" s="34"/>
      <c r="P512" s="34"/>
      <c r="Q512" s="34"/>
      <c r="R512" s="34"/>
      <c r="S512" s="68">
        <f t="shared" si="129"/>
        <v>0</v>
      </c>
      <c r="T512" s="15"/>
      <c r="U512" s="16"/>
      <c r="V512" s="34"/>
      <c r="W512" s="81"/>
      <c r="X512" s="34"/>
      <c r="Y512" s="15"/>
      <c r="Z512" s="34"/>
      <c r="AA512" s="34"/>
      <c r="AB512" s="34"/>
      <c r="AC512" s="81"/>
      <c r="AD512" s="16"/>
      <c r="AE512" s="24">
        <f>SUMIFS(инфо!$D$15:$D$28,инфо!$A$15:$A$28,F512)</f>
        <v>0</v>
      </c>
      <c r="AF512" s="35">
        <f t="shared" si="120"/>
        <v>0</v>
      </c>
      <c r="AG512" s="12">
        <f t="shared" si="130"/>
        <v>0</v>
      </c>
      <c r="AH512" s="24">
        <f>SUMIFS(инфо!$E$15:$E$28,инфо!$A$15:$A$28,F512)</f>
        <v>0</v>
      </c>
      <c r="AI512" s="32">
        <f t="shared" si="121"/>
        <v>0</v>
      </c>
      <c r="AJ512" s="12">
        <f t="shared" si="131"/>
        <v>0</v>
      </c>
      <c r="AK512" s="24">
        <f>SUMIFS(инфо!$F$15:$F$28,инфо!$A$15:$A$28,F512)</f>
        <v>0</v>
      </c>
      <c r="AL512" s="32">
        <f t="shared" si="122"/>
        <v>0</v>
      </c>
      <c r="AM512" s="12">
        <f t="shared" si="125"/>
        <v>0</v>
      </c>
      <c r="AN512" s="24">
        <f>SUMIFS(инфо!$G$15:$G$28,инфо!$A$15:$A$28,F512)</f>
        <v>0</v>
      </c>
      <c r="AO512" s="32">
        <f t="shared" si="123"/>
        <v>0</v>
      </c>
      <c r="AP512" s="12">
        <f t="shared" si="126"/>
        <v>0</v>
      </c>
      <c r="AQ512" s="24">
        <f>SUMIFS(инфо!$H$15:$H$28,инфо!$A$15:$A$28,F512)</f>
        <v>0</v>
      </c>
      <c r="AR512" s="35">
        <f t="shared" si="124"/>
        <v>0</v>
      </c>
      <c r="AS512" s="12">
        <f t="shared" si="127"/>
        <v>0</v>
      </c>
      <c r="AT512" s="24">
        <f>SUMIFS(инфо!$I$15:$I$28,инфо!$A$15:$A$28,F512)</f>
        <v>0</v>
      </c>
      <c r="AU512" s="35">
        <f t="shared" si="118"/>
        <v>0</v>
      </c>
      <c r="AV512" s="12">
        <f t="shared" si="128"/>
        <v>0</v>
      </c>
      <c r="AX512" s="68">
        <f>SUMIFS(инфо!$C$15:$C$28,инфо!$A$15:$A$28,F512)*H511</f>
        <v>0</v>
      </c>
    </row>
    <row r="513" spans="1:50" x14ac:dyDescent="0.25">
      <c r="A513" s="70">
        <f t="shared" si="119"/>
        <v>46320</v>
      </c>
      <c r="B513" s="78"/>
      <c r="C513" s="15"/>
      <c r="D513" s="16"/>
      <c r="E513" s="83"/>
      <c r="F513" s="28"/>
      <c r="G513" s="34"/>
      <c r="H513" s="23"/>
      <c r="I513" s="118">
        <f>IFERROR(H513*VLOOKUP(F513,инфо!$A$15:$C$28,3,FALSE)/1000,0)</f>
        <v>0</v>
      </c>
      <c r="J513" s="20"/>
      <c r="K513" s="20"/>
      <c r="L513" s="20"/>
      <c r="M513" s="20"/>
      <c r="N513" s="20"/>
      <c r="O513" s="34"/>
      <c r="P513" s="34"/>
      <c r="Q513" s="34"/>
      <c r="R513" s="34"/>
      <c r="S513" s="68">
        <f t="shared" si="129"/>
        <v>0</v>
      </c>
      <c r="T513" s="15"/>
      <c r="U513" s="16"/>
      <c r="V513" s="34"/>
      <c r="W513" s="81"/>
      <c r="X513" s="34"/>
      <c r="Y513" s="15"/>
      <c r="Z513" s="34"/>
      <c r="AA513" s="34"/>
      <c r="AB513" s="34"/>
      <c r="AC513" s="81"/>
      <c r="AD513" s="16"/>
      <c r="AE513" s="24">
        <f>SUMIFS(инфо!$D$15:$D$28,инфо!$A$15:$A$28,F513)</f>
        <v>0</v>
      </c>
      <c r="AF513" s="35">
        <f t="shared" si="120"/>
        <v>0</v>
      </c>
      <c r="AG513" s="12">
        <f t="shared" si="130"/>
        <v>0</v>
      </c>
      <c r="AH513" s="24">
        <f>SUMIFS(инфо!$E$15:$E$28,инфо!$A$15:$A$28,F513)</f>
        <v>0</v>
      </c>
      <c r="AI513" s="32">
        <f t="shared" si="121"/>
        <v>0</v>
      </c>
      <c r="AJ513" s="12">
        <f t="shared" si="131"/>
        <v>0</v>
      </c>
      <c r="AK513" s="24">
        <f>SUMIFS(инфо!$F$15:$F$28,инфо!$A$15:$A$28,F513)</f>
        <v>0</v>
      </c>
      <c r="AL513" s="32">
        <f t="shared" si="122"/>
        <v>0</v>
      </c>
      <c r="AM513" s="12">
        <f t="shared" si="125"/>
        <v>0</v>
      </c>
      <c r="AN513" s="24">
        <f>SUMIFS(инфо!$G$15:$G$28,инфо!$A$15:$A$28,F513)</f>
        <v>0</v>
      </c>
      <c r="AO513" s="32">
        <f t="shared" si="123"/>
        <v>0</v>
      </c>
      <c r="AP513" s="12">
        <f t="shared" si="126"/>
        <v>0</v>
      </c>
      <c r="AQ513" s="24">
        <f>SUMIFS(инфо!$H$15:$H$28,инфо!$A$15:$A$28,F513)</f>
        <v>0</v>
      </c>
      <c r="AR513" s="35">
        <f t="shared" si="124"/>
        <v>0</v>
      </c>
      <c r="AS513" s="12">
        <f t="shared" si="127"/>
        <v>0</v>
      </c>
      <c r="AT513" s="24">
        <f>SUMIFS(инфо!$I$15:$I$28,инфо!$A$15:$A$28,F513)</f>
        <v>0</v>
      </c>
      <c r="AU513" s="35">
        <f t="shared" si="118"/>
        <v>0</v>
      </c>
      <c r="AV513" s="12">
        <f t="shared" si="128"/>
        <v>0</v>
      </c>
      <c r="AX513" s="68">
        <f>SUMIFS(инфо!$C$15:$C$28,инфо!$A$15:$A$28,F513)*H512</f>
        <v>0</v>
      </c>
    </row>
    <row r="514" spans="1:50" x14ac:dyDescent="0.25">
      <c r="A514" s="70">
        <f t="shared" si="119"/>
        <v>46321</v>
      </c>
      <c r="B514" s="77"/>
      <c r="C514" s="17"/>
      <c r="D514" s="18"/>
      <c r="E514" s="83"/>
      <c r="F514" s="28"/>
      <c r="G514" s="19"/>
      <c r="H514" s="28"/>
      <c r="I514" s="118">
        <f>IFERROR(H514*VLOOKUP(F514,инфо!$A$15:$C$28,3,FALSE)/1000,0)</f>
        <v>0</v>
      </c>
      <c r="J514" s="20"/>
      <c r="K514" s="20"/>
      <c r="L514" s="20"/>
      <c r="M514" s="20"/>
      <c r="N514" s="23"/>
      <c r="O514" s="19"/>
      <c r="P514" s="19"/>
      <c r="Q514" s="19"/>
      <c r="R514" s="19"/>
      <c r="S514" s="69">
        <f t="shared" si="129"/>
        <v>0</v>
      </c>
      <c r="T514" s="17"/>
      <c r="U514" s="18"/>
      <c r="V514" s="19"/>
      <c r="W514" s="81"/>
      <c r="X514" s="19"/>
      <c r="Y514" s="17"/>
      <c r="Z514" s="19"/>
      <c r="AA514" s="19"/>
      <c r="AB514" s="19"/>
      <c r="AC514" s="81"/>
      <c r="AD514" s="18"/>
      <c r="AE514" s="25">
        <f>SUMIFS(инфо!$D$15:$D$28,инфо!$A$15:$A$28,F514)</f>
        <v>0</v>
      </c>
      <c r="AF514" s="35">
        <f t="shared" si="120"/>
        <v>0</v>
      </c>
      <c r="AG514" s="14">
        <f t="shared" si="130"/>
        <v>0</v>
      </c>
      <c r="AH514" s="25">
        <f>SUMIFS(инфо!$E$15:$E$28,инфо!$A$15:$A$28,F514)</f>
        <v>0</v>
      </c>
      <c r="AI514" s="32">
        <f t="shared" si="121"/>
        <v>0</v>
      </c>
      <c r="AJ514" s="14">
        <f t="shared" si="131"/>
        <v>0</v>
      </c>
      <c r="AK514" s="25">
        <f>SUMIFS(инфо!$F$15:$F$28,инфо!$A$15:$A$28,F514)</f>
        <v>0</v>
      </c>
      <c r="AL514" s="32">
        <f t="shared" si="122"/>
        <v>0</v>
      </c>
      <c r="AM514" s="14">
        <f t="shared" si="125"/>
        <v>0</v>
      </c>
      <c r="AN514" s="25">
        <f>SUMIFS(инфо!$G$15:$G$28,инфо!$A$15:$A$28,F514)</f>
        <v>0</v>
      </c>
      <c r="AO514" s="32">
        <f t="shared" si="123"/>
        <v>0</v>
      </c>
      <c r="AP514" s="14">
        <f t="shared" si="126"/>
        <v>0</v>
      </c>
      <c r="AQ514" s="25">
        <f>SUMIFS(инфо!$H$15:$H$28,инфо!$A$15:$A$28,F514)</f>
        <v>0</v>
      </c>
      <c r="AR514" s="26">
        <f t="shared" si="124"/>
        <v>0</v>
      </c>
      <c r="AS514" s="14">
        <f t="shared" si="127"/>
        <v>0</v>
      </c>
      <c r="AT514" s="25">
        <f>SUMIFS(инфо!$I$15:$I$28,инфо!$A$15:$A$28,F514)</f>
        <v>0</v>
      </c>
      <c r="AU514" s="35">
        <f t="shared" si="118"/>
        <v>0</v>
      </c>
      <c r="AV514" s="14">
        <f t="shared" si="128"/>
        <v>0</v>
      </c>
      <c r="AX514" s="69">
        <f>SUMIFS(инфо!$C$15:$C$28,инфо!$A$15:$A$28,F514)*H513</f>
        <v>0</v>
      </c>
    </row>
    <row r="515" spans="1:50" x14ac:dyDescent="0.25">
      <c r="A515" s="70">
        <f t="shared" si="119"/>
        <v>46321</v>
      </c>
      <c r="B515" s="75"/>
      <c r="C515" s="29"/>
      <c r="D515" s="30"/>
      <c r="E515" s="83"/>
      <c r="F515" s="28"/>
      <c r="G515" s="27"/>
      <c r="H515" s="20"/>
      <c r="I515" s="118">
        <f>IFERROR(H515*VLOOKUP(F515,инфо!$A$15:$C$28,3,FALSE)/1000,0)</f>
        <v>0</v>
      </c>
      <c r="J515" s="20"/>
      <c r="K515" s="20"/>
      <c r="L515" s="20"/>
      <c r="M515" s="20"/>
      <c r="N515" s="28"/>
      <c r="O515" s="27"/>
      <c r="P515" s="27"/>
      <c r="Q515" s="27"/>
      <c r="R515" s="27"/>
      <c r="S515" s="67">
        <f t="shared" si="129"/>
        <v>0</v>
      </c>
      <c r="T515" s="29"/>
      <c r="U515" s="30"/>
      <c r="V515" s="27"/>
      <c r="W515" s="81"/>
      <c r="X515" s="27"/>
      <c r="Y515" s="29"/>
      <c r="Z515" s="27"/>
      <c r="AA515" s="27"/>
      <c r="AB515" s="27"/>
      <c r="AC515" s="81"/>
      <c r="AD515" s="30"/>
      <c r="AE515" s="31">
        <f>SUMIFS(инфо!$D$15:$D$28,инфо!$A$15:$A$28,F515)</f>
        <v>0</v>
      </c>
      <c r="AF515" s="35">
        <f t="shared" si="120"/>
        <v>0</v>
      </c>
      <c r="AG515" s="33">
        <f t="shared" si="130"/>
        <v>0</v>
      </c>
      <c r="AH515" s="31">
        <f>SUMIFS(инфо!$E$15:$E$28,инфо!$A$15:$A$28,F515)</f>
        <v>0</v>
      </c>
      <c r="AI515" s="32">
        <f t="shared" si="121"/>
        <v>0</v>
      </c>
      <c r="AJ515" s="33">
        <f t="shared" si="131"/>
        <v>0</v>
      </c>
      <c r="AK515" s="31">
        <f>SUMIFS(инфо!$F$15:$F$28,инфо!$A$15:$A$28,F515)</f>
        <v>0</v>
      </c>
      <c r="AL515" s="32">
        <f t="shared" si="122"/>
        <v>0</v>
      </c>
      <c r="AM515" s="33">
        <f t="shared" si="125"/>
        <v>0</v>
      </c>
      <c r="AN515" s="31">
        <f>SUMIFS(инфо!$G$15:$G$28,инфо!$A$15:$A$28,F515)</f>
        <v>0</v>
      </c>
      <c r="AO515" s="32">
        <f t="shared" si="123"/>
        <v>0</v>
      </c>
      <c r="AP515" s="33">
        <f t="shared" si="126"/>
        <v>0</v>
      </c>
      <c r="AQ515" s="31">
        <f>SUMIFS(инфо!$H$15:$H$28,инфо!$A$15:$A$28,F515)</f>
        <v>0</v>
      </c>
      <c r="AR515" s="32">
        <f t="shared" si="124"/>
        <v>0</v>
      </c>
      <c r="AS515" s="33">
        <f t="shared" si="127"/>
        <v>0</v>
      </c>
      <c r="AT515" s="31">
        <f>SUMIFS(инфо!$I$15:$I$28,инфо!$A$15:$A$28,F515)</f>
        <v>0</v>
      </c>
      <c r="AU515" s="35">
        <f t="shared" si="118"/>
        <v>0</v>
      </c>
      <c r="AV515" s="33">
        <f t="shared" si="128"/>
        <v>0</v>
      </c>
      <c r="AX515" s="67">
        <f>SUMIFS(инфо!$C$15:$C$28,инфо!$A$15:$A$28,F515)*H514</f>
        <v>0</v>
      </c>
    </row>
    <row r="516" spans="1:50" x14ac:dyDescent="0.25">
      <c r="A516" s="70">
        <f t="shared" si="119"/>
        <v>46322</v>
      </c>
      <c r="B516" s="76"/>
      <c r="C516" s="15"/>
      <c r="D516" s="16"/>
      <c r="E516" s="83"/>
      <c r="F516" s="28"/>
      <c r="G516" s="34"/>
      <c r="H516" s="20"/>
      <c r="I516" s="118">
        <f>IFERROR(H516*VLOOKUP(F516,инфо!$A$15:$C$28,3,FALSE)/1000,0)</f>
        <v>0</v>
      </c>
      <c r="J516" s="20"/>
      <c r="K516" s="20"/>
      <c r="L516" s="20"/>
      <c r="M516" s="20"/>
      <c r="N516" s="20"/>
      <c r="O516" s="34"/>
      <c r="P516" s="34"/>
      <c r="Q516" s="34"/>
      <c r="R516" s="34"/>
      <c r="S516" s="68">
        <f t="shared" si="129"/>
        <v>0</v>
      </c>
      <c r="T516" s="15"/>
      <c r="U516" s="16"/>
      <c r="V516" s="34"/>
      <c r="W516" s="81"/>
      <c r="X516" s="34"/>
      <c r="Y516" s="15"/>
      <c r="Z516" s="34"/>
      <c r="AA516" s="34"/>
      <c r="AB516" s="34"/>
      <c r="AC516" s="81"/>
      <c r="AD516" s="16"/>
      <c r="AE516" s="24">
        <f>SUMIFS(инфо!$D$15:$D$28,инфо!$A$15:$A$28,F516)</f>
        <v>0</v>
      </c>
      <c r="AF516" s="35">
        <f t="shared" si="120"/>
        <v>0</v>
      </c>
      <c r="AG516" s="12">
        <f t="shared" si="130"/>
        <v>0</v>
      </c>
      <c r="AH516" s="24">
        <f>SUMIFS(инфо!$E$15:$E$28,инфо!$A$15:$A$28,F516)</f>
        <v>0</v>
      </c>
      <c r="AI516" s="32">
        <f t="shared" si="121"/>
        <v>0</v>
      </c>
      <c r="AJ516" s="12">
        <f t="shared" si="131"/>
        <v>0</v>
      </c>
      <c r="AK516" s="24">
        <f>SUMIFS(инфо!$F$15:$F$28,инфо!$A$15:$A$28,F516)</f>
        <v>0</v>
      </c>
      <c r="AL516" s="32">
        <f t="shared" si="122"/>
        <v>0</v>
      </c>
      <c r="AM516" s="12">
        <f t="shared" si="125"/>
        <v>0</v>
      </c>
      <c r="AN516" s="24">
        <f>SUMIFS(инфо!$G$15:$G$28,инфо!$A$15:$A$28,F516)</f>
        <v>0</v>
      </c>
      <c r="AO516" s="32">
        <f t="shared" si="123"/>
        <v>0</v>
      </c>
      <c r="AP516" s="12">
        <f t="shared" si="126"/>
        <v>0</v>
      </c>
      <c r="AQ516" s="24">
        <f>SUMIFS(инфо!$H$15:$H$28,инфо!$A$15:$A$28,F516)</f>
        <v>0</v>
      </c>
      <c r="AR516" s="35">
        <f t="shared" si="124"/>
        <v>0</v>
      </c>
      <c r="AS516" s="12">
        <f t="shared" si="127"/>
        <v>0</v>
      </c>
      <c r="AT516" s="24">
        <f>SUMIFS(инфо!$I$15:$I$28,инфо!$A$15:$A$28,F516)</f>
        <v>0</v>
      </c>
      <c r="AU516" s="35">
        <f t="shared" si="118"/>
        <v>0</v>
      </c>
      <c r="AV516" s="12">
        <f t="shared" si="128"/>
        <v>0</v>
      </c>
      <c r="AX516" s="68">
        <f>SUMIFS(инфо!$C$15:$C$28,инфо!$A$15:$A$28,F516)*H515</f>
        <v>0</v>
      </c>
    </row>
    <row r="517" spans="1:50" x14ac:dyDescent="0.25">
      <c r="A517" s="70">
        <f t="shared" si="119"/>
        <v>46322</v>
      </c>
      <c r="B517" s="76"/>
      <c r="C517" s="15"/>
      <c r="D517" s="16"/>
      <c r="E517" s="83"/>
      <c r="F517" s="28"/>
      <c r="G517" s="34"/>
      <c r="H517" s="23"/>
      <c r="I517" s="118">
        <f>IFERROR(H517*VLOOKUP(F517,инфо!$A$15:$C$28,3,FALSE)/1000,0)</f>
        <v>0</v>
      </c>
      <c r="J517" s="20"/>
      <c r="K517" s="20"/>
      <c r="L517" s="20"/>
      <c r="M517" s="20"/>
      <c r="N517" s="20"/>
      <c r="O517" s="34"/>
      <c r="P517" s="34"/>
      <c r="Q517" s="34"/>
      <c r="R517" s="34"/>
      <c r="S517" s="68">
        <f t="shared" si="129"/>
        <v>0</v>
      </c>
      <c r="T517" s="15"/>
      <c r="U517" s="16"/>
      <c r="V517" s="34"/>
      <c r="W517" s="81"/>
      <c r="X517" s="34"/>
      <c r="Y517" s="15"/>
      <c r="Z517" s="34"/>
      <c r="AA517" s="34"/>
      <c r="AB517" s="34"/>
      <c r="AC517" s="81"/>
      <c r="AD517" s="16"/>
      <c r="AE517" s="24">
        <f>SUMIFS(инфо!$D$15:$D$28,инфо!$A$15:$A$28,F517)</f>
        <v>0</v>
      </c>
      <c r="AF517" s="35">
        <f t="shared" si="120"/>
        <v>0</v>
      </c>
      <c r="AG517" s="12">
        <f t="shared" si="130"/>
        <v>0</v>
      </c>
      <c r="AH517" s="24">
        <f>SUMIFS(инфо!$E$15:$E$28,инфо!$A$15:$A$28,F517)</f>
        <v>0</v>
      </c>
      <c r="AI517" s="32">
        <f t="shared" si="121"/>
        <v>0</v>
      </c>
      <c r="AJ517" s="12">
        <f t="shared" si="131"/>
        <v>0</v>
      </c>
      <c r="AK517" s="24">
        <f>SUMIFS(инфо!$F$15:$F$28,инфо!$A$15:$A$28,F517)</f>
        <v>0</v>
      </c>
      <c r="AL517" s="32">
        <f t="shared" si="122"/>
        <v>0</v>
      </c>
      <c r="AM517" s="12">
        <f t="shared" si="125"/>
        <v>0</v>
      </c>
      <c r="AN517" s="24">
        <f>SUMIFS(инфо!$G$15:$G$28,инфо!$A$15:$A$28,F517)</f>
        <v>0</v>
      </c>
      <c r="AO517" s="32">
        <f t="shared" si="123"/>
        <v>0</v>
      </c>
      <c r="AP517" s="12">
        <f t="shared" si="126"/>
        <v>0</v>
      </c>
      <c r="AQ517" s="24">
        <f>SUMIFS(инфо!$H$15:$H$28,инфо!$A$15:$A$28,F517)</f>
        <v>0</v>
      </c>
      <c r="AR517" s="35">
        <f t="shared" si="124"/>
        <v>0</v>
      </c>
      <c r="AS517" s="12">
        <f t="shared" si="127"/>
        <v>0</v>
      </c>
      <c r="AT517" s="24">
        <f>SUMIFS(инфо!$I$15:$I$28,инфо!$A$15:$A$28,F517)</f>
        <v>0</v>
      </c>
      <c r="AU517" s="35">
        <f t="shared" si="118"/>
        <v>0</v>
      </c>
      <c r="AV517" s="12">
        <f t="shared" si="128"/>
        <v>0</v>
      </c>
      <c r="AX517" s="68">
        <f>SUMIFS(инфо!$C$15:$C$28,инфо!$A$15:$A$28,F517)*H516</f>
        <v>0</v>
      </c>
    </row>
    <row r="518" spans="1:50" x14ac:dyDescent="0.25">
      <c r="A518" s="70">
        <f t="shared" si="119"/>
        <v>46323</v>
      </c>
      <c r="B518" s="77"/>
      <c r="C518" s="17"/>
      <c r="D518" s="18"/>
      <c r="E518" s="83"/>
      <c r="F518" s="28"/>
      <c r="G518" s="19"/>
      <c r="H518" s="28"/>
      <c r="I518" s="118">
        <f>IFERROR(H518*VLOOKUP(F518,инфо!$A$15:$C$28,3,FALSE)/1000,0)</f>
        <v>0</v>
      </c>
      <c r="J518" s="20"/>
      <c r="K518" s="20"/>
      <c r="L518" s="20"/>
      <c r="M518" s="20"/>
      <c r="N518" s="23"/>
      <c r="O518" s="19"/>
      <c r="P518" s="19"/>
      <c r="Q518" s="19"/>
      <c r="R518" s="19"/>
      <c r="S518" s="69">
        <f t="shared" si="129"/>
        <v>0</v>
      </c>
      <c r="T518" s="17"/>
      <c r="U518" s="18"/>
      <c r="V518" s="19"/>
      <c r="W518" s="81"/>
      <c r="X518" s="19"/>
      <c r="Y518" s="17"/>
      <c r="Z518" s="19"/>
      <c r="AA518" s="19"/>
      <c r="AB518" s="19"/>
      <c r="AC518" s="81"/>
      <c r="AD518" s="18"/>
      <c r="AE518" s="25">
        <f>SUMIFS(инфо!$D$15:$D$28,инфо!$A$15:$A$28,F518)</f>
        <v>0</v>
      </c>
      <c r="AF518" s="35">
        <f t="shared" si="120"/>
        <v>0</v>
      </c>
      <c r="AG518" s="14">
        <f t="shared" si="130"/>
        <v>0</v>
      </c>
      <c r="AH518" s="25">
        <f>SUMIFS(инфо!$E$15:$E$28,инфо!$A$15:$A$28,F518)</f>
        <v>0</v>
      </c>
      <c r="AI518" s="32">
        <f t="shared" si="121"/>
        <v>0</v>
      </c>
      <c r="AJ518" s="14">
        <f t="shared" si="131"/>
        <v>0</v>
      </c>
      <c r="AK518" s="25">
        <f>SUMIFS(инфо!$F$15:$F$28,инфо!$A$15:$A$28,F518)</f>
        <v>0</v>
      </c>
      <c r="AL518" s="32">
        <f t="shared" si="122"/>
        <v>0</v>
      </c>
      <c r="AM518" s="14">
        <f t="shared" si="125"/>
        <v>0</v>
      </c>
      <c r="AN518" s="25">
        <f>SUMIFS(инфо!$G$15:$G$28,инфо!$A$15:$A$28,F518)</f>
        <v>0</v>
      </c>
      <c r="AO518" s="32">
        <f t="shared" si="123"/>
        <v>0</v>
      </c>
      <c r="AP518" s="14">
        <f t="shared" si="126"/>
        <v>0</v>
      </c>
      <c r="AQ518" s="25">
        <f>SUMIFS(инфо!$H$15:$H$28,инфо!$A$15:$A$28,F518)</f>
        <v>0</v>
      </c>
      <c r="AR518" s="26">
        <f t="shared" si="124"/>
        <v>0</v>
      </c>
      <c r="AS518" s="14">
        <f t="shared" si="127"/>
        <v>0</v>
      </c>
      <c r="AT518" s="25">
        <f>SUMIFS(инфо!$I$15:$I$28,инфо!$A$15:$A$28,F518)</f>
        <v>0</v>
      </c>
      <c r="AU518" s="35">
        <f t="shared" si="118"/>
        <v>0</v>
      </c>
      <c r="AV518" s="14">
        <f t="shared" si="128"/>
        <v>0</v>
      </c>
      <c r="AX518" s="69">
        <f>SUMIFS(инфо!$C$15:$C$28,инфо!$A$15:$A$28,F518)*H517</f>
        <v>0</v>
      </c>
    </row>
    <row r="519" spans="1:50" x14ac:dyDescent="0.25">
      <c r="A519" s="70">
        <f t="shared" si="119"/>
        <v>46323</v>
      </c>
      <c r="B519" s="75"/>
      <c r="C519" s="29"/>
      <c r="D519" s="30"/>
      <c r="E519" s="83"/>
      <c r="F519" s="28"/>
      <c r="G519" s="27"/>
      <c r="H519" s="20"/>
      <c r="I519" s="118">
        <f>IFERROR(H519*VLOOKUP(F519,инфо!$A$15:$C$28,3,FALSE)/1000,0)</f>
        <v>0</v>
      </c>
      <c r="J519" s="20"/>
      <c r="K519" s="20"/>
      <c r="L519" s="20"/>
      <c r="M519" s="20"/>
      <c r="N519" s="28"/>
      <c r="O519" s="27"/>
      <c r="P519" s="27"/>
      <c r="Q519" s="27"/>
      <c r="R519" s="27"/>
      <c r="S519" s="67">
        <f t="shared" si="129"/>
        <v>0</v>
      </c>
      <c r="T519" s="29"/>
      <c r="U519" s="30"/>
      <c r="V519" s="27"/>
      <c r="W519" s="81"/>
      <c r="X519" s="27"/>
      <c r="Y519" s="29"/>
      <c r="Z519" s="27"/>
      <c r="AA519" s="27"/>
      <c r="AB519" s="27"/>
      <c r="AC519" s="81"/>
      <c r="AD519" s="30"/>
      <c r="AE519" s="31">
        <f>SUMIFS(инфо!$D$15:$D$28,инфо!$A$15:$A$28,F519)</f>
        <v>0</v>
      </c>
      <c r="AF519" s="35">
        <f t="shared" si="120"/>
        <v>0</v>
      </c>
      <c r="AG519" s="33">
        <f t="shared" si="130"/>
        <v>0</v>
      </c>
      <c r="AH519" s="31">
        <f>SUMIFS(инфо!$E$15:$E$28,инфо!$A$15:$A$28,F519)</f>
        <v>0</v>
      </c>
      <c r="AI519" s="32">
        <f t="shared" si="121"/>
        <v>0</v>
      </c>
      <c r="AJ519" s="33">
        <f t="shared" si="131"/>
        <v>0</v>
      </c>
      <c r="AK519" s="31">
        <f>SUMIFS(инфо!$F$15:$F$28,инфо!$A$15:$A$28,F519)</f>
        <v>0</v>
      </c>
      <c r="AL519" s="32">
        <f t="shared" si="122"/>
        <v>0</v>
      </c>
      <c r="AM519" s="33">
        <f t="shared" si="125"/>
        <v>0</v>
      </c>
      <c r="AN519" s="31">
        <f>SUMIFS(инфо!$G$15:$G$28,инфо!$A$15:$A$28,F519)</f>
        <v>0</v>
      </c>
      <c r="AO519" s="32">
        <f t="shared" si="123"/>
        <v>0</v>
      </c>
      <c r="AP519" s="33">
        <f t="shared" si="126"/>
        <v>0</v>
      </c>
      <c r="AQ519" s="31">
        <f>SUMIFS(инфо!$H$15:$H$28,инфо!$A$15:$A$28,F519)</f>
        <v>0</v>
      </c>
      <c r="AR519" s="32">
        <f t="shared" si="124"/>
        <v>0</v>
      </c>
      <c r="AS519" s="33">
        <f t="shared" si="127"/>
        <v>0</v>
      </c>
      <c r="AT519" s="31">
        <f>SUMIFS(инфо!$I$15:$I$28,инфо!$A$15:$A$28,F519)</f>
        <v>0</v>
      </c>
      <c r="AU519" s="35">
        <f t="shared" si="118"/>
        <v>0</v>
      </c>
      <c r="AV519" s="33">
        <f t="shared" si="128"/>
        <v>0</v>
      </c>
      <c r="AX519" s="67">
        <f>SUMIFS(инфо!$C$15:$C$28,инфо!$A$15:$A$28,F519)*H518</f>
        <v>0</v>
      </c>
    </row>
    <row r="520" spans="1:50" x14ac:dyDescent="0.25">
      <c r="A520" s="70">
        <f t="shared" si="119"/>
        <v>46324</v>
      </c>
      <c r="B520" s="76"/>
      <c r="C520" s="15"/>
      <c r="D520" s="16"/>
      <c r="E520" s="83"/>
      <c r="F520" s="28"/>
      <c r="G520" s="34"/>
      <c r="H520" s="20"/>
      <c r="I520" s="118">
        <f>IFERROR(H520*VLOOKUP(F520,инфо!$A$15:$C$28,3,FALSE)/1000,0)</f>
        <v>0</v>
      </c>
      <c r="J520" s="20"/>
      <c r="K520" s="20"/>
      <c r="L520" s="20"/>
      <c r="M520" s="20"/>
      <c r="N520" s="20"/>
      <c r="O520" s="34"/>
      <c r="P520" s="34"/>
      <c r="Q520" s="34"/>
      <c r="R520" s="34"/>
      <c r="S520" s="68">
        <f t="shared" si="129"/>
        <v>0</v>
      </c>
      <c r="T520" s="15"/>
      <c r="U520" s="16"/>
      <c r="V520" s="34"/>
      <c r="W520" s="81"/>
      <c r="X520" s="34"/>
      <c r="Y520" s="15"/>
      <c r="Z520" s="34"/>
      <c r="AA520" s="34"/>
      <c r="AB520" s="34"/>
      <c r="AC520" s="81"/>
      <c r="AD520" s="16"/>
      <c r="AE520" s="24">
        <f>SUMIFS(инфо!$D$15:$D$28,инфо!$A$15:$A$28,F520)</f>
        <v>0</v>
      </c>
      <c r="AF520" s="35">
        <f t="shared" si="120"/>
        <v>0</v>
      </c>
      <c r="AG520" s="12">
        <f t="shared" si="130"/>
        <v>0</v>
      </c>
      <c r="AH520" s="24">
        <f>SUMIFS(инфо!$E$15:$E$28,инфо!$A$15:$A$28,F520)</f>
        <v>0</v>
      </c>
      <c r="AI520" s="32">
        <f t="shared" si="121"/>
        <v>0</v>
      </c>
      <c r="AJ520" s="12">
        <f t="shared" si="131"/>
        <v>0</v>
      </c>
      <c r="AK520" s="24">
        <f>SUMIFS(инфо!$F$15:$F$28,инфо!$A$15:$A$28,F520)</f>
        <v>0</v>
      </c>
      <c r="AL520" s="32">
        <f t="shared" si="122"/>
        <v>0</v>
      </c>
      <c r="AM520" s="12">
        <f t="shared" si="125"/>
        <v>0</v>
      </c>
      <c r="AN520" s="24">
        <f>SUMIFS(инфо!$G$15:$G$28,инфо!$A$15:$A$28,F520)</f>
        <v>0</v>
      </c>
      <c r="AO520" s="32">
        <f t="shared" si="123"/>
        <v>0</v>
      </c>
      <c r="AP520" s="12">
        <f t="shared" si="126"/>
        <v>0</v>
      </c>
      <c r="AQ520" s="24">
        <f>SUMIFS(инфо!$H$15:$H$28,инфо!$A$15:$A$28,F520)</f>
        <v>0</v>
      </c>
      <c r="AR520" s="35">
        <f t="shared" si="124"/>
        <v>0</v>
      </c>
      <c r="AS520" s="12">
        <f t="shared" si="127"/>
        <v>0</v>
      </c>
      <c r="AT520" s="24">
        <f>SUMIFS(инфо!$I$15:$I$28,инфо!$A$15:$A$28,F520)</f>
        <v>0</v>
      </c>
      <c r="AU520" s="35">
        <f t="shared" si="118"/>
        <v>0</v>
      </c>
      <c r="AV520" s="12">
        <f t="shared" si="128"/>
        <v>0</v>
      </c>
      <c r="AX520" s="68">
        <f>SUMIFS(инфо!$C$15:$C$28,инфо!$A$15:$A$28,F520)*H519</f>
        <v>0</v>
      </c>
    </row>
    <row r="521" spans="1:50" x14ac:dyDescent="0.25">
      <c r="A521" s="70">
        <f t="shared" si="119"/>
        <v>46324</v>
      </c>
      <c r="B521" s="76"/>
      <c r="C521" s="15"/>
      <c r="D521" s="16"/>
      <c r="E521" s="83"/>
      <c r="F521" s="28"/>
      <c r="G521" s="34"/>
      <c r="H521" s="23"/>
      <c r="I521" s="118">
        <f>IFERROR(H521*VLOOKUP(F521,инфо!$A$15:$C$28,3,FALSE)/1000,0)</f>
        <v>0</v>
      </c>
      <c r="J521" s="20"/>
      <c r="K521" s="20"/>
      <c r="L521" s="20"/>
      <c r="M521" s="20"/>
      <c r="N521" s="20"/>
      <c r="O521" s="34"/>
      <c r="P521" s="34"/>
      <c r="Q521" s="34"/>
      <c r="R521" s="34"/>
      <c r="S521" s="68">
        <f t="shared" si="129"/>
        <v>0</v>
      </c>
      <c r="T521" s="15"/>
      <c r="U521" s="16"/>
      <c r="V521" s="34"/>
      <c r="W521" s="81"/>
      <c r="X521" s="34"/>
      <c r="Y521" s="15"/>
      <c r="Z521" s="34"/>
      <c r="AA521" s="34"/>
      <c r="AB521" s="34"/>
      <c r="AC521" s="81"/>
      <c r="AD521" s="16"/>
      <c r="AE521" s="24">
        <f>SUMIFS(инфо!$D$15:$D$28,инфо!$A$15:$A$28,F521)</f>
        <v>0</v>
      </c>
      <c r="AF521" s="35">
        <f t="shared" si="120"/>
        <v>0</v>
      </c>
      <c r="AG521" s="12">
        <f t="shared" si="130"/>
        <v>0</v>
      </c>
      <c r="AH521" s="24">
        <f>SUMIFS(инфо!$E$15:$E$28,инфо!$A$15:$A$28,F521)</f>
        <v>0</v>
      </c>
      <c r="AI521" s="32">
        <f t="shared" si="121"/>
        <v>0</v>
      </c>
      <c r="AJ521" s="12">
        <f t="shared" si="131"/>
        <v>0</v>
      </c>
      <c r="AK521" s="24">
        <f>SUMIFS(инфо!$F$15:$F$28,инфо!$A$15:$A$28,F521)</f>
        <v>0</v>
      </c>
      <c r="AL521" s="32">
        <f t="shared" si="122"/>
        <v>0</v>
      </c>
      <c r="AM521" s="12">
        <f t="shared" si="125"/>
        <v>0</v>
      </c>
      <c r="AN521" s="24">
        <f>SUMIFS(инфо!$G$15:$G$28,инфо!$A$15:$A$28,F521)</f>
        <v>0</v>
      </c>
      <c r="AO521" s="32">
        <f t="shared" si="123"/>
        <v>0</v>
      </c>
      <c r="AP521" s="12">
        <f t="shared" si="126"/>
        <v>0</v>
      </c>
      <c r="AQ521" s="24">
        <f>SUMIFS(инфо!$H$15:$H$28,инфо!$A$15:$A$28,F521)</f>
        <v>0</v>
      </c>
      <c r="AR521" s="35">
        <f t="shared" si="124"/>
        <v>0</v>
      </c>
      <c r="AS521" s="12">
        <f t="shared" si="127"/>
        <v>0</v>
      </c>
      <c r="AT521" s="24">
        <f>SUMIFS(инфо!$I$15:$I$28,инфо!$A$15:$A$28,F521)</f>
        <v>0</v>
      </c>
      <c r="AU521" s="35">
        <f t="shared" ref="AU521:AU584" si="132">IF(H521=0,0,AD521/H521)</f>
        <v>0</v>
      </c>
      <c r="AV521" s="12">
        <f t="shared" si="128"/>
        <v>0</v>
      </c>
      <c r="AX521" s="68">
        <f>SUMIFS(инфо!$C$15:$C$28,инфо!$A$15:$A$28,F521)*H520</f>
        <v>0</v>
      </c>
    </row>
    <row r="522" spans="1:50" x14ac:dyDescent="0.25">
      <c r="A522" s="70">
        <f t="shared" si="119"/>
        <v>46325</v>
      </c>
      <c r="B522" s="77"/>
      <c r="C522" s="17"/>
      <c r="D522" s="18"/>
      <c r="E522" s="83"/>
      <c r="F522" s="28"/>
      <c r="G522" s="19"/>
      <c r="H522" s="28"/>
      <c r="I522" s="118">
        <f>IFERROR(H522*VLOOKUP(F522,инфо!$A$15:$C$28,3,FALSE)/1000,0)</f>
        <v>0</v>
      </c>
      <c r="J522" s="20"/>
      <c r="K522" s="20"/>
      <c r="L522" s="20"/>
      <c r="M522" s="20"/>
      <c r="N522" s="23"/>
      <c r="O522" s="19"/>
      <c r="P522" s="19"/>
      <c r="Q522" s="19"/>
      <c r="R522" s="19"/>
      <c r="S522" s="69">
        <f t="shared" si="129"/>
        <v>0</v>
      </c>
      <c r="T522" s="17"/>
      <c r="U522" s="18"/>
      <c r="V522" s="19"/>
      <c r="W522" s="81"/>
      <c r="X522" s="19"/>
      <c r="Y522" s="17"/>
      <c r="Z522" s="19"/>
      <c r="AA522" s="19"/>
      <c r="AB522" s="19"/>
      <c r="AC522" s="81"/>
      <c r="AD522" s="18"/>
      <c r="AE522" s="25">
        <f>SUMIFS(инфо!$D$15:$D$28,инфо!$A$15:$A$28,F522)</f>
        <v>0</v>
      </c>
      <c r="AF522" s="35">
        <f t="shared" si="120"/>
        <v>0</v>
      </c>
      <c r="AG522" s="14">
        <f t="shared" si="130"/>
        <v>0</v>
      </c>
      <c r="AH522" s="25">
        <f>SUMIFS(инфо!$E$15:$E$28,инфо!$A$15:$A$28,F522)</f>
        <v>0</v>
      </c>
      <c r="AI522" s="32">
        <f t="shared" si="121"/>
        <v>0</v>
      </c>
      <c r="AJ522" s="14">
        <f t="shared" si="131"/>
        <v>0</v>
      </c>
      <c r="AK522" s="25">
        <f>SUMIFS(инфо!$F$15:$F$28,инфо!$A$15:$A$28,F522)</f>
        <v>0</v>
      </c>
      <c r="AL522" s="32">
        <f t="shared" si="122"/>
        <v>0</v>
      </c>
      <c r="AM522" s="14">
        <f t="shared" si="125"/>
        <v>0</v>
      </c>
      <c r="AN522" s="25">
        <f>SUMIFS(инфо!$G$15:$G$28,инфо!$A$15:$A$28,F522)</f>
        <v>0</v>
      </c>
      <c r="AO522" s="32">
        <f t="shared" si="123"/>
        <v>0</v>
      </c>
      <c r="AP522" s="14">
        <f t="shared" si="126"/>
        <v>0</v>
      </c>
      <c r="AQ522" s="25">
        <f>SUMIFS(инфо!$H$15:$H$28,инфо!$A$15:$A$28,F522)</f>
        <v>0</v>
      </c>
      <c r="AR522" s="26">
        <f t="shared" si="124"/>
        <v>0</v>
      </c>
      <c r="AS522" s="14">
        <f t="shared" si="127"/>
        <v>0</v>
      </c>
      <c r="AT522" s="25">
        <f>SUMIFS(инфо!$I$15:$I$28,инфо!$A$15:$A$28,F522)</f>
        <v>0</v>
      </c>
      <c r="AU522" s="35">
        <f t="shared" si="132"/>
        <v>0</v>
      </c>
      <c r="AV522" s="14">
        <f t="shared" si="128"/>
        <v>0</v>
      </c>
      <c r="AX522" s="69">
        <f>SUMIFS(инфо!$C$15:$C$28,инфо!$A$15:$A$28,F522)*H521</f>
        <v>0</v>
      </c>
    </row>
    <row r="523" spans="1:50" x14ac:dyDescent="0.25">
      <c r="A523" s="70">
        <f t="shared" si="119"/>
        <v>46325</v>
      </c>
      <c r="B523" s="75"/>
      <c r="C523" s="29"/>
      <c r="D523" s="30"/>
      <c r="E523" s="83"/>
      <c r="F523" s="28"/>
      <c r="G523" s="27"/>
      <c r="H523" s="20"/>
      <c r="I523" s="118">
        <f>IFERROR(H523*VLOOKUP(F523,инфо!$A$15:$C$28,3,FALSE)/1000,0)</f>
        <v>0</v>
      </c>
      <c r="J523" s="20"/>
      <c r="K523" s="20"/>
      <c r="L523" s="20"/>
      <c r="M523" s="20"/>
      <c r="N523" s="28"/>
      <c r="O523" s="27"/>
      <c r="P523" s="27"/>
      <c r="Q523" s="27"/>
      <c r="R523" s="27"/>
      <c r="S523" s="67">
        <f t="shared" si="129"/>
        <v>0</v>
      </c>
      <c r="T523" s="29"/>
      <c r="U523" s="30"/>
      <c r="V523" s="27"/>
      <c r="W523" s="81"/>
      <c r="X523" s="27"/>
      <c r="Y523" s="29"/>
      <c r="Z523" s="27"/>
      <c r="AA523" s="27"/>
      <c r="AB523" s="27"/>
      <c r="AC523" s="81"/>
      <c r="AD523" s="30"/>
      <c r="AE523" s="31">
        <f>SUMIFS(инфо!$D$15:$D$28,инфо!$A$15:$A$28,F523)</f>
        <v>0</v>
      </c>
      <c r="AF523" s="35">
        <f t="shared" si="120"/>
        <v>0</v>
      </c>
      <c r="AG523" s="33">
        <f t="shared" si="130"/>
        <v>0</v>
      </c>
      <c r="AH523" s="31">
        <f>SUMIFS(инфо!$E$15:$E$28,инфо!$A$15:$A$28,F523)</f>
        <v>0</v>
      </c>
      <c r="AI523" s="32">
        <f t="shared" si="121"/>
        <v>0</v>
      </c>
      <c r="AJ523" s="33">
        <f t="shared" si="131"/>
        <v>0</v>
      </c>
      <c r="AK523" s="31">
        <f>SUMIFS(инфо!$F$15:$F$28,инфо!$A$15:$A$28,F523)</f>
        <v>0</v>
      </c>
      <c r="AL523" s="32">
        <f t="shared" si="122"/>
        <v>0</v>
      </c>
      <c r="AM523" s="33">
        <f t="shared" si="125"/>
        <v>0</v>
      </c>
      <c r="AN523" s="31">
        <f>SUMIFS(инфо!$G$15:$G$28,инфо!$A$15:$A$28,F523)</f>
        <v>0</v>
      </c>
      <c r="AO523" s="32">
        <f t="shared" si="123"/>
        <v>0</v>
      </c>
      <c r="AP523" s="33">
        <f t="shared" si="126"/>
        <v>0</v>
      </c>
      <c r="AQ523" s="31">
        <f>SUMIFS(инфо!$H$15:$H$28,инфо!$A$15:$A$28,F523)</f>
        <v>0</v>
      </c>
      <c r="AR523" s="32">
        <f t="shared" si="124"/>
        <v>0</v>
      </c>
      <c r="AS523" s="33">
        <f t="shared" si="127"/>
        <v>0</v>
      </c>
      <c r="AT523" s="31">
        <f>SUMIFS(инфо!$I$15:$I$28,инфо!$A$15:$A$28,F523)</f>
        <v>0</v>
      </c>
      <c r="AU523" s="35">
        <f t="shared" si="132"/>
        <v>0</v>
      </c>
      <c r="AV523" s="33">
        <f t="shared" si="128"/>
        <v>0</v>
      </c>
      <c r="AX523" s="67">
        <f>SUMIFS(инфо!$C$15:$C$28,инфо!$A$15:$A$28,F523)*H522</f>
        <v>0</v>
      </c>
    </row>
    <row r="524" spans="1:50" x14ac:dyDescent="0.25">
      <c r="A524" s="70">
        <f t="shared" si="119"/>
        <v>46326</v>
      </c>
      <c r="B524" s="76"/>
      <c r="C524" s="15"/>
      <c r="D524" s="16"/>
      <c r="E524" s="83"/>
      <c r="F524" s="28"/>
      <c r="G524" s="34"/>
      <c r="H524" s="20"/>
      <c r="I524" s="118">
        <f>IFERROR(H524*VLOOKUP(F524,инфо!$A$15:$C$28,3,FALSE)/1000,0)</f>
        <v>0</v>
      </c>
      <c r="J524" s="20"/>
      <c r="K524" s="20"/>
      <c r="L524" s="20"/>
      <c r="M524" s="20"/>
      <c r="N524" s="20"/>
      <c r="O524" s="34"/>
      <c r="P524" s="34"/>
      <c r="Q524" s="34"/>
      <c r="R524" s="34"/>
      <c r="S524" s="68">
        <f t="shared" si="129"/>
        <v>0</v>
      </c>
      <c r="T524" s="15"/>
      <c r="U524" s="16"/>
      <c r="V524" s="34"/>
      <c r="W524" s="81"/>
      <c r="X524" s="34"/>
      <c r="Y524" s="15"/>
      <c r="Z524" s="34"/>
      <c r="AA524" s="34"/>
      <c r="AB524" s="34"/>
      <c r="AC524" s="81"/>
      <c r="AD524" s="16"/>
      <c r="AE524" s="24">
        <f>SUMIFS(инфо!$D$15:$D$28,инфо!$A$15:$A$28,F524)</f>
        <v>0</v>
      </c>
      <c r="AF524" s="35">
        <f t="shared" si="120"/>
        <v>0</v>
      </c>
      <c r="AG524" s="12">
        <f t="shared" si="130"/>
        <v>0</v>
      </c>
      <c r="AH524" s="24">
        <f>SUMIFS(инфо!$E$15:$E$28,инфо!$A$15:$A$28,F524)</f>
        <v>0</v>
      </c>
      <c r="AI524" s="32">
        <f t="shared" si="121"/>
        <v>0</v>
      </c>
      <c r="AJ524" s="12">
        <f t="shared" si="131"/>
        <v>0</v>
      </c>
      <c r="AK524" s="24">
        <f>SUMIFS(инфо!$F$15:$F$28,инфо!$A$15:$A$28,F524)</f>
        <v>0</v>
      </c>
      <c r="AL524" s="32">
        <f t="shared" si="122"/>
        <v>0</v>
      </c>
      <c r="AM524" s="12">
        <f t="shared" si="125"/>
        <v>0</v>
      </c>
      <c r="AN524" s="24">
        <f>SUMIFS(инфо!$G$15:$G$28,инфо!$A$15:$A$28,F524)</f>
        <v>0</v>
      </c>
      <c r="AO524" s="32">
        <f t="shared" si="123"/>
        <v>0</v>
      </c>
      <c r="AP524" s="12">
        <f t="shared" si="126"/>
        <v>0</v>
      </c>
      <c r="AQ524" s="24">
        <f>SUMIFS(инфо!$H$15:$H$28,инфо!$A$15:$A$28,F524)</f>
        <v>0</v>
      </c>
      <c r="AR524" s="35">
        <f t="shared" si="124"/>
        <v>0</v>
      </c>
      <c r="AS524" s="12">
        <f t="shared" si="127"/>
        <v>0</v>
      </c>
      <c r="AT524" s="24">
        <f>SUMIFS(инфо!$I$15:$I$28,инфо!$A$15:$A$28,F524)</f>
        <v>0</v>
      </c>
      <c r="AU524" s="35">
        <f t="shared" si="132"/>
        <v>0</v>
      </c>
      <c r="AV524" s="12">
        <f t="shared" si="128"/>
        <v>0</v>
      </c>
      <c r="AX524" s="68">
        <f>SUMIFS(инфо!$C$15:$C$28,инфо!$A$15:$A$28,F524)*H523</f>
        <v>0</v>
      </c>
    </row>
    <row r="525" spans="1:50" x14ac:dyDescent="0.25">
      <c r="A525" s="70">
        <f t="shared" si="119"/>
        <v>46326</v>
      </c>
      <c r="B525" s="76"/>
      <c r="C525" s="15"/>
      <c r="D525" s="16"/>
      <c r="E525" s="83"/>
      <c r="F525" s="28"/>
      <c r="G525" s="34"/>
      <c r="H525" s="23"/>
      <c r="I525" s="118">
        <f>IFERROR(H525*VLOOKUP(F525,инфо!$A$15:$C$28,3,FALSE)/1000,0)</f>
        <v>0</v>
      </c>
      <c r="J525" s="20"/>
      <c r="K525" s="20"/>
      <c r="L525" s="20"/>
      <c r="M525" s="20"/>
      <c r="N525" s="20"/>
      <c r="O525" s="34"/>
      <c r="P525" s="34"/>
      <c r="Q525" s="34"/>
      <c r="R525" s="34"/>
      <c r="S525" s="68">
        <f t="shared" si="129"/>
        <v>0</v>
      </c>
      <c r="T525" s="15"/>
      <c r="U525" s="16"/>
      <c r="V525" s="34"/>
      <c r="W525" s="81"/>
      <c r="X525" s="34"/>
      <c r="Y525" s="15"/>
      <c r="Z525" s="34"/>
      <c r="AA525" s="34"/>
      <c r="AB525" s="34"/>
      <c r="AC525" s="81"/>
      <c r="AD525" s="16"/>
      <c r="AE525" s="24">
        <f>SUMIFS(инфо!$D$15:$D$28,инфо!$A$15:$A$28,F525)</f>
        <v>0</v>
      </c>
      <c r="AF525" s="35">
        <f t="shared" si="120"/>
        <v>0</v>
      </c>
      <c r="AG525" s="12">
        <f t="shared" si="130"/>
        <v>0</v>
      </c>
      <c r="AH525" s="24">
        <f>SUMIFS(инфо!$E$15:$E$28,инфо!$A$15:$A$28,F525)</f>
        <v>0</v>
      </c>
      <c r="AI525" s="32">
        <f t="shared" si="121"/>
        <v>0</v>
      </c>
      <c r="AJ525" s="12">
        <f t="shared" si="131"/>
        <v>0</v>
      </c>
      <c r="AK525" s="24">
        <f>SUMIFS(инфо!$F$15:$F$28,инфо!$A$15:$A$28,F525)</f>
        <v>0</v>
      </c>
      <c r="AL525" s="32">
        <f t="shared" si="122"/>
        <v>0</v>
      </c>
      <c r="AM525" s="12">
        <f t="shared" si="125"/>
        <v>0</v>
      </c>
      <c r="AN525" s="24">
        <f>SUMIFS(инфо!$G$15:$G$28,инфо!$A$15:$A$28,F525)</f>
        <v>0</v>
      </c>
      <c r="AO525" s="32">
        <f t="shared" si="123"/>
        <v>0</v>
      </c>
      <c r="AP525" s="12">
        <f t="shared" si="126"/>
        <v>0</v>
      </c>
      <c r="AQ525" s="24">
        <f>SUMIFS(инфо!$H$15:$H$28,инфо!$A$15:$A$28,F525)</f>
        <v>0</v>
      </c>
      <c r="AR525" s="35">
        <f t="shared" si="124"/>
        <v>0</v>
      </c>
      <c r="AS525" s="12">
        <f t="shared" si="127"/>
        <v>0</v>
      </c>
      <c r="AT525" s="24">
        <f>SUMIFS(инфо!$I$15:$I$28,инфо!$A$15:$A$28,F525)</f>
        <v>0</v>
      </c>
      <c r="AU525" s="35">
        <f t="shared" si="132"/>
        <v>0</v>
      </c>
      <c r="AV525" s="12">
        <f t="shared" si="128"/>
        <v>0</v>
      </c>
      <c r="AX525" s="68">
        <f>SUMIFS(инфо!$C$15:$C$28,инфо!$A$15:$A$28,F525)*H524</f>
        <v>0</v>
      </c>
    </row>
    <row r="526" spans="1:50" x14ac:dyDescent="0.25">
      <c r="A526" s="70">
        <f t="shared" si="119"/>
        <v>46327</v>
      </c>
      <c r="B526" s="77"/>
      <c r="C526" s="17"/>
      <c r="D526" s="18"/>
      <c r="E526" s="83"/>
      <c r="F526" s="28"/>
      <c r="G526" s="19"/>
      <c r="H526" s="28"/>
      <c r="I526" s="118">
        <f>IFERROR(H526*VLOOKUP(F526,инфо!$A$15:$C$28,3,FALSE)/1000,0)</f>
        <v>0</v>
      </c>
      <c r="J526" s="20"/>
      <c r="K526" s="20"/>
      <c r="L526" s="20"/>
      <c r="M526" s="20"/>
      <c r="N526" s="23"/>
      <c r="O526" s="19"/>
      <c r="P526" s="19"/>
      <c r="Q526" s="19"/>
      <c r="R526" s="19"/>
      <c r="S526" s="69">
        <f t="shared" si="129"/>
        <v>0</v>
      </c>
      <c r="T526" s="17"/>
      <c r="U526" s="18"/>
      <c r="V526" s="19"/>
      <c r="W526" s="81"/>
      <c r="X526" s="19"/>
      <c r="Y526" s="17"/>
      <c r="Z526" s="19"/>
      <c r="AA526" s="19"/>
      <c r="AB526" s="19"/>
      <c r="AC526" s="81"/>
      <c r="AD526" s="18"/>
      <c r="AE526" s="25">
        <f>SUMIFS(инфо!$D$15:$D$28,инфо!$A$15:$A$28,F526)</f>
        <v>0</v>
      </c>
      <c r="AF526" s="35">
        <f t="shared" si="120"/>
        <v>0</v>
      </c>
      <c r="AG526" s="14">
        <f t="shared" si="130"/>
        <v>0</v>
      </c>
      <c r="AH526" s="25">
        <f>SUMIFS(инфо!$E$15:$E$28,инфо!$A$15:$A$28,F526)</f>
        <v>0</v>
      </c>
      <c r="AI526" s="32">
        <f t="shared" si="121"/>
        <v>0</v>
      </c>
      <c r="AJ526" s="14">
        <f t="shared" si="131"/>
        <v>0</v>
      </c>
      <c r="AK526" s="25">
        <f>SUMIFS(инфо!$F$15:$F$28,инфо!$A$15:$A$28,F526)</f>
        <v>0</v>
      </c>
      <c r="AL526" s="32">
        <f t="shared" si="122"/>
        <v>0</v>
      </c>
      <c r="AM526" s="14">
        <f t="shared" si="125"/>
        <v>0</v>
      </c>
      <c r="AN526" s="25">
        <f>SUMIFS(инфо!$G$15:$G$28,инфо!$A$15:$A$28,F526)</f>
        <v>0</v>
      </c>
      <c r="AO526" s="32">
        <f t="shared" si="123"/>
        <v>0</v>
      </c>
      <c r="AP526" s="14">
        <f t="shared" si="126"/>
        <v>0</v>
      </c>
      <c r="AQ526" s="25">
        <f>SUMIFS(инфо!$H$15:$H$28,инфо!$A$15:$A$28,F526)</f>
        <v>0</v>
      </c>
      <c r="AR526" s="26">
        <f t="shared" si="124"/>
        <v>0</v>
      </c>
      <c r="AS526" s="14">
        <f t="shared" si="127"/>
        <v>0</v>
      </c>
      <c r="AT526" s="25">
        <f>SUMIFS(инфо!$I$15:$I$28,инфо!$A$15:$A$28,F526)</f>
        <v>0</v>
      </c>
      <c r="AU526" s="35">
        <f t="shared" si="132"/>
        <v>0</v>
      </c>
      <c r="AV526" s="14">
        <f t="shared" si="128"/>
        <v>0</v>
      </c>
      <c r="AX526" s="69">
        <f>SUMIFS(инфо!$C$15:$C$28,инфо!$A$15:$A$28,F526)*H525</f>
        <v>0</v>
      </c>
    </row>
    <row r="527" spans="1:50" x14ac:dyDescent="0.25">
      <c r="A527" s="70">
        <f t="shared" si="119"/>
        <v>46327</v>
      </c>
      <c r="B527" s="75"/>
      <c r="C527" s="29"/>
      <c r="D527" s="30"/>
      <c r="E527" s="83"/>
      <c r="F527" s="28"/>
      <c r="G527" s="27"/>
      <c r="H527" s="20"/>
      <c r="I527" s="118">
        <f>IFERROR(H527*VLOOKUP(F527,инфо!$A$15:$C$28,3,FALSE)/1000,0)</f>
        <v>0</v>
      </c>
      <c r="J527" s="20"/>
      <c r="K527" s="20"/>
      <c r="L527" s="20"/>
      <c r="M527" s="20"/>
      <c r="N527" s="28"/>
      <c r="O527" s="27"/>
      <c r="P527" s="27"/>
      <c r="Q527" s="27"/>
      <c r="R527" s="27"/>
      <c r="S527" s="67">
        <f t="shared" si="129"/>
        <v>0</v>
      </c>
      <c r="T527" s="29"/>
      <c r="U527" s="30"/>
      <c r="V527" s="27"/>
      <c r="W527" s="81"/>
      <c r="X527" s="27"/>
      <c r="Y527" s="29"/>
      <c r="Z527" s="27"/>
      <c r="AA527" s="27"/>
      <c r="AB527" s="27"/>
      <c r="AC527" s="81"/>
      <c r="AD527" s="30"/>
      <c r="AE527" s="31">
        <f>SUMIFS(инфо!$D$15:$D$28,инфо!$A$15:$A$28,F527)</f>
        <v>0</v>
      </c>
      <c r="AF527" s="35">
        <f t="shared" si="120"/>
        <v>0</v>
      </c>
      <c r="AG527" s="33">
        <f t="shared" si="130"/>
        <v>0</v>
      </c>
      <c r="AH527" s="31">
        <f>SUMIFS(инфо!$E$15:$E$28,инфо!$A$15:$A$28,F527)</f>
        <v>0</v>
      </c>
      <c r="AI527" s="32">
        <f t="shared" si="121"/>
        <v>0</v>
      </c>
      <c r="AJ527" s="33">
        <f t="shared" si="131"/>
        <v>0</v>
      </c>
      <c r="AK527" s="31">
        <f>SUMIFS(инфо!$F$15:$F$28,инфо!$A$15:$A$28,F527)</f>
        <v>0</v>
      </c>
      <c r="AL527" s="32">
        <f t="shared" si="122"/>
        <v>0</v>
      </c>
      <c r="AM527" s="33">
        <f t="shared" si="125"/>
        <v>0</v>
      </c>
      <c r="AN527" s="31">
        <f>SUMIFS(инфо!$G$15:$G$28,инфо!$A$15:$A$28,F527)</f>
        <v>0</v>
      </c>
      <c r="AO527" s="32">
        <f t="shared" si="123"/>
        <v>0</v>
      </c>
      <c r="AP527" s="33">
        <f t="shared" si="126"/>
        <v>0</v>
      </c>
      <c r="AQ527" s="31">
        <f>SUMIFS(инфо!$H$15:$H$28,инфо!$A$15:$A$28,F527)</f>
        <v>0</v>
      </c>
      <c r="AR527" s="32">
        <f t="shared" si="124"/>
        <v>0</v>
      </c>
      <c r="AS527" s="33">
        <f t="shared" si="127"/>
        <v>0</v>
      </c>
      <c r="AT527" s="31">
        <f>SUMIFS(инфо!$I$15:$I$28,инфо!$A$15:$A$28,F527)</f>
        <v>0</v>
      </c>
      <c r="AU527" s="35">
        <f t="shared" si="132"/>
        <v>0</v>
      </c>
      <c r="AV527" s="33">
        <f t="shared" si="128"/>
        <v>0</v>
      </c>
      <c r="AX527" s="67">
        <f>SUMIFS(инфо!$C$15:$C$28,инфо!$A$15:$A$28,F527)*H526</f>
        <v>0</v>
      </c>
    </row>
    <row r="528" spans="1:50" x14ac:dyDescent="0.25">
      <c r="A528" s="70">
        <f t="shared" si="119"/>
        <v>46328</v>
      </c>
      <c r="B528" s="76"/>
      <c r="C528" s="15"/>
      <c r="D528" s="16"/>
      <c r="E528" s="83"/>
      <c r="F528" s="28"/>
      <c r="G528" s="34"/>
      <c r="H528" s="20"/>
      <c r="I528" s="118">
        <f>IFERROR(H528*VLOOKUP(F528,инфо!$A$15:$C$28,3,FALSE)/1000,0)</f>
        <v>0</v>
      </c>
      <c r="J528" s="20"/>
      <c r="K528" s="20"/>
      <c r="L528" s="20"/>
      <c r="M528" s="20"/>
      <c r="N528" s="20"/>
      <c r="O528" s="34"/>
      <c r="P528" s="34"/>
      <c r="Q528" s="34"/>
      <c r="R528" s="34"/>
      <c r="S528" s="68">
        <f t="shared" si="129"/>
        <v>0</v>
      </c>
      <c r="T528" s="15"/>
      <c r="U528" s="16"/>
      <c r="V528" s="34"/>
      <c r="W528" s="81"/>
      <c r="X528" s="34"/>
      <c r="Y528" s="15"/>
      <c r="Z528" s="34"/>
      <c r="AA528" s="34"/>
      <c r="AB528" s="34"/>
      <c r="AC528" s="81"/>
      <c r="AD528" s="16"/>
      <c r="AE528" s="24">
        <f>SUMIFS(инфо!$D$15:$D$28,инфо!$A$15:$A$28,F528)</f>
        <v>0</v>
      </c>
      <c r="AF528" s="35">
        <f t="shared" si="120"/>
        <v>0</v>
      </c>
      <c r="AG528" s="12">
        <f t="shared" si="130"/>
        <v>0</v>
      </c>
      <c r="AH528" s="24">
        <f>SUMIFS(инфо!$E$15:$E$28,инфо!$A$15:$A$28,F528)</f>
        <v>0</v>
      </c>
      <c r="AI528" s="32">
        <f t="shared" si="121"/>
        <v>0</v>
      </c>
      <c r="AJ528" s="12">
        <f t="shared" si="131"/>
        <v>0</v>
      </c>
      <c r="AK528" s="24">
        <f>SUMIFS(инфо!$F$15:$F$28,инфо!$A$15:$A$28,F528)</f>
        <v>0</v>
      </c>
      <c r="AL528" s="32">
        <f t="shared" si="122"/>
        <v>0</v>
      </c>
      <c r="AM528" s="12">
        <f t="shared" si="125"/>
        <v>0</v>
      </c>
      <c r="AN528" s="24">
        <f>SUMIFS(инфо!$G$15:$G$28,инфо!$A$15:$A$28,F528)</f>
        <v>0</v>
      </c>
      <c r="AO528" s="32">
        <f t="shared" si="123"/>
        <v>0</v>
      </c>
      <c r="AP528" s="12">
        <f t="shared" si="126"/>
        <v>0</v>
      </c>
      <c r="AQ528" s="24">
        <f>SUMIFS(инфо!$H$15:$H$28,инфо!$A$15:$A$28,F528)</f>
        <v>0</v>
      </c>
      <c r="AR528" s="35">
        <f t="shared" si="124"/>
        <v>0</v>
      </c>
      <c r="AS528" s="12">
        <f t="shared" si="127"/>
        <v>0</v>
      </c>
      <c r="AT528" s="24">
        <f>SUMIFS(инфо!$I$15:$I$28,инфо!$A$15:$A$28,F528)</f>
        <v>0</v>
      </c>
      <c r="AU528" s="35">
        <f t="shared" si="132"/>
        <v>0</v>
      </c>
      <c r="AV528" s="12">
        <f t="shared" si="128"/>
        <v>0</v>
      </c>
      <c r="AX528" s="68">
        <f>SUMIFS(инфо!$C$15:$C$28,инфо!$A$15:$A$28,F528)*H527</f>
        <v>0</v>
      </c>
    </row>
    <row r="529" spans="1:50" x14ac:dyDescent="0.25">
      <c r="A529" s="70">
        <f t="shared" si="119"/>
        <v>46328</v>
      </c>
      <c r="B529" s="76"/>
      <c r="C529" s="15"/>
      <c r="D529" s="16"/>
      <c r="E529" s="83"/>
      <c r="F529" s="28"/>
      <c r="G529" s="34"/>
      <c r="H529" s="23"/>
      <c r="I529" s="118">
        <f>IFERROR(H529*VLOOKUP(F529,инфо!$A$15:$C$28,3,FALSE)/1000,0)</f>
        <v>0</v>
      </c>
      <c r="J529" s="20"/>
      <c r="K529" s="20"/>
      <c r="L529" s="20"/>
      <c r="M529" s="20"/>
      <c r="N529" s="20"/>
      <c r="O529" s="34"/>
      <c r="P529" s="34"/>
      <c r="Q529" s="34"/>
      <c r="R529" s="34"/>
      <c r="S529" s="68">
        <f t="shared" si="129"/>
        <v>0</v>
      </c>
      <c r="T529" s="15"/>
      <c r="U529" s="16"/>
      <c r="V529" s="34"/>
      <c r="W529" s="81"/>
      <c r="X529" s="34"/>
      <c r="Y529" s="15"/>
      <c r="Z529" s="34"/>
      <c r="AA529" s="34"/>
      <c r="AB529" s="34"/>
      <c r="AC529" s="81"/>
      <c r="AD529" s="16"/>
      <c r="AE529" s="24">
        <f>SUMIFS(инфо!$D$15:$D$28,инфо!$A$15:$A$28,F529)</f>
        <v>0</v>
      </c>
      <c r="AF529" s="35">
        <f t="shared" si="120"/>
        <v>0</v>
      </c>
      <c r="AG529" s="12">
        <f t="shared" si="130"/>
        <v>0</v>
      </c>
      <c r="AH529" s="24">
        <f>SUMIFS(инфо!$E$15:$E$28,инфо!$A$15:$A$28,F529)</f>
        <v>0</v>
      </c>
      <c r="AI529" s="32">
        <f t="shared" si="121"/>
        <v>0</v>
      </c>
      <c r="AJ529" s="12">
        <f t="shared" si="131"/>
        <v>0</v>
      </c>
      <c r="AK529" s="24">
        <f>SUMIFS(инфо!$F$15:$F$28,инфо!$A$15:$A$28,F529)</f>
        <v>0</v>
      </c>
      <c r="AL529" s="32">
        <f t="shared" si="122"/>
        <v>0</v>
      </c>
      <c r="AM529" s="12">
        <f t="shared" si="125"/>
        <v>0</v>
      </c>
      <c r="AN529" s="24">
        <f>SUMIFS(инфо!$G$15:$G$28,инфо!$A$15:$A$28,F529)</f>
        <v>0</v>
      </c>
      <c r="AO529" s="32">
        <f t="shared" si="123"/>
        <v>0</v>
      </c>
      <c r="AP529" s="12">
        <f t="shared" si="126"/>
        <v>0</v>
      </c>
      <c r="AQ529" s="24">
        <f>SUMIFS(инфо!$H$15:$H$28,инфо!$A$15:$A$28,F529)</f>
        <v>0</v>
      </c>
      <c r="AR529" s="35">
        <f t="shared" si="124"/>
        <v>0</v>
      </c>
      <c r="AS529" s="12">
        <f t="shared" si="127"/>
        <v>0</v>
      </c>
      <c r="AT529" s="24">
        <f>SUMIFS(инфо!$I$15:$I$28,инфо!$A$15:$A$28,F529)</f>
        <v>0</v>
      </c>
      <c r="AU529" s="35">
        <f t="shared" si="132"/>
        <v>0</v>
      </c>
      <c r="AV529" s="12">
        <f t="shared" si="128"/>
        <v>0</v>
      </c>
      <c r="AX529" s="68">
        <f>SUMIFS(инфо!$C$15:$C$28,инфо!$A$15:$A$28,F529)*H528</f>
        <v>0</v>
      </c>
    </row>
    <row r="530" spans="1:50" x14ac:dyDescent="0.25">
      <c r="A530" s="70">
        <f t="shared" si="119"/>
        <v>46329</v>
      </c>
      <c r="B530" s="77"/>
      <c r="C530" s="17"/>
      <c r="D530" s="18"/>
      <c r="E530" s="83"/>
      <c r="F530" s="28"/>
      <c r="G530" s="19"/>
      <c r="H530" s="28"/>
      <c r="I530" s="118">
        <f>IFERROR(H530*VLOOKUP(F530,инфо!$A$15:$C$28,3,FALSE)/1000,0)</f>
        <v>0</v>
      </c>
      <c r="J530" s="20"/>
      <c r="K530" s="20"/>
      <c r="L530" s="20"/>
      <c r="M530" s="20"/>
      <c r="N530" s="23"/>
      <c r="O530" s="19"/>
      <c r="P530" s="19"/>
      <c r="Q530" s="19"/>
      <c r="R530" s="19"/>
      <c r="S530" s="69">
        <f t="shared" si="129"/>
        <v>0</v>
      </c>
      <c r="T530" s="17"/>
      <c r="U530" s="18"/>
      <c r="V530" s="19"/>
      <c r="W530" s="81"/>
      <c r="X530" s="19"/>
      <c r="Y530" s="17"/>
      <c r="Z530" s="19"/>
      <c r="AA530" s="19"/>
      <c r="AB530" s="19"/>
      <c r="AC530" s="81"/>
      <c r="AD530" s="18"/>
      <c r="AE530" s="25">
        <f>SUMIFS(инфо!$D$15:$D$28,инфо!$A$15:$A$28,F530)</f>
        <v>0</v>
      </c>
      <c r="AF530" s="35">
        <f t="shared" si="120"/>
        <v>0</v>
      </c>
      <c r="AG530" s="14">
        <f t="shared" si="130"/>
        <v>0</v>
      </c>
      <c r="AH530" s="25">
        <f>SUMIFS(инфо!$E$15:$E$28,инфо!$A$15:$A$28,F530)</f>
        <v>0</v>
      </c>
      <c r="AI530" s="32">
        <f t="shared" si="121"/>
        <v>0</v>
      </c>
      <c r="AJ530" s="14">
        <f t="shared" si="131"/>
        <v>0</v>
      </c>
      <c r="AK530" s="25">
        <f>SUMIFS(инфо!$F$15:$F$28,инфо!$A$15:$A$28,F530)</f>
        <v>0</v>
      </c>
      <c r="AL530" s="32">
        <f t="shared" si="122"/>
        <v>0</v>
      </c>
      <c r="AM530" s="14">
        <f t="shared" si="125"/>
        <v>0</v>
      </c>
      <c r="AN530" s="25">
        <f>SUMIFS(инфо!$G$15:$G$28,инфо!$A$15:$A$28,F530)</f>
        <v>0</v>
      </c>
      <c r="AO530" s="32">
        <f t="shared" si="123"/>
        <v>0</v>
      </c>
      <c r="AP530" s="14">
        <f t="shared" si="126"/>
        <v>0</v>
      </c>
      <c r="AQ530" s="25">
        <f>SUMIFS(инфо!$H$15:$H$28,инфо!$A$15:$A$28,F530)</f>
        <v>0</v>
      </c>
      <c r="AR530" s="26">
        <f t="shared" si="124"/>
        <v>0</v>
      </c>
      <c r="AS530" s="14">
        <f t="shared" si="127"/>
        <v>0</v>
      </c>
      <c r="AT530" s="25">
        <f>SUMIFS(инфо!$I$15:$I$28,инфо!$A$15:$A$28,F530)</f>
        <v>0</v>
      </c>
      <c r="AU530" s="35">
        <f t="shared" si="132"/>
        <v>0</v>
      </c>
      <c r="AV530" s="14">
        <f t="shared" si="128"/>
        <v>0</v>
      </c>
      <c r="AX530" s="69">
        <f>SUMIFS(инфо!$C$15:$C$28,инфо!$A$15:$A$28,F530)*H529</f>
        <v>0</v>
      </c>
    </row>
    <row r="531" spans="1:50" x14ac:dyDescent="0.25">
      <c r="A531" s="70">
        <f t="shared" si="119"/>
        <v>46329</v>
      </c>
      <c r="B531" s="75"/>
      <c r="C531" s="29"/>
      <c r="D531" s="30"/>
      <c r="E531" s="83"/>
      <c r="F531" s="28"/>
      <c r="G531" s="27"/>
      <c r="H531" s="20"/>
      <c r="I531" s="118">
        <f>IFERROR(H531*VLOOKUP(F531,инфо!$A$15:$C$28,3,FALSE)/1000,0)</f>
        <v>0</v>
      </c>
      <c r="J531" s="20"/>
      <c r="K531" s="20"/>
      <c r="L531" s="20"/>
      <c r="M531" s="20"/>
      <c r="N531" s="28"/>
      <c r="O531" s="27"/>
      <c r="P531" s="27"/>
      <c r="Q531" s="27"/>
      <c r="R531" s="27"/>
      <c r="S531" s="67">
        <f t="shared" si="129"/>
        <v>0</v>
      </c>
      <c r="T531" s="29"/>
      <c r="U531" s="30"/>
      <c r="V531" s="27"/>
      <c r="W531" s="81"/>
      <c r="X531" s="27"/>
      <c r="Y531" s="29"/>
      <c r="Z531" s="27"/>
      <c r="AA531" s="27"/>
      <c r="AB531" s="27"/>
      <c r="AC531" s="81"/>
      <c r="AD531" s="30"/>
      <c r="AE531" s="31">
        <f>SUMIFS(инфо!$D$15:$D$28,инфо!$A$15:$A$28,F531)</f>
        <v>0</v>
      </c>
      <c r="AF531" s="35">
        <f t="shared" si="120"/>
        <v>0</v>
      </c>
      <c r="AG531" s="33">
        <f t="shared" si="130"/>
        <v>0</v>
      </c>
      <c r="AH531" s="31">
        <f>SUMIFS(инфо!$E$15:$E$28,инфо!$A$15:$A$28,F531)</f>
        <v>0</v>
      </c>
      <c r="AI531" s="32">
        <f t="shared" si="121"/>
        <v>0</v>
      </c>
      <c r="AJ531" s="33">
        <f t="shared" si="131"/>
        <v>0</v>
      </c>
      <c r="AK531" s="31">
        <f>SUMIFS(инфо!$F$15:$F$28,инфо!$A$15:$A$28,F531)</f>
        <v>0</v>
      </c>
      <c r="AL531" s="32">
        <f t="shared" si="122"/>
        <v>0</v>
      </c>
      <c r="AM531" s="33">
        <f t="shared" si="125"/>
        <v>0</v>
      </c>
      <c r="AN531" s="31">
        <f>SUMIFS(инфо!$G$15:$G$28,инфо!$A$15:$A$28,F531)</f>
        <v>0</v>
      </c>
      <c r="AO531" s="32">
        <f t="shared" si="123"/>
        <v>0</v>
      </c>
      <c r="AP531" s="33">
        <f t="shared" si="126"/>
        <v>0</v>
      </c>
      <c r="AQ531" s="31">
        <f>SUMIFS(инфо!$H$15:$H$28,инфо!$A$15:$A$28,F531)</f>
        <v>0</v>
      </c>
      <c r="AR531" s="32">
        <f t="shared" si="124"/>
        <v>0</v>
      </c>
      <c r="AS531" s="33">
        <f t="shared" si="127"/>
        <v>0</v>
      </c>
      <c r="AT531" s="31">
        <f>SUMIFS(инфо!$I$15:$I$28,инфо!$A$15:$A$28,F531)</f>
        <v>0</v>
      </c>
      <c r="AU531" s="35">
        <f t="shared" si="132"/>
        <v>0</v>
      </c>
      <c r="AV531" s="33">
        <f t="shared" si="128"/>
        <v>0</v>
      </c>
      <c r="AX531" s="67">
        <f>SUMIFS(инфо!$C$15:$C$28,инфо!$A$15:$A$28,F531)*H530</f>
        <v>0</v>
      </c>
    </row>
    <row r="532" spans="1:50" x14ac:dyDescent="0.25">
      <c r="A532" s="70">
        <f t="shared" si="119"/>
        <v>46330</v>
      </c>
      <c r="B532" s="76"/>
      <c r="C532" s="15"/>
      <c r="D532" s="16"/>
      <c r="E532" s="83"/>
      <c r="F532" s="28"/>
      <c r="G532" s="34"/>
      <c r="H532" s="20"/>
      <c r="I532" s="118">
        <f>IFERROR(H532*VLOOKUP(F532,инфо!$A$15:$C$28,3,FALSE)/1000,0)</f>
        <v>0</v>
      </c>
      <c r="J532" s="20"/>
      <c r="K532" s="20"/>
      <c r="L532" s="20"/>
      <c r="M532" s="20"/>
      <c r="N532" s="20"/>
      <c r="O532" s="34"/>
      <c r="P532" s="34"/>
      <c r="Q532" s="34"/>
      <c r="R532" s="34"/>
      <c r="S532" s="68">
        <f t="shared" si="129"/>
        <v>0</v>
      </c>
      <c r="T532" s="15"/>
      <c r="U532" s="16"/>
      <c r="V532" s="34"/>
      <c r="W532" s="81"/>
      <c r="X532" s="34"/>
      <c r="Y532" s="15"/>
      <c r="Z532" s="34"/>
      <c r="AA532" s="34"/>
      <c r="AB532" s="34"/>
      <c r="AC532" s="81"/>
      <c r="AD532" s="16"/>
      <c r="AE532" s="24">
        <f>SUMIFS(инфо!$D$15:$D$28,инфо!$A$15:$A$28,F532)</f>
        <v>0</v>
      </c>
      <c r="AF532" s="35">
        <f t="shared" si="120"/>
        <v>0</v>
      </c>
      <c r="AG532" s="12">
        <f t="shared" si="130"/>
        <v>0</v>
      </c>
      <c r="AH532" s="24">
        <f>SUMIFS(инфо!$E$15:$E$28,инфо!$A$15:$A$28,F532)</f>
        <v>0</v>
      </c>
      <c r="AI532" s="32">
        <f t="shared" si="121"/>
        <v>0</v>
      </c>
      <c r="AJ532" s="12">
        <f t="shared" si="131"/>
        <v>0</v>
      </c>
      <c r="AK532" s="24">
        <f>SUMIFS(инфо!$F$15:$F$28,инфо!$A$15:$A$28,F532)</f>
        <v>0</v>
      </c>
      <c r="AL532" s="32">
        <f t="shared" si="122"/>
        <v>0</v>
      </c>
      <c r="AM532" s="12">
        <f t="shared" si="125"/>
        <v>0</v>
      </c>
      <c r="AN532" s="24">
        <f>SUMIFS(инфо!$G$15:$G$28,инфо!$A$15:$A$28,F532)</f>
        <v>0</v>
      </c>
      <c r="AO532" s="32">
        <f t="shared" si="123"/>
        <v>0</v>
      </c>
      <c r="AP532" s="12">
        <f t="shared" si="126"/>
        <v>0</v>
      </c>
      <c r="AQ532" s="24">
        <f>SUMIFS(инфо!$H$15:$H$28,инфо!$A$15:$A$28,F532)</f>
        <v>0</v>
      </c>
      <c r="AR532" s="35">
        <f t="shared" si="124"/>
        <v>0</v>
      </c>
      <c r="AS532" s="12">
        <f t="shared" si="127"/>
        <v>0</v>
      </c>
      <c r="AT532" s="24">
        <f>SUMIFS(инфо!$I$15:$I$28,инфо!$A$15:$A$28,F532)</f>
        <v>0</v>
      </c>
      <c r="AU532" s="35">
        <f t="shared" si="132"/>
        <v>0</v>
      </c>
      <c r="AV532" s="12">
        <f t="shared" si="128"/>
        <v>0</v>
      </c>
      <c r="AX532" s="68">
        <f>SUMIFS(инфо!$C$15:$C$28,инфо!$A$15:$A$28,F532)*H531</f>
        <v>0</v>
      </c>
    </row>
    <row r="533" spans="1:50" x14ac:dyDescent="0.25">
      <c r="A533" s="70">
        <f t="shared" si="119"/>
        <v>46330</v>
      </c>
      <c r="B533" s="76"/>
      <c r="C533" s="15"/>
      <c r="D533" s="16"/>
      <c r="E533" s="83"/>
      <c r="F533" s="28"/>
      <c r="G533" s="34"/>
      <c r="H533" s="23"/>
      <c r="I533" s="118">
        <f>IFERROR(H533*VLOOKUP(F533,инфо!$A$15:$C$28,3,FALSE)/1000,0)</f>
        <v>0</v>
      </c>
      <c r="J533" s="20"/>
      <c r="K533" s="20"/>
      <c r="L533" s="20"/>
      <c r="M533" s="20"/>
      <c r="N533" s="20"/>
      <c r="O533" s="34"/>
      <c r="P533" s="34"/>
      <c r="Q533" s="34"/>
      <c r="R533" s="34"/>
      <c r="S533" s="68">
        <f t="shared" si="129"/>
        <v>0</v>
      </c>
      <c r="T533" s="15"/>
      <c r="U533" s="16"/>
      <c r="V533" s="34"/>
      <c r="W533" s="81"/>
      <c r="X533" s="34"/>
      <c r="Y533" s="15"/>
      <c r="Z533" s="34"/>
      <c r="AA533" s="34"/>
      <c r="AB533" s="34"/>
      <c r="AC533" s="81"/>
      <c r="AD533" s="16"/>
      <c r="AE533" s="24">
        <f>SUMIFS(инфо!$D$15:$D$28,инфо!$A$15:$A$28,F533)</f>
        <v>0</v>
      </c>
      <c r="AF533" s="35">
        <f t="shared" si="120"/>
        <v>0</v>
      </c>
      <c r="AG533" s="12">
        <f t="shared" si="130"/>
        <v>0</v>
      </c>
      <c r="AH533" s="24">
        <f>SUMIFS(инфо!$E$15:$E$28,инфо!$A$15:$A$28,F533)</f>
        <v>0</v>
      </c>
      <c r="AI533" s="32">
        <f t="shared" si="121"/>
        <v>0</v>
      </c>
      <c r="AJ533" s="12">
        <f t="shared" si="131"/>
        <v>0</v>
      </c>
      <c r="AK533" s="24">
        <f>SUMIFS(инфо!$F$15:$F$28,инфо!$A$15:$A$28,F533)</f>
        <v>0</v>
      </c>
      <c r="AL533" s="32">
        <f t="shared" si="122"/>
        <v>0</v>
      </c>
      <c r="AM533" s="12">
        <f t="shared" si="125"/>
        <v>0</v>
      </c>
      <c r="AN533" s="24">
        <f>SUMIFS(инфо!$G$15:$G$28,инфо!$A$15:$A$28,F533)</f>
        <v>0</v>
      </c>
      <c r="AO533" s="32">
        <f t="shared" si="123"/>
        <v>0</v>
      </c>
      <c r="AP533" s="12">
        <f t="shared" si="126"/>
        <v>0</v>
      </c>
      <c r="AQ533" s="24">
        <f>SUMIFS(инфо!$H$15:$H$28,инфо!$A$15:$A$28,F533)</f>
        <v>0</v>
      </c>
      <c r="AR533" s="35">
        <f t="shared" si="124"/>
        <v>0</v>
      </c>
      <c r="AS533" s="12">
        <f t="shared" si="127"/>
        <v>0</v>
      </c>
      <c r="AT533" s="24">
        <f>SUMIFS(инфо!$I$15:$I$28,инфо!$A$15:$A$28,F533)</f>
        <v>0</v>
      </c>
      <c r="AU533" s="35">
        <f t="shared" si="132"/>
        <v>0</v>
      </c>
      <c r="AV533" s="12">
        <f t="shared" si="128"/>
        <v>0</v>
      </c>
      <c r="AX533" s="68">
        <f>SUMIFS(инфо!$C$15:$C$28,инфо!$A$15:$A$28,F533)*H532</f>
        <v>0</v>
      </c>
    </row>
    <row r="534" spans="1:50" x14ac:dyDescent="0.25">
      <c r="A534" s="70">
        <f t="shared" si="119"/>
        <v>46331</v>
      </c>
      <c r="B534" s="77"/>
      <c r="C534" s="17"/>
      <c r="D534" s="18"/>
      <c r="E534" s="83"/>
      <c r="F534" s="28"/>
      <c r="G534" s="19"/>
      <c r="H534" s="28"/>
      <c r="I534" s="118">
        <f>IFERROR(H534*VLOOKUP(F534,инфо!$A$15:$C$28,3,FALSE)/1000,0)</f>
        <v>0</v>
      </c>
      <c r="J534" s="20"/>
      <c r="K534" s="20"/>
      <c r="L534" s="20"/>
      <c r="M534" s="20"/>
      <c r="N534" s="23"/>
      <c r="O534" s="19"/>
      <c r="P534" s="19"/>
      <c r="Q534" s="19"/>
      <c r="R534" s="19"/>
      <c r="S534" s="69">
        <f t="shared" si="129"/>
        <v>0</v>
      </c>
      <c r="T534" s="17"/>
      <c r="U534" s="18"/>
      <c r="V534" s="19"/>
      <c r="W534" s="81"/>
      <c r="X534" s="19"/>
      <c r="Y534" s="17"/>
      <c r="Z534" s="19"/>
      <c r="AA534" s="19"/>
      <c r="AB534" s="19"/>
      <c r="AC534" s="81"/>
      <c r="AD534" s="18"/>
      <c r="AE534" s="25">
        <f>SUMIFS(инфо!$D$15:$D$28,инфо!$A$15:$A$28,F534)</f>
        <v>0</v>
      </c>
      <c r="AF534" s="35">
        <f t="shared" si="120"/>
        <v>0</v>
      </c>
      <c r="AG534" s="14">
        <f t="shared" si="130"/>
        <v>0</v>
      </c>
      <c r="AH534" s="25">
        <f>SUMIFS(инфо!$E$15:$E$28,инфо!$A$15:$A$28,F534)</f>
        <v>0</v>
      </c>
      <c r="AI534" s="32">
        <f t="shared" si="121"/>
        <v>0</v>
      </c>
      <c r="AJ534" s="14">
        <f t="shared" si="131"/>
        <v>0</v>
      </c>
      <c r="AK534" s="25">
        <f>SUMIFS(инфо!$F$15:$F$28,инфо!$A$15:$A$28,F534)</f>
        <v>0</v>
      </c>
      <c r="AL534" s="32">
        <f t="shared" si="122"/>
        <v>0</v>
      </c>
      <c r="AM534" s="14">
        <f t="shared" si="125"/>
        <v>0</v>
      </c>
      <c r="AN534" s="25">
        <f>SUMIFS(инфо!$G$15:$G$28,инфо!$A$15:$A$28,F534)</f>
        <v>0</v>
      </c>
      <c r="AO534" s="32">
        <f t="shared" si="123"/>
        <v>0</v>
      </c>
      <c r="AP534" s="14">
        <f t="shared" si="126"/>
        <v>0</v>
      </c>
      <c r="AQ534" s="25">
        <f>SUMIFS(инфо!$H$15:$H$28,инфо!$A$15:$A$28,F534)</f>
        <v>0</v>
      </c>
      <c r="AR534" s="26">
        <f t="shared" si="124"/>
        <v>0</v>
      </c>
      <c r="AS534" s="14">
        <f t="shared" si="127"/>
        <v>0</v>
      </c>
      <c r="AT534" s="25">
        <f>SUMIFS(инфо!$I$15:$I$28,инфо!$A$15:$A$28,F534)</f>
        <v>0</v>
      </c>
      <c r="AU534" s="35">
        <f t="shared" si="132"/>
        <v>0</v>
      </c>
      <c r="AV534" s="14">
        <f t="shared" si="128"/>
        <v>0</v>
      </c>
      <c r="AX534" s="69">
        <f>SUMIFS(инфо!$C$15:$C$28,инфо!$A$15:$A$28,F534)*H533</f>
        <v>0</v>
      </c>
    </row>
    <row r="535" spans="1:50" x14ac:dyDescent="0.25">
      <c r="A535" s="70">
        <f t="shared" si="119"/>
        <v>46331</v>
      </c>
      <c r="B535" s="75"/>
      <c r="C535" s="29"/>
      <c r="D535" s="30"/>
      <c r="E535" s="83"/>
      <c r="F535" s="28"/>
      <c r="G535" s="27"/>
      <c r="H535" s="20"/>
      <c r="I535" s="118">
        <f>IFERROR(H535*VLOOKUP(F535,инфо!$A$15:$C$28,3,FALSE)/1000,0)</f>
        <v>0</v>
      </c>
      <c r="J535" s="20"/>
      <c r="K535" s="20"/>
      <c r="L535" s="20"/>
      <c r="M535" s="20"/>
      <c r="N535" s="28"/>
      <c r="O535" s="27"/>
      <c r="P535" s="27"/>
      <c r="Q535" s="27"/>
      <c r="R535" s="27"/>
      <c r="S535" s="67">
        <f t="shared" si="129"/>
        <v>0</v>
      </c>
      <c r="T535" s="29"/>
      <c r="U535" s="30"/>
      <c r="V535" s="27"/>
      <c r="W535" s="81"/>
      <c r="X535" s="27"/>
      <c r="Y535" s="29"/>
      <c r="Z535" s="27"/>
      <c r="AA535" s="27"/>
      <c r="AB535" s="27"/>
      <c r="AC535" s="81"/>
      <c r="AD535" s="30"/>
      <c r="AE535" s="31">
        <f>SUMIFS(инфо!$D$15:$D$28,инфо!$A$15:$A$28,F535)</f>
        <v>0</v>
      </c>
      <c r="AF535" s="35">
        <f t="shared" si="120"/>
        <v>0</v>
      </c>
      <c r="AG535" s="33">
        <f t="shared" si="130"/>
        <v>0</v>
      </c>
      <c r="AH535" s="31">
        <f>SUMIFS(инфо!$E$15:$E$28,инфо!$A$15:$A$28,F535)</f>
        <v>0</v>
      </c>
      <c r="AI535" s="32">
        <f t="shared" si="121"/>
        <v>0</v>
      </c>
      <c r="AJ535" s="33">
        <f t="shared" si="131"/>
        <v>0</v>
      </c>
      <c r="AK535" s="31">
        <f>SUMIFS(инфо!$F$15:$F$28,инфо!$A$15:$A$28,F535)</f>
        <v>0</v>
      </c>
      <c r="AL535" s="32">
        <f t="shared" si="122"/>
        <v>0</v>
      </c>
      <c r="AM535" s="33">
        <f t="shared" si="125"/>
        <v>0</v>
      </c>
      <c r="AN535" s="31">
        <f>SUMIFS(инфо!$G$15:$G$28,инфо!$A$15:$A$28,F535)</f>
        <v>0</v>
      </c>
      <c r="AO535" s="32">
        <f t="shared" si="123"/>
        <v>0</v>
      </c>
      <c r="AP535" s="33">
        <f t="shared" si="126"/>
        <v>0</v>
      </c>
      <c r="AQ535" s="31">
        <f>SUMIFS(инфо!$H$15:$H$28,инфо!$A$15:$A$28,F535)</f>
        <v>0</v>
      </c>
      <c r="AR535" s="32">
        <f t="shared" si="124"/>
        <v>0</v>
      </c>
      <c r="AS535" s="33">
        <f t="shared" si="127"/>
        <v>0</v>
      </c>
      <c r="AT535" s="31">
        <f>SUMIFS(инфо!$I$15:$I$28,инфо!$A$15:$A$28,F535)</f>
        <v>0</v>
      </c>
      <c r="AU535" s="35">
        <f t="shared" si="132"/>
        <v>0</v>
      </c>
      <c r="AV535" s="33">
        <f t="shared" si="128"/>
        <v>0</v>
      </c>
      <c r="AX535" s="67">
        <f>SUMIFS(инфо!$C$15:$C$28,инфо!$A$15:$A$28,F535)*H534</f>
        <v>0</v>
      </c>
    </row>
    <row r="536" spans="1:50" x14ac:dyDescent="0.25">
      <c r="A536" s="70">
        <f t="shared" si="119"/>
        <v>46332</v>
      </c>
      <c r="B536" s="76"/>
      <c r="C536" s="15"/>
      <c r="D536" s="16"/>
      <c r="E536" s="83"/>
      <c r="F536" s="28"/>
      <c r="G536" s="34"/>
      <c r="H536" s="20"/>
      <c r="I536" s="118">
        <f>IFERROR(H536*VLOOKUP(F536,инфо!$A$15:$C$28,3,FALSE)/1000,0)</f>
        <v>0</v>
      </c>
      <c r="J536" s="20"/>
      <c r="K536" s="20"/>
      <c r="L536" s="20"/>
      <c r="M536" s="20"/>
      <c r="N536" s="20"/>
      <c r="O536" s="34"/>
      <c r="P536" s="34"/>
      <c r="Q536" s="34"/>
      <c r="R536" s="34"/>
      <c r="S536" s="68">
        <f t="shared" si="129"/>
        <v>0</v>
      </c>
      <c r="T536" s="15"/>
      <c r="U536" s="16"/>
      <c r="V536" s="34"/>
      <c r="W536" s="81"/>
      <c r="X536" s="34"/>
      <c r="Y536" s="15"/>
      <c r="Z536" s="34"/>
      <c r="AA536" s="34"/>
      <c r="AB536" s="34"/>
      <c r="AC536" s="81"/>
      <c r="AD536" s="16"/>
      <c r="AE536" s="24">
        <f>SUMIFS(инфо!$D$15:$D$28,инфо!$A$15:$A$28,F536)</f>
        <v>0</v>
      </c>
      <c r="AF536" s="35">
        <f t="shared" si="120"/>
        <v>0</v>
      </c>
      <c r="AG536" s="12">
        <f t="shared" si="130"/>
        <v>0</v>
      </c>
      <c r="AH536" s="24">
        <f>SUMIFS(инфо!$E$15:$E$28,инфо!$A$15:$A$28,F536)</f>
        <v>0</v>
      </c>
      <c r="AI536" s="32">
        <f t="shared" si="121"/>
        <v>0</v>
      </c>
      <c r="AJ536" s="12">
        <f t="shared" si="131"/>
        <v>0</v>
      </c>
      <c r="AK536" s="24">
        <f>SUMIFS(инфо!$F$15:$F$28,инфо!$A$15:$A$28,F536)</f>
        <v>0</v>
      </c>
      <c r="AL536" s="32">
        <f t="shared" si="122"/>
        <v>0</v>
      </c>
      <c r="AM536" s="12">
        <f t="shared" si="125"/>
        <v>0</v>
      </c>
      <c r="AN536" s="24">
        <f>SUMIFS(инфо!$G$15:$G$28,инфо!$A$15:$A$28,F536)</f>
        <v>0</v>
      </c>
      <c r="AO536" s="32">
        <f t="shared" si="123"/>
        <v>0</v>
      </c>
      <c r="AP536" s="12">
        <f t="shared" si="126"/>
        <v>0</v>
      </c>
      <c r="AQ536" s="24">
        <f>SUMIFS(инфо!$H$15:$H$28,инфо!$A$15:$A$28,F536)</f>
        <v>0</v>
      </c>
      <c r="AR536" s="35">
        <f t="shared" si="124"/>
        <v>0</v>
      </c>
      <c r="AS536" s="12">
        <f t="shared" si="127"/>
        <v>0</v>
      </c>
      <c r="AT536" s="24">
        <f>SUMIFS(инфо!$I$15:$I$28,инфо!$A$15:$A$28,F536)</f>
        <v>0</v>
      </c>
      <c r="AU536" s="35">
        <f t="shared" si="132"/>
        <v>0</v>
      </c>
      <c r="AV536" s="12">
        <f t="shared" si="128"/>
        <v>0</v>
      </c>
      <c r="AX536" s="68">
        <f>SUMIFS(инфо!$C$15:$C$28,инфо!$A$15:$A$28,F536)*H535</f>
        <v>0</v>
      </c>
    </row>
    <row r="537" spans="1:50" x14ac:dyDescent="0.25">
      <c r="A537" s="70">
        <f t="shared" si="119"/>
        <v>46332</v>
      </c>
      <c r="B537" s="76"/>
      <c r="C537" s="15"/>
      <c r="D537" s="16"/>
      <c r="E537" s="83"/>
      <c r="F537" s="28"/>
      <c r="G537" s="34"/>
      <c r="H537" s="23"/>
      <c r="I537" s="118">
        <f>IFERROR(H537*VLOOKUP(F537,инфо!$A$15:$C$28,3,FALSE)/1000,0)</f>
        <v>0</v>
      </c>
      <c r="J537" s="20"/>
      <c r="K537" s="20"/>
      <c r="L537" s="20"/>
      <c r="M537" s="20"/>
      <c r="N537" s="20"/>
      <c r="O537" s="34"/>
      <c r="P537" s="34"/>
      <c r="Q537" s="34"/>
      <c r="R537" s="34"/>
      <c r="S537" s="68">
        <f t="shared" si="129"/>
        <v>0</v>
      </c>
      <c r="T537" s="15"/>
      <c r="U537" s="16"/>
      <c r="V537" s="34"/>
      <c r="W537" s="81"/>
      <c r="X537" s="34"/>
      <c r="Y537" s="15"/>
      <c r="Z537" s="34"/>
      <c r="AA537" s="34"/>
      <c r="AB537" s="34"/>
      <c r="AC537" s="81"/>
      <c r="AD537" s="16"/>
      <c r="AE537" s="24">
        <f>SUMIFS(инфо!$D$15:$D$28,инфо!$A$15:$A$28,F537)</f>
        <v>0</v>
      </c>
      <c r="AF537" s="35">
        <f t="shared" si="120"/>
        <v>0</v>
      </c>
      <c r="AG537" s="12">
        <f t="shared" si="130"/>
        <v>0</v>
      </c>
      <c r="AH537" s="24">
        <f>SUMIFS(инфо!$E$15:$E$28,инфо!$A$15:$A$28,F537)</f>
        <v>0</v>
      </c>
      <c r="AI537" s="32">
        <f t="shared" si="121"/>
        <v>0</v>
      </c>
      <c r="AJ537" s="12">
        <f t="shared" si="131"/>
        <v>0</v>
      </c>
      <c r="AK537" s="24">
        <f>SUMIFS(инфо!$F$15:$F$28,инфо!$A$15:$A$28,F537)</f>
        <v>0</v>
      </c>
      <c r="AL537" s="32">
        <f t="shared" si="122"/>
        <v>0</v>
      </c>
      <c r="AM537" s="12">
        <f t="shared" si="125"/>
        <v>0</v>
      </c>
      <c r="AN537" s="24">
        <f>SUMIFS(инфо!$G$15:$G$28,инфо!$A$15:$A$28,F537)</f>
        <v>0</v>
      </c>
      <c r="AO537" s="32">
        <f t="shared" si="123"/>
        <v>0</v>
      </c>
      <c r="AP537" s="12">
        <f t="shared" si="126"/>
        <v>0</v>
      </c>
      <c r="AQ537" s="24">
        <f>SUMIFS(инфо!$H$15:$H$28,инфо!$A$15:$A$28,F537)</f>
        <v>0</v>
      </c>
      <c r="AR537" s="35">
        <f t="shared" si="124"/>
        <v>0</v>
      </c>
      <c r="AS537" s="12">
        <f t="shared" si="127"/>
        <v>0</v>
      </c>
      <c r="AT537" s="24">
        <f>SUMIFS(инфо!$I$15:$I$28,инфо!$A$15:$A$28,F537)</f>
        <v>0</v>
      </c>
      <c r="AU537" s="35">
        <f t="shared" si="132"/>
        <v>0</v>
      </c>
      <c r="AV537" s="12">
        <f t="shared" si="128"/>
        <v>0</v>
      </c>
      <c r="AX537" s="68">
        <f>SUMIFS(инфо!$C$15:$C$28,инфо!$A$15:$A$28,F537)*H536</f>
        <v>0</v>
      </c>
    </row>
    <row r="538" spans="1:50" x14ac:dyDescent="0.25">
      <c r="A538" s="70">
        <f t="shared" si="119"/>
        <v>46333</v>
      </c>
      <c r="B538" s="77"/>
      <c r="C538" s="17"/>
      <c r="D538" s="18"/>
      <c r="E538" s="83"/>
      <c r="F538" s="28"/>
      <c r="G538" s="19"/>
      <c r="H538" s="28"/>
      <c r="I538" s="118">
        <f>IFERROR(H538*VLOOKUP(F538,инфо!$A$15:$C$28,3,FALSE)/1000,0)</f>
        <v>0</v>
      </c>
      <c r="J538" s="20"/>
      <c r="K538" s="20"/>
      <c r="L538" s="20"/>
      <c r="M538" s="20"/>
      <c r="N538" s="23"/>
      <c r="O538" s="19"/>
      <c r="P538" s="19"/>
      <c r="Q538" s="19"/>
      <c r="R538" s="19"/>
      <c r="S538" s="69">
        <f t="shared" si="129"/>
        <v>0</v>
      </c>
      <c r="T538" s="17"/>
      <c r="U538" s="18"/>
      <c r="V538" s="19"/>
      <c r="W538" s="81"/>
      <c r="X538" s="19"/>
      <c r="Y538" s="17"/>
      <c r="Z538" s="19"/>
      <c r="AA538" s="19"/>
      <c r="AB538" s="19"/>
      <c r="AC538" s="81"/>
      <c r="AD538" s="18"/>
      <c r="AE538" s="25">
        <f>SUMIFS(инфо!$D$15:$D$28,инфо!$A$15:$A$28,F538)</f>
        <v>0</v>
      </c>
      <c r="AF538" s="35">
        <f t="shared" si="120"/>
        <v>0</v>
      </c>
      <c r="AG538" s="14">
        <f t="shared" si="130"/>
        <v>0</v>
      </c>
      <c r="AH538" s="25">
        <f>SUMIFS(инфо!$E$15:$E$28,инфо!$A$15:$A$28,F538)</f>
        <v>0</v>
      </c>
      <c r="AI538" s="32">
        <f t="shared" si="121"/>
        <v>0</v>
      </c>
      <c r="AJ538" s="14">
        <f t="shared" si="131"/>
        <v>0</v>
      </c>
      <c r="AK538" s="25">
        <f>SUMIFS(инфо!$F$15:$F$28,инфо!$A$15:$A$28,F538)</f>
        <v>0</v>
      </c>
      <c r="AL538" s="32">
        <f t="shared" si="122"/>
        <v>0</v>
      </c>
      <c r="AM538" s="14">
        <f t="shared" si="125"/>
        <v>0</v>
      </c>
      <c r="AN538" s="25">
        <f>SUMIFS(инфо!$G$15:$G$28,инфо!$A$15:$A$28,F538)</f>
        <v>0</v>
      </c>
      <c r="AO538" s="32">
        <f t="shared" si="123"/>
        <v>0</v>
      </c>
      <c r="AP538" s="14">
        <f t="shared" si="126"/>
        <v>0</v>
      </c>
      <c r="AQ538" s="25">
        <f>SUMIFS(инфо!$H$15:$H$28,инфо!$A$15:$A$28,F538)</f>
        <v>0</v>
      </c>
      <c r="AR538" s="26">
        <f t="shared" si="124"/>
        <v>0</v>
      </c>
      <c r="AS538" s="14">
        <f t="shared" si="127"/>
        <v>0</v>
      </c>
      <c r="AT538" s="25">
        <f>SUMIFS(инфо!$I$15:$I$28,инфо!$A$15:$A$28,F538)</f>
        <v>0</v>
      </c>
      <c r="AU538" s="35">
        <f t="shared" si="132"/>
        <v>0</v>
      </c>
      <c r="AV538" s="14">
        <f t="shared" si="128"/>
        <v>0</v>
      </c>
      <c r="AX538" s="69">
        <f>SUMIFS(инфо!$C$15:$C$28,инфо!$A$15:$A$28,F538)*H537</f>
        <v>0</v>
      </c>
    </row>
    <row r="539" spans="1:50" x14ac:dyDescent="0.25">
      <c r="A539" s="70">
        <f t="shared" si="119"/>
        <v>46333</v>
      </c>
      <c r="B539" s="75"/>
      <c r="C539" s="29"/>
      <c r="D539" s="30"/>
      <c r="E539" s="83"/>
      <c r="F539" s="28"/>
      <c r="G539" s="27"/>
      <c r="H539" s="20"/>
      <c r="I539" s="118">
        <f>IFERROR(H539*VLOOKUP(F539,инфо!$A$15:$C$28,3,FALSE)/1000,0)</f>
        <v>0</v>
      </c>
      <c r="J539" s="20"/>
      <c r="K539" s="20"/>
      <c r="L539" s="20"/>
      <c r="M539" s="20"/>
      <c r="N539" s="28"/>
      <c r="O539" s="27"/>
      <c r="P539" s="27"/>
      <c r="Q539" s="27"/>
      <c r="R539" s="27"/>
      <c r="S539" s="67">
        <f t="shared" si="129"/>
        <v>0</v>
      </c>
      <c r="T539" s="29"/>
      <c r="U539" s="30"/>
      <c r="V539" s="27"/>
      <c r="W539" s="81"/>
      <c r="X539" s="27"/>
      <c r="Y539" s="29"/>
      <c r="Z539" s="27"/>
      <c r="AA539" s="27"/>
      <c r="AB539" s="27"/>
      <c r="AC539" s="81"/>
      <c r="AD539" s="30"/>
      <c r="AE539" s="31">
        <f>SUMIFS(инфо!$D$15:$D$28,инфо!$A$15:$A$28,F539)</f>
        <v>0</v>
      </c>
      <c r="AF539" s="35">
        <f t="shared" si="120"/>
        <v>0</v>
      </c>
      <c r="AG539" s="33">
        <f t="shared" si="130"/>
        <v>0</v>
      </c>
      <c r="AH539" s="31">
        <f>SUMIFS(инфо!$E$15:$E$28,инфо!$A$15:$A$28,F539)</f>
        <v>0</v>
      </c>
      <c r="AI539" s="32">
        <f t="shared" si="121"/>
        <v>0</v>
      </c>
      <c r="AJ539" s="33">
        <f t="shared" si="131"/>
        <v>0</v>
      </c>
      <c r="AK539" s="31">
        <f>SUMIFS(инфо!$F$15:$F$28,инфо!$A$15:$A$28,F539)</f>
        <v>0</v>
      </c>
      <c r="AL539" s="32">
        <f t="shared" si="122"/>
        <v>0</v>
      </c>
      <c r="AM539" s="33">
        <f t="shared" si="125"/>
        <v>0</v>
      </c>
      <c r="AN539" s="31">
        <f>SUMIFS(инфо!$G$15:$G$28,инфо!$A$15:$A$28,F539)</f>
        <v>0</v>
      </c>
      <c r="AO539" s="32">
        <f t="shared" si="123"/>
        <v>0</v>
      </c>
      <c r="AP539" s="33">
        <f t="shared" si="126"/>
        <v>0</v>
      </c>
      <c r="AQ539" s="31">
        <f>SUMIFS(инфо!$H$15:$H$28,инфо!$A$15:$A$28,F539)</f>
        <v>0</v>
      </c>
      <c r="AR539" s="32">
        <f t="shared" si="124"/>
        <v>0</v>
      </c>
      <c r="AS539" s="33">
        <f t="shared" si="127"/>
        <v>0</v>
      </c>
      <c r="AT539" s="31">
        <f>SUMIFS(инфо!$I$15:$I$28,инфо!$A$15:$A$28,F539)</f>
        <v>0</v>
      </c>
      <c r="AU539" s="35">
        <f t="shared" si="132"/>
        <v>0</v>
      </c>
      <c r="AV539" s="33">
        <f t="shared" si="128"/>
        <v>0</v>
      </c>
      <c r="AX539" s="67">
        <f>SUMIFS(инфо!$C$15:$C$28,инфо!$A$15:$A$28,F539)*H538</f>
        <v>0</v>
      </c>
    </row>
    <row r="540" spans="1:50" x14ac:dyDescent="0.25">
      <c r="A540" s="70">
        <f t="shared" ref="A540:A603" si="133">A538+1</f>
        <v>46334</v>
      </c>
      <c r="B540" s="76"/>
      <c r="C540" s="15"/>
      <c r="D540" s="16"/>
      <c r="E540" s="83"/>
      <c r="F540" s="28"/>
      <c r="G540" s="34"/>
      <c r="H540" s="20"/>
      <c r="I540" s="118">
        <f>IFERROR(H540*VLOOKUP(F540,инфо!$A$15:$C$28,3,FALSE)/1000,0)</f>
        <v>0</v>
      </c>
      <c r="J540" s="20"/>
      <c r="K540" s="20"/>
      <c r="L540" s="20"/>
      <c r="M540" s="20"/>
      <c r="N540" s="20"/>
      <c r="O540" s="34"/>
      <c r="P540" s="34"/>
      <c r="Q540" s="34"/>
      <c r="R540" s="34"/>
      <c r="S540" s="68">
        <f t="shared" si="129"/>
        <v>0</v>
      </c>
      <c r="T540" s="15"/>
      <c r="U540" s="16"/>
      <c r="V540" s="34"/>
      <c r="W540" s="81"/>
      <c r="X540" s="34"/>
      <c r="Y540" s="15"/>
      <c r="Z540" s="34"/>
      <c r="AA540" s="34"/>
      <c r="AB540" s="34"/>
      <c r="AC540" s="81"/>
      <c r="AD540" s="16"/>
      <c r="AE540" s="24">
        <f>SUMIFS(инфо!$D$15:$D$28,инфо!$A$15:$A$28,F540)</f>
        <v>0</v>
      </c>
      <c r="AF540" s="35">
        <f t="shared" si="120"/>
        <v>0</v>
      </c>
      <c r="AG540" s="12">
        <f t="shared" si="130"/>
        <v>0</v>
      </c>
      <c r="AH540" s="24">
        <f>SUMIFS(инфо!$E$15:$E$28,инфо!$A$15:$A$28,F540)</f>
        <v>0</v>
      </c>
      <c r="AI540" s="32">
        <f t="shared" si="121"/>
        <v>0</v>
      </c>
      <c r="AJ540" s="12">
        <f t="shared" si="131"/>
        <v>0</v>
      </c>
      <c r="AK540" s="24">
        <f>SUMIFS(инфо!$F$15:$F$28,инфо!$A$15:$A$28,F540)</f>
        <v>0</v>
      </c>
      <c r="AL540" s="32">
        <f t="shared" si="122"/>
        <v>0</v>
      </c>
      <c r="AM540" s="12">
        <f t="shared" si="125"/>
        <v>0</v>
      </c>
      <c r="AN540" s="24">
        <f>SUMIFS(инфо!$G$15:$G$28,инфо!$A$15:$A$28,F540)</f>
        <v>0</v>
      </c>
      <c r="AO540" s="32">
        <f t="shared" si="123"/>
        <v>0</v>
      </c>
      <c r="AP540" s="12">
        <f t="shared" si="126"/>
        <v>0</v>
      </c>
      <c r="AQ540" s="24">
        <f>SUMIFS(инфо!$H$15:$H$28,инфо!$A$15:$A$28,F540)</f>
        <v>0</v>
      </c>
      <c r="AR540" s="35">
        <f t="shared" si="124"/>
        <v>0</v>
      </c>
      <c r="AS540" s="12">
        <f t="shared" si="127"/>
        <v>0</v>
      </c>
      <c r="AT540" s="24">
        <f>SUMIFS(инфо!$I$15:$I$28,инфо!$A$15:$A$28,F540)</f>
        <v>0</v>
      </c>
      <c r="AU540" s="35">
        <f t="shared" si="132"/>
        <v>0</v>
      </c>
      <c r="AV540" s="12">
        <f t="shared" si="128"/>
        <v>0</v>
      </c>
      <c r="AX540" s="68">
        <f>SUMIFS(инфо!$C$15:$C$28,инфо!$A$15:$A$28,F540)*H539</f>
        <v>0</v>
      </c>
    </row>
    <row r="541" spans="1:50" x14ac:dyDescent="0.25">
      <c r="A541" s="70">
        <f t="shared" si="133"/>
        <v>46334</v>
      </c>
      <c r="B541" s="76"/>
      <c r="C541" s="15"/>
      <c r="D541" s="16"/>
      <c r="E541" s="83"/>
      <c r="F541" s="28"/>
      <c r="G541" s="34"/>
      <c r="H541" s="23"/>
      <c r="I541" s="118">
        <f>IFERROR(H541*VLOOKUP(F541,инфо!$A$15:$C$28,3,FALSE)/1000,0)</f>
        <v>0</v>
      </c>
      <c r="J541" s="20"/>
      <c r="K541" s="20"/>
      <c r="L541" s="20"/>
      <c r="M541" s="20"/>
      <c r="N541" s="20"/>
      <c r="O541" s="34"/>
      <c r="P541" s="34"/>
      <c r="Q541" s="34"/>
      <c r="R541" s="34"/>
      <c r="S541" s="68">
        <f t="shared" si="129"/>
        <v>0</v>
      </c>
      <c r="T541" s="15"/>
      <c r="U541" s="16"/>
      <c r="V541" s="34"/>
      <c r="W541" s="81"/>
      <c r="X541" s="34"/>
      <c r="Y541" s="15"/>
      <c r="Z541" s="34"/>
      <c r="AA541" s="34"/>
      <c r="AB541" s="34"/>
      <c r="AC541" s="81"/>
      <c r="AD541" s="16"/>
      <c r="AE541" s="24">
        <f>SUMIFS(инфо!$D$15:$D$28,инфо!$A$15:$A$28,F541)</f>
        <v>0</v>
      </c>
      <c r="AF541" s="35">
        <f t="shared" si="120"/>
        <v>0</v>
      </c>
      <c r="AG541" s="12">
        <f t="shared" si="130"/>
        <v>0</v>
      </c>
      <c r="AH541" s="24">
        <f>SUMIFS(инфо!$E$15:$E$28,инфо!$A$15:$A$28,F541)</f>
        <v>0</v>
      </c>
      <c r="AI541" s="32">
        <f t="shared" si="121"/>
        <v>0</v>
      </c>
      <c r="AJ541" s="12">
        <f t="shared" si="131"/>
        <v>0</v>
      </c>
      <c r="AK541" s="24">
        <f>SUMIFS(инфо!$F$15:$F$28,инфо!$A$15:$A$28,F541)</f>
        <v>0</v>
      </c>
      <c r="AL541" s="32">
        <f t="shared" si="122"/>
        <v>0</v>
      </c>
      <c r="AM541" s="12">
        <f t="shared" si="125"/>
        <v>0</v>
      </c>
      <c r="AN541" s="24">
        <f>SUMIFS(инфо!$G$15:$G$28,инфо!$A$15:$A$28,F541)</f>
        <v>0</v>
      </c>
      <c r="AO541" s="32">
        <f t="shared" si="123"/>
        <v>0</v>
      </c>
      <c r="AP541" s="12">
        <f t="shared" si="126"/>
        <v>0</v>
      </c>
      <c r="AQ541" s="24">
        <f>SUMIFS(инфо!$H$15:$H$28,инфо!$A$15:$A$28,F541)</f>
        <v>0</v>
      </c>
      <c r="AR541" s="35">
        <f t="shared" si="124"/>
        <v>0</v>
      </c>
      <c r="AS541" s="12">
        <f t="shared" si="127"/>
        <v>0</v>
      </c>
      <c r="AT541" s="24">
        <f>SUMIFS(инфо!$I$15:$I$28,инфо!$A$15:$A$28,F541)</f>
        <v>0</v>
      </c>
      <c r="AU541" s="35">
        <f t="shared" si="132"/>
        <v>0</v>
      </c>
      <c r="AV541" s="12">
        <f t="shared" si="128"/>
        <v>0</v>
      </c>
      <c r="AX541" s="68">
        <f>SUMIFS(инфо!$C$15:$C$28,инфо!$A$15:$A$28,F541)*H540</f>
        <v>0</v>
      </c>
    </row>
    <row r="542" spans="1:50" x14ac:dyDescent="0.25">
      <c r="A542" s="70">
        <f t="shared" si="133"/>
        <v>46335</v>
      </c>
      <c r="B542" s="77"/>
      <c r="C542" s="17"/>
      <c r="D542" s="18"/>
      <c r="E542" s="83"/>
      <c r="F542" s="28"/>
      <c r="G542" s="19"/>
      <c r="H542" s="28"/>
      <c r="I542" s="118">
        <f>IFERROR(H542*VLOOKUP(F542,инфо!$A$15:$C$28,3,FALSE)/1000,0)</f>
        <v>0</v>
      </c>
      <c r="J542" s="20"/>
      <c r="K542" s="20"/>
      <c r="L542" s="20"/>
      <c r="M542" s="20"/>
      <c r="N542" s="23"/>
      <c r="O542" s="19"/>
      <c r="P542" s="19"/>
      <c r="Q542" s="19"/>
      <c r="R542" s="19"/>
      <c r="S542" s="69">
        <f t="shared" si="129"/>
        <v>0</v>
      </c>
      <c r="T542" s="17"/>
      <c r="U542" s="18"/>
      <c r="V542" s="19"/>
      <c r="W542" s="81"/>
      <c r="X542" s="19"/>
      <c r="Y542" s="17"/>
      <c r="Z542" s="19"/>
      <c r="AA542" s="19"/>
      <c r="AB542" s="19"/>
      <c r="AC542" s="81"/>
      <c r="AD542" s="18"/>
      <c r="AE542" s="25">
        <f>SUMIFS(инфо!$D$15:$D$28,инфо!$A$15:$A$28,F542)</f>
        <v>0</v>
      </c>
      <c r="AF542" s="35">
        <f t="shared" si="120"/>
        <v>0</v>
      </c>
      <c r="AG542" s="14">
        <f t="shared" si="130"/>
        <v>0</v>
      </c>
      <c r="AH542" s="25">
        <f>SUMIFS(инфо!$E$15:$E$28,инфо!$A$15:$A$28,F542)</f>
        <v>0</v>
      </c>
      <c r="AI542" s="32">
        <f t="shared" si="121"/>
        <v>0</v>
      </c>
      <c r="AJ542" s="14">
        <f t="shared" si="131"/>
        <v>0</v>
      </c>
      <c r="AK542" s="25">
        <f>SUMIFS(инфо!$F$15:$F$28,инфо!$A$15:$A$28,F542)</f>
        <v>0</v>
      </c>
      <c r="AL542" s="32">
        <f t="shared" si="122"/>
        <v>0</v>
      </c>
      <c r="AM542" s="14">
        <f t="shared" si="125"/>
        <v>0</v>
      </c>
      <c r="AN542" s="25">
        <f>SUMIFS(инфо!$G$15:$G$28,инфо!$A$15:$A$28,F542)</f>
        <v>0</v>
      </c>
      <c r="AO542" s="32">
        <f t="shared" si="123"/>
        <v>0</v>
      </c>
      <c r="AP542" s="14">
        <f t="shared" si="126"/>
        <v>0</v>
      </c>
      <c r="AQ542" s="25">
        <f>SUMIFS(инфо!$H$15:$H$28,инфо!$A$15:$A$28,F542)</f>
        <v>0</v>
      </c>
      <c r="AR542" s="26">
        <f t="shared" si="124"/>
        <v>0</v>
      </c>
      <c r="AS542" s="14">
        <f t="shared" si="127"/>
        <v>0</v>
      </c>
      <c r="AT542" s="25">
        <f>SUMIFS(инфо!$I$15:$I$28,инфо!$A$15:$A$28,F542)</f>
        <v>0</v>
      </c>
      <c r="AU542" s="35">
        <f t="shared" si="132"/>
        <v>0</v>
      </c>
      <c r="AV542" s="14">
        <f t="shared" si="128"/>
        <v>0</v>
      </c>
      <c r="AX542" s="69">
        <f>SUMIFS(инфо!$C$15:$C$28,инфо!$A$15:$A$28,F542)*H541</f>
        <v>0</v>
      </c>
    </row>
    <row r="543" spans="1:50" x14ac:dyDescent="0.25">
      <c r="A543" s="70">
        <f t="shared" si="133"/>
        <v>46335</v>
      </c>
      <c r="B543" s="75"/>
      <c r="C543" s="29"/>
      <c r="D543" s="30"/>
      <c r="E543" s="83"/>
      <c r="F543" s="28"/>
      <c r="G543" s="27"/>
      <c r="H543" s="20"/>
      <c r="I543" s="118">
        <f>IFERROR(H543*VLOOKUP(F543,инфо!$A$15:$C$28,3,FALSE)/1000,0)</f>
        <v>0</v>
      </c>
      <c r="J543" s="20"/>
      <c r="K543" s="20"/>
      <c r="L543" s="20"/>
      <c r="M543" s="20"/>
      <c r="N543" s="28"/>
      <c r="O543" s="27"/>
      <c r="P543" s="27"/>
      <c r="Q543" s="27"/>
      <c r="R543" s="27"/>
      <c r="S543" s="67">
        <f t="shared" si="129"/>
        <v>0</v>
      </c>
      <c r="T543" s="29"/>
      <c r="U543" s="30"/>
      <c r="V543" s="27"/>
      <c r="W543" s="81"/>
      <c r="X543" s="27"/>
      <c r="Y543" s="29"/>
      <c r="Z543" s="27"/>
      <c r="AA543" s="27"/>
      <c r="AB543" s="27"/>
      <c r="AC543" s="81"/>
      <c r="AD543" s="30"/>
      <c r="AE543" s="31">
        <f>SUMIFS(инфо!$D$15:$D$28,инфо!$A$15:$A$28,F543)</f>
        <v>0</v>
      </c>
      <c r="AF543" s="35">
        <f t="shared" si="120"/>
        <v>0</v>
      </c>
      <c r="AG543" s="33">
        <f t="shared" si="130"/>
        <v>0</v>
      </c>
      <c r="AH543" s="31">
        <f>SUMIFS(инфо!$E$15:$E$28,инфо!$A$15:$A$28,F543)</f>
        <v>0</v>
      </c>
      <c r="AI543" s="32">
        <f t="shared" si="121"/>
        <v>0</v>
      </c>
      <c r="AJ543" s="33">
        <f t="shared" si="131"/>
        <v>0</v>
      </c>
      <c r="AK543" s="31">
        <f>SUMIFS(инфо!$F$15:$F$28,инфо!$A$15:$A$28,F543)</f>
        <v>0</v>
      </c>
      <c r="AL543" s="32">
        <f t="shared" si="122"/>
        <v>0</v>
      </c>
      <c r="AM543" s="33">
        <f t="shared" si="125"/>
        <v>0</v>
      </c>
      <c r="AN543" s="31">
        <f>SUMIFS(инфо!$G$15:$G$28,инфо!$A$15:$A$28,F543)</f>
        <v>0</v>
      </c>
      <c r="AO543" s="32">
        <f t="shared" si="123"/>
        <v>0</v>
      </c>
      <c r="AP543" s="33">
        <f t="shared" si="126"/>
        <v>0</v>
      </c>
      <c r="AQ543" s="31">
        <f>SUMIFS(инфо!$H$15:$H$28,инфо!$A$15:$A$28,F543)</f>
        <v>0</v>
      </c>
      <c r="AR543" s="32">
        <f t="shared" si="124"/>
        <v>0</v>
      </c>
      <c r="AS543" s="33">
        <f t="shared" si="127"/>
        <v>0</v>
      </c>
      <c r="AT543" s="31">
        <f>SUMIFS(инфо!$I$15:$I$28,инфо!$A$15:$A$28,F543)</f>
        <v>0</v>
      </c>
      <c r="AU543" s="35">
        <f t="shared" si="132"/>
        <v>0</v>
      </c>
      <c r="AV543" s="33">
        <f t="shared" si="128"/>
        <v>0</v>
      </c>
      <c r="AX543" s="67">
        <f>SUMIFS(инфо!$C$15:$C$28,инфо!$A$15:$A$28,F543)*H542</f>
        <v>0</v>
      </c>
    </row>
    <row r="544" spans="1:50" x14ac:dyDescent="0.25">
      <c r="A544" s="70">
        <f t="shared" si="133"/>
        <v>46336</v>
      </c>
      <c r="B544" s="76"/>
      <c r="C544" s="15"/>
      <c r="D544" s="16"/>
      <c r="E544" s="83"/>
      <c r="F544" s="28"/>
      <c r="G544" s="34"/>
      <c r="H544" s="20"/>
      <c r="I544" s="118">
        <f>IFERROR(H544*VLOOKUP(F544,инфо!$A$15:$C$28,3,FALSE)/1000,0)</f>
        <v>0</v>
      </c>
      <c r="J544" s="20"/>
      <c r="K544" s="20"/>
      <c r="L544" s="20"/>
      <c r="M544" s="20"/>
      <c r="N544" s="20"/>
      <c r="O544" s="34"/>
      <c r="P544" s="34"/>
      <c r="Q544" s="34"/>
      <c r="R544" s="34"/>
      <c r="S544" s="68">
        <f t="shared" si="129"/>
        <v>0</v>
      </c>
      <c r="T544" s="15"/>
      <c r="U544" s="16"/>
      <c r="V544" s="34"/>
      <c r="W544" s="81"/>
      <c r="X544" s="34"/>
      <c r="Y544" s="15"/>
      <c r="Z544" s="34"/>
      <c r="AA544" s="34"/>
      <c r="AB544" s="34"/>
      <c r="AC544" s="81"/>
      <c r="AD544" s="16"/>
      <c r="AE544" s="24">
        <f>SUMIFS(инфо!$D$15:$D$28,инфо!$A$15:$A$28,F544)</f>
        <v>0</v>
      </c>
      <c r="AF544" s="35">
        <f t="shared" si="120"/>
        <v>0</v>
      </c>
      <c r="AG544" s="12">
        <f t="shared" si="130"/>
        <v>0</v>
      </c>
      <c r="AH544" s="24">
        <f>SUMIFS(инфо!$E$15:$E$28,инфо!$A$15:$A$28,F544)</f>
        <v>0</v>
      </c>
      <c r="AI544" s="32">
        <f t="shared" si="121"/>
        <v>0</v>
      </c>
      <c r="AJ544" s="12">
        <f t="shared" si="131"/>
        <v>0</v>
      </c>
      <c r="AK544" s="24">
        <f>SUMIFS(инфо!$F$15:$F$28,инфо!$A$15:$A$28,F544)</f>
        <v>0</v>
      </c>
      <c r="AL544" s="32">
        <f t="shared" si="122"/>
        <v>0</v>
      </c>
      <c r="AM544" s="12">
        <f t="shared" si="125"/>
        <v>0</v>
      </c>
      <c r="AN544" s="24">
        <f>SUMIFS(инфо!$G$15:$G$28,инфо!$A$15:$A$28,F544)</f>
        <v>0</v>
      </c>
      <c r="AO544" s="32">
        <f t="shared" si="123"/>
        <v>0</v>
      </c>
      <c r="AP544" s="12">
        <f t="shared" si="126"/>
        <v>0</v>
      </c>
      <c r="AQ544" s="24">
        <f>SUMIFS(инфо!$H$15:$H$28,инфо!$A$15:$A$28,F544)</f>
        <v>0</v>
      </c>
      <c r="AR544" s="35">
        <f t="shared" si="124"/>
        <v>0</v>
      </c>
      <c r="AS544" s="12">
        <f t="shared" si="127"/>
        <v>0</v>
      </c>
      <c r="AT544" s="24">
        <f>SUMIFS(инфо!$I$15:$I$28,инфо!$A$15:$A$28,F544)</f>
        <v>0</v>
      </c>
      <c r="AU544" s="35">
        <f t="shared" si="132"/>
        <v>0</v>
      </c>
      <c r="AV544" s="12">
        <f t="shared" si="128"/>
        <v>0</v>
      </c>
      <c r="AX544" s="68">
        <f>SUMIFS(инфо!$C$15:$C$28,инфо!$A$15:$A$28,F544)*H543</f>
        <v>0</v>
      </c>
    </row>
    <row r="545" spans="1:50" x14ac:dyDescent="0.25">
      <c r="A545" s="70">
        <f t="shared" si="133"/>
        <v>46336</v>
      </c>
      <c r="B545" s="76"/>
      <c r="C545" s="15"/>
      <c r="D545" s="16"/>
      <c r="E545" s="83"/>
      <c r="F545" s="28"/>
      <c r="G545" s="34"/>
      <c r="H545" s="23"/>
      <c r="I545" s="118">
        <f>IFERROR(H545*VLOOKUP(F545,инфо!$A$15:$C$28,3,FALSE)/1000,0)</f>
        <v>0</v>
      </c>
      <c r="J545" s="20"/>
      <c r="K545" s="20"/>
      <c r="L545" s="20"/>
      <c r="M545" s="20"/>
      <c r="N545" s="20"/>
      <c r="O545" s="34"/>
      <c r="P545" s="34"/>
      <c r="Q545" s="34"/>
      <c r="R545" s="34"/>
      <c r="S545" s="68">
        <f t="shared" si="129"/>
        <v>0</v>
      </c>
      <c r="T545" s="15"/>
      <c r="U545" s="16"/>
      <c r="V545" s="34"/>
      <c r="W545" s="81"/>
      <c r="X545" s="34"/>
      <c r="Y545" s="15"/>
      <c r="Z545" s="34"/>
      <c r="AA545" s="34"/>
      <c r="AB545" s="34"/>
      <c r="AC545" s="81"/>
      <c r="AD545" s="16"/>
      <c r="AE545" s="24">
        <f>SUMIFS(инфо!$D$15:$D$28,инфо!$A$15:$A$28,F545)</f>
        <v>0</v>
      </c>
      <c r="AF545" s="35">
        <f t="shared" si="120"/>
        <v>0</v>
      </c>
      <c r="AG545" s="12">
        <f t="shared" si="130"/>
        <v>0</v>
      </c>
      <c r="AH545" s="24">
        <f>SUMIFS(инфо!$E$15:$E$28,инфо!$A$15:$A$28,F545)</f>
        <v>0</v>
      </c>
      <c r="AI545" s="32">
        <f t="shared" si="121"/>
        <v>0</v>
      </c>
      <c r="AJ545" s="12">
        <f t="shared" si="131"/>
        <v>0</v>
      </c>
      <c r="AK545" s="24">
        <f>SUMIFS(инфо!$F$15:$F$28,инфо!$A$15:$A$28,F545)</f>
        <v>0</v>
      </c>
      <c r="AL545" s="32">
        <f t="shared" si="122"/>
        <v>0</v>
      </c>
      <c r="AM545" s="12">
        <f t="shared" si="125"/>
        <v>0</v>
      </c>
      <c r="AN545" s="24">
        <f>SUMIFS(инфо!$G$15:$G$28,инфо!$A$15:$A$28,F545)</f>
        <v>0</v>
      </c>
      <c r="AO545" s="32">
        <f t="shared" si="123"/>
        <v>0</v>
      </c>
      <c r="AP545" s="12">
        <f t="shared" si="126"/>
        <v>0</v>
      </c>
      <c r="AQ545" s="24">
        <f>SUMIFS(инфо!$H$15:$H$28,инфо!$A$15:$A$28,F545)</f>
        <v>0</v>
      </c>
      <c r="AR545" s="35">
        <f t="shared" si="124"/>
        <v>0</v>
      </c>
      <c r="AS545" s="12">
        <f t="shared" si="127"/>
        <v>0</v>
      </c>
      <c r="AT545" s="24">
        <f>SUMIFS(инфо!$I$15:$I$28,инфо!$A$15:$A$28,F545)</f>
        <v>0</v>
      </c>
      <c r="AU545" s="35">
        <f t="shared" si="132"/>
        <v>0</v>
      </c>
      <c r="AV545" s="12">
        <f t="shared" si="128"/>
        <v>0</v>
      </c>
      <c r="AX545" s="68">
        <f>SUMIFS(инфо!$C$15:$C$28,инфо!$A$15:$A$28,F545)*H544</f>
        <v>0</v>
      </c>
    </row>
    <row r="546" spans="1:50" x14ac:dyDescent="0.25">
      <c r="A546" s="70">
        <f t="shared" si="133"/>
        <v>46337</v>
      </c>
      <c r="B546" s="77"/>
      <c r="C546" s="17"/>
      <c r="D546" s="18"/>
      <c r="E546" s="83"/>
      <c r="F546" s="28"/>
      <c r="G546" s="19"/>
      <c r="H546" s="28"/>
      <c r="I546" s="118">
        <f>IFERROR(H546*VLOOKUP(F546,инфо!$A$15:$C$28,3,FALSE)/1000,0)</f>
        <v>0</v>
      </c>
      <c r="J546" s="20"/>
      <c r="K546" s="20"/>
      <c r="L546" s="20"/>
      <c r="M546" s="20"/>
      <c r="N546" s="23"/>
      <c r="O546" s="19"/>
      <c r="P546" s="19"/>
      <c r="Q546" s="19"/>
      <c r="R546" s="19"/>
      <c r="S546" s="69">
        <f t="shared" si="129"/>
        <v>0</v>
      </c>
      <c r="T546" s="17"/>
      <c r="U546" s="18"/>
      <c r="V546" s="19"/>
      <c r="W546" s="81"/>
      <c r="X546" s="19"/>
      <c r="Y546" s="17"/>
      <c r="Z546" s="19"/>
      <c r="AA546" s="19"/>
      <c r="AB546" s="19"/>
      <c r="AC546" s="81"/>
      <c r="AD546" s="18"/>
      <c r="AE546" s="25">
        <f>SUMIFS(инфо!$D$15:$D$28,инфо!$A$15:$A$28,F546)</f>
        <v>0</v>
      </c>
      <c r="AF546" s="35">
        <f t="shared" si="120"/>
        <v>0</v>
      </c>
      <c r="AG546" s="14">
        <f t="shared" si="130"/>
        <v>0</v>
      </c>
      <c r="AH546" s="25">
        <f>SUMIFS(инфо!$E$15:$E$28,инфо!$A$15:$A$28,F546)</f>
        <v>0</v>
      </c>
      <c r="AI546" s="32">
        <f t="shared" si="121"/>
        <v>0</v>
      </c>
      <c r="AJ546" s="14">
        <f t="shared" si="131"/>
        <v>0</v>
      </c>
      <c r="AK546" s="25">
        <f>SUMIFS(инфо!$F$15:$F$28,инфо!$A$15:$A$28,F546)</f>
        <v>0</v>
      </c>
      <c r="AL546" s="32">
        <f t="shared" si="122"/>
        <v>0</v>
      </c>
      <c r="AM546" s="14">
        <f t="shared" si="125"/>
        <v>0</v>
      </c>
      <c r="AN546" s="25">
        <f>SUMIFS(инфо!$G$15:$G$28,инфо!$A$15:$A$28,F546)</f>
        <v>0</v>
      </c>
      <c r="AO546" s="32">
        <f t="shared" si="123"/>
        <v>0</v>
      </c>
      <c r="AP546" s="14">
        <f t="shared" si="126"/>
        <v>0</v>
      </c>
      <c r="AQ546" s="25">
        <f>SUMIFS(инфо!$H$15:$H$28,инфо!$A$15:$A$28,F546)</f>
        <v>0</v>
      </c>
      <c r="AR546" s="26">
        <f t="shared" si="124"/>
        <v>0</v>
      </c>
      <c r="AS546" s="14">
        <f t="shared" si="127"/>
        <v>0</v>
      </c>
      <c r="AT546" s="25">
        <f>SUMIFS(инфо!$I$15:$I$28,инфо!$A$15:$A$28,F546)</f>
        <v>0</v>
      </c>
      <c r="AU546" s="35">
        <f t="shared" si="132"/>
        <v>0</v>
      </c>
      <c r="AV546" s="14">
        <f t="shared" si="128"/>
        <v>0</v>
      </c>
      <c r="AX546" s="69">
        <f>SUMIFS(инфо!$C$15:$C$28,инфо!$A$15:$A$28,F546)*H545</f>
        <v>0</v>
      </c>
    </row>
    <row r="547" spans="1:50" x14ac:dyDescent="0.25">
      <c r="A547" s="70">
        <f t="shared" si="133"/>
        <v>46337</v>
      </c>
      <c r="B547" s="75"/>
      <c r="C547" s="29"/>
      <c r="D547" s="30"/>
      <c r="E547" s="83"/>
      <c r="F547" s="28"/>
      <c r="G547" s="27"/>
      <c r="H547" s="20"/>
      <c r="I547" s="118">
        <f>IFERROR(H547*VLOOKUP(F547,инфо!$A$15:$C$28,3,FALSE)/1000,0)</f>
        <v>0</v>
      </c>
      <c r="J547" s="20"/>
      <c r="K547" s="20"/>
      <c r="L547" s="20"/>
      <c r="M547" s="20"/>
      <c r="N547" s="28"/>
      <c r="O547" s="27"/>
      <c r="P547" s="27"/>
      <c r="Q547" s="27"/>
      <c r="R547" s="27"/>
      <c r="S547" s="67">
        <f t="shared" si="129"/>
        <v>0</v>
      </c>
      <c r="T547" s="29"/>
      <c r="U547" s="30"/>
      <c r="V547" s="27"/>
      <c r="W547" s="81"/>
      <c r="X547" s="27"/>
      <c r="Y547" s="29"/>
      <c r="Z547" s="27"/>
      <c r="AA547" s="27"/>
      <c r="AB547" s="27"/>
      <c r="AC547" s="81"/>
      <c r="AD547" s="30"/>
      <c r="AE547" s="31">
        <f>SUMIFS(инфо!$D$15:$D$28,инфо!$A$15:$A$28,F547)</f>
        <v>0</v>
      </c>
      <c r="AF547" s="35">
        <f t="shared" si="120"/>
        <v>0</v>
      </c>
      <c r="AG547" s="33">
        <f t="shared" si="130"/>
        <v>0</v>
      </c>
      <c r="AH547" s="31">
        <f>SUMIFS(инфо!$E$15:$E$28,инфо!$A$15:$A$28,F547)</f>
        <v>0</v>
      </c>
      <c r="AI547" s="32">
        <f t="shared" si="121"/>
        <v>0</v>
      </c>
      <c r="AJ547" s="33">
        <f t="shared" si="131"/>
        <v>0</v>
      </c>
      <c r="AK547" s="31">
        <f>SUMIFS(инфо!$F$15:$F$28,инфо!$A$15:$A$28,F547)</f>
        <v>0</v>
      </c>
      <c r="AL547" s="32">
        <f t="shared" si="122"/>
        <v>0</v>
      </c>
      <c r="AM547" s="33">
        <f t="shared" si="125"/>
        <v>0</v>
      </c>
      <c r="AN547" s="31">
        <f>SUMIFS(инфо!$G$15:$G$28,инфо!$A$15:$A$28,F547)</f>
        <v>0</v>
      </c>
      <c r="AO547" s="32">
        <f t="shared" si="123"/>
        <v>0</v>
      </c>
      <c r="AP547" s="33">
        <f t="shared" si="126"/>
        <v>0</v>
      </c>
      <c r="AQ547" s="31">
        <f>SUMIFS(инфо!$H$15:$H$28,инфо!$A$15:$A$28,F547)</f>
        <v>0</v>
      </c>
      <c r="AR547" s="32">
        <f t="shared" si="124"/>
        <v>0</v>
      </c>
      <c r="AS547" s="33">
        <f t="shared" si="127"/>
        <v>0</v>
      </c>
      <c r="AT547" s="31">
        <f>SUMIFS(инфо!$I$15:$I$28,инфо!$A$15:$A$28,F547)</f>
        <v>0</v>
      </c>
      <c r="AU547" s="35">
        <f t="shared" si="132"/>
        <v>0</v>
      </c>
      <c r="AV547" s="33">
        <f t="shared" si="128"/>
        <v>0</v>
      </c>
      <c r="AX547" s="67">
        <f>SUMIFS(инфо!$C$15:$C$28,инфо!$A$15:$A$28,F547)*H546</f>
        <v>0</v>
      </c>
    </row>
    <row r="548" spans="1:50" x14ac:dyDescent="0.25">
      <c r="A548" s="70">
        <f t="shared" si="133"/>
        <v>46338</v>
      </c>
      <c r="B548" s="76"/>
      <c r="C548" s="15"/>
      <c r="D548" s="16"/>
      <c r="E548" s="83"/>
      <c r="F548" s="28"/>
      <c r="G548" s="34"/>
      <c r="H548" s="20"/>
      <c r="I548" s="118">
        <f>IFERROR(H548*VLOOKUP(F548,инфо!$A$15:$C$28,3,FALSE)/1000,0)</f>
        <v>0</v>
      </c>
      <c r="J548" s="20"/>
      <c r="K548" s="20"/>
      <c r="L548" s="20"/>
      <c r="M548" s="20"/>
      <c r="N548" s="20"/>
      <c r="O548" s="34"/>
      <c r="P548" s="34"/>
      <c r="Q548" s="34"/>
      <c r="R548" s="34"/>
      <c r="S548" s="68">
        <f t="shared" si="129"/>
        <v>0</v>
      </c>
      <c r="T548" s="15"/>
      <c r="U548" s="16"/>
      <c r="V548" s="34"/>
      <c r="W548" s="81"/>
      <c r="X548" s="34"/>
      <c r="Y548" s="15"/>
      <c r="Z548" s="34"/>
      <c r="AA548" s="34"/>
      <c r="AB548" s="34"/>
      <c r="AC548" s="81"/>
      <c r="AD548" s="16"/>
      <c r="AE548" s="24">
        <f>SUMIFS(инфо!$D$15:$D$28,инфо!$A$15:$A$28,F548)</f>
        <v>0</v>
      </c>
      <c r="AF548" s="35">
        <f t="shared" si="120"/>
        <v>0</v>
      </c>
      <c r="AG548" s="12">
        <f t="shared" si="130"/>
        <v>0</v>
      </c>
      <c r="AH548" s="24">
        <f>SUMIFS(инфо!$E$15:$E$28,инфо!$A$15:$A$28,F548)</f>
        <v>0</v>
      </c>
      <c r="AI548" s="32">
        <f t="shared" si="121"/>
        <v>0</v>
      </c>
      <c r="AJ548" s="12">
        <f t="shared" si="131"/>
        <v>0</v>
      </c>
      <c r="AK548" s="24">
        <f>SUMIFS(инфо!$F$15:$F$28,инфо!$A$15:$A$28,F548)</f>
        <v>0</v>
      </c>
      <c r="AL548" s="32">
        <f t="shared" si="122"/>
        <v>0</v>
      </c>
      <c r="AM548" s="12">
        <f t="shared" si="125"/>
        <v>0</v>
      </c>
      <c r="AN548" s="24">
        <f>SUMIFS(инфо!$G$15:$G$28,инфо!$A$15:$A$28,F548)</f>
        <v>0</v>
      </c>
      <c r="AO548" s="32">
        <f t="shared" si="123"/>
        <v>0</v>
      </c>
      <c r="AP548" s="12">
        <f t="shared" si="126"/>
        <v>0</v>
      </c>
      <c r="AQ548" s="24">
        <f>SUMIFS(инфо!$H$15:$H$28,инфо!$A$15:$A$28,F548)</f>
        <v>0</v>
      </c>
      <c r="AR548" s="35">
        <f t="shared" si="124"/>
        <v>0</v>
      </c>
      <c r="AS548" s="12">
        <f t="shared" si="127"/>
        <v>0</v>
      </c>
      <c r="AT548" s="24">
        <f>SUMIFS(инфо!$I$15:$I$28,инфо!$A$15:$A$28,F548)</f>
        <v>0</v>
      </c>
      <c r="AU548" s="35">
        <f t="shared" si="132"/>
        <v>0</v>
      </c>
      <c r="AV548" s="12">
        <f t="shared" si="128"/>
        <v>0</v>
      </c>
      <c r="AX548" s="68">
        <f>SUMIFS(инфо!$C$15:$C$28,инфо!$A$15:$A$28,F548)*H547</f>
        <v>0</v>
      </c>
    </row>
    <row r="549" spans="1:50" x14ac:dyDescent="0.25">
      <c r="A549" s="70">
        <f t="shared" si="133"/>
        <v>46338</v>
      </c>
      <c r="B549" s="76"/>
      <c r="C549" s="15"/>
      <c r="D549" s="16"/>
      <c r="E549" s="83"/>
      <c r="F549" s="28"/>
      <c r="G549" s="34"/>
      <c r="H549" s="23"/>
      <c r="I549" s="118">
        <f>IFERROR(H549*VLOOKUP(F549,инфо!$A$15:$C$28,3,FALSE)/1000,0)</f>
        <v>0</v>
      </c>
      <c r="J549" s="20"/>
      <c r="K549" s="20"/>
      <c r="L549" s="20"/>
      <c r="M549" s="20"/>
      <c r="N549" s="20"/>
      <c r="O549" s="34"/>
      <c r="P549" s="34"/>
      <c r="Q549" s="34"/>
      <c r="R549" s="34"/>
      <c r="S549" s="68">
        <f t="shared" si="129"/>
        <v>0</v>
      </c>
      <c r="T549" s="15"/>
      <c r="U549" s="16"/>
      <c r="V549" s="34"/>
      <c r="W549" s="81"/>
      <c r="X549" s="34"/>
      <c r="Y549" s="15"/>
      <c r="Z549" s="34"/>
      <c r="AA549" s="34"/>
      <c r="AB549" s="34"/>
      <c r="AC549" s="81"/>
      <c r="AD549" s="16"/>
      <c r="AE549" s="24">
        <f>SUMIFS(инфо!$D$15:$D$28,инфо!$A$15:$A$28,F549)</f>
        <v>0</v>
      </c>
      <c r="AF549" s="35">
        <f t="shared" si="120"/>
        <v>0</v>
      </c>
      <c r="AG549" s="12">
        <f t="shared" si="130"/>
        <v>0</v>
      </c>
      <c r="AH549" s="24">
        <f>SUMIFS(инфо!$E$15:$E$28,инфо!$A$15:$A$28,F549)</f>
        <v>0</v>
      </c>
      <c r="AI549" s="32">
        <f t="shared" si="121"/>
        <v>0</v>
      </c>
      <c r="AJ549" s="12">
        <f t="shared" si="131"/>
        <v>0</v>
      </c>
      <c r="AK549" s="24">
        <f>SUMIFS(инфо!$F$15:$F$28,инфо!$A$15:$A$28,F549)</f>
        <v>0</v>
      </c>
      <c r="AL549" s="32">
        <f t="shared" si="122"/>
        <v>0</v>
      </c>
      <c r="AM549" s="12">
        <f t="shared" si="125"/>
        <v>0</v>
      </c>
      <c r="AN549" s="24">
        <f>SUMIFS(инфо!$G$15:$G$28,инфо!$A$15:$A$28,F549)</f>
        <v>0</v>
      </c>
      <c r="AO549" s="32">
        <f t="shared" si="123"/>
        <v>0</v>
      </c>
      <c r="AP549" s="12">
        <f t="shared" si="126"/>
        <v>0</v>
      </c>
      <c r="AQ549" s="24">
        <f>SUMIFS(инфо!$H$15:$H$28,инфо!$A$15:$A$28,F549)</f>
        <v>0</v>
      </c>
      <c r="AR549" s="35">
        <f t="shared" si="124"/>
        <v>0</v>
      </c>
      <c r="AS549" s="12">
        <f t="shared" si="127"/>
        <v>0</v>
      </c>
      <c r="AT549" s="24">
        <f>SUMIFS(инфо!$I$15:$I$28,инфо!$A$15:$A$28,F549)</f>
        <v>0</v>
      </c>
      <c r="AU549" s="35">
        <f t="shared" si="132"/>
        <v>0</v>
      </c>
      <c r="AV549" s="12">
        <f t="shared" si="128"/>
        <v>0</v>
      </c>
      <c r="AX549" s="68">
        <f>SUMIFS(инфо!$C$15:$C$28,инфо!$A$15:$A$28,F549)*H548</f>
        <v>0</v>
      </c>
    </row>
    <row r="550" spans="1:50" x14ac:dyDescent="0.25">
      <c r="A550" s="70">
        <f t="shared" si="133"/>
        <v>46339</v>
      </c>
      <c r="B550" s="77"/>
      <c r="C550" s="17"/>
      <c r="D550" s="18"/>
      <c r="E550" s="83"/>
      <c r="F550" s="28"/>
      <c r="G550" s="19"/>
      <c r="H550" s="28"/>
      <c r="I550" s="118">
        <f>IFERROR(H550*VLOOKUP(F550,инфо!$A$15:$C$28,3,FALSE)/1000,0)</f>
        <v>0</v>
      </c>
      <c r="J550" s="20"/>
      <c r="K550" s="20"/>
      <c r="L550" s="20"/>
      <c r="M550" s="20"/>
      <c r="N550" s="23"/>
      <c r="O550" s="19"/>
      <c r="P550" s="19"/>
      <c r="Q550" s="19"/>
      <c r="R550" s="19"/>
      <c r="S550" s="69">
        <f t="shared" si="129"/>
        <v>0</v>
      </c>
      <c r="T550" s="17"/>
      <c r="U550" s="18"/>
      <c r="V550" s="19"/>
      <c r="W550" s="81"/>
      <c r="X550" s="19"/>
      <c r="Y550" s="17"/>
      <c r="Z550" s="19"/>
      <c r="AA550" s="19"/>
      <c r="AB550" s="19"/>
      <c r="AC550" s="81"/>
      <c r="AD550" s="18"/>
      <c r="AE550" s="25">
        <f>SUMIFS(инфо!$D$15:$D$28,инфо!$A$15:$A$28,F550)</f>
        <v>0</v>
      </c>
      <c r="AF550" s="35">
        <f t="shared" si="120"/>
        <v>0</v>
      </c>
      <c r="AG550" s="14">
        <f t="shared" si="130"/>
        <v>0</v>
      </c>
      <c r="AH550" s="25">
        <f>SUMIFS(инфо!$E$15:$E$28,инфо!$A$15:$A$28,F550)</f>
        <v>0</v>
      </c>
      <c r="AI550" s="32">
        <f t="shared" si="121"/>
        <v>0</v>
      </c>
      <c r="AJ550" s="14">
        <f t="shared" si="131"/>
        <v>0</v>
      </c>
      <c r="AK550" s="25">
        <f>SUMIFS(инфо!$F$15:$F$28,инфо!$A$15:$A$28,F550)</f>
        <v>0</v>
      </c>
      <c r="AL550" s="32">
        <f t="shared" si="122"/>
        <v>0</v>
      </c>
      <c r="AM550" s="14">
        <f t="shared" si="125"/>
        <v>0</v>
      </c>
      <c r="AN550" s="25">
        <f>SUMIFS(инфо!$G$15:$G$28,инфо!$A$15:$A$28,F550)</f>
        <v>0</v>
      </c>
      <c r="AO550" s="32">
        <f t="shared" si="123"/>
        <v>0</v>
      </c>
      <c r="AP550" s="14">
        <f t="shared" si="126"/>
        <v>0</v>
      </c>
      <c r="AQ550" s="25">
        <f>SUMIFS(инфо!$H$15:$H$28,инфо!$A$15:$A$28,F550)</f>
        <v>0</v>
      </c>
      <c r="AR550" s="26">
        <f t="shared" si="124"/>
        <v>0</v>
      </c>
      <c r="AS550" s="14">
        <f t="shared" si="127"/>
        <v>0</v>
      </c>
      <c r="AT550" s="25">
        <f>SUMIFS(инфо!$I$15:$I$28,инфо!$A$15:$A$28,F550)</f>
        <v>0</v>
      </c>
      <c r="AU550" s="35">
        <f t="shared" si="132"/>
        <v>0</v>
      </c>
      <c r="AV550" s="14">
        <f t="shared" si="128"/>
        <v>0</v>
      </c>
      <c r="AX550" s="69">
        <f>SUMIFS(инфо!$C$15:$C$28,инфо!$A$15:$A$28,F550)*H549</f>
        <v>0</v>
      </c>
    </row>
    <row r="551" spans="1:50" x14ac:dyDescent="0.25">
      <c r="A551" s="70">
        <f t="shared" si="133"/>
        <v>46339</v>
      </c>
      <c r="B551" s="75"/>
      <c r="C551" s="29"/>
      <c r="D551" s="30"/>
      <c r="E551" s="83"/>
      <c r="F551" s="28"/>
      <c r="G551" s="27"/>
      <c r="H551" s="20"/>
      <c r="I551" s="118">
        <f>IFERROR(H551*VLOOKUP(F551,инфо!$A$15:$C$28,3,FALSE)/1000,0)</f>
        <v>0</v>
      </c>
      <c r="J551" s="20"/>
      <c r="K551" s="20"/>
      <c r="L551" s="20"/>
      <c r="M551" s="20"/>
      <c r="N551" s="28"/>
      <c r="O551" s="27"/>
      <c r="P551" s="27"/>
      <c r="Q551" s="27"/>
      <c r="R551" s="27"/>
      <c r="S551" s="67">
        <f t="shared" si="129"/>
        <v>0</v>
      </c>
      <c r="T551" s="29"/>
      <c r="U551" s="30"/>
      <c r="V551" s="27"/>
      <c r="W551" s="81"/>
      <c r="X551" s="27"/>
      <c r="Y551" s="29"/>
      <c r="Z551" s="27"/>
      <c r="AA551" s="27"/>
      <c r="AB551" s="27"/>
      <c r="AC551" s="81"/>
      <c r="AD551" s="30"/>
      <c r="AE551" s="31">
        <f>SUMIFS(инфо!$D$15:$D$28,инфо!$A$15:$A$28,F551)</f>
        <v>0</v>
      </c>
      <c r="AF551" s="35">
        <f t="shared" si="120"/>
        <v>0</v>
      </c>
      <c r="AG551" s="33">
        <f t="shared" si="130"/>
        <v>0</v>
      </c>
      <c r="AH551" s="31">
        <f>SUMIFS(инфо!$E$15:$E$28,инфо!$A$15:$A$28,F551)</f>
        <v>0</v>
      </c>
      <c r="AI551" s="32">
        <f t="shared" si="121"/>
        <v>0</v>
      </c>
      <c r="AJ551" s="33">
        <f t="shared" si="131"/>
        <v>0</v>
      </c>
      <c r="AK551" s="31">
        <f>SUMIFS(инфо!$F$15:$F$28,инфо!$A$15:$A$28,F551)</f>
        <v>0</v>
      </c>
      <c r="AL551" s="32">
        <f t="shared" si="122"/>
        <v>0</v>
      </c>
      <c r="AM551" s="33">
        <f t="shared" si="125"/>
        <v>0</v>
      </c>
      <c r="AN551" s="31">
        <f>SUMIFS(инфо!$G$15:$G$28,инфо!$A$15:$A$28,F551)</f>
        <v>0</v>
      </c>
      <c r="AO551" s="32">
        <f t="shared" si="123"/>
        <v>0</v>
      </c>
      <c r="AP551" s="33">
        <f t="shared" si="126"/>
        <v>0</v>
      </c>
      <c r="AQ551" s="31">
        <f>SUMIFS(инфо!$H$15:$H$28,инфо!$A$15:$A$28,F551)</f>
        <v>0</v>
      </c>
      <c r="AR551" s="32">
        <f t="shared" si="124"/>
        <v>0</v>
      </c>
      <c r="AS551" s="33">
        <f t="shared" si="127"/>
        <v>0</v>
      </c>
      <c r="AT551" s="31">
        <f>SUMIFS(инфо!$I$15:$I$28,инфо!$A$15:$A$28,F551)</f>
        <v>0</v>
      </c>
      <c r="AU551" s="35">
        <f t="shared" si="132"/>
        <v>0</v>
      </c>
      <c r="AV551" s="33">
        <f t="shared" si="128"/>
        <v>0</v>
      </c>
      <c r="AX551" s="67">
        <f>SUMIFS(инфо!$C$15:$C$28,инфо!$A$15:$A$28,F551)*H550</f>
        <v>0</v>
      </c>
    </row>
    <row r="552" spans="1:50" x14ac:dyDescent="0.25">
      <c r="A552" s="70">
        <f t="shared" si="133"/>
        <v>46340</v>
      </c>
      <c r="B552" s="76"/>
      <c r="C552" s="15"/>
      <c r="D552" s="16"/>
      <c r="E552" s="83"/>
      <c r="F552" s="28"/>
      <c r="G552" s="34"/>
      <c r="H552" s="20"/>
      <c r="I552" s="118">
        <f>IFERROR(H552*VLOOKUP(F552,инфо!$A$15:$C$28,3,FALSE)/1000,0)</f>
        <v>0</v>
      </c>
      <c r="J552" s="20"/>
      <c r="K552" s="20"/>
      <c r="L552" s="20"/>
      <c r="M552" s="20"/>
      <c r="N552" s="20"/>
      <c r="O552" s="34"/>
      <c r="P552" s="34"/>
      <c r="Q552" s="34"/>
      <c r="R552" s="34"/>
      <c r="S552" s="68">
        <f t="shared" si="129"/>
        <v>0</v>
      </c>
      <c r="T552" s="15"/>
      <c r="U552" s="16"/>
      <c r="V552" s="34"/>
      <c r="W552" s="81"/>
      <c r="X552" s="34"/>
      <c r="Y552" s="15"/>
      <c r="Z552" s="34"/>
      <c r="AA552" s="34"/>
      <c r="AB552" s="34"/>
      <c r="AC552" s="81"/>
      <c r="AD552" s="16"/>
      <c r="AE552" s="24">
        <f>SUMIFS(инфо!$D$15:$D$28,инфо!$A$15:$A$28,F552)</f>
        <v>0</v>
      </c>
      <c r="AF552" s="35">
        <f t="shared" si="120"/>
        <v>0</v>
      </c>
      <c r="AG552" s="12">
        <f t="shared" si="130"/>
        <v>0</v>
      </c>
      <c r="AH552" s="24">
        <f>SUMIFS(инфо!$E$15:$E$28,инфо!$A$15:$A$28,F552)</f>
        <v>0</v>
      </c>
      <c r="AI552" s="32">
        <f t="shared" si="121"/>
        <v>0</v>
      </c>
      <c r="AJ552" s="12">
        <f t="shared" si="131"/>
        <v>0</v>
      </c>
      <c r="AK552" s="24">
        <f>SUMIFS(инфо!$F$15:$F$28,инфо!$A$15:$A$28,F552)</f>
        <v>0</v>
      </c>
      <c r="AL552" s="32">
        <f t="shared" si="122"/>
        <v>0</v>
      </c>
      <c r="AM552" s="12">
        <f t="shared" si="125"/>
        <v>0</v>
      </c>
      <c r="AN552" s="24">
        <f>SUMIFS(инфо!$G$15:$G$28,инфо!$A$15:$A$28,F552)</f>
        <v>0</v>
      </c>
      <c r="AO552" s="32">
        <f t="shared" si="123"/>
        <v>0</v>
      </c>
      <c r="AP552" s="12">
        <f t="shared" si="126"/>
        <v>0</v>
      </c>
      <c r="AQ552" s="24">
        <f>SUMIFS(инфо!$H$15:$H$28,инфо!$A$15:$A$28,F552)</f>
        <v>0</v>
      </c>
      <c r="AR552" s="35">
        <f t="shared" si="124"/>
        <v>0</v>
      </c>
      <c r="AS552" s="12">
        <f t="shared" si="127"/>
        <v>0</v>
      </c>
      <c r="AT552" s="24">
        <f>SUMIFS(инфо!$I$15:$I$28,инфо!$A$15:$A$28,F552)</f>
        <v>0</v>
      </c>
      <c r="AU552" s="35">
        <f t="shared" si="132"/>
        <v>0</v>
      </c>
      <c r="AV552" s="12">
        <f t="shared" si="128"/>
        <v>0</v>
      </c>
      <c r="AX552" s="68">
        <f>SUMIFS(инфо!$C$15:$C$28,инфо!$A$15:$A$28,F552)*H551</f>
        <v>0</v>
      </c>
    </row>
    <row r="553" spans="1:50" x14ac:dyDescent="0.25">
      <c r="A553" s="70">
        <f t="shared" si="133"/>
        <v>46340</v>
      </c>
      <c r="B553" s="76"/>
      <c r="C553" s="15"/>
      <c r="D553" s="16"/>
      <c r="E553" s="83"/>
      <c r="F553" s="28"/>
      <c r="G553" s="34"/>
      <c r="H553" s="23"/>
      <c r="I553" s="118">
        <f>IFERROR(H553*VLOOKUP(F553,инфо!$A$15:$C$28,3,FALSE)/1000,0)</f>
        <v>0</v>
      </c>
      <c r="J553" s="20"/>
      <c r="K553" s="20"/>
      <c r="L553" s="20"/>
      <c r="M553" s="20"/>
      <c r="N553" s="20"/>
      <c r="O553" s="34"/>
      <c r="P553" s="34"/>
      <c r="Q553" s="34"/>
      <c r="R553" s="34"/>
      <c r="S553" s="68">
        <f t="shared" si="129"/>
        <v>0</v>
      </c>
      <c r="T553" s="15"/>
      <c r="U553" s="16"/>
      <c r="V553" s="34"/>
      <c r="W553" s="81"/>
      <c r="X553" s="34"/>
      <c r="Y553" s="15"/>
      <c r="Z553" s="34"/>
      <c r="AA553" s="34"/>
      <c r="AB553" s="34"/>
      <c r="AC553" s="81"/>
      <c r="AD553" s="16"/>
      <c r="AE553" s="24">
        <f>SUMIFS(инфо!$D$15:$D$28,инфо!$A$15:$A$28,F553)</f>
        <v>0</v>
      </c>
      <c r="AF553" s="35">
        <f t="shared" si="120"/>
        <v>0</v>
      </c>
      <c r="AG553" s="12">
        <f t="shared" si="130"/>
        <v>0</v>
      </c>
      <c r="AH553" s="24">
        <f>SUMIFS(инфо!$E$15:$E$28,инфо!$A$15:$A$28,F553)</f>
        <v>0</v>
      </c>
      <c r="AI553" s="32">
        <f t="shared" si="121"/>
        <v>0</v>
      </c>
      <c r="AJ553" s="12">
        <f t="shared" si="131"/>
        <v>0</v>
      </c>
      <c r="AK553" s="24">
        <f>SUMIFS(инфо!$F$15:$F$28,инфо!$A$15:$A$28,F553)</f>
        <v>0</v>
      </c>
      <c r="AL553" s="32">
        <f t="shared" si="122"/>
        <v>0</v>
      </c>
      <c r="AM553" s="12">
        <f t="shared" si="125"/>
        <v>0</v>
      </c>
      <c r="AN553" s="24">
        <f>SUMIFS(инфо!$G$15:$G$28,инфо!$A$15:$A$28,F553)</f>
        <v>0</v>
      </c>
      <c r="AO553" s="32">
        <f t="shared" si="123"/>
        <v>0</v>
      </c>
      <c r="AP553" s="12">
        <f t="shared" si="126"/>
        <v>0</v>
      </c>
      <c r="AQ553" s="24">
        <f>SUMIFS(инфо!$H$15:$H$28,инфо!$A$15:$A$28,F553)</f>
        <v>0</v>
      </c>
      <c r="AR553" s="35">
        <f t="shared" si="124"/>
        <v>0</v>
      </c>
      <c r="AS553" s="12">
        <f t="shared" si="127"/>
        <v>0</v>
      </c>
      <c r="AT553" s="24">
        <f>SUMIFS(инфо!$I$15:$I$28,инфо!$A$15:$A$28,F553)</f>
        <v>0</v>
      </c>
      <c r="AU553" s="35">
        <f t="shared" si="132"/>
        <v>0</v>
      </c>
      <c r="AV553" s="12">
        <f t="shared" si="128"/>
        <v>0</v>
      </c>
      <c r="AX553" s="68">
        <f>SUMIFS(инфо!$C$15:$C$28,инфо!$A$15:$A$28,F553)*H552</f>
        <v>0</v>
      </c>
    </row>
    <row r="554" spans="1:50" x14ac:dyDescent="0.25">
      <c r="A554" s="70">
        <f t="shared" si="133"/>
        <v>46341</v>
      </c>
      <c r="B554" s="77"/>
      <c r="C554" s="17"/>
      <c r="D554" s="18"/>
      <c r="E554" s="83"/>
      <c r="F554" s="28"/>
      <c r="G554" s="19"/>
      <c r="H554" s="28"/>
      <c r="I554" s="118">
        <f>IFERROR(H554*VLOOKUP(F554,инфо!$A$15:$C$28,3,FALSE)/1000,0)</f>
        <v>0</v>
      </c>
      <c r="J554" s="20"/>
      <c r="K554" s="20"/>
      <c r="L554" s="20"/>
      <c r="M554" s="20"/>
      <c r="N554" s="23"/>
      <c r="O554" s="19"/>
      <c r="P554" s="19"/>
      <c r="Q554" s="19"/>
      <c r="R554" s="19"/>
      <c r="S554" s="69">
        <f t="shared" si="129"/>
        <v>0</v>
      </c>
      <c r="T554" s="17"/>
      <c r="U554" s="18"/>
      <c r="V554" s="19"/>
      <c r="W554" s="81"/>
      <c r="X554" s="19"/>
      <c r="Y554" s="17"/>
      <c r="Z554" s="19"/>
      <c r="AA554" s="19"/>
      <c r="AB554" s="19"/>
      <c r="AC554" s="81"/>
      <c r="AD554" s="18"/>
      <c r="AE554" s="25">
        <f>SUMIFS(инфо!$D$15:$D$28,инфо!$A$15:$A$28,F554)</f>
        <v>0</v>
      </c>
      <c r="AF554" s="35">
        <f t="shared" si="120"/>
        <v>0</v>
      </c>
      <c r="AG554" s="14">
        <f t="shared" si="130"/>
        <v>0</v>
      </c>
      <c r="AH554" s="25">
        <f>SUMIFS(инфо!$E$15:$E$28,инфо!$A$15:$A$28,F554)</f>
        <v>0</v>
      </c>
      <c r="AI554" s="32">
        <f t="shared" si="121"/>
        <v>0</v>
      </c>
      <c r="AJ554" s="14">
        <f t="shared" si="131"/>
        <v>0</v>
      </c>
      <c r="AK554" s="25">
        <f>SUMIFS(инфо!$F$15:$F$28,инфо!$A$15:$A$28,F554)</f>
        <v>0</v>
      </c>
      <c r="AL554" s="32">
        <f t="shared" si="122"/>
        <v>0</v>
      </c>
      <c r="AM554" s="14">
        <f t="shared" si="125"/>
        <v>0</v>
      </c>
      <c r="AN554" s="25">
        <f>SUMIFS(инфо!$G$15:$G$28,инфо!$A$15:$A$28,F554)</f>
        <v>0</v>
      </c>
      <c r="AO554" s="32">
        <f t="shared" si="123"/>
        <v>0</v>
      </c>
      <c r="AP554" s="14">
        <f t="shared" si="126"/>
        <v>0</v>
      </c>
      <c r="AQ554" s="25">
        <f>SUMIFS(инфо!$H$15:$H$28,инфо!$A$15:$A$28,F554)</f>
        <v>0</v>
      </c>
      <c r="AR554" s="26">
        <f t="shared" si="124"/>
        <v>0</v>
      </c>
      <c r="AS554" s="14">
        <f t="shared" si="127"/>
        <v>0</v>
      </c>
      <c r="AT554" s="25">
        <f>SUMIFS(инфо!$I$15:$I$28,инфо!$A$15:$A$28,F554)</f>
        <v>0</v>
      </c>
      <c r="AU554" s="35">
        <f t="shared" si="132"/>
        <v>0</v>
      </c>
      <c r="AV554" s="14">
        <f t="shared" si="128"/>
        <v>0</v>
      </c>
      <c r="AX554" s="69">
        <f>SUMIFS(инфо!$C$15:$C$28,инфо!$A$15:$A$28,F554)*H553</f>
        <v>0</v>
      </c>
    </row>
    <row r="555" spans="1:50" x14ac:dyDescent="0.25">
      <c r="A555" s="70">
        <f t="shared" si="133"/>
        <v>46341</v>
      </c>
      <c r="B555" s="75"/>
      <c r="C555" s="29"/>
      <c r="D555" s="30"/>
      <c r="E555" s="83"/>
      <c r="F555" s="28"/>
      <c r="G555" s="27"/>
      <c r="H555" s="20"/>
      <c r="I555" s="118">
        <f>IFERROR(H555*VLOOKUP(F555,инфо!$A$15:$C$28,3,FALSE)/1000,0)</f>
        <v>0</v>
      </c>
      <c r="J555" s="20"/>
      <c r="K555" s="20"/>
      <c r="L555" s="20"/>
      <c r="M555" s="20"/>
      <c r="N555" s="28"/>
      <c r="O555" s="27"/>
      <c r="P555" s="27"/>
      <c r="Q555" s="27"/>
      <c r="R555" s="27"/>
      <c r="S555" s="67">
        <f t="shared" si="129"/>
        <v>0</v>
      </c>
      <c r="T555" s="29"/>
      <c r="U555" s="30"/>
      <c r="V555" s="27"/>
      <c r="W555" s="81"/>
      <c r="X555" s="27"/>
      <c r="Y555" s="29"/>
      <c r="Z555" s="27"/>
      <c r="AA555" s="27"/>
      <c r="AB555" s="27"/>
      <c r="AC555" s="81"/>
      <c r="AD555" s="30"/>
      <c r="AE555" s="31">
        <f>SUMIFS(инфо!$D$15:$D$28,инфо!$A$15:$A$28,F555)</f>
        <v>0</v>
      </c>
      <c r="AF555" s="35">
        <f t="shared" si="120"/>
        <v>0</v>
      </c>
      <c r="AG555" s="33">
        <f t="shared" si="130"/>
        <v>0</v>
      </c>
      <c r="AH555" s="31">
        <f>SUMIFS(инфо!$E$15:$E$28,инфо!$A$15:$A$28,F555)</f>
        <v>0</v>
      </c>
      <c r="AI555" s="32">
        <f t="shared" si="121"/>
        <v>0</v>
      </c>
      <c r="AJ555" s="33">
        <f t="shared" si="131"/>
        <v>0</v>
      </c>
      <c r="AK555" s="31">
        <f>SUMIFS(инфо!$F$15:$F$28,инфо!$A$15:$A$28,F555)</f>
        <v>0</v>
      </c>
      <c r="AL555" s="32">
        <f t="shared" si="122"/>
        <v>0</v>
      </c>
      <c r="AM555" s="33">
        <f t="shared" si="125"/>
        <v>0</v>
      </c>
      <c r="AN555" s="31">
        <f>SUMIFS(инфо!$G$15:$G$28,инфо!$A$15:$A$28,F555)</f>
        <v>0</v>
      </c>
      <c r="AO555" s="32">
        <f t="shared" si="123"/>
        <v>0</v>
      </c>
      <c r="AP555" s="33">
        <f t="shared" si="126"/>
        <v>0</v>
      </c>
      <c r="AQ555" s="31">
        <f>SUMIFS(инфо!$H$15:$H$28,инфо!$A$15:$A$28,F555)</f>
        <v>0</v>
      </c>
      <c r="AR555" s="32">
        <f t="shared" si="124"/>
        <v>0</v>
      </c>
      <c r="AS555" s="33">
        <f t="shared" si="127"/>
        <v>0</v>
      </c>
      <c r="AT555" s="31">
        <f>SUMIFS(инфо!$I$15:$I$28,инфо!$A$15:$A$28,F555)</f>
        <v>0</v>
      </c>
      <c r="AU555" s="35">
        <f t="shared" si="132"/>
        <v>0</v>
      </c>
      <c r="AV555" s="33">
        <f t="shared" si="128"/>
        <v>0</v>
      </c>
      <c r="AX555" s="67">
        <f>SUMIFS(инфо!$C$15:$C$28,инфо!$A$15:$A$28,F555)*H554</f>
        <v>0</v>
      </c>
    </row>
    <row r="556" spans="1:50" x14ac:dyDescent="0.25">
      <c r="A556" s="70">
        <f t="shared" si="133"/>
        <v>46342</v>
      </c>
      <c r="B556" s="76"/>
      <c r="C556" s="15"/>
      <c r="D556" s="16"/>
      <c r="E556" s="83"/>
      <c r="F556" s="28"/>
      <c r="G556" s="34"/>
      <c r="H556" s="20"/>
      <c r="I556" s="118">
        <f>IFERROR(H556*VLOOKUP(F556,инфо!$A$15:$C$28,3,FALSE)/1000,0)</f>
        <v>0</v>
      </c>
      <c r="J556" s="20"/>
      <c r="K556" s="20"/>
      <c r="L556" s="20"/>
      <c r="M556" s="20"/>
      <c r="N556" s="20"/>
      <c r="O556" s="34"/>
      <c r="P556" s="34"/>
      <c r="Q556" s="34"/>
      <c r="R556" s="34"/>
      <c r="S556" s="68">
        <f t="shared" si="129"/>
        <v>0</v>
      </c>
      <c r="T556" s="15"/>
      <c r="U556" s="16"/>
      <c r="V556" s="34"/>
      <c r="W556" s="81"/>
      <c r="X556" s="34"/>
      <c r="Y556" s="15"/>
      <c r="Z556" s="34"/>
      <c r="AA556" s="34"/>
      <c r="AB556" s="34"/>
      <c r="AC556" s="81"/>
      <c r="AD556" s="16"/>
      <c r="AE556" s="24">
        <f>SUMIFS(инфо!$D$15:$D$28,инфо!$A$15:$A$28,F556)</f>
        <v>0</v>
      </c>
      <c r="AF556" s="35">
        <f t="shared" si="120"/>
        <v>0</v>
      </c>
      <c r="AG556" s="12">
        <f t="shared" si="130"/>
        <v>0</v>
      </c>
      <c r="AH556" s="24">
        <f>SUMIFS(инфо!$E$15:$E$28,инфо!$A$15:$A$28,F556)</f>
        <v>0</v>
      </c>
      <c r="AI556" s="32">
        <f t="shared" si="121"/>
        <v>0</v>
      </c>
      <c r="AJ556" s="12">
        <f t="shared" si="131"/>
        <v>0</v>
      </c>
      <c r="AK556" s="24">
        <f>SUMIFS(инфо!$F$15:$F$28,инфо!$A$15:$A$28,F556)</f>
        <v>0</v>
      </c>
      <c r="AL556" s="32">
        <f t="shared" si="122"/>
        <v>0</v>
      </c>
      <c r="AM556" s="12">
        <f t="shared" si="125"/>
        <v>0</v>
      </c>
      <c r="AN556" s="24">
        <f>SUMIFS(инфо!$G$15:$G$28,инфо!$A$15:$A$28,F556)</f>
        <v>0</v>
      </c>
      <c r="AO556" s="32">
        <f t="shared" si="123"/>
        <v>0</v>
      </c>
      <c r="AP556" s="12">
        <f t="shared" si="126"/>
        <v>0</v>
      </c>
      <c r="AQ556" s="24">
        <f>SUMIFS(инфо!$H$15:$H$28,инфо!$A$15:$A$28,F556)</f>
        <v>0</v>
      </c>
      <c r="AR556" s="35">
        <f t="shared" si="124"/>
        <v>0</v>
      </c>
      <c r="AS556" s="12">
        <f t="shared" si="127"/>
        <v>0</v>
      </c>
      <c r="AT556" s="24">
        <f>SUMIFS(инфо!$I$15:$I$28,инфо!$A$15:$A$28,F556)</f>
        <v>0</v>
      </c>
      <c r="AU556" s="35">
        <f t="shared" si="132"/>
        <v>0</v>
      </c>
      <c r="AV556" s="12">
        <f t="shared" si="128"/>
        <v>0</v>
      </c>
      <c r="AX556" s="68">
        <f>SUMIFS(инфо!$C$15:$C$28,инфо!$A$15:$A$28,F556)*H555</f>
        <v>0</v>
      </c>
    </row>
    <row r="557" spans="1:50" x14ac:dyDescent="0.25">
      <c r="A557" s="70">
        <f t="shared" si="133"/>
        <v>46342</v>
      </c>
      <c r="B557" s="76"/>
      <c r="C557" s="15"/>
      <c r="D557" s="16"/>
      <c r="E557" s="83"/>
      <c r="F557" s="28"/>
      <c r="G557" s="34"/>
      <c r="H557" s="23"/>
      <c r="I557" s="118">
        <f>IFERROR(H557*VLOOKUP(F557,инфо!$A$15:$C$28,3,FALSE)/1000,0)</f>
        <v>0</v>
      </c>
      <c r="J557" s="20"/>
      <c r="K557" s="20"/>
      <c r="L557" s="20"/>
      <c r="M557" s="20"/>
      <c r="N557" s="20"/>
      <c r="O557" s="34"/>
      <c r="P557" s="34"/>
      <c r="Q557" s="34"/>
      <c r="R557" s="34"/>
      <c r="S557" s="68">
        <f t="shared" si="129"/>
        <v>0</v>
      </c>
      <c r="T557" s="15"/>
      <c r="U557" s="16"/>
      <c r="V557" s="34"/>
      <c r="W557" s="81"/>
      <c r="X557" s="34"/>
      <c r="Y557" s="15"/>
      <c r="Z557" s="34"/>
      <c r="AA557" s="34"/>
      <c r="AB557" s="34"/>
      <c r="AC557" s="81"/>
      <c r="AD557" s="16"/>
      <c r="AE557" s="24">
        <f>SUMIFS(инфо!$D$15:$D$28,инфо!$A$15:$A$28,F557)</f>
        <v>0</v>
      </c>
      <c r="AF557" s="35">
        <f t="shared" ref="AF557:AF620" si="134">IF(H557=0,0,N557/H557)</f>
        <v>0</v>
      </c>
      <c r="AG557" s="12">
        <f t="shared" si="130"/>
        <v>0</v>
      </c>
      <c r="AH557" s="24">
        <f>SUMIFS(инфо!$E$15:$E$28,инфо!$A$15:$A$28,F557)</f>
        <v>0</v>
      </c>
      <c r="AI557" s="32">
        <f t="shared" ref="AI557:AI620" si="135">IF(H557=0,0,S557/H557)</f>
        <v>0</v>
      </c>
      <c r="AJ557" s="12">
        <f t="shared" si="131"/>
        <v>0</v>
      </c>
      <c r="AK557" s="24">
        <f>SUMIFS(инфо!$F$15:$F$28,инфо!$A$15:$A$28,F557)</f>
        <v>0</v>
      </c>
      <c r="AL557" s="32">
        <f t="shared" ref="AL557:AL620" si="136">IF(H557=0,0,Y557/H557)</f>
        <v>0</v>
      </c>
      <c r="AM557" s="12">
        <f t="shared" si="125"/>
        <v>0</v>
      </c>
      <c r="AN557" s="24">
        <f>SUMIFS(инфо!$G$15:$G$28,инфо!$A$15:$A$28,F557)</f>
        <v>0</v>
      </c>
      <c r="AO557" s="32">
        <f t="shared" ref="AO557:AO620" si="137">IF(H557=0,0,AA557/H557)</f>
        <v>0</v>
      </c>
      <c r="AP557" s="12">
        <f t="shared" si="126"/>
        <v>0</v>
      </c>
      <c r="AQ557" s="24">
        <f>SUMIFS(инфо!$H$15:$H$28,инфо!$A$15:$A$28,F557)</f>
        <v>0</v>
      </c>
      <c r="AR557" s="35">
        <f t="shared" si="124"/>
        <v>0</v>
      </c>
      <c r="AS557" s="12">
        <f t="shared" si="127"/>
        <v>0</v>
      </c>
      <c r="AT557" s="24">
        <f>SUMIFS(инфо!$I$15:$I$28,инфо!$A$15:$A$28,F557)</f>
        <v>0</v>
      </c>
      <c r="AU557" s="35">
        <f t="shared" si="132"/>
        <v>0</v>
      </c>
      <c r="AV557" s="12">
        <f t="shared" si="128"/>
        <v>0</v>
      </c>
      <c r="AX557" s="68">
        <f>SUMIFS(инфо!$C$15:$C$28,инфо!$A$15:$A$28,F557)*H556</f>
        <v>0</v>
      </c>
    </row>
    <row r="558" spans="1:50" x14ac:dyDescent="0.25">
      <c r="A558" s="70">
        <f t="shared" si="133"/>
        <v>46343</v>
      </c>
      <c r="B558" s="77"/>
      <c r="C558" s="17"/>
      <c r="D558" s="18"/>
      <c r="E558" s="83"/>
      <c r="F558" s="28"/>
      <c r="G558" s="19"/>
      <c r="H558" s="28"/>
      <c r="I558" s="118">
        <f>IFERROR(H558*VLOOKUP(F558,инфо!$A$15:$C$28,3,FALSE)/1000,0)</f>
        <v>0</v>
      </c>
      <c r="J558" s="20"/>
      <c r="K558" s="20"/>
      <c r="L558" s="20"/>
      <c r="M558" s="20"/>
      <c r="N558" s="23"/>
      <c r="O558" s="19"/>
      <c r="P558" s="19"/>
      <c r="Q558" s="19"/>
      <c r="R558" s="19"/>
      <c r="S558" s="69">
        <f t="shared" si="129"/>
        <v>0</v>
      </c>
      <c r="T558" s="17"/>
      <c r="U558" s="18"/>
      <c r="V558" s="19"/>
      <c r="W558" s="81"/>
      <c r="X558" s="19"/>
      <c r="Y558" s="17"/>
      <c r="Z558" s="19"/>
      <c r="AA558" s="19"/>
      <c r="AB558" s="19"/>
      <c r="AC558" s="81"/>
      <c r="AD558" s="18"/>
      <c r="AE558" s="25">
        <f>SUMIFS(инфо!$D$15:$D$28,инфо!$A$15:$A$28,F558)</f>
        <v>0</v>
      </c>
      <c r="AF558" s="35">
        <f t="shared" si="134"/>
        <v>0</v>
      </c>
      <c r="AG558" s="14">
        <f t="shared" si="130"/>
        <v>0</v>
      </c>
      <c r="AH558" s="25">
        <f>SUMIFS(инфо!$E$15:$E$28,инфо!$A$15:$A$28,F558)</f>
        <v>0</v>
      </c>
      <c r="AI558" s="32">
        <f t="shared" si="135"/>
        <v>0</v>
      </c>
      <c r="AJ558" s="14">
        <f t="shared" si="131"/>
        <v>0</v>
      </c>
      <c r="AK558" s="25">
        <f>SUMIFS(инфо!$F$15:$F$28,инфо!$A$15:$A$28,F558)</f>
        <v>0</v>
      </c>
      <c r="AL558" s="32">
        <f t="shared" si="136"/>
        <v>0</v>
      </c>
      <c r="AM558" s="14">
        <f t="shared" si="125"/>
        <v>0</v>
      </c>
      <c r="AN558" s="25">
        <f>SUMIFS(инфо!$G$15:$G$28,инфо!$A$15:$A$28,F558)</f>
        <v>0</v>
      </c>
      <c r="AO558" s="32">
        <f t="shared" si="137"/>
        <v>0</v>
      </c>
      <c r="AP558" s="14">
        <f t="shared" si="126"/>
        <v>0</v>
      </c>
      <c r="AQ558" s="25">
        <f>SUMIFS(инфо!$H$15:$H$28,инфо!$A$15:$A$28,F558)</f>
        <v>0</v>
      </c>
      <c r="AR558" s="26">
        <f t="shared" ref="AR558:AR621" si="138">IF(H557=0,0,AC558/H557)</f>
        <v>0</v>
      </c>
      <c r="AS558" s="14">
        <f t="shared" si="127"/>
        <v>0</v>
      </c>
      <c r="AT558" s="25">
        <f>SUMIFS(инфо!$I$15:$I$28,инфо!$A$15:$A$28,F558)</f>
        <v>0</v>
      </c>
      <c r="AU558" s="35">
        <f t="shared" si="132"/>
        <v>0</v>
      </c>
      <c r="AV558" s="14">
        <f t="shared" si="128"/>
        <v>0</v>
      </c>
      <c r="AX558" s="69">
        <f>SUMIFS(инфо!$C$15:$C$28,инфо!$A$15:$A$28,F558)*H557</f>
        <v>0</v>
      </c>
    </row>
    <row r="559" spans="1:50" x14ac:dyDescent="0.25">
      <c r="A559" s="70">
        <f t="shared" si="133"/>
        <v>46343</v>
      </c>
      <c r="B559" s="75"/>
      <c r="C559" s="29"/>
      <c r="D559" s="30"/>
      <c r="E559" s="83"/>
      <c r="F559" s="28"/>
      <c r="G559" s="27"/>
      <c r="H559" s="20"/>
      <c r="I559" s="118">
        <f>IFERROR(H559*VLOOKUP(F559,инфо!$A$15:$C$28,3,FALSE)/1000,0)</f>
        <v>0</v>
      </c>
      <c r="J559" s="20"/>
      <c r="K559" s="20"/>
      <c r="L559" s="20"/>
      <c r="M559" s="20"/>
      <c r="N559" s="28"/>
      <c r="O559" s="27"/>
      <c r="P559" s="27"/>
      <c r="Q559" s="27"/>
      <c r="R559" s="27"/>
      <c r="S559" s="67">
        <f t="shared" si="129"/>
        <v>0</v>
      </c>
      <c r="T559" s="29"/>
      <c r="U559" s="30"/>
      <c r="V559" s="27"/>
      <c r="W559" s="81"/>
      <c r="X559" s="27"/>
      <c r="Y559" s="29"/>
      <c r="Z559" s="27"/>
      <c r="AA559" s="27"/>
      <c r="AB559" s="27"/>
      <c r="AC559" s="81"/>
      <c r="AD559" s="30"/>
      <c r="AE559" s="31">
        <f>SUMIFS(инфо!$D$15:$D$28,инфо!$A$15:$A$28,F559)</f>
        <v>0</v>
      </c>
      <c r="AF559" s="35">
        <f t="shared" si="134"/>
        <v>0</v>
      </c>
      <c r="AG559" s="33">
        <f t="shared" si="130"/>
        <v>0</v>
      </c>
      <c r="AH559" s="31">
        <f>SUMIFS(инфо!$E$15:$E$28,инфо!$A$15:$A$28,F559)</f>
        <v>0</v>
      </c>
      <c r="AI559" s="32">
        <f t="shared" si="135"/>
        <v>0</v>
      </c>
      <c r="AJ559" s="33">
        <f t="shared" si="131"/>
        <v>0</v>
      </c>
      <c r="AK559" s="31">
        <f>SUMIFS(инфо!$F$15:$F$28,инфо!$A$15:$A$28,F559)</f>
        <v>0</v>
      </c>
      <c r="AL559" s="32">
        <f t="shared" si="136"/>
        <v>0</v>
      </c>
      <c r="AM559" s="33">
        <f t="shared" ref="AM559:AM622" si="139">AL559-AK559</f>
        <v>0</v>
      </c>
      <c r="AN559" s="31">
        <f>SUMIFS(инфо!$G$15:$G$28,инфо!$A$15:$A$28,F559)</f>
        <v>0</v>
      </c>
      <c r="AO559" s="32">
        <f t="shared" si="137"/>
        <v>0</v>
      </c>
      <c r="AP559" s="33">
        <f t="shared" ref="AP559:AP622" si="140">AO559-AN559</f>
        <v>0</v>
      </c>
      <c r="AQ559" s="31">
        <f>SUMIFS(инфо!$H$15:$H$28,инфо!$A$15:$A$28,F559)</f>
        <v>0</v>
      </c>
      <c r="AR559" s="32">
        <f t="shared" si="138"/>
        <v>0</v>
      </c>
      <c r="AS559" s="33">
        <f t="shared" ref="AS559:AS622" si="141">AR559-AQ559</f>
        <v>0</v>
      </c>
      <c r="AT559" s="31">
        <f>SUMIFS(инфо!$I$15:$I$28,инфо!$A$15:$A$28,F559)</f>
        <v>0</v>
      </c>
      <c r="AU559" s="35">
        <f t="shared" si="132"/>
        <v>0</v>
      </c>
      <c r="AV559" s="33">
        <f t="shared" ref="AV559:AV622" si="142">AU559-AT559</f>
        <v>0</v>
      </c>
      <c r="AX559" s="67">
        <f>SUMIFS(инфо!$C$15:$C$28,инфо!$A$15:$A$28,F559)*H558</f>
        <v>0</v>
      </c>
    </row>
    <row r="560" spans="1:50" x14ac:dyDescent="0.25">
      <c r="A560" s="70">
        <f t="shared" si="133"/>
        <v>46344</v>
      </c>
      <c r="B560" s="76"/>
      <c r="C560" s="15"/>
      <c r="D560" s="16"/>
      <c r="E560" s="83"/>
      <c r="F560" s="28"/>
      <c r="G560" s="34"/>
      <c r="H560" s="20"/>
      <c r="I560" s="118">
        <f>IFERROR(H560*VLOOKUP(F560,инфо!$A$15:$C$28,3,FALSE)/1000,0)</f>
        <v>0</v>
      </c>
      <c r="J560" s="20"/>
      <c r="K560" s="20"/>
      <c r="L560" s="20"/>
      <c r="M560" s="20"/>
      <c r="N560" s="20"/>
      <c r="O560" s="34"/>
      <c r="P560" s="34"/>
      <c r="Q560" s="34"/>
      <c r="R560" s="34"/>
      <c r="S560" s="68">
        <f t="shared" ref="S560:S623" si="143">SUM(O560:R560)</f>
        <v>0</v>
      </c>
      <c r="T560" s="15"/>
      <c r="U560" s="16"/>
      <c r="V560" s="34"/>
      <c r="W560" s="81"/>
      <c r="X560" s="34"/>
      <c r="Y560" s="15"/>
      <c r="Z560" s="34"/>
      <c r="AA560" s="34"/>
      <c r="AB560" s="34"/>
      <c r="AC560" s="81"/>
      <c r="AD560" s="16"/>
      <c r="AE560" s="24">
        <f>SUMIFS(инфо!$D$15:$D$28,инфо!$A$15:$A$28,F560)</f>
        <v>0</v>
      </c>
      <c r="AF560" s="35">
        <f t="shared" si="134"/>
        <v>0</v>
      </c>
      <c r="AG560" s="12">
        <f t="shared" si="130"/>
        <v>0</v>
      </c>
      <c r="AH560" s="24">
        <f>SUMIFS(инфо!$E$15:$E$28,инфо!$A$15:$A$28,F560)</f>
        <v>0</v>
      </c>
      <c r="AI560" s="32">
        <f t="shared" si="135"/>
        <v>0</v>
      </c>
      <c r="AJ560" s="12">
        <f t="shared" si="131"/>
        <v>0</v>
      </c>
      <c r="AK560" s="24">
        <f>SUMIFS(инфо!$F$15:$F$28,инфо!$A$15:$A$28,F560)</f>
        <v>0</v>
      </c>
      <c r="AL560" s="32">
        <f t="shared" si="136"/>
        <v>0</v>
      </c>
      <c r="AM560" s="12">
        <f t="shared" si="139"/>
        <v>0</v>
      </c>
      <c r="AN560" s="24">
        <f>SUMIFS(инфо!$G$15:$G$28,инфо!$A$15:$A$28,F560)</f>
        <v>0</v>
      </c>
      <c r="AO560" s="32">
        <f t="shared" si="137"/>
        <v>0</v>
      </c>
      <c r="AP560" s="12">
        <f t="shared" si="140"/>
        <v>0</v>
      </c>
      <c r="AQ560" s="24">
        <f>SUMIFS(инфо!$H$15:$H$28,инфо!$A$15:$A$28,F560)</f>
        <v>0</v>
      </c>
      <c r="AR560" s="35">
        <f t="shared" si="138"/>
        <v>0</v>
      </c>
      <c r="AS560" s="12">
        <f t="shared" si="141"/>
        <v>0</v>
      </c>
      <c r="AT560" s="24">
        <f>SUMIFS(инфо!$I$15:$I$28,инфо!$A$15:$A$28,F560)</f>
        <v>0</v>
      </c>
      <c r="AU560" s="35">
        <f t="shared" si="132"/>
        <v>0</v>
      </c>
      <c r="AV560" s="12">
        <f t="shared" si="142"/>
        <v>0</v>
      </c>
      <c r="AX560" s="68">
        <f>SUMIFS(инфо!$C$15:$C$28,инфо!$A$15:$A$28,F560)*H559</f>
        <v>0</v>
      </c>
    </row>
    <row r="561" spans="1:50" x14ac:dyDescent="0.25">
      <c r="A561" s="70">
        <f t="shared" si="133"/>
        <v>46344</v>
      </c>
      <c r="B561" s="76"/>
      <c r="C561" s="15"/>
      <c r="D561" s="16"/>
      <c r="E561" s="83"/>
      <c r="F561" s="28"/>
      <c r="G561" s="34"/>
      <c r="H561" s="23"/>
      <c r="I561" s="118">
        <f>IFERROR(H561*VLOOKUP(F561,инфо!$A$15:$C$28,3,FALSE)/1000,0)</f>
        <v>0</v>
      </c>
      <c r="J561" s="20"/>
      <c r="K561" s="20"/>
      <c r="L561" s="20"/>
      <c r="M561" s="20"/>
      <c r="N561" s="20"/>
      <c r="O561" s="34"/>
      <c r="P561" s="34"/>
      <c r="Q561" s="34"/>
      <c r="R561" s="34"/>
      <c r="S561" s="68">
        <f t="shared" si="143"/>
        <v>0</v>
      </c>
      <c r="T561" s="15"/>
      <c r="U561" s="16"/>
      <c r="V561" s="34"/>
      <c r="W561" s="81"/>
      <c r="X561" s="34"/>
      <c r="Y561" s="15"/>
      <c r="Z561" s="34"/>
      <c r="AA561" s="34"/>
      <c r="AB561" s="34"/>
      <c r="AC561" s="81"/>
      <c r="AD561" s="16"/>
      <c r="AE561" s="24">
        <f>SUMIFS(инфо!$D$15:$D$28,инфо!$A$15:$A$28,F561)</f>
        <v>0</v>
      </c>
      <c r="AF561" s="35">
        <f t="shared" si="134"/>
        <v>0</v>
      </c>
      <c r="AG561" s="12">
        <f t="shared" si="130"/>
        <v>0</v>
      </c>
      <c r="AH561" s="24">
        <f>SUMIFS(инфо!$E$15:$E$28,инфо!$A$15:$A$28,F561)</f>
        <v>0</v>
      </c>
      <c r="AI561" s="32">
        <f t="shared" si="135"/>
        <v>0</v>
      </c>
      <c r="AJ561" s="12">
        <f t="shared" si="131"/>
        <v>0</v>
      </c>
      <c r="AK561" s="24">
        <f>SUMIFS(инфо!$F$15:$F$28,инфо!$A$15:$A$28,F561)</f>
        <v>0</v>
      </c>
      <c r="AL561" s="32">
        <f t="shared" si="136"/>
        <v>0</v>
      </c>
      <c r="AM561" s="12">
        <f t="shared" si="139"/>
        <v>0</v>
      </c>
      <c r="AN561" s="24">
        <f>SUMIFS(инфо!$G$15:$G$28,инфо!$A$15:$A$28,F561)</f>
        <v>0</v>
      </c>
      <c r="AO561" s="32">
        <f t="shared" si="137"/>
        <v>0</v>
      </c>
      <c r="AP561" s="12">
        <f t="shared" si="140"/>
        <v>0</v>
      </c>
      <c r="AQ561" s="24">
        <f>SUMIFS(инфо!$H$15:$H$28,инфо!$A$15:$A$28,F561)</f>
        <v>0</v>
      </c>
      <c r="AR561" s="35">
        <f t="shared" si="138"/>
        <v>0</v>
      </c>
      <c r="AS561" s="12">
        <f t="shared" si="141"/>
        <v>0</v>
      </c>
      <c r="AT561" s="24">
        <f>SUMIFS(инфо!$I$15:$I$28,инфо!$A$15:$A$28,F561)</f>
        <v>0</v>
      </c>
      <c r="AU561" s="35">
        <f t="shared" si="132"/>
        <v>0</v>
      </c>
      <c r="AV561" s="12">
        <f t="shared" si="142"/>
        <v>0</v>
      </c>
      <c r="AX561" s="68">
        <f>SUMIFS(инфо!$C$15:$C$28,инфо!$A$15:$A$28,F561)*H560</f>
        <v>0</v>
      </c>
    </row>
    <row r="562" spans="1:50" x14ac:dyDescent="0.25">
      <c r="A562" s="70">
        <f t="shared" si="133"/>
        <v>46345</v>
      </c>
      <c r="B562" s="77"/>
      <c r="C562" s="17"/>
      <c r="D562" s="18"/>
      <c r="E562" s="83"/>
      <c r="F562" s="28"/>
      <c r="G562" s="19"/>
      <c r="H562" s="28"/>
      <c r="I562" s="118">
        <f>IFERROR(H562*VLOOKUP(F562,инфо!$A$15:$C$28,3,FALSE)/1000,0)</f>
        <v>0</v>
      </c>
      <c r="J562" s="20"/>
      <c r="K562" s="20"/>
      <c r="L562" s="20"/>
      <c r="M562" s="20"/>
      <c r="N562" s="23"/>
      <c r="O562" s="19"/>
      <c r="P562" s="19"/>
      <c r="Q562" s="19"/>
      <c r="R562" s="19"/>
      <c r="S562" s="69">
        <f t="shared" si="143"/>
        <v>0</v>
      </c>
      <c r="T562" s="17"/>
      <c r="U562" s="18"/>
      <c r="V562" s="19"/>
      <c r="W562" s="81"/>
      <c r="X562" s="19"/>
      <c r="Y562" s="17"/>
      <c r="Z562" s="19"/>
      <c r="AA562" s="19"/>
      <c r="AB562" s="19"/>
      <c r="AC562" s="81"/>
      <c r="AD562" s="18"/>
      <c r="AE562" s="25">
        <f>SUMIFS(инфо!$D$15:$D$28,инфо!$A$15:$A$28,F562)</f>
        <v>0</v>
      </c>
      <c r="AF562" s="35">
        <f t="shared" si="134"/>
        <v>0</v>
      </c>
      <c r="AG562" s="14">
        <f t="shared" si="130"/>
        <v>0</v>
      </c>
      <c r="AH562" s="25">
        <f>SUMIFS(инфо!$E$15:$E$28,инфо!$A$15:$A$28,F562)</f>
        <v>0</v>
      </c>
      <c r="AI562" s="32">
        <f t="shared" si="135"/>
        <v>0</v>
      </c>
      <c r="AJ562" s="14">
        <f t="shared" si="131"/>
        <v>0</v>
      </c>
      <c r="AK562" s="25">
        <f>SUMIFS(инфо!$F$15:$F$28,инфо!$A$15:$A$28,F562)</f>
        <v>0</v>
      </c>
      <c r="AL562" s="32">
        <f t="shared" si="136"/>
        <v>0</v>
      </c>
      <c r="AM562" s="14">
        <f t="shared" si="139"/>
        <v>0</v>
      </c>
      <c r="AN562" s="25">
        <f>SUMIFS(инфо!$G$15:$G$28,инфо!$A$15:$A$28,F562)</f>
        <v>0</v>
      </c>
      <c r="AO562" s="32">
        <f t="shared" si="137"/>
        <v>0</v>
      </c>
      <c r="AP562" s="14">
        <f t="shared" si="140"/>
        <v>0</v>
      </c>
      <c r="AQ562" s="25">
        <f>SUMIFS(инфо!$H$15:$H$28,инфо!$A$15:$A$28,F562)</f>
        <v>0</v>
      </c>
      <c r="AR562" s="26">
        <f t="shared" si="138"/>
        <v>0</v>
      </c>
      <c r="AS562" s="14">
        <f t="shared" si="141"/>
        <v>0</v>
      </c>
      <c r="AT562" s="25">
        <f>SUMIFS(инфо!$I$15:$I$28,инфо!$A$15:$A$28,F562)</f>
        <v>0</v>
      </c>
      <c r="AU562" s="35">
        <f t="shared" si="132"/>
        <v>0</v>
      </c>
      <c r="AV562" s="14">
        <f t="shared" si="142"/>
        <v>0</v>
      </c>
      <c r="AX562" s="69">
        <f>SUMIFS(инфо!$C$15:$C$28,инфо!$A$15:$A$28,F562)*H561</f>
        <v>0</v>
      </c>
    </row>
    <row r="563" spans="1:50" x14ac:dyDescent="0.25">
      <c r="A563" s="70">
        <f t="shared" si="133"/>
        <v>46345</v>
      </c>
      <c r="B563" s="75"/>
      <c r="C563" s="29"/>
      <c r="D563" s="30"/>
      <c r="E563" s="83"/>
      <c r="F563" s="28"/>
      <c r="G563" s="27"/>
      <c r="H563" s="20"/>
      <c r="I563" s="118">
        <f>IFERROR(H563*VLOOKUP(F563,инфо!$A$15:$C$28,3,FALSE)/1000,0)</f>
        <v>0</v>
      </c>
      <c r="J563" s="20"/>
      <c r="K563" s="20"/>
      <c r="L563" s="20"/>
      <c r="M563" s="20"/>
      <c r="N563" s="28"/>
      <c r="O563" s="27"/>
      <c r="P563" s="27"/>
      <c r="Q563" s="27"/>
      <c r="R563" s="27"/>
      <c r="S563" s="67">
        <f t="shared" si="143"/>
        <v>0</v>
      </c>
      <c r="T563" s="29"/>
      <c r="U563" s="30"/>
      <c r="V563" s="27"/>
      <c r="W563" s="81"/>
      <c r="X563" s="27"/>
      <c r="Y563" s="29"/>
      <c r="Z563" s="27"/>
      <c r="AA563" s="27"/>
      <c r="AB563" s="27"/>
      <c r="AC563" s="81"/>
      <c r="AD563" s="30"/>
      <c r="AE563" s="31">
        <f>SUMIFS(инфо!$D$15:$D$28,инфо!$A$15:$A$28,F563)</f>
        <v>0</v>
      </c>
      <c r="AF563" s="35">
        <f t="shared" si="134"/>
        <v>0</v>
      </c>
      <c r="AG563" s="33">
        <f t="shared" si="130"/>
        <v>0</v>
      </c>
      <c r="AH563" s="31">
        <f>SUMIFS(инфо!$E$15:$E$28,инфо!$A$15:$A$28,F563)</f>
        <v>0</v>
      </c>
      <c r="AI563" s="32">
        <f t="shared" si="135"/>
        <v>0</v>
      </c>
      <c r="AJ563" s="33">
        <f t="shared" si="131"/>
        <v>0</v>
      </c>
      <c r="AK563" s="31">
        <f>SUMIFS(инфо!$F$15:$F$28,инфо!$A$15:$A$28,F563)</f>
        <v>0</v>
      </c>
      <c r="AL563" s="32">
        <f t="shared" si="136"/>
        <v>0</v>
      </c>
      <c r="AM563" s="33">
        <f t="shared" si="139"/>
        <v>0</v>
      </c>
      <c r="AN563" s="31">
        <f>SUMIFS(инфо!$G$15:$G$28,инфо!$A$15:$A$28,F563)</f>
        <v>0</v>
      </c>
      <c r="AO563" s="32">
        <f t="shared" si="137"/>
        <v>0</v>
      </c>
      <c r="AP563" s="33">
        <f t="shared" si="140"/>
        <v>0</v>
      </c>
      <c r="AQ563" s="31">
        <f>SUMIFS(инфо!$H$15:$H$28,инфо!$A$15:$A$28,F563)</f>
        <v>0</v>
      </c>
      <c r="AR563" s="32">
        <f t="shared" si="138"/>
        <v>0</v>
      </c>
      <c r="AS563" s="33">
        <f t="shared" si="141"/>
        <v>0</v>
      </c>
      <c r="AT563" s="31">
        <f>SUMIFS(инфо!$I$15:$I$28,инфо!$A$15:$A$28,F563)</f>
        <v>0</v>
      </c>
      <c r="AU563" s="35">
        <f t="shared" si="132"/>
        <v>0</v>
      </c>
      <c r="AV563" s="33">
        <f t="shared" si="142"/>
        <v>0</v>
      </c>
      <c r="AX563" s="67">
        <f>SUMIFS(инфо!$C$15:$C$28,инфо!$A$15:$A$28,F563)*H562</f>
        <v>0</v>
      </c>
    </row>
    <row r="564" spans="1:50" x14ac:dyDescent="0.25">
      <c r="A564" s="70">
        <f t="shared" si="133"/>
        <v>46346</v>
      </c>
      <c r="B564" s="76"/>
      <c r="C564" s="15"/>
      <c r="D564" s="16"/>
      <c r="E564" s="83"/>
      <c r="F564" s="28"/>
      <c r="G564" s="34"/>
      <c r="H564" s="20"/>
      <c r="I564" s="118">
        <f>IFERROR(H564*VLOOKUP(F564,инфо!$A$15:$C$28,3,FALSE)/1000,0)</f>
        <v>0</v>
      </c>
      <c r="J564" s="20"/>
      <c r="K564" s="20"/>
      <c r="L564" s="20"/>
      <c r="M564" s="20"/>
      <c r="N564" s="20"/>
      <c r="O564" s="34"/>
      <c r="P564" s="34"/>
      <c r="Q564" s="34"/>
      <c r="R564" s="34"/>
      <c r="S564" s="68">
        <f t="shared" si="143"/>
        <v>0</v>
      </c>
      <c r="T564" s="15"/>
      <c r="U564" s="16"/>
      <c r="V564" s="34"/>
      <c r="W564" s="81"/>
      <c r="X564" s="34"/>
      <c r="Y564" s="15"/>
      <c r="Z564" s="34"/>
      <c r="AA564" s="34"/>
      <c r="AB564" s="34"/>
      <c r="AC564" s="81"/>
      <c r="AD564" s="16"/>
      <c r="AE564" s="24">
        <f>SUMIFS(инфо!$D$15:$D$28,инфо!$A$15:$A$28,F564)</f>
        <v>0</v>
      </c>
      <c r="AF564" s="35">
        <f t="shared" si="134"/>
        <v>0</v>
      </c>
      <c r="AG564" s="12">
        <f t="shared" si="130"/>
        <v>0</v>
      </c>
      <c r="AH564" s="24">
        <f>SUMIFS(инфо!$E$15:$E$28,инфо!$A$15:$A$28,F564)</f>
        <v>0</v>
      </c>
      <c r="AI564" s="32">
        <f t="shared" si="135"/>
        <v>0</v>
      </c>
      <c r="AJ564" s="12">
        <f t="shared" si="131"/>
        <v>0</v>
      </c>
      <c r="AK564" s="24">
        <f>SUMIFS(инфо!$F$15:$F$28,инфо!$A$15:$A$28,F564)</f>
        <v>0</v>
      </c>
      <c r="AL564" s="32">
        <f t="shared" si="136"/>
        <v>0</v>
      </c>
      <c r="AM564" s="12">
        <f t="shared" si="139"/>
        <v>0</v>
      </c>
      <c r="AN564" s="24">
        <f>SUMIFS(инфо!$G$15:$G$28,инфо!$A$15:$A$28,F564)</f>
        <v>0</v>
      </c>
      <c r="AO564" s="32">
        <f t="shared" si="137"/>
        <v>0</v>
      </c>
      <c r="AP564" s="12">
        <f t="shared" si="140"/>
        <v>0</v>
      </c>
      <c r="AQ564" s="24">
        <f>SUMIFS(инфо!$H$15:$H$28,инфо!$A$15:$A$28,F564)</f>
        <v>0</v>
      </c>
      <c r="AR564" s="35">
        <f t="shared" si="138"/>
        <v>0</v>
      </c>
      <c r="AS564" s="12">
        <f t="shared" si="141"/>
        <v>0</v>
      </c>
      <c r="AT564" s="24">
        <f>SUMIFS(инфо!$I$15:$I$28,инфо!$A$15:$A$28,F564)</f>
        <v>0</v>
      </c>
      <c r="AU564" s="35">
        <f t="shared" si="132"/>
        <v>0</v>
      </c>
      <c r="AV564" s="12">
        <f t="shared" si="142"/>
        <v>0</v>
      </c>
      <c r="AX564" s="68">
        <f>SUMIFS(инфо!$C$15:$C$28,инфо!$A$15:$A$28,F564)*H563</f>
        <v>0</v>
      </c>
    </row>
    <row r="565" spans="1:50" x14ac:dyDescent="0.25">
      <c r="A565" s="70">
        <f t="shared" si="133"/>
        <v>46346</v>
      </c>
      <c r="B565" s="76"/>
      <c r="C565" s="15"/>
      <c r="D565" s="16"/>
      <c r="E565" s="83"/>
      <c r="F565" s="28"/>
      <c r="G565" s="34"/>
      <c r="H565" s="23"/>
      <c r="I565" s="118">
        <f>IFERROR(H565*VLOOKUP(F565,инфо!$A$15:$C$28,3,FALSE)/1000,0)</f>
        <v>0</v>
      </c>
      <c r="J565" s="20"/>
      <c r="K565" s="20"/>
      <c r="L565" s="20"/>
      <c r="M565" s="20"/>
      <c r="N565" s="20"/>
      <c r="O565" s="34"/>
      <c r="P565" s="34"/>
      <c r="Q565" s="34"/>
      <c r="R565" s="34"/>
      <c r="S565" s="68">
        <f t="shared" si="143"/>
        <v>0</v>
      </c>
      <c r="T565" s="15"/>
      <c r="U565" s="16"/>
      <c r="V565" s="34"/>
      <c r="W565" s="81"/>
      <c r="X565" s="34"/>
      <c r="Y565" s="15"/>
      <c r="Z565" s="34"/>
      <c r="AA565" s="34"/>
      <c r="AB565" s="34"/>
      <c r="AC565" s="81"/>
      <c r="AD565" s="16"/>
      <c r="AE565" s="24">
        <f>SUMIFS(инфо!$D$15:$D$28,инфо!$A$15:$A$28,F565)</f>
        <v>0</v>
      </c>
      <c r="AF565" s="35">
        <f t="shared" si="134"/>
        <v>0</v>
      </c>
      <c r="AG565" s="12">
        <f t="shared" si="130"/>
        <v>0</v>
      </c>
      <c r="AH565" s="24">
        <f>SUMIFS(инфо!$E$15:$E$28,инфо!$A$15:$A$28,F565)</f>
        <v>0</v>
      </c>
      <c r="AI565" s="32">
        <f t="shared" si="135"/>
        <v>0</v>
      </c>
      <c r="AJ565" s="12">
        <f t="shared" si="131"/>
        <v>0</v>
      </c>
      <c r="AK565" s="24">
        <f>SUMIFS(инфо!$F$15:$F$28,инфо!$A$15:$A$28,F565)</f>
        <v>0</v>
      </c>
      <c r="AL565" s="32">
        <f t="shared" si="136"/>
        <v>0</v>
      </c>
      <c r="AM565" s="12">
        <f t="shared" si="139"/>
        <v>0</v>
      </c>
      <c r="AN565" s="24">
        <f>SUMIFS(инфо!$G$15:$G$28,инфо!$A$15:$A$28,F565)</f>
        <v>0</v>
      </c>
      <c r="AO565" s="32">
        <f t="shared" si="137"/>
        <v>0</v>
      </c>
      <c r="AP565" s="12">
        <f t="shared" si="140"/>
        <v>0</v>
      </c>
      <c r="AQ565" s="24">
        <f>SUMIFS(инфо!$H$15:$H$28,инфо!$A$15:$A$28,F565)</f>
        <v>0</v>
      </c>
      <c r="AR565" s="35">
        <f t="shared" si="138"/>
        <v>0</v>
      </c>
      <c r="AS565" s="12">
        <f t="shared" si="141"/>
        <v>0</v>
      </c>
      <c r="AT565" s="24">
        <f>SUMIFS(инфо!$I$15:$I$28,инфо!$A$15:$A$28,F565)</f>
        <v>0</v>
      </c>
      <c r="AU565" s="35">
        <f t="shared" si="132"/>
        <v>0</v>
      </c>
      <c r="AV565" s="12">
        <f t="shared" si="142"/>
        <v>0</v>
      </c>
      <c r="AX565" s="68">
        <f>SUMIFS(инфо!$C$15:$C$28,инфо!$A$15:$A$28,F565)*H564</f>
        <v>0</v>
      </c>
    </row>
    <row r="566" spans="1:50" x14ac:dyDescent="0.25">
      <c r="A566" s="70">
        <f t="shared" si="133"/>
        <v>46347</v>
      </c>
      <c r="B566" s="77"/>
      <c r="C566" s="17"/>
      <c r="D566" s="18"/>
      <c r="E566" s="83"/>
      <c r="F566" s="28"/>
      <c r="G566" s="19"/>
      <c r="H566" s="28"/>
      <c r="I566" s="118">
        <f>IFERROR(H566*VLOOKUP(F566,инфо!$A$15:$C$28,3,FALSE)/1000,0)</f>
        <v>0</v>
      </c>
      <c r="J566" s="20"/>
      <c r="K566" s="20"/>
      <c r="L566" s="20"/>
      <c r="M566" s="20"/>
      <c r="N566" s="23"/>
      <c r="O566" s="19"/>
      <c r="P566" s="19"/>
      <c r="Q566" s="19"/>
      <c r="R566" s="19"/>
      <c r="S566" s="69">
        <f t="shared" si="143"/>
        <v>0</v>
      </c>
      <c r="T566" s="17"/>
      <c r="U566" s="18"/>
      <c r="V566" s="19"/>
      <c r="W566" s="81"/>
      <c r="X566" s="19"/>
      <c r="Y566" s="17"/>
      <c r="Z566" s="19"/>
      <c r="AA566" s="19"/>
      <c r="AB566" s="19"/>
      <c r="AC566" s="81"/>
      <c r="AD566" s="18"/>
      <c r="AE566" s="25">
        <f>SUMIFS(инфо!$D$15:$D$28,инфо!$A$15:$A$28,F566)</f>
        <v>0</v>
      </c>
      <c r="AF566" s="35">
        <f t="shared" si="134"/>
        <v>0</v>
      </c>
      <c r="AG566" s="14">
        <f t="shared" si="130"/>
        <v>0</v>
      </c>
      <c r="AH566" s="25">
        <f>SUMIFS(инфо!$E$15:$E$28,инфо!$A$15:$A$28,F566)</f>
        <v>0</v>
      </c>
      <c r="AI566" s="32">
        <f t="shared" si="135"/>
        <v>0</v>
      </c>
      <c r="AJ566" s="14">
        <f t="shared" si="131"/>
        <v>0</v>
      </c>
      <c r="AK566" s="25">
        <f>SUMIFS(инфо!$F$15:$F$28,инфо!$A$15:$A$28,F566)</f>
        <v>0</v>
      </c>
      <c r="AL566" s="32">
        <f t="shared" si="136"/>
        <v>0</v>
      </c>
      <c r="AM566" s="14">
        <f t="shared" si="139"/>
        <v>0</v>
      </c>
      <c r="AN566" s="25">
        <f>SUMIFS(инфо!$G$15:$G$28,инфо!$A$15:$A$28,F566)</f>
        <v>0</v>
      </c>
      <c r="AO566" s="32">
        <f t="shared" si="137"/>
        <v>0</v>
      </c>
      <c r="AP566" s="14">
        <f t="shared" si="140"/>
        <v>0</v>
      </c>
      <c r="AQ566" s="25">
        <f>SUMIFS(инфо!$H$15:$H$28,инфо!$A$15:$A$28,F566)</f>
        <v>0</v>
      </c>
      <c r="AR566" s="26">
        <f t="shared" si="138"/>
        <v>0</v>
      </c>
      <c r="AS566" s="14">
        <f t="shared" si="141"/>
        <v>0</v>
      </c>
      <c r="AT566" s="25">
        <f>SUMIFS(инфо!$I$15:$I$28,инфо!$A$15:$A$28,F566)</f>
        <v>0</v>
      </c>
      <c r="AU566" s="35">
        <f t="shared" si="132"/>
        <v>0</v>
      </c>
      <c r="AV566" s="14">
        <f t="shared" si="142"/>
        <v>0</v>
      </c>
      <c r="AX566" s="69">
        <f>SUMIFS(инфо!$C$15:$C$28,инфо!$A$15:$A$28,F566)*H565</f>
        <v>0</v>
      </c>
    </row>
    <row r="567" spans="1:50" x14ac:dyDescent="0.25">
      <c r="A567" s="70">
        <f t="shared" si="133"/>
        <v>46347</v>
      </c>
      <c r="B567" s="75"/>
      <c r="C567" s="29"/>
      <c r="D567" s="30"/>
      <c r="E567" s="83"/>
      <c r="F567" s="28"/>
      <c r="G567" s="27"/>
      <c r="H567" s="20"/>
      <c r="I567" s="118">
        <f>IFERROR(H567*VLOOKUP(F567,инфо!$A$15:$C$28,3,FALSE)/1000,0)</f>
        <v>0</v>
      </c>
      <c r="J567" s="20"/>
      <c r="K567" s="20"/>
      <c r="L567" s="20"/>
      <c r="M567" s="20"/>
      <c r="N567" s="28"/>
      <c r="O567" s="27"/>
      <c r="P567" s="27"/>
      <c r="Q567" s="27"/>
      <c r="R567" s="27"/>
      <c r="S567" s="67">
        <f t="shared" si="143"/>
        <v>0</v>
      </c>
      <c r="T567" s="29"/>
      <c r="U567" s="30"/>
      <c r="V567" s="27"/>
      <c r="W567" s="81"/>
      <c r="X567" s="27"/>
      <c r="Y567" s="29"/>
      <c r="Z567" s="27"/>
      <c r="AA567" s="27"/>
      <c r="AB567" s="27"/>
      <c r="AC567" s="81"/>
      <c r="AD567" s="30"/>
      <c r="AE567" s="31">
        <f>SUMIFS(инфо!$D$15:$D$28,инфо!$A$15:$A$28,F567)</f>
        <v>0</v>
      </c>
      <c r="AF567" s="35">
        <f t="shared" si="134"/>
        <v>0</v>
      </c>
      <c r="AG567" s="33">
        <f t="shared" si="130"/>
        <v>0</v>
      </c>
      <c r="AH567" s="31">
        <f>SUMIFS(инфо!$E$15:$E$28,инфо!$A$15:$A$28,F567)</f>
        <v>0</v>
      </c>
      <c r="AI567" s="32">
        <f t="shared" si="135"/>
        <v>0</v>
      </c>
      <c r="AJ567" s="33">
        <f t="shared" si="131"/>
        <v>0</v>
      </c>
      <c r="AK567" s="31">
        <f>SUMIFS(инфо!$F$15:$F$28,инфо!$A$15:$A$28,F567)</f>
        <v>0</v>
      </c>
      <c r="AL567" s="32">
        <f t="shared" si="136"/>
        <v>0</v>
      </c>
      <c r="AM567" s="33">
        <f t="shared" si="139"/>
        <v>0</v>
      </c>
      <c r="AN567" s="31">
        <f>SUMIFS(инфо!$G$15:$G$28,инфо!$A$15:$A$28,F567)</f>
        <v>0</v>
      </c>
      <c r="AO567" s="32">
        <f t="shared" si="137"/>
        <v>0</v>
      </c>
      <c r="AP567" s="33">
        <f t="shared" si="140"/>
        <v>0</v>
      </c>
      <c r="AQ567" s="31">
        <f>SUMIFS(инфо!$H$15:$H$28,инфо!$A$15:$A$28,F567)</f>
        <v>0</v>
      </c>
      <c r="AR567" s="32">
        <f t="shared" si="138"/>
        <v>0</v>
      </c>
      <c r="AS567" s="33">
        <f t="shared" si="141"/>
        <v>0</v>
      </c>
      <c r="AT567" s="31">
        <f>SUMIFS(инфо!$I$15:$I$28,инфо!$A$15:$A$28,F567)</f>
        <v>0</v>
      </c>
      <c r="AU567" s="35">
        <f t="shared" si="132"/>
        <v>0</v>
      </c>
      <c r="AV567" s="33">
        <f t="shared" si="142"/>
        <v>0</v>
      </c>
      <c r="AX567" s="67">
        <f>SUMIFS(инфо!$C$15:$C$28,инфо!$A$15:$A$28,F567)*H566</f>
        <v>0</v>
      </c>
    </row>
    <row r="568" spans="1:50" x14ac:dyDescent="0.25">
      <c r="A568" s="70">
        <f t="shared" si="133"/>
        <v>46348</v>
      </c>
      <c r="B568" s="76"/>
      <c r="C568" s="15"/>
      <c r="D568" s="16"/>
      <c r="E568" s="83"/>
      <c r="F568" s="28"/>
      <c r="G568" s="34"/>
      <c r="H568" s="20"/>
      <c r="I568" s="118">
        <f>IFERROR(H568*VLOOKUP(F568,инфо!$A$15:$C$28,3,FALSE)/1000,0)</f>
        <v>0</v>
      </c>
      <c r="J568" s="20"/>
      <c r="K568" s="20"/>
      <c r="L568" s="20"/>
      <c r="M568" s="20"/>
      <c r="N568" s="20"/>
      <c r="O568" s="34"/>
      <c r="P568" s="34"/>
      <c r="Q568" s="34"/>
      <c r="R568" s="34"/>
      <c r="S568" s="68">
        <f t="shared" si="143"/>
        <v>0</v>
      </c>
      <c r="T568" s="15"/>
      <c r="U568" s="16"/>
      <c r="V568" s="34"/>
      <c r="W568" s="81"/>
      <c r="X568" s="34"/>
      <c r="Y568" s="15"/>
      <c r="Z568" s="34"/>
      <c r="AA568" s="34"/>
      <c r="AB568" s="34"/>
      <c r="AC568" s="81"/>
      <c r="AD568" s="16"/>
      <c r="AE568" s="24">
        <f>SUMIFS(инфо!$D$15:$D$28,инфо!$A$15:$A$28,F568)</f>
        <v>0</v>
      </c>
      <c r="AF568" s="35">
        <f t="shared" si="134"/>
        <v>0</v>
      </c>
      <c r="AG568" s="12">
        <f t="shared" si="130"/>
        <v>0</v>
      </c>
      <c r="AH568" s="24">
        <f>SUMIFS(инфо!$E$15:$E$28,инфо!$A$15:$A$28,F568)</f>
        <v>0</v>
      </c>
      <c r="AI568" s="32">
        <f t="shared" si="135"/>
        <v>0</v>
      </c>
      <c r="AJ568" s="12">
        <f t="shared" si="131"/>
        <v>0</v>
      </c>
      <c r="AK568" s="24">
        <f>SUMIFS(инфо!$F$15:$F$28,инфо!$A$15:$A$28,F568)</f>
        <v>0</v>
      </c>
      <c r="AL568" s="32">
        <f t="shared" si="136"/>
        <v>0</v>
      </c>
      <c r="AM568" s="12">
        <f t="shared" si="139"/>
        <v>0</v>
      </c>
      <c r="AN568" s="24">
        <f>SUMIFS(инфо!$G$15:$G$28,инфо!$A$15:$A$28,F568)</f>
        <v>0</v>
      </c>
      <c r="AO568" s="32">
        <f t="shared" si="137"/>
        <v>0</v>
      </c>
      <c r="AP568" s="12">
        <f t="shared" si="140"/>
        <v>0</v>
      </c>
      <c r="AQ568" s="24">
        <f>SUMIFS(инфо!$H$15:$H$28,инфо!$A$15:$A$28,F568)</f>
        <v>0</v>
      </c>
      <c r="AR568" s="35">
        <f t="shared" si="138"/>
        <v>0</v>
      </c>
      <c r="AS568" s="12">
        <f t="shared" si="141"/>
        <v>0</v>
      </c>
      <c r="AT568" s="24">
        <f>SUMIFS(инфо!$I$15:$I$28,инфо!$A$15:$A$28,F568)</f>
        <v>0</v>
      </c>
      <c r="AU568" s="35">
        <f t="shared" si="132"/>
        <v>0</v>
      </c>
      <c r="AV568" s="12">
        <f t="shared" si="142"/>
        <v>0</v>
      </c>
      <c r="AX568" s="68">
        <f>SUMIFS(инфо!$C$15:$C$28,инфо!$A$15:$A$28,F568)*H567</f>
        <v>0</v>
      </c>
    </row>
    <row r="569" spans="1:50" x14ac:dyDescent="0.25">
      <c r="A569" s="70">
        <f t="shared" si="133"/>
        <v>46348</v>
      </c>
      <c r="B569" s="76"/>
      <c r="C569" s="15"/>
      <c r="D569" s="16"/>
      <c r="E569" s="83"/>
      <c r="F569" s="28"/>
      <c r="G569" s="34"/>
      <c r="H569" s="23"/>
      <c r="I569" s="118">
        <f>IFERROR(H569*VLOOKUP(F569,инфо!$A$15:$C$28,3,FALSE)/1000,0)</f>
        <v>0</v>
      </c>
      <c r="J569" s="20"/>
      <c r="K569" s="20"/>
      <c r="L569" s="20"/>
      <c r="M569" s="20"/>
      <c r="N569" s="20"/>
      <c r="O569" s="34"/>
      <c r="P569" s="34"/>
      <c r="Q569" s="34"/>
      <c r="R569" s="34"/>
      <c r="S569" s="68">
        <f t="shared" si="143"/>
        <v>0</v>
      </c>
      <c r="T569" s="15"/>
      <c r="U569" s="16"/>
      <c r="V569" s="34"/>
      <c r="W569" s="81"/>
      <c r="X569" s="34"/>
      <c r="Y569" s="15"/>
      <c r="Z569" s="34"/>
      <c r="AA569" s="34"/>
      <c r="AB569" s="34"/>
      <c r="AC569" s="81"/>
      <c r="AD569" s="16"/>
      <c r="AE569" s="24">
        <f>SUMIFS(инфо!$D$15:$D$28,инфо!$A$15:$A$28,F569)</f>
        <v>0</v>
      </c>
      <c r="AF569" s="35">
        <f t="shared" si="134"/>
        <v>0</v>
      </c>
      <c r="AG569" s="12">
        <f t="shared" si="130"/>
        <v>0</v>
      </c>
      <c r="AH569" s="24">
        <f>SUMIFS(инфо!$E$15:$E$28,инфо!$A$15:$A$28,F569)</f>
        <v>0</v>
      </c>
      <c r="AI569" s="32">
        <f t="shared" si="135"/>
        <v>0</v>
      </c>
      <c r="AJ569" s="12">
        <f t="shared" si="131"/>
        <v>0</v>
      </c>
      <c r="AK569" s="24">
        <f>SUMIFS(инфо!$F$15:$F$28,инфо!$A$15:$A$28,F569)</f>
        <v>0</v>
      </c>
      <c r="AL569" s="32">
        <f t="shared" si="136"/>
        <v>0</v>
      </c>
      <c r="AM569" s="12">
        <f t="shared" si="139"/>
        <v>0</v>
      </c>
      <c r="AN569" s="24">
        <f>SUMIFS(инфо!$G$15:$G$28,инфо!$A$15:$A$28,F569)</f>
        <v>0</v>
      </c>
      <c r="AO569" s="32">
        <f t="shared" si="137"/>
        <v>0</v>
      </c>
      <c r="AP569" s="12">
        <f t="shared" si="140"/>
        <v>0</v>
      </c>
      <c r="AQ569" s="24">
        <f>SUMIFS(инфо!$H$15:$H$28,инфо!$A$15:$A$28,F569)</f>
        <v>0</v>
      </c>
      <c r="AR569" s="35">
        <f t="shared" si="138"/>
        <v>0</v>
      </c>
      <c r="AS569" s="12">
        <f t="shared" si="141"/>
        <v>0</v>
      </c>
      <c r="AT569" s="24">
        <f>SUMIFS(инфо!$I$15:$I$28,инфо!$A$15:$A$28,F569)</f>
        <v>0</v>
      </c>
      <c r="AU569" s="35">
        <f t="shared" si="132"/>
        <v>0</v>
      </c>
      <c r="AV569" s="12">
        <f t="shared" si="142"/>
        <v>0</v>
      </c>
      <c r="AX569" s="68">
        <f>SUMIFS(инфо!$C$15:$C$28,инфо!$A$15:$A$28,F569)*H568</f>
        <v>0</v>
      </c>
    </row>
    <row r="570" spans="1:50" x14ac:dyDescent="0.25">
      <c r="A570" s="70">
        <f t="shared" si="133"/>
        <v>46349</v>
      </c>
      <c r="B570" s="77"/>
      <c r="C570" s="17"/>
      <c r="D570" s="18"/>
      <c r="E570" s="83"/>
      <c r="F570" s="28"/>
      <c r="G570" s="19"/>
      <c r="H570" s="28"/>
      <c r="I570" s="118">
        <f>IFERROR(H570*VLOOKUP(F570,инфо!$A$15:$C$28,3,FALSE)/1000,0)</f>
        <v>0</v>
      </c>
      <c r="J570" s="20"/>
      <c r="K570" s="20"/>
      <c r="L570" s="20"/>
      <c r="M570" s="20"/>
      <c r="N570" s="23"/>
      <c r="O570" s="19"/>
      <c r="P570" s="19"/>
      <c r="Q570" s="19"/>
      <c r="R570" s="19"/>
      <c r="S570" s="69">
        <f t="shared" si="143"/>
        <v>0</v>
      </c>
      <c r="T570" s="17"/>
      <c r="U570" s="18"/>
      <c r="V570" s="19"/>
      <c r="W570" s="81"/>
      <c r="X570" s="19"/>
      <c r="Y570" s="17"/>
      <c r="Z570" s="19"/>
      <c r="AA570" s="19"/>
      <c r="AB570" s="19"/>
      <c r="AC570" s="81"/>
      <c r="AD570" s="18"/>
      <c r="AE570" s="25">
        <f>SUMIFS(инфо!$D$15:$D$28,инфо!$A$15:$A$28,F570)</f>
        <v>0</v>
      </c>
      <c r="AF570" s="35">
        <f t="shared" si="134"/>
        <v>0</v>
      </c>
      <c r="AG570" s="14">
        <f t="shared" si="130"/>
        <v>0</v>
      </c>
      <c r="AH570" s="25">
        <f>SUMIFS(инфо!$E$15:$E$28,инфо!$A$15:$A$28,F570)</f>
        <v>0</v>
      </c>
      <c r="AI570" s="32">
        <f t="shared" si="135"/>
        <v>0</v>
      </c>
      <c r="AJ570" s="14">
        <f t="shared" si="131"/>
        <v>0</v>
      </c>
      <c r="AK570" s="25">
        <f>SUMIFS(инфо!$F$15:$F$28,инфо!$A$15:$A$28,F570)</f>
        <v>0</v>
      </c>
      <c r="AL570" s="32">
        <f t="shared" si="136"/>
        <v>0</v>
      </c>
      <c r="AM570" s="14">
        <f t="shared" si="139"/>
        <v>0</v>
      </c>
      <c r="AN570" s="25">
        <f>SUMIFS(инфо!$G$15:$G$28,инфо!$A$15:$A$28,F570)</f>
        <v>0</v>
      </c>
      <c r="AO570" s="32">
        <f t="shared" si="137"/>
        <v>0</v>
      </c>
      <c r="AP570" s="14">
        <f t="shared" si="140"/>
        <v>0</v>
      </c>
      <c r="AQ570" s="25">
        <f>SUMIFS(инфо!$H$15:$H$28,инфо!$A$15:$A$28,F570)</f>
        <v>0</v>
      </c>
      <c r="AR570" s="26">
        <f t="shared" si="138"/>
        <v>0</v>
      </c>
      <c r="AS570" s="14">
        <f t="shared" si="141"/>
        <v>0</v>
      </c>
      <c r="AT570" s="25">
        <f>SUMIFS(инфо!$I$15:$I$28,инфо!$A$15:$A$28,F570)</f>
        <v>0</v>
      </c>
      <c r="AU570" s="35">
        <f t="shared" si="132"/>
        <v>0</v>
      </c>
      <c r="AV570" s="14">
        <f t="shared" si="142"/>
        <v>0</v>
      </c>
      <c r="AX570" s="69">
        <f>SUMIFS(инфо!$C$15:$C$28,инфо!$A$15:$A$28,F570)*H569</f>
        <v>0</v>
      </c>
    </row>
    <row r="571" spans="1:50" x14ac:dyDescent="0.25">
      <c r="A571" s="70">
        <f t="shared" si="133"/>
        <v>46349</v>
      </c>
      <c r="B571" s="75"/>
      <c r="C571" s="29"/>
      <c r="D571" s="30"/>
      <c r="E571" s="83"/>
      <c r="F571" s="28"/>
      <c r="G571" s="27"/>
      <c r="H571" s="20"/>
      <c r="I571" s="118">
        <f>IFERROR(H571*VLOOKUP(F571,инфо!$A$15:$C$28,3,FALSE)/1000,0)</f>
        <v>0</v>
      </c>
      <c r="J571" s="20"/>
      <c r="K571" s="20"/>
      <c r="L571" s="20"/>
      <c r="M571" s="20"/>
      <c r="N571" s="28"/>
      <c r="O571" s="27"/>
      <c r="P571" s="27"/>
      <c r="Q571" s="27"/>
      <c r="R571" s="27"/>
      <c r="S571" s="67">
        <f t="shared" si="143"/>
        <v>0</v>
      </c>
      <c r="T571" s="29"/>
      <c r="U571" s="30"/>
      <c r="V571" s="27"/>
      <c r="W571" s="81"/>
      <c r="X571" s="27"/>
      <c r="Y571" s="29"/>
      <c r="Z571" s="27"/>
      <c r="AA571" s="27"/>
      <c r="AB571" s="27"/>
      <c r="AC571" s="81"/>
      <c r="AD571" s="30"/>
      <c r="AE571" s="31">
        <f>SUMIFS(инфо!$D$15:$D$28,инфо!$A$15:$A$28,F571)</f>
        <v>0</v>
      </c>
      <c r="AF571" s="35">
        <f t="shared" si="134"/>
        <v>0</v>
      </c>
      <c r="AG571" s="33">
        <f t="shared" si="130"/>
        <v>0</v>
      </c>
      <c r="AH571" s="31">
        <f>SUMIFS(инфо!$E$15:$E$28,инфо!$A$15:$A$28,F571)</f>
        <v>0</v>
      </c>
      <c r="AI571" s="32">
        <f t="shared" si="135"/>
        <v>0</v>
      </c>
      <c r="AJ571" s="33">
        <f t="shared" si="131"/>
        <v>0</v>
      </c>
      <c r="AK571" s="31">
        <f>SUMIFS(инфо!$F$15:$F$28,инфо!$A$15:$A$28,F571)</f>
        <v>0</v>
      </c>
      <c r="AL571" s="32">
        <f t="shared" si="136"/>
        <v>0</v>
      </c>
      <c r="AM571" s="33">
        <f t="shared" si="139"/>
        <v>0</v>
      </c>
      <c r="AN571" s="31">
        <f>SUMIFS(инфо!$G$15:$G$28,инфо!$A$15:$A$28,F571)</f>
        <v>0</v>
      </c>
      <c r="AO571" s="32">
        <f t="shared" si="137"/>
        <v>0</v>
      </c>
      <c r="AP571" s="33">
        <f t="shared" si="140"/>
        <v>0</v>
      </c>
      <c r="AQ571" s="31">
        <f>SUMIFS(инфо!$H$15:$H$28,инфо!$A$15:$A$28,F571)</f>
        <v>0</v>
      </c>
      <c r="AR571" s="32">
        <f t="shared" si="138"/>
        <v>0</v>
      </c>
      <c r="AS571" s="33">
        <f t="shared" si="141"/>
        <v>0</v>
      </c>
      <c r="AT571" s="31">
        <f>SUMIFS(инфо!$I$15:$I$28,инфо!$A$15:$A$28,F571)</f>
        <v>0</v>
      </c>
      <c r="AU571" s="35">
        <f t="shared" si="132"/>
        <v>0</v>
      </c>
      <c r="AV571" s="33">
        <f t="shared" si="142"/>
        <v>0</v>
      </c>
      <c r="AX571" s="67">
        <f>SUMIFS(инфо!$C$15:$C$28,инфо!$A$15:$A$28,F571)*H570</f>
        <v>0</v>
      </c>
    </row>
    <row r="572" spans="1:50" x14ac:dyDescent="0.25">
      <c r="A572" s="70">
        <f t="shared" si="133"/>
        <v>46350</v>
      </c>
      <c r="B572" s="76"/>
      <c r="C572" s="15"/>
      <c r="D572" s="16"/>
      <c r="E572" s="83"/>
      <c r="F572" s="28"/>
      <c r="G572" s="34"/>
      <c r="H572" s="20"/>
      <c r="I572" s="118">
        <f>IFERROR(H572*VLOOKUP(F572,инфо!$A$15:$C$28,3,FALSE)/1000,0)</f>
        <v>0</v>
      </c>
      <c r="J572" s="20"/>
      <c r="K572" s="20"/>
      <c r="L572" s="20"/>
      <c r="M572" s="20"/>
      <c r="N572" s="20"/>
      <c r="O572" s="34"/>
      <c r="P572" s="34"/>
      <c r="Q572" s="34"/>
      <c r="R572" s="34"/>
      <c r="S572" s="68">
        <f t="shared" si="143"/>
        <v>0</v>
      </c>
      <c r="T572" s="15"/>
      <c r="U572" s="16"/>
      <c r="V572" s="34"/>
      <c r="W572" s="81"/>
      <c r="X572" s="34"/>
      <c r="Y572" s="15"/>
      <c r="Z572" s="34"/>
      <c r="AA572" s="34"/>
      <c r="AB572" s="34"/>
      <c r="AC572" s="81"/>
      <c r="AD572" s="16"/>
      <c r="AE572" s="24">
        <f>SUMIFS(инфо!$D$15:$D$28,инфо!$A$15:$A$28,F572)</f>
        <v>0</v>
      </c>
      <c r="AF572" s="35">
        <f t="shared" si="134"/>
        <v>0</v>
      </c>
      <c r="AG572" s="12">
        <f t="shared" si="130"/>
        <v>0</v>
      </c>
      <c r="AH572" s="24">
        <f>SUMIFS(инфо!$E$15:$E$28,инфо!$A$15:$A$28,F572)</f>
        <v>0</v>
      </c>
      <c r="AI572" s="32">
        <f t="shared" si="135"/>
        <v>0</v>
      </c>
      <c r="AJ572" s="12">
        <f t="shared" si="131"/>
        <v>0</v>
      </c>
      <c r="AK572" s="24">
        <f>SUMIFS(инфо!$F$15:$F$28,инфо!$A$15:$A$28,F572)</f>
        <v>0</v>
      </c>
      <c r="AL572" s="32">
        <f t="shared" si="136"/>
        <v>0</v>
      </c>
      <c r="AM572" s="12">
        <f t="shared" si="139"/>
        <v>0</v>
      </c>
      <c r="AN572" s="24">
        <f>SUMIFS(инфо!$G$15:$G$28,инфо!$A$15:$A$28,F572)</f>
        <v>0</v>
      </c>
      <c r="AO572" s="32">
        <f t="shared" si="137"/>
        <v>0</v>
      </c>
      <c r="AP572" s="12">
        <f t="shared" si="140"/>
        <v>0</v>
      </c>
      <c r="AQ572" s="24">
        <f>SUMIFS(инфо!$H$15:$H$28,инфо!$A$15:$A$28,F572)</f>
        <v>0</v>
      </c>
      <c r="AR572" s="35">
        <f t="shared" si="138"/>
        <v>0</v>
      </c>
      <c r="AS572" s="12">
        <f t="shared" si="141"/>
        <v>0</v>
      </c>
      <c r="AT572" s="24">
        <f>SUMIFS(инфо!$I$15:$I$28,инфо!$A$15:$A$28,F572)</f>
        <v>0</v>
      </c>
      <c r="AU572" s="35">
        <f t="shared" si="132"/>
        <v>0</v>
      </c>
      <c r="AV572" s="12">
        <f t="shared" si="142"/>
        <v>0</v>
      </c>
      <c r="AX572" s="68">
        <f>SUMIFS(инфо!$C$15:$C$28,инфо!$A$15:$A$28,F572)*H571</f>
        <v>0</v>
      </c>
    </row>
    <row r="573" spans="1:50" x14ac:dyDescent="0.25">
      <c r="A573" s="70">
        <f t="shared" si="133"/>
        <v>46350</v>
      </c>
      <c r="B573" s="76"/>
      <c r="C573" s="15"/>
      <c r="D573" s="16"/>
      <c r="E573" s="83"/>
      <c r="F573" s="28"/>
      <c r="G573" s="34"/>
      <c r="H573" s="23"/>
      <c r="I573" s="118">
        <f>IFERROR(H573*VLOOKUP(F573,инфо!$A$15:$C$28,3,FALSE)/1000,0)</f>
        <v>0</v>
      </c>
      <c r="J573" s="20"/>
      <c r="K573" s="20"/>
      <c r="L573" s="20"/>
      <c r="M573" s="20"/>
      <c r="N573" s="20"/>
      <c r="O573" s="34"/>
      <c r="P573" s="34"/>
      <c r="Q573" s="34"/>
      <c r="R573" s="34"/>
      <c r="S573" s="68">
        <f t="shared" si="143"/>
        <v>0</v>
      </c>
      <c r="T573" s="15"/>
      <c r="U573" s="16"/>
      <c r="V573" s="34"/>
      <c r="W573" s="81"/>
      <c r="X573" s="34"/>
      <c r="Y573" s="15"/>
      <c r="Z573" s="34"/>
      <c r="AA573" s="34"/>
      <c r="AB573" s="34"/>
      <c r="AC573" s="81"/>
      <c r="AD573" s="16"/>
      <c r="AE573" s="24">
        <f>SUMIFS(инфо!$D$15:$D$28,инфо!$A$15:$A$28,F573)</f>
        <v>0</v>
      </c>
      <c r="AF573" s="35">
        <f t="shared" si="134"/>
        <v>0</v>
      </c>
      <c r="AG573" s="12">
        <f t="shared" ref="AG573:AG636" si="144">AF573-AE573</f>
        <v>0</v>
      </c>
      <c r="AH573" s="24">
        <f>SUMIFS(инфо!$E$15:$E$28,инфо!$A$15:$A$28,F573)</f>
        <v>0</v>
      </c>
      <c r="AI573" s="32">
        <f t="shared" si="135"/>
        <v>0</v>
      </c>
      <c r="AJ573" s="12">
        <f t="shared" ref="AJ573:AJ636" si="145">AI573-AH573</f>
        <v>0</v>
      </c>
      <c r="AK573" s="24">
        <f>SUMIFS(инфо!$F$15:$F$28,инфо!$A$15:$A$28,F573)</f>
        <v>0</v>
      </c>
      <c r="AL573" s="32">
        <f t="shared" si="136"/>
        <v>0</v>
      </c>
      <c r="AM573" s="12">
        <f t="shared" si="139"/>
        <v>0</v>
      </c>
      <c r="AN573" s="24">
        <f>SUMIFS(инфо!$G$15:$G$28,инфо!$A$15:$A$28,F573)</f>
        <v>0</v>
      </c>
      <c r="AO573" s="32">
        <f t="shared" si="137"/>
        <v>0</v>
      </c>
      <c r="AP573" s="12">
        <f t="shared" si="140"/>
        <v>0</v>
      </c>
      <c r="AQ573" s="24">
        <f>SUMIFS(инфо!$H$15:$H$28,инфо!$A$15:$A$28,F573)</f>
        <v>0</v>
      </c>
      <c r="AR573" s="35">
        <f t="shared" si="138"/>
        <v>0</v>
      </c>
      <c r="AS573" s="12">
        <f t="shared" si="141"/>
        <v>0</v>
      </c>
      <c r="AT573" s="24">
        <f>SUMIFS(инфо!$I$15:$I$28,инфо!$A$15:$A$28,F573)</f>
        <v>0</v>
      </c>
      <c r="AU573" s="35">
        <f t="shared" si="132"/>
        <v>0</v>
      </c>
      <c r="AV573" s="12">
        <f t="shared" si="142"/>
        <v>0</v>
      </c>
      <c r="AX573" s="68">
        <f>SUMIFS(инфо!$C$15:$C$28,инфо!$A$15:$A$28,F573)*H572</f>
        <v>0</v>
      </c>
    </row>
    <row r="574" spans="1:50" x14ac:dyDescent="0.25">
      <c r="A574" s="70">
        <f t="shared" si="133"/>
        <v>46351</v>
      </c>
      <c r="B574" s="77"/>
      <c r="C574" s="17"/>
      <c r="D574" s="18"/>
      <c r="E574" s="83"/>
      <c r="F574" s="28"/>
      <c r="G574" s="19"/>
      <c r="H574" s="28"/>
      <c r="I574" s="118">
        <f>IFERROR(H574*VLOOKUP(F574,инфо!$A$15:$C$28,3,FALSE)/1000,0)</f>
        <v>0</v>
      </c>
      <c r="J574" s="20"/>
      <c r="K574" s="20"/>
      <c r="L574" s="20"/>
      <c r="M574" s="20"/>
      <c r="N574" s="23"/>
      <c r="O574" s="19"/>
      <c r="P574" s="19"/>
      <c r="Q574" s="19"/>
      <c r="R574" s="19"/>
      <c r="S574" s="69">
        <f t="shared" si="143"/>
        <v>0</v>
      </c>
      <c r="T574" s="17"/>
      <c r="U574" s="18"/>
      <c r="V574" s="19"/>
      <c r="W574" s="81"/>
      <c r="X574" s="19"/>
      <c r="Y574" s="17"/>
      <c r="Z574" s="19"/>
      <c r="AA574" s="19"/>
      <c r="AB574" s="19"/>
      <c r="AC574" s="81"/>
      <c r="AD574" s="18"/>
      <c r="AE574" s="25">
        <f>SUMIFS(инфо!$D$15:$D$28,инфо!$A$15:$A$28,F574)</f>
        <v>0</v>
      </c>
      <c r="AF574" s="35">
        <f t="shared" si="134"/>
        <v>0</v>
      </c>
      <c r="AG574" s="14">
        <f t="shared" si="144"/>
        <v>0</v>
      </c>
      <c r="AH574" s="25">
        <f>SUMIFS(инфо!$E$15:$E$28,инфо!$A$15:$A$28,F574)</f>
        <v>0</v>
      </c>
      <c r="AI574" s="32">
        <f t="shared" si="135"/>
        <v>0</v>
      </c>
      <c r="AJ574" s="14">
        <f t="shared" si="145"/>
        <v>0</v>
      </c>
      <c r="AK574" s="25">
        <f>SUMIFS(инфо!$F$15:$F$28,инфо!$A$15:$A$28,F574)</f>
        <v>0</v>
      </c>
      <c r="AL574" s="32">
        <f t="shared" si="136"/>
        <v>0</v>
      </c>
      <c r="AM574" s="14">
        <f t="shared" si="139"/>
        <v>0</v>
      </c>
      <c r="AN574" s="25">
        <f>SUMIFS(инфо!$G$15:$G$28,инфо!$A$15:$A$28,F574)</f>
        <v>0</v>
      </c>
      <c r="AO574" s="32">
        <f t="shared" si="137"/>
        <v>0</v>
      </c>
      <c r="AP574" s="14">
        <f t="shared" si="140"/>
        <v>0</v>
      </c>
      <c r="AQ574" s="25">
        <f>SUMIFS(инфо!$H$15:$H$28,инфо!$A$15:$A$28,F574)</f>
        <v>0</v>
      </c>
      <c r="AR574" s="26">
        <f t="shared" si="138"/>
        <v>0</v>
      </c>
      <c r="AS574" s="14">
        <f t="shared" si="141"/>
        <v>0</v>
      </c>
      <c r="AT574" s="25">
        <f>SUMIFS(инфо!$I$15:$I$28,инфо!$A$15:$A$28,F574)</f>
        <v>0</v>
      </c>
      <c r="AU574" s="35">
        <f t="shared" si="132"/>
        <v>0</v>
      </c>
      <c r="AV574" s="14">
        <f t="shared" si="142"/>
        <v>0</v>
      </c>
      <c r="AX574" s="69">
        <f>SUMIFS(инфо!$C$15:$C$28,инфо!$A$15:$A$28,F574)*H573</f>
        <v>0</v>
      </c>
    </row>
    <row r="575" spans="1:50" x14ac:dyDescent="0.25">
      <c r="A575" s="70">
        <f t="shared" si="133"/>
        <v>46351</v>
      </c>
      <c r="B575" s="75"/>
      <c r="C575" s="29"/>
      <c r="D575" s="30"/>
      <c r="E575" s="83"/>
      <c r="F575" s="28"/>
      <c r="G575" s="27"/>
      <c r="H575" s="20"/>
      <c r="I575" s="118">
        <f>IFERROR(H575*VLOOKUP(F575,инфо!$A$15:$C$28,3,FALSE)/1000,0)</f>
        <v>0</v>
      </c>
      <c r="J575" s="20"/>
      <c r="K575" s="20"/>
      <c r="L575" s="20"/>
      <c r="M575" s="20"/>
      <c r="N575" s="28"/>
      <c r="O575" s="27"/>
      <c r="P575" s="27"/>
      <c r="Q575" s="27"/>
      <c r="R575" s="27"/>
      <c r="S575" s="67">
        <f t="shared" si="143"/>
        <v>0</v>
      </c>
      <c r="T575" s="29"/>
      <c r="U575" s="30"/>
      <c r="V575" s="27"/>
      <c r="W575" s="81"/>
      <c r="X575" s="27"/>
      <c r="Y575" s="29"/>
      <c r="Z575" s="27"/>
      <c r="AA575" s="27"/>
      <c r="AB575" s="27"/>
      <c r="AC575" s="81"/>
      <c r="AD575" s="30"/>
      <c r="AE575" s="31">
        <f>SUMIFS(инфо!$D$15:$D$28,инфо!$A$15:$A$28,F575)</f>
        <v>0</v>
      </c>
      <c r="AF575" s="35">
        <f t="shared" si="134"/>
        <v>0</v>
      </c>
      <c r="AG575" s="33">
        <f t="shared" si="144"/>
        <v>0</v>
      </c>
      <c r="AH575" s="31">
        <f>SUMIFS(инфо!$E$15:$E$28,инфо!$A$15:$A$28,F575)</f>
        <v>0</v>
      </c>
      <c r="AI575" s="32">
        <f t="shared" si="135"/>
        <v>0</v>
      </c>
      <c r="AJ575" s="33">
        <f t="shared" si="145"/>
        <v>0</v>
      </c>
      <c r="AK575" s="31">
        <f>SUMIFS(инфо!$F$15:$F$28,инфо!$A$15:$A$28,F575)</f>
        <v>0</v>
      </c>
      <c r="AL575" s="32">
        <f t="shared" si="136"/>
        <v>0</v>
      </c>
      <c r="AM575" s="33">
        <f t="shared" si="139"/>
        <v>0</v>
      </c>
      <c r="AN575" s="31">
        <f>SUMIFS(инфо!$G$15:$G$28,инфо!$A$15:$A$28,F575)</f>
        <v>0</v>
      </c>
      <c r="AO575" s="32">
        <f t="shared" si="137"/>
        <v>0</v>
      </c>
      <c r="AP575" s="33">
        <f t="shared" si="140"/>
        <v>0</v>
      </c>
      <c r="AQ575" s="31">
        <f>SUMIFS(инфо!$H$15:$H$28,инфо!$A$15:$A$28,F575)</f>
        <v>0</v>
      </c>
      <c r="AR575" s="32">
        <f t="shared" si="138"/>
        <v>0</v>
      </c>
      <c r="AS575" s="33">
        <f t="shared" si="141"/>
        <v>0</v>
      </c>
      <c r="AT575" s="31">
        <f>SUMIFS(инфо!$I$15:$I$28,инфо!$A$15:$A$28,F575)</f>
        <v>0</v>
      </c>
      <c r="AU575" s="35">
        <f t="shared" si="132"/>
        <v>0</v>
      </c>
      <c r="AV575" s="33">
        <f t="shared" si="142"/>
        <v>0</v>
      </c>
      <c r="AX575" s="67">
        <f>SUMIFS(инфо!$C$15:$C$28,инфо!$A$15:$A$28,F575)*H574</f>
        <v>0</v>
      </c>
    </row>
    <row r="576" spans="1:50" x14ac:dyDescent="0.25">
      <c r="A576" s="70">
        <f t="shared" si="133"/>
        <v>46352</v>
      </c>
      <c r="B576" s="76"/>
      <c r="C576" s="15"/>
      <c r="D576" s="16"/>
      <c r="E576" s="83"/>
      <c r="F576" s="28"/>
      <c r="G576" s="34"/>
      <c r="H576" s="20"/>
      <c r="I576" s="118">
        <f>IFERROR(H576*VLOOKUP(F576,инфо!$A$15:$C$28,3,FALSE)/1000,0)</f>
        <v>0</v>
      </c>
      <c r="J576" s="20"/>
      <c r="K576" s="20"/>
      <c r="L576" s="20"/>
      <c r="M576" s="20"/>
      <c r="N576" s="20"/>
      <c r="O576" s="34"/>
      <c r="P576" s="34"/>
      <c r="Q576" s="34"/>
      <c r="R576" s="34"/>
      <c r="S576" s="68">
        <f t="shared" si="143"/>
        <v>0</v>
      </c>
      <c r="T576" s="15"/>
      <c r="U576" s="16"/>
      <c r="V576" s="34"/>
      <c r="W576" s="81"/>
      <c r="X576" s="34"/>
      <c r="Y576" s="15"/>
      <c r="Z576" s="34"/>
      <c r="AA576" s="34"/>
      <c r="AB576" s="34"/>
      <c r="AC576" s="81"/>
      <c r="AD576" s="16"/>
      <c r="AE576" s="24">
        <f>SUMIFS(инфо!$D$15:$D$28,инфо!$A$15:$A$28,F576)</f>
        <v>0</v>
      </c>
      <c r="AF576" s="35">
        <f t="shared" si="134"/>
        <v>0</v>
      </c>
      <c r="AG576" s="12">
        <f t="shared" si="144"/>
        <v>0</v>
      </c>
      <c r="AH576" s="24">
        <f>SUMIFS(инфо!$E$15:$E$28,инфо!$A$15:$A$28,F576)</f>
        <v>0</v>
      </c>
      <c r="AI576" s="32">
        <f t="shared" si="135"/>
        <v>0</v>
      </c>
      <c r="AJ576" s="12">
        <f t="shared" si="145"/>
        <v>0</v>
      </c>
      <c r="AK576" s="24">
        <f>SUMIFS(инфо!$F$15:$F$28,инфо!$A$15:$A$28,F576)</f>
        <v>0</v>
      </c>
      <c r="AL576" s="32">
        <f t="shared" si="136"/>
        <v>0</v>
      </c>
      <c r="AM576" s="12">
        <f t="shared" si="139"/>
        <v>0</v>
      </c>
      <c r="AN576" s="24">
        <f>SUMIFS(инфо!$G$15:$G$28,инфо!$A$15:$A$28,F576)</f>
        <v>0</v>
      </c>
      <c r="AO576" s="32">
        <f t="shared" si="137"/>
        <v>0</v>
      </c>
      <c r="AP576" s="12">
        <f t="shared" si="140"/>
        <v>0</v>
      </c>
      <c r="AQ576" s="24">
        <f>SUMIFS(инфо!$H$15:$H$28,инфо!$A$15:$A$28,F576)</f>
        <v>0</v>
      </c>
      <c r="AR576" s="35">
        <f t="shared" si="138"/>
        <v>0</v>
      </c>
      <c r="AS576" s="12">
        <f t="shared" si="141"/>
        <v>0</v>
      </c>
      <c r="AT576" s="24">
        <f>SUMIFS(инфо!$I$15:$I$28,инфо!$A$15:$A$28,F576)</f>
        <v>0</v>
      </c>
      <c r="AU576" s="35">
        <f t="shared" si="132"/>
        <v>0</v>
      </c>
      <c r="AV576" s="12">
        <f t="shared" si="142"/>
        <v>0</v>
      </c>
      <c r="AX576" s="68">
        <f>SUMIFS(инфо!$C$15:$C$28,инфо!$A$15:$A$28,F576)*H575</f>
        <v>0</v>
      </c>
    </row>
    <row r="577" spans="1:50" x14ac:dyDescent="0.25">
      <c r="A577" s="70">
        <f t="shared" si="133"/>
        <v>46352</v>
      </c>
      <c r="B577" s="76"/>
      <c r="C577" s="15"/>
      <c r="D577" s="16"/>
      <c r="E577" s="83"/>
      <c r="F577" s="28"/>
      <c r="G577" s="34"/>
      <c r="H577" s="23"/>
      <c r="I577" s="118">
        <f>IFERROR(H577*VLOOKUP(F577,инфо!$A$15:$C$28,3,FALSE)/1000,0)</f>
        <v>0</v>
      </c>
      <c r="J577" s="20"/>
      <c r="K577" s="20"/>
      <c r="L577" s="20"/>
      <c r="M577" s="20"/>
      <c r="N577" s="20"/>
      <c r="O577" s="34"/>
      <c r="P577" s="34"/>
      <c r="Q577" s="34"/>
      <c r="R577" s="34"/>
      <c r="S577" s="68">
        <f t="shared" si="143"/>
        <v>0</v>
      </c>
      <c r="T577" s="15"/>
      <c r="U577" s="16"/>
      <c r="V577" s="34"/>
      <c r="W577" s="81"/>
      <c r="X577" s="34"/>
      <c r="Y577" s="15"/>
      <c r="Z577" s="34"/>
      <c r="AA577" s="34"/>
      <c r="AB577" s="34"/>
      <c r="AC577" s="81"/>
      <c r="AD577" s="16"/>
      <c r="AE577" s="24">
        <f>SUMIFS(инфо!$D$15:$D$28,инфо!$A$15:$A$28,F577)</f>
        <v>0</v>
      </c>
      <c r="AF577" s="35">
        <f t="shared" si="134"/>
        <v>0</v>
      </c>
      <c r="AG577" s="12">
        <f t="shared" si="144"/>
        <v>0</v>
      </c>
      <c r="AH577" s="24">
        <f>SUMIFS(инфо!$E$15:$E$28,инфо!$A$15:$A$28,F577)</f>
        <v>0</v>
      </c>
      <c r="AI577" s="32">
        <f t="shared" si="135"/>
        <v>0</v>
      </c>
      <c r="AJ577" s="12">
        <f t="shared" si="145"/>
        <v>0</v>
      </c>
      <c r="AK577" s="24">
        <f>SUMIFS(инфо!$F$15:$F$28,инфо!$A$15:$A$28,F577)</f>
        <v>0</v>
      </c>
      <c r="AL577" s="32">
        <f t="shared" si="136"/>
        <v>0</v>
      </c>
      <c r="AM577" s="12">
        <f t="shared" si="139"/>
        <v>0</v>
      </c>
      <c r="AN577" s="24">
        <f>SUMIFS(инфо!$G$15:$G$28,инфо!$A$15:$A$28,F577)</f>
        <v>0</v>
      </c>
      <c r="AO577" s="32">
        <f t="shared" si="137"/>
        <v>0</v>
      </c>
      <c r="AP577" s="12">
        <f t="shared" si="140"/>
        <v>0</v>
      </c>
      <c r="AQ577" s="24">
        <f>SUMIFS(инфо!$H$15:$H$28,инфо!$A$15:$A$28,F577)</f>
        <v>0</v>
      </c>
      <c r="AR577" s="35">
        <f t="shared" si="138"/>
        <v>0</v>
      </c>
      <c r="AS577" s="12">
        <f t="shared" si="141"/>
        <v>0</v>
      </c>
      <c r="AT577" s="24">
        <f>SUMIFS(инфо!$I$15:$I$28,инфо!$A$15:$A$28,F577)</f>
        <v>0</v>
      </c>
      <c r="AU577" s="35">
        <f t="shared" si="132"/>
        <v>0</v>
      </c>
      <c r="AV577" s="12">
        <f t="shared" si="142"/>
        <v>0</v>
      </c>
      <c r="AX577" s="68">
        <f>SUMIFS(инфо!$C$15:$C$28,инфо!$A$15:$A$28,F577)*H576</f>
        <v>0</v>
      </c>
    </row>
    <row r="578" spans="1:50" x14ac:dyDescent="0.25">
      <c r="A578" s="70">
        <f t="shared" si="133"/>
        <v>46353</v>
      </c>
      <c r="B578" s="77"/>
      <c r="C578" s="17"/>
      <c r="D578" s="18"/>
      <c r="E578" s="83"/>
      <c r="F578" s="28"/>
      <c r="G578" s="19"/>
      <c r="H578" s="28"/>
      <c r="I578" s="118">
        <f>IFERROR(H578*VLOOKUP(F578,инфо!$A$15:$C$28,3,FALSE)/1000,0)</f>
        <v>0</v>
      </c>
      <c r="J578" s="20"/>
      <c r="K578" s="20"/>
      <c r="L578" s="20"/>
      <c r="M578" s="20"/>
      <c r="N578" s="23"/>
      <c r="O578" s="19"/>
      <c r="P578" s="19"/>
      <c r="Q578" s="19"/>
      <c r="R578" s="19"/>
      <c r="S578" s="69">
        <f t="shared" si="143"/>
        <v>0</v>
      </c>
      <c r="T578" s="17"/>
      <c r="U578" s="18"/>
      <c r="V578" s="19"/>
      <c r="W578" s="81"/>
      <c r="X578" s="19"/>
      <c r="Y578" s="17"/>
      <c r="Z578" s="19"/>
      <c r="AA578" s="19"/>
      <c r="AB578" s="19"/>
      <c r="AC578" s="81"/>
      <c r="AD578" s="18"/>
      <c r="AE578" s="25">
        <f>SUMIFS(инфо!$D$15:$D$28,инфо!$A$15:$A$28,F578)</f>
        <v>0</v>
      </c>
      <c r="AF578" s="35">
        <f t="shared" si="134"/>
        <v>0</v>
      </c>
      <c r="AG578" s="14">
        <f t="shared" si="144"/>
        <v>0</v>
      </c>
      <c r="AH578" s="25">
        <f>SUMIFS(инфо!$E$15:$E$28,инфо!$A$15:$A$28,F578)</f>
        <v>0</v>
      </c>
      <c r="AI578" s="32">
        <f t="shared" si="135"/>
        <v>0</v>
      </c>
      <c r="AJ578" s="14">
        <f t="shared" si="145"/>
        <v>0</v>
      </c>
      <c r="AK578" s="25">
        <f>SUMIFS(инфо!$F$15:$F$28,инфо!$A$15:$A$28,F578)</f>
        <v>0</v>
      </c>
      <c r="AL578" s="32">
        <f t="shared" si="136"/>
        <v>0</v>
      </c>
      <c r="AM578" s="14">
        <f t="shared" si="139"/>
        <v>0</v>
      </c>
      <c r="AN578" s="25">
        <f>SUMIFS(инфо!$G$15:$G$28,инфо!$A$15:$A$28,F578)</f>
        <v>0</v>
      </c>
      <c r="AO578" s="32">
        <f t="shared" si="137"/>
        <v>0</v>
      </c>
      <c r="AP578" s="14">
        <f t="shared" si="140"/>
        <v>0</v>
      </c>
      <c r="AQ578" s="25">
        <f>SUMIFS(инфо!$H$15:$H$28,инфо!$A$15:$A$28,F578)</f>
        <v>0</v>
      </c>
      <c r="AR578" s="26">
        <f t="shared" si="138"/>
        <v>0</v>
      </c>
      <c r="AS578" s="14">
        <f t="shared" si="141"/>
        <v>0</v>
      </c>
      <c r="AT578" s="25">
        <f>SUMIFS(инфо!$I$15:$I$28,инфо!$A$15:$A$28,F578)</f>
        <v>0</v>
      </c>
      <c r="AU578" s="35">
        <f t="shared" si="132"/>
        <v>0</v>
      </c>
      <c r="AV578" s="14">
        <f t="shared" si="142"/>
        <v>0</v>
      </c>
      <c r="AX578" s="69">
        <f>SUMIFS(инфо!$C$15:$C$28,инфо!$A$15:$A$28,F578)*H577</f>
        <v>0</v>
      </c>
    </row>
    <row r="579" spans="1:50" x14ac:dyDescent="0.25">
      <c r="A579" s="70">
        <f t="shared" si="133"/>
        <v>46353</v>
      </c>
      <c r="B579" s="75"/>
      <c r="C579" s="29"/>
      <c r="D579" s="30"/>
      <c r="E579" s="83"/>
      <c r="F579" s="28"/>
      <c r="G579" s="27"/>
      <c r="H579" s="20"/>
      <c r="I579" s="118">
        <f>IFERROR(H579*VLOOKUP(F579,инфо!$A$15:$C$28,3,FALSE)/1000,0)</f>
        <v>0</v>
      </c>
      <c r="J579" s="20"/>
      <c r="K579" s="20"/>
      <c r="L579" s="20"/>
      <c r="M579" s="20"/>
      <c r="N579" s="28"/>
      <c r="O579" s="27"/>
      <c r="P579" s="27"/>
      <c r="Q579" s="27"/>
      <c r="R579" s="27"/>
      <c r="S579" s="67">
        <f t="shared" si="143"/>
        <v>0</v>
      </c>
      <c r="T579" s="29"/>
      <c r="U579" s="30"/>
      <c r="V579" s="27"/>
      <c r="W579" s="81"/>
      <c r="X579" s="27"/>
      <c r="Y579" s="29"/>
      <c r="Z579" s="27"/>
      <c r="AA579" s="27"/>
      <c r="AB579" s="27"/>
      <c r="AC579" s="81"/>
      <c r="AD579" s="30"/>
      <c r="AE579" s="31">
        <f>SUMIFS(инфо!$D$15:$D$28,инфо!$A$15:$A$28,F579)</f>
        <v>0</v>
      </c>
      <c r="AF579" s="35">
        <f t="shared" si="134"/>
        <v>0</v>
      </c>
      <c r="AG579" s="33">
        <f t="shared" si="144"/>
        <v>0</v>
      </c>
      <c r="AH579" s="31">
        <f>SUMIFS(инфо!$E$15:$E$28,инфо!$A$15:$A$28,F579)</f>
        <v>0</v>
      </c>
      <c r="AI579" s="32">
        <f t="shared" si="135"/>
        <v>0</v>
      </c>
      <c r="AJ579" s="33">
        <f t="shared" si="145"/>
        <v>0</v>
      </c>
      <c r="AK579" s="31">
        <f>SUMIFS(инфо!$F$15:$F$28,инфо!$A$15:$A$28,F579)</f>
        <v>0</v>
      </c>
      <c r="AL579" s="32">
        <f t="shared" si="136"/>
        <v>0</v>
      </c>
      <c r="AM579" s="33">
        <f t="shared" si="139"/>
        <v>0</v>
      </c>
      <c r="AN579" s="31">
        <f>SUMIFS(инфо!$G$15:$G$28,инфо!$A$15:$A$28,F579)</f>
        <v>0</v>
      </c>
      <c r="AO579" s="32">
        <f t="shared" si="137"/>
        <v>0</v>
      </c>
      <c r="AP579" s="33">
        <f t="shared" si="140"/>
        <v>0</v>
      </c>
      <c r="AQ579" s="31">
        <f>SUMIFS(инфо!$H$15:$H$28,инфо!$A$15:$A$28,F579)</f>
        <v>0</v>
      </c>
      <c r="AR579" s="32">
        <f t="shared" si="138"/>
        <v>0</v>
      </c>
      <c r="AS579" s="33">
        <f t="shared" si="141"/>
        <v>0</v>
      </c>
      <c r="AT579" s="31">
        <f>SUMIFS(инфо!$I$15:$I$28,инфо!$A$15:$A$28,F579)</f>
        <v>0</v>
      </c>
      <c r="AU579" s="35">
        <f t="shared" si="132"/>
        <v>0</v>
      </c>
      <c r="AV579" s="33">
        <f t="shared" si="142"/>
        <v>0</v>
      </c>
      <c r="AX579" s="67">
        <f>SUMIFS(инфо!$C$15:$C$28,инфо!$A$15:$A$28,F579)*H578</f>
        <v>0</v>
      </c>
    </row>
    <row r="580" spans="1:50" x14ac:dyDescent="0.25">
      <c r="A580" s="70">
        <f t="shared" si="133"/>
        <v>46354</v>
      </c>
      <c r="B580" s="76"/>
      <c r="C580" s="15"/>
      <c r="D580" s="16"/>
      <c r="E580" s="83"/>
      <c r="F580" s="28"/>
      <c r="G580" s="34"/>
      <c r="H580" s="20"/>
      <c r="I580" s="118">
        <f>IFERROR(H580*VLOOKUP(F580,инфо!$A$15:$C$28,3,FALSE)/1000,0)</f>
        <v>0</v>
      </c>
      <c r="J580" s="20"/>
      <c r="K580" s="20"/>
      <c r="L580" s="20"/>
      <c r="M580" s="20"/>
      <c r="N580" s="20"/>
      <c r="O580" s="34"/>
      <c r="P580" s="34"/>
      <c r="Q580" s="34"/>
      <c r="R580" s="34"/>
      <c r="S580" s="68">
        <f t="shared" si="143"/>
        <v>0</v>
      </c>
      <c r="T580" s="15"/>
      <c r="U580" s="16"/>
      <c r="V580" s="34"/>
      <c r="W580" s="81"/>
      <c r="X580" s="34"/>
      <c r="Y580" s="15"/>
      <c r="Z580" s="34"/>
      <c r="AA580" s="34"/>
      <c r="AB580" s="34"/>
      <c r="AC580" s="81"/>
      <c r="AD580" s="16"/>
      <c r="AE580" s="24">
        <f>SUMIFS(инфо!$D$15:$D$28,инфо!$A$15:$A$28,F580)</f>
        <v>0</v>
      </c>
      <c r="AF580" s="35">
        <f t="shared" si="134"/>
        <v>0</v>
      </c>
      <c r="AG580" s="12">
        <f t="shared" si="144"/>
        <v>0</v>
      </c>
      <c r="AH580" s="24">
        <f>SUMIFS(инфо!$E$15:$E$28,инфо!$A$15:$A$28,F580)</f>
        <v>0</v>
      </c>
      <c r="AI580" s="32">
        <f t="shared" si="135"/>
        <v>0</v>
      </c>
      <c r="AJ580" s="12">
        <f t="shared" si="145"/>
        <v>0</v>
      </c>
      <c r="AK580" s="24">
        <f>SUMIFS(инфо!$F$15:$F$28,инфо!$A$15:$A$28,F580)</f>
        <v>0</v>
      </c>
      <c r="AL580" s="32">
        <f t="shared" si="136"/>
        <v>0</v>
      </c>
      <c r="AM580" s="12">
        <f t="shared" si="139"/>
        <v>0</v>
      </c>
      <c r="AN580" s="24">
        <f>SUMIFS(инфо!$G$15:$G$28,инфо!$A$15:$A$28,F580)</f>
        <v>0</v>
      </c>
      <c r="AO580" s="32">
        <f t="shared" si="137"/>
        <v>0</v>
      </c>
      <c r="AP580" s="12">
        <f t="shared" si="140"/>
        <v>0</v>
      </c>
      <c r="AQ580" s="24">
        <f>SUMIFS(инфо!$H$15:$H$28,инфо!$A$15:$A$28,F580)</f>
        <v>0</v>
      </c>
      <c r="AR580" s="35">
        <f t="shared" si="138"/>
        <v>0</v>
      </c>
      <c r="AS580" s="12">
        <f t="shared" si="141"/>
        <v>0</v>
      </c>
      <c r="AT580" s="24">
        <f>SUMIFS(инфо!$I$15:$I$28,инфо!$A$15:$A$28,F580)</f>
        <v>0</v>
      </c>
      <c r="AU580" s="35">
        <f t="shared" si="132"/>
        <v>0</v>
      </c>
      <c r="AV580" s="12">
        <f t="shared" si="142"/>
        <v>0</v>
      </c>
      <c r="AX580" s="68">
        <f>SUMIFS(инфо!$C$15:$C$28,инфо!$A$15:$A$28,F580)*H579</f>
        <v>0</v>
      </c>
    </row>
    <row r="581" spans="1:50" x14ac:dyDescent="0.25">
      <c r="A581" s="70">
        <f t="shared" si="133"/>
        <v>46354</v>
      </c>
      <c r="B581" s="76"/>
      <c r="C581" s="15"/>
      <c r="D581" s="16"/>
      <c r="E581" s="83"/>
      <c r="F581" s="28"/>
      <c r="G581" s="34"/>
      <c r="H581" s="23"/>
      <c r="I581" s="118">
        <f>IFERROR(H581*VLOOKUP(F581,инфо!$A$15:$C$28,3,FALSE)/1000,0)</f>
        <v>0</v>
      </c>
      <c r="J581" s="20"/>
      <c r="K581" s="20"/>
      <c r="L581" s="20"/>
      <c r="M581" s="20"/>
      <c r="N581" s="20"/>
      <c r="O581" s="34"/>
      <c r="P581" s="34"/>
      <c r="Q581" s="34"/>
      <c r="R581" s="34"/>
      <c r="S581" s="68">
        <f t="shared" si="143"/>
        <v>0</v>
      </c>
      <c r="T581" s="15"/>
      <c r="U581" s="16"/>
      <c r="V581" s="34"/>
      <c r="W581" s="81"/>
      <c r="X581" s="34"/>
      <c r="Y581" s="15"/>
      <c r="Z581" s="34"/>
      <c r="AA581" s="34"/>
      <c r="AB581" s="34"/>
      <c r="AC581" s="81"/>
      <c r="AD581" s="16"/>
      <c r="AE581" s="24">
        <f>SUMIFS(инфо!$D$15:$D$28,инфо!$A$15:$A$28,F581)</f>
        <v>0</v>
      </c>
      <c r="AF581" s="35">
        <f t="shared" si="134"/>
        <v>0</v>
      </c>
      <c r="AG581" s="12">
        <f t="shared" si="144"/>
        <v>0</v>
      </c>
      <c r="AH581" s="24">
        <f>SUMIFS(инфо!$E$15:$E$28,инфо!$A$15:$A$28,F581)</f>
        <v>0</v>
      </c>
      <c r="AI581" s="32">
        <f t="shared" si="135"/>
        <v>0</v>
      </c>
      <c r="AJ581" s="12">
        <f t="shared" si="145"/>
        <v>0</v>
      </c>
      <c r="AK581" s="24">
        <f>SUMIFS(инфо!$F$15:$F$28,инфо!$A$15:$A$28,F581)</f>
        <v>0</v>
      </c>
      <c r="AL581" s="32">
        <f t="shared" si="136"/>
        <v>0</v>
      </c>
      <c r="AM581" s="12">
        <f t="shared" si="139"/>
        <v>0</v>
      </c>
      <c r="AN581" s="24">
        <f>SUMIFS(инфо!$G$15:$G$28,инфо!$A$15:$A$28,F581)</f>
        <v>0</v>
      </c>
      <c r="AO581" s="32">
        <f t="shared" si="137"/>
        <v>0</v>
      </c>
      <c r="AP581" s="12">
        <f t="shared" si="140"/>
        <v>0</v>
      </c>
      <c r="AQ581" s="24">
        <f>SUMIFS(инфо!$H$15:$H$28,инфо!$A$15:$A$28,F581)</f>
        <v>0</v>
      </c>
      <c r="AR581" s="35">
        <f t="shared" si="138"/>
        <v>0</v>
      </c>
      <c r="AS581" s="12">
        <f t="shared" si="141"/>
        <v>0</v>
      </c>
      <c r="AT581" s="24">
        <f>SUMIFS(инфо!$I$15:$I$28,инфо!$A$15:$A$28,F581)</f>
        <v>0</v>
      </c>
      <c r="AU581" s="35">
        <f t="shared" si="132"/>
        <v>0</v>
      </c>
      <c r="AV581" s="12">
        <f t="shared" si="142"/>
        <v>0</v>
      </c>
      <c r="AX581" s="68">
        <f>SUMIFS(инфо!$C$15:$C$28,инфо!$A$15:$A$28,F581)*H580</f>
        <v>0</v>
      </c>
    </row>
    <row r="582" spans="1:50" x14ac:dyDescent="0.25">
      <c r="A582" s="70">
        <f t="shared" si="133"/>
        <v>46355</v>
      </c>
      <c r="B582" s="77"/>
      <c r="C582" s="17"/>
      <c r="D582" s="18"/>
      <c r="E582" s="83"/>
      <c r="F582" s="28"/>
      <c r="G582" s="19"/>
      <c r="H582" s="28"/>
      <c r="I582" s="118">
        <f>IFERROR(H582*VLOOKUP(F582,инфо!$A$15:$C$28,3,FALSE)/1000,0)</f>
        <v>0</v>
      </c>
      <c r="J582" s="20"/>
      <c r="K582" s="20"/>
      <c r="L582" s="20"/>
      <c r="M582" s="20"/>
      <c r="N582" s="23"/>
      <c r="O582" s="19"/>
      <c r="P582" s="19"/>
      <c r="Q582" s="19"/>
      <c r="R582" s="19"/>
      <c r="S582" s="69">
        <f t="shared" si="143"/>
        <v>0</v>
      </c>
      <c r="T582" s="17"/>
      <c r="U582" s="18"/>
      <c r="V582" s="19"/>
      <c r="W582" s="81"/>
      <c r="X582" s="19"/>
      <c r="Y582" s="17"/>
      <c r="Z582" s="19"/>
      <c r="AA582" s="19"/>
      <c r="AB582" s="19"/>
      <c r="AC582" s="81"/>
      <c r="AD582" s="18"/>
      <c r="AE582" s="25">
        <f>SUMIFS(инфо!$D$15:$D$28,инфо!$A$15:$A$28,F582)</f>
        <v>0</v>
      </c>
      <c r="AF582" s="35">
        <f t="shared" si="134"/>
        <v>0</v>
      </c>
      <c r="AG582" s="14">
        <f t="shared" si="144"/>
        <v>0</v>
      </c>
      <c r="AH582" s="25">
        <f>SUMIFS(инфо!$E$15:$E$28,инфо!$A$15:$A$28,F582)</f>
        <v>0</v>
      </c>
      <c r="AI582" s="32">
        <f t="shared" si="135"/>
        <v>0</v>
      </c>
      <c r="AJ582" s="14">
        <f t="shared" si="145"/>
        <v>0</v>
      </c>
      <c r="AK582" s="25">
        <f>SUMIFS(инфо!$F$15:$F$28,инфо!$A$15:$A$28,F582)</f>
        <v>0</v>
      </c>
      <c r="AL582" s="32">
        <f t="shared" si="136"/>
        <v>0</v>
      </c>
      <c r="AM582" s="14">
        <f t="shared" si="139"/>
        <v>0</v>
      </c>
      <c r="AN582" s="25">
        <f>SUMIFS(инфо!$G$15:$G$28,инфо!$A$15:$A$28,F582)</f>
        <v>0</v>
      </c>
      <c r="AO582" s="32">
        <f t="shared" si="137"/>
        <v>0</v>
      </c>
      <c r="AP582" s="14">
        <f t="shared" si="140"/>
        <v>0</v>
      </c>
      <c r="AQ582" s="25">
        <f>SUMIFS(инфо!$H$15:$H$28,инфо!$A$15:$A$28,F582)</f>
        <v>0</v>
      </c>
      <c r="AR582" s="26">
        <f t="shared" si="138"/>
        <v>0</v>
      </c>
      <c r="AS582" s="14">
        <f t="shared" si="141"/>
        <v>0</v>
      </c>
      <c r="AT582" s="25">
        <f>SUMIFS(инфо!$I$15:$I$28,инфо!$A$15:$A$28,F582)</f>
        <v>0</v>
      </c>
      <c r="AU582" s="35">
        <f t="shared" si="132"/>
        <v>0</v>
      </c>
      <c r="AV582" s="14">
        <f t="shared" si="142"/>
        <v>0</v>
      </c>
      <c r="AX582" s="69">
        <f>SUMIFS(инфо!$C$15:$C$28,инфо!$A$15:$A$28,F582)*H581</f>
        <v>0</v>
      </c>
    </row>
    <row r="583" spans="1:50" x14ac:dyDescent="0.25">
      <c r="A583" s="70">
        <f t="shared" si="133"/>
        <v>46355</v>
      </c>
      <c r="B583" s="75"/>
      <c r="C583" s="29"/>
      <c r="D583" s="30"/>
      <c r="E583" s="83"/>
      <c r="F583" s="28"/>
      <c r="G583" s="27"/>
      <c r="H583" s="20"/>
      <c r="I583" s="118">
        <f>IFERROR(H583*VLOOKUP(F583,инфо!$A$15:$C$28,3,FALSE)/1000,0)</f>
        <v>0</v>
      </c>
      <c r="J583" s="20"/>
      <c r="K583" s="20"/>
      <c r="L583" s="20"/>
      <c r="M583" s="20"/>
      <c r="N583" s="28"/>
      <c r="O583" s="27"/>
      <c r="P583" s="27"/>
      <c r="Q583" s="27"/>
      <c r="R583" s="27"/>
      <c r="S583" s="67">
        <f t="shared" si="143"/>
        <v>0</v>
      </c>
      <c r="T583" s="29"/>
      <c r="U583" s="30"/>
      <c r="V583" s="27"/>
      <c r="W583" s="81"/>
      <c r="X583" s="27"/>
      <c r="Y583" s="29"/>
      <c r="Z583" s="27"/>
      <c r="AA583" s="27"/>
      <c r="AB583" s="27"/>
      <c r="AC583" s="81"/>
      <c r="AD583" s="30"/>
      <c r="AE583" s="31">
        <f>SUMIFS(инфо!$D$15:$D$28,инфо!$A$15:$A$28,F583)</f>
        <v>0</v>
      </c>
      <c r="AF583" s="35">
        <f t="shared" si="134"/>
        <v>0</v>
      </c>
      <c r="AG583" s="33">
        <f t="shared" si="144"/>
        <v>0</v>
      </c>
      <c r="AH583" s="31">
        <f>SUMIFS(инфо!$E$15:$E$28,инфо!$A$15:$A$28,F583)</f>
        <v>0</v>
      </c>
      <c r="AI583" s="32">
        <f t="shared" si="135"/>
        <v>0</v>
      </c>
      <c r="AJ583" s="33">
        <f t="shared" si="145"/>
        <v>0</v>
      </c>
      <c r="AK583" s="31">
        <f>SUMIFS(инфо!$F$15:$F$28,инфо!$A$15:$A$28,F583)</f>
        <v>0</v>
      </c>
      <c r="AL583" s="32">
        <f t="shared" si="136"/>
        <v>0</v>
      </c>
      <c r="AM583" s="33">
        <f t="shared" si="139"/>
        <v>0</v>
      </c>
      <c r="AN583" s="31">
        <f>SUMIFS(инфо!$G$15:$G$28,инфо!$A$15:$A$28,F583)</f>
        <v>0</v>
      </c>
      <c r="AO583" s="32">
        <f t="shared" si="137"/>
        <v>0</v>
      </c>
      <c r="AP583" s="33">
        <f t="shared" si="140"/>
        <v>0</v>
      </c>
      <c r="AQ583" s="31">
        <f>SUMIFS(инфо!$H$15:$H$28,инфо!$A$15:$A$28,F583)</f>
        <v>0</v>
      </c>
      <c r="AR583" s="32">
        <f t="shared" si="138"/>
        <v>0</v>
      </c>
      <c r="AS583" s="33">
        <f t="shared" si="141"/>
        <v>0</v>
      </c>
      <c r="AT583" s="31">
        <f>SUMIFS(инфо!$I$15:$I$28,инфо!$A$15:$A$28,F583)</f>
        <v>0</v>
      </c>
      <c r="AU583" s="35">
        <f t="shared" si="132"/>
        <v>0</v>
      </c>
      <c r="AV583" s="33">
        <f t="shared" si="142"/>
        <v>0</v>
      </c>
      <c r="AX583" s="67">
        <f>SUMIFS(инфо!$C$15:$C$28,инфо!$A$15:$A$28,F583)*H582</f>
        <v>0</v>
      </c>
    </row>
    <row r="584" spans="1:50" x14ac:dyDescent="0.25">
      <c r="A584" s="70">
        <f t="shared" si="133"/>
        <v>46356</v>
      </c>
      <c r="B584" s="76"/>
      <c r="C584" s="15"/>
      <c r="D584" s="16"/>
      <c r="E584" s="83"/>
      <c r="F584" s="28"/>
      <c r="G584" s="34"/>
      <c r="H584" s="20"/>
      <c r="I584" s="118">
        <f>IFERROR(H584*VLOOKUP(F584,инфо!$A$15:$C$28,3,FALSE)/1000,0)</f>
        <v>0</v>
      </c>
      <c r="J584" s="20"/>
      <c r="K584" s="20"/>
      <c r="L584" s="20"/>
      <c r="M584" s="20"/>
      <c r="N584" s="20"/>
      <c r="O584" s="34"/>
      <c r="P584" s="34"/>
      <c r="Q584" s="34"/>
      <c r="R584" s="34"/>
      <c r="S584" s="68">
        <f t="shared" si="143"/>
        <v>0</v>
      </c>
      <c r="T584" s="15"/>
      <c r="U584" s="16"/>
      <c r="V584" s="34"/>
      <c r="W584" s="81"/>
      <c r="X584" s="34"/>
      <c r="Y584" s="15"/>
      <c r="Z584" s="34"/>
      <c r="AA584" s="34"/>
      <c r="AB584" s="34"/>
      <c r="AC584" s="81"/>
      <c r="AD584" s="16"/>
      <c r="AE584" s="24">
        <f>SUMIFS(инфо!$D$15:$D$28,инфо!$A$15:$A$28,F584)</f>
        <v>0</v>
      </c>
      <c r="AF584" s="35">
        <f t="shared" si="134"/>
        <v>0</v>
      </c>
      <c r="AG584" s="12">
        <f t="shared" si="144"/>
        <v>0</v>
      </c>
      <c r="AH584" s="24">
        <f>SUMIFS(инфо!$E$15:$E$28,инфо!$A$15:$A$28,F584)</f>
        <v>0</v>
      </c>
      <c r="AI584" s="32">
        <f t="shared" si="135"/>
        <v>0</v>
      </c>
      <c r="AJ584" s="12">
        <f t="shared" si="145"/>
        <v>0</v>
      </c>
      <c r="AK584" s="24">
        <f>SUMIFS(инфо!$F$15:$F$28,инфо!$A$15:$A$28,F584)</f>
        <v>0</v>
      </c>
      <c r="AL584" s="32">
        <f t="shared" si="136"/>
        <v>0</v>
      </c>
      <c r="AM584" s="12">
        <f t="shared" si="139"/>
        <v>0</v>
      </c>
      <c r="AN584" s="24">
        <f>SUMIFS(инфо!$G$15:$G$28,инфо!$A$15:$A$28,F584)</f>
        <v>0</v>
      </c>
      <c r="AO584" s="32">
        <f t="shared" si="137"/>
        <v>0</v>
      </c>
      <c r="AP584" s="12">
        <f t="shared" si="140"/>
        <v>0</v>
      </c>
      <c r="AQ584" s="24">
        <f>SUMIFS(инфо!$H$15:$H$28,инфо!$A$15:$A$28,F584)</f>
        <v>0</v>
      </c>
      <c r="AR584" s="35">
        <f t="shared" si="138"/>
        <v>0</v>
      </c>
      <c r="AS584" s="12">
        <f t="shared" si="141"/>
        <v>0</v>
      </c>
      <c r="AT584" s="24">
        <f>SUMIFS(инфо!$I$15:$I$28,инфо!$A$15:$A$28,F584)</f>
        <v>0</v>
      </c>
      <c r="AU584" s="35">
        <f t="shared" si="132"/>
        <v>0</v>
      </c>
      <c r="AV584" s="12">
        <f t="shared" si="142"/>
        <v>0</v>
      </c>
      <c r="AX584" s="68">
        <f>SUMIFS(инфо!$C$15:$C$28,инфо!$A$15:$A$28,F584)*H583</f>
        <v>0</v>
      </c>
    </row>
    <row r="585" spans="1:50" x14ac:dyDescent="0.25">
      <c r="A585" s="70">
        <f t="shared" si="133"/>
        <v>46356</v>
      </c>
      <c r="B585" s="76"/>
      <c r="C585" s="15"/>
      <c r="D585" s="16"/>
      <c r="E585" s="83"/>
      <c r="F585" s="28"/>
      <c r="G585" s="34"/>
      <c r="H585" s="23"/>
      <c r="I585" s="118">
        <f>IFERROR(H585*VLOOKUP(F585,инфо!$A$15:$C$28,3,FALSE)/1000,0)</f>
        <v>0</v>
      </c>
      <c r="J585" s="20"/>
      <c r="K585" s="20"/>
      <c r="L585" s="20"/>
      <c r="M585" s="20"/>
      <c r="N585" s="20"/>
      <c r="O585" s="34"/>
      <c r="P585" s="34"/>
      <c r="Q585" s="34"/>
      <c r="R585" s="34"/>
      <c r="S585" s="68">
        <f t="shared" si="143"/>
        <v>0</v>
      </c>
      <c r="T585" s="15"/>
      <c r="U585" s="16"/>
      <c r="V585" s="34"/>
      <c r="W585" s="81"/>
      <c r="X585" s="34"/>
      <c r="Y585" s="15"/>
      <c r="Z585" s="34"/>
      <c r="AA585" s="34"/>
      <c r="AB585" s="34"/>
      <c r="AC585" s="81"/>
      <c r="AD585" s="16"/>
      <c r="AE585" s="24">
        <f>SUMIFS(инфо!$D$15:$D$28,инфо!$A$15:$A$28,F585)</f>
        <v>0</v>
      </c>
      <c r="AF585" s="35">
        <f t="shared" si="134"/>
        <v>0</v>
      </c>
      <c r="AG585" s="12">
        <f t="shared" si="144"/>
        <v>0</v>
      </c>
      <c r="AH585" s="24">
        <f>SUMIFS(инфо!$E$15:$E$28,инфо!$A$15:$A$28,F585)</f>
        <v>0</v>
      </c>
      <c r="AI585" s="32">
        <f t="shared" si="135"/>
        <v>0</v>
      </c>
      <c r="AJ585" s="12">
        <f t="shared" si="145"/>
        <v>0</v>
      </c>
      <c r="AK585" s="24">
        <f>SUMIFS(инфо!$F$15:$F$28,инфо!$A$15:$A$28,F585)</f>
        <v>0</v>
      </c>
      <c r="AL585" s="32">
        <f t="shared" si="136"/>
        <v>0</v>
      </c>
      <c r="AM585" s="12">
        <f t="shared" si="139"/>
        <v>0</v>
      </c>
      <c r="AN585" s="24">
        <f>SUMIFS(инфо!$G$15:$G$28,инфо!$A$15:$A$28,F585)</f>
        <v>0</v>
      </c>
      <c r="AO585" s="32">
        <f t="shared" si="137"/>
        <v>0</v>
      </c>
      <c r="AP585" s="12">
        <f t="shared" si="140"/>
        <v>0</v>
      </c>
      <c r="AQ585" s="24">
        <f>SUMIFS(инфо!$H$15:$H$28,инфо!$A$15:$A$28,F585)</f>
        <v>0</v>
      </c>
      <c r="AR585" s="35">
        <f t="shared" si="138"/>
        <v>0</v>
      </c>
      <c r="AS585" s="12">
        <f t="shared" si="141"/>
        <v>0</v>
      </c>
      <c r="AT585" s="24">
        <f>SUMIFS(инфо!$I$15:$I$28,инфо!$A$15:$A$28,F585)</f>
        <v>0</v>
      </c>
      <c r="AU585" s="35">
        <f t="shared" ref="AU585:AU648" si="146">IF(H585=0,0,AD585/H585)</f>
        <v>0</v>
      </c>
      <c r="AV585" s="12">
        <f t="shared" si="142"/>
        <v>0</v>
      </c>
      <c r="AX585" s="68">
        <f>SUMIFS(инфо!$C$15:$C$28,инфо!$A$15:$A$28,F585)*H584</f>
        <v>0</v>
      </c>
    </row>
    <row r="586" spans="1:50" x14ac:dyDescent="0.25">
      <c r="A586" s="70">
        <f t="shared" si="133"/>
        <v>46357</v>
      </c>
      <c r="B586" s="77"/>
      <c r="C586" s="17"/>
      <c r="D586" s="18"/>
      <c r="E586" s="83"/>
      <c r="F586" s="28"/>
      <c r="G586" s="19"/>
      <c r="H586" s="28"/>
      <c r="I586" s="118">
        <f>IFERROR(H586*VLOOKUP(F586,инфо!$A$15:$C$28,3,FALSE)/1000,0)</f>
        <v>0</v>
      </c>
      <c r="J586" s="20"/>
      <c r="K586" s="20"/>
      <c r="L586" s="20"/>
      <c r="M586" s="20"/>
      <c r="N586" s="23"/>
      <c r="O586" s="19"/>
      <c r="P586" s="19"/>
      <c r="Q586" s="19"/>
      <c r="R586" s="19"/>
      <c r="S586" s="69">
        <f t="shared" si="143"/>
        <v>0</v>
      </c>
      <c r="T586" s="17"/>
      <c r="U586" s="18"/>
      <c r="V586" s="19"/>
      <c r="W586" s="81"/>
      <c r="X586" s="19"/>
      <c r="Y586" s="17"/>
      <c r="Z586" s="19"/>
      <c r="AA586" s="19"/>
      <c r="AB586" s="19"/>
      <c r="AC586" s="81"/>
      <c r="AD586" s="18"/>
      <c r="AE586" s="25">
        <f>SUMIFS(инфо!$D$15:$D$28,инфо!$A$15:$A$28,F586)</f>
        <v>0</v>
      </c>
      <c r="AF586" s="35">
        <f t="shared" si="134"/>
        <v>0</v>
      </c>
      <c r="AG586" s="14">
        <f t="shared" si="144"/>
        <v>0</v>
      </c>
      <c r="AH586" s="25">
        <f>SUMIFS(инфо!$E$15:$E$28,инфо!$A$15:$A$28,F586)</f>
        <v>0</v>
      </c>
      <c r="AI586" s="32">
        <f t="shared" si="135"/>
        <v>0</v>
      </c>
      <c r="AJ586" s="14">
        <f t="shared" si="145"/>
        <v>0</v>
      </c>
      <c r="AK586" s="25">
        <f>SUMIFS(инфо!$F$15:$F$28,инфо!$A$15:$A$28,F586)</f>
        <v>0</v>
      </c>
      <c r="AL586" s="32">
        <f t="shared" si="136"/>
        <v>0</v>
      </c>
      <c r="AM586" s="14">
        <f t="shared" si="139"/>
        <v>0</v>
      </c>
      <c r="AN586" s="25">
        <f>SUMIFS(инфо!$G$15:$G$28,инфо!$A$15:$A$28,F586)</f>
        <v>0</v>
      </c>
      <c r="AO586" s="32">
        <f t="shared" si="137"/>
        <v>0</v>
      </c>
      <c r="AP586" s="14">
        <f t="shared" si="140"/>
        <v>0</v>
      </c>
      <c r="AQ586" s="25">
        <f>SUMIFS(инфо!$H$15:$H$28,инфо!$A$15:$A$28,F586)</f>
        <v>0</v>
      </c>
      <c r="AR586" s="26">
        <f t="shared" si="138"/>
        <v>0</v>
      </c>
      <c r="AS586" s="14">
        <f t="shared" si="141"/>
        <v>0</v>
      </c>
      <c r="AT586" s="25">
        <f>SUMIFS(инфо!$I$15:$I$28,инфо!$A$15:$A$28,F586)</f>
        <v>0</v>
      </c>
      <c r="AU586" s="35">
        <f t="shared" si="146"/>
        <v>0</v>
      </c>
      <c r="AV586" s="14">
        <f t="shared" si="142"/>
        <v>0</v>
      </c>
      <c r="AX586" s="69">
        <f>SUMIFS(инфо!$C$15:$C$28,инфо!$A$15:$A$28,F586)*H585</f>
        <v>0</v>
      </c>
    </row>
    <row r="587" spans="1:50" x14ac:dyDescent="0.25">
      <c r="A587" s="70">
        <f t="shared" si="133"/>
        <v>46357</v>
      </c>
      <c r="B587" s="75"/>
      <c r="C587" s="29"/>
      <c r="D587" s="30"/>
      <c r="E587" s="83"/>
      <c r="F587" s="28"/>
      <c r="G587" s="27"/>
      <c r="H587" s="20"/>
      <c r="I587" s="118">
        <f>IFERROR(H587*VLOOKUP(F587,инфо!$A$15:$C$28,3,FALSE)/1000,0)</f>
        <v>0</v>
      </c>
      <c r="J587" s="20"/>
      <c r="K587" s="20"/>
      <c r="L587" s="20"/>
      <c r="M587" s="20"/>
      <c r="N587" s="28"/>
      <c r="O587" s="27"/>
      <c r="P587" s="27"/>
      <c r="Q587" s="27"/>
      <c r="R587" s="27"/>
      <c r="S587" s="67">
        <f t="shared" si="143"/>
        <v>0</v>
      </c>
      <c r="T587" s="29"/>
      <c r="U587" s="30"/>
      <c r="V587" s="27"/>
      <c r="W587" s="81"/>
      <c r="X587" s="27"/>
      <c r="Y587" s="29"/>
      <c r="Z587" s="27"/>
      <c r="AA587" s="27"/>
      <c r="AB587" s="27"/>
      <c r="AC587" s="81"/>
      <c r="AD587" s="30"/>
      <c r="AE587" s="31">
        <f>SUMIFS(инфо!$D$15:$D$28,инфо!$A$15:$A$28,F587)</f>
        <v>0</v>
      </c>
      <c r="AF587" s="35">
        <f t="shared" si="134"/>
        <v>0</v>
      </c>
      <c r="AG587" s="33">
        <f t="shared" si="144"/>
        <v>0</v>
      </c>
      <c r="AH587" s="31">
        <f>SUMIFS(инфо!$E$15:$E$28,инфо!$A$15:$A$28,F587)</f>
        <v>0</v>
      </c>
      <c r="AI587" s="32">
        <f t="shared" si="135"/>
        <v>0</v>
      </c>
      <c r="AJ587" s="33">
        <f t="shared" si="145"/>
        <v>0</v>
      </c>
      <c r="AK587" s="31">
        <f>SUMIFS(инфо!$F$15:$F$28,инфо!$A$15:$A$28,F587)</f>
        <v>0</v>
      </c>
      <c r="AL587" s="32">
        <f t="shared" si="136"/>
        <v>0</v>
      </c>
      <c r="AM587" s="33">
        <f t="shared" si="139"/>
        <v>0</v>
      </c>
      <c r="AN587" s="31">
        <f>SUMIFS(инфо!$G$15:$G$28,инфо!$A$15:$A$28,F587)</f>
        <v>0</v>
      </c>
      <c r="AO587" s="32">
        <f t="shared" si="137"/>
        <v>0</v>
      </c>
      <c r="AP587" s="33">
        <f t="shared" si="140"/>
        <v>0</v>
      </c>
      <c r="AQ587" s="31">
        <f>SUMIFS(инфо!$H$15:$H$28,инфо!$A$15:$A$28,F587)</f>
        <v>0</v>
      </c>
      <c r="AR587" s="32">
        <f t="shared" si="138"/>
        <v>0</v>
      </c>
      <c r="AS587" s="33">
        <f t="shared" si="141"/>
        <v>0</v>
      </c>
      <c r="AT587" s="31">
        <f>SUMIFS(инфо!$I$15:$I$28,инфо!$A$15:$A$28,F587)</f>
        <v>0</v>
      </c>
      <c r="AU587" s="35">
        <f t="shared" si="146"/>
        <v>0</v>
      </c>
      <c r="AV587" s="33">
        <f t="shared" si="142"/>
        <v>0</v>
      </c>
      <c r="AX587" s="67">
        <f>SUMIFS(инфо!$C$15:$C$28,инфо!$A$15:$A$28,F587)*H586</f>
        <v>0</v>
      </c>
    </row>
    <row r="588" spans="1:50" x14ac:dyDescent="0.25">
      <c r="A588" s="70">
        <f t="shared" si="133"/>
        <v>46358</v>
      </c>
      <c r="B588" s="76"/>
      <c r="C588" s="15"/>
      <c r="D588" s="16"/>
      <c r="E588" s="83"/>
      <c r="F588" s="28"/>
      <c r="G588" s="34"/>
      <c r="H588" s="20"/>
      <c r="I588" s="118">
        <f>IFERROR(H588*VLOOKUP(F588,инфо!$A$15:$C$28,3,FALSE)/1000,0)</f>
        <v>0</v>
      </c>
      <c r="J588" s="20"/>
      <c r="K588" s="20"/>
      <c r="L588" s="20"/>
      <c r="M588" s="20"/>
      <c r="N588" s="20"/>
      <c r="O588" s="34"/>
      <c r="P588" s="34"/>
      <c r="Q588" s="34"/>
      <c r="R588" s="34"/>
      <c r="S588" s="68">
        <f t="shared" si="143"/>
        <v>0</v>
      </c>
      <c r="T588" s="15"/>
      <c r="U588" s="16"/>
      <c r="V588" s="34"/>
      <c r="W588" s="81"/>
      <c r="X588" s="34"/>
      <c r="Y588" s="15"/>
      <c r="Z588" s="34"/>
      <c r="AA588" s="34"/>
      <c r="AB588" s="34"/>
      <c r="AC588" s="81"/>
      <c r="AD588" s="16"/>
      <c r="AE588" s="24">
        <f>SUMIFS(инфо!$D$15:$D$28,инфо!$A$15:$A$28,F588)</f>
        <v>0</v>
      </c>
      <c r="AF588" s="35">
        <f t="shared" si="134"/>
        <v>0</v>
      </c>
      <c r="AG588" s="12">
        <f t="shared" si="144"/>
        <v>0</v>
      </c>
      <c r="AH588" s="24">
        <f>SUMIFS(инфо!$E$15:$E$28,инфо!$A$15:$A$28,F588)</f>
        <v>0</v>
      </c>
      <c r="AI588" s="32">
        <f t="shared" si="135"/>
        <v>0</v>
      </c>
      <c r="AJ588" s="12">
        <f t="shared" si="145"/>
        <v>0</v>
      </c>
      <c r="AK588" s="24">
        <f>SUMIFS(инфо!$F$15:$F$28,инфо!$A$15:$A$28,F588)</f>
        <v>0</v>
      </c>
      <c r="AL588" s="32">
        <f t="shared" si="136"/>
        <v>0</v>
      </c>
      <c r="AM588" s="12">
        <f t="shared" si="139"/>
        <v>0</v>
      </c>
      <c r="AN588" s="24">
        <f>SUMIFS(инфо!$G$15:$G$28,инфо!$A$15:$A$28,F588)</f>
        <v>0</v>
      </c>
      <c r="AO588" s="32">
        <f t="shared" si="137"/>
        <v>0</v>
      </c>
      <c r="AP588" s="12">
        <f t="shared" si="140"/>
        <v>0</v>
      </c>
      <c r="AQ588" s="24">
        <f>SUMIFS(инфо!$H$15:$H$28,инфо!$A$15:$A$28,F588)</f>
        <v>0</v>
      </c>
      <c r="AR588" s="35">
        <f t="shared" si="138"/>
        <v>0</v>
      </c>
      <c r="AS588" s="12">
        <f t="shared" si="141"/>
        <v>0</v>
      </c>
      <c r="AT588" s="24">
        <f>SUMIFS(инфо!$I$15:$I$28,инфо!$A$15:$A$28,F588)</f>
        <v>0</v>
      </c>
      <c r="AU588" s="35">
        <f t="shared" si="146"/>
        <v>0</v>
      </c>
      <c r="AV588" s="12">
        <f t="shared" si="142"/>
        <v>0</v>
      </c>
      <c r="AX588" s="68">
        <f>SUMIFS(инфо!$C$15:$C$28,инфо!$A$15:$A$28,F588)*H587</f>
        <v>0</v>
      </c>
    </row>
    <row r="589" spans="1:50" x14ac:dyDescent="0.25">
      <c r="A589" s="70">
        <f t="shared" si="133"/>
        <v>46358</v>
      </c>
      <c r="B589" s="76"/>
      <c r="C589" s="15"/>
      <c r="D589" s="16"/>
      <c r="E589" s="83"/>
      <c r="F589" s="28"/>
      <c r="G589" s="34"/>
      <c r="H589" s="23"/>
      <c r="I589" s="118">
        <f>IFERROR(H589*VLOOKUP(F589,инфо!$A$15:$C$28,3,FALSE)/1000,0)</f>
        <v>0</v>
      </c>
      <c r="J589" s="20"/>
      <c r="K589" s="20"/>
      <c r="L589" s="20"/>
      <c r="M589" s="20"/>
      <c r="N589" s="20"/>
      <c r="O589" s="34"/>
      <c r="P589" s="34"/>
      <c r="Q589" s="34"/>
      <c r="R589" s="34"/>
      <c r="S589" s="68">
        <f t="shared" si="143"/>
        <v>0</v>
      </c>
      <c r="T589" s="15"/>
      <c r="U589" s="16"/>
      <c r="V589" s="34"/>
      <c r="W589" s="81"/>
      <c r="X589" s="34"/>
      <c r="Y589" s="15"/>
      <c r="Z589" s="34"/>
      <c r="AA589" s="34"/>
      <c r="AB589" s="34"/>
      <c r="AC589" s="81"/>
      <c r="AD589" s="16"/>
      <c r="AE589" s="24">
        <f>SUMIFS(инфо!$D$15:$D$28,инфо!$A$15:$A$28,F589)</f>
        <v>0</v>
      </c>
      <c r="AF589" s="35">
        <f t="shared" si="134"/>
        <v>0</v>
      </c>
      <c r="AG589" s="12">
        <f t="shared" si="144"/>
        <v>0</v>
      </c>
      <c r="AH589" s="24">
        <f>SUMIFS(инфо!$E$15:$E$28,инфо!$A$15:$A$28,F589)</f>
        <v>0</v>
      </c>
      <c r="AI589" s="32">
        <f t="shared" si="135"/>
        <v>0</v>
      </c>
      <c r="AJ589" s="12">
        <f t="shared" si="145"/>
        <v>0</v>
      </c>
      <c r="AK589" s="24">
        <f>SUMIFS(инфо!$F$15:$F$28,инфо!$A$15:$A$28,F589)</f>
        <v>0</v>
      </c>
      <c r="AL589" s="32">
        <f t="shared" si="136"/>
        <v>0</v>
      </c>
      <c r="AM589" s="12">
        <f t="shared" si="139"/>
        <v>0</v>
      </c>
      <c r="AN589" s="24">
        <f>SUMIFS(инфо!$G$15:$G$28,инфо!$A$15:$A$28,F589)</f>
        <v>0</v>
      </c>
      <c r="AO589" s="32">
        <f t="shared" si="137"/>
        <v>0</v>
      </c>
      <c r="AP589" s="12">
        <f t="shared" si="140"/>
        <v>0</v>
      </c>
      <c r="AQ589" s="24">
        <f>SUMIFS(инфо!$H$15:$H$28,инфо!$A$15:$A$28,F589)</f>
        <v>0</v>
      </c>
      <c r="AR589" s="35">
        <f t="shared" si="138"/>
        <v>0</v>
      </c>
      <c r="AS589" s="12">
        <f t="shared" si="141"/>
        <v>0</v>
      </c>
      <c r="AT589" s="24">
        <f>SUMIFS(инфо!$I$15:$I$28,инфо!$A$15:$A$28,F589)</f>
        <v>0</v>
      </c>
      <c r="AU589" s="35">
        <f t="shared" si="146"/>
        <v>0</v>
      </c>
      <c r="AV589" s="12">
        <f t="shared" si="142"/>
        <v>0</v>
      </c>
      <c r="AX589" s="68">
        <f>SUMIFS(инфо!$C$15:$C$28,инфо!$A$15:$A$28,F589)*H588</f>
        <v>0</v>
      </c>
    </row>
    <row r="590" spans="1:50" x14ac:dyDescent="0.25">
      <c r="A590" s="70">
        <f t="shared" si="133"/>
        <v>46359</v>
      </c>
      <c r="B590" s="77"/>
      <c r="C590" s="17"/>
      <c r="D590" s="18"/>
      <c r="E590" s="83"/>
      <c r="F590" s="28"/>
      <c r="G590" s="19"/>
      <c r="H590" s="28"/>
      <c r="I590" s="118">
        <f>IFERROR(H590*VLOOKUP(F590,инфо!$A$15:$C$28,3,FALSE)/1000,0)</f>
        <v>0</v>
      </c>
      <c r="J590" s="20"/>
      <c r="K590" s="20"/>
      <c r="L590" s="20"/>
      <c r="M590" s="20"/>
      <c r="N590" s="23"/>
      <c r="O590" s="19"/>
      <c r="P590" s="19"/>
      <c r="Q590" s="19"/>
      <c r="R590" s="19"/>
      <c r="S590" s="69">
        <f t="shared" si="143"/>
        <v>0</v>
      </c>
      <c r="T590" s="17"/>
      <c r="U590" s="18"/>
      <c r="V590" s="19"/>
      <c r="W590" s="81"/>
      <c r="X590" s="19"/>
      <c r="Y590" s="17"/>
      <c r="Z590" s="19"/>
      <c r="AA590" s="19"/>
      <c r="AB590" s="19"/>
      <c r="AC590" s="81"/>
      <c r="AD590" s="18"/>
      <c r="AE590" s="25">
        <f>SUMIFS(инфо!$D$15:$D$28,инфо!$A$15:$A$28,F590)</f>
        <v>0</v>
      </c>
      <c r="AF590" s="35">
        <f t="shared" si="134"/>
        <v>0</v>
      </c>
      <c r="AG590" s="14">
        <f t="shared" si="144"/>
        <v>0</v>
      </c>
      <c r="AH590" s="25">
        <f>SUMIFS(инфо!$E$15:$E$28,инфо!$A$15:$A$28,F590)</f>
        <v>0</v>
      </c>
      <c r="AI590" s="32">
        <f t="shared" si="135"/>
        <v>0</v>
      </c>
      <c r="AJ590" s="14">
        <f t="shared" si="145"/>
        <v>0</v>
      </c>
      <c r="AK590" s="25">
        <f>SUMIFS(инфо!$F$15:$F$28,инфо!$A$15:$A$28,F590)</f>
        <v>0</v>
      </c>
      <c r="AL590" s="32">
        <f t="shared" si="136"/>
        <v>0</v>
      </c>
      <c r="AM590" s="14">
        <f t="shared" si="139"/>
        <v>0</v>
      </c>
      <c r="AN590" s="25">
        <f>SUMIFS(инфо!$G$15:$G$28,инфо!$A$15:$A$28,F590)</f>
        <v>0</v>
      </c>
      <c r="AO590" s="32">
        <f t="shared" si="137"/>
        <v>0</v>
      </c>
      <c r="AP590" s="14">
        <f t="shared" si="140"/>
        <v>0</v>
      </c>
      <c r="AQ590" s="25">
        <f>SUMIFS(инфо!$H$15:$H$28,инфо!$A$15:$A$28,F590)</f>
        <v>0</v>
      </c>
      <c r="AR590" s="26">
        <f t="shared" si="138"/>
        <v>0</v>
      </c>
      <c r="AS590" s="14">
        <f t="shared" si="141"/>
        <v>0</v>
      </c>
      <c r="AT590" s="25">
        <f>SUMIFS(инфо!$I$15:$I$28,инфо!$A$15:$A$28,F590)</f>
        <v>0</v>
      </c>
      <c r="AU590" s="35">
        <f t="shared" si="146"/>
        <v>0</v>
      </c>
      <c r="AV590" s="14">
        <f t="shared" si="142"/>
        <v>0</v>
      </c>
      <c r="AX590" s="69">
        <f>SUMIFS(инфо!$C$15:$C$28,инфо!$A$15:$A$28,F590)*H589</f>
        <v>0</v>
      </c>
    </row>
    <row r="591" spans="1:50" x14ac:dyDescent="0.25">
      <c r="A591" s="70">
        <f t="shared" si="133"/>
        <v>46359</v>
      </c>
      <c r="B591" s="75"/>
      <c r="C591" s="29"/>
      <c r="D591" s="30"/>
      <c r="E591" s="83"/>
      <c r="F591" s="28"/>
      <c r="G591" s="27"/>
      <c r="H591" s="20"/>
      <c r="I591" s="118">
        <f>IFERROR(H591*VLOOKUP(F591,инфо!$A$15:$C$28,3,FALSE)/1000,0)</f>
        <v>0</v>
      </c>
      <c r="J591" s="20"/>
      <c r="K591" s="20"/>
      <c r="L591" s="20"/>
      <c r="M591" s="20"/>
      <c r="N591" s="28"/>
      <c r="O591" s="27"/>
      <c r="P591" s="27"/>
      <c r="Q591" s="27"/>
      <c r="R591" s="27"/>
      <c r="S591" s="67">
        <f t="shared" si="143"/>
        <v>0</v>
      </c>
      <c r="T591" s="29"/>
      <c r="U591" s="30"/>
      <c r="V591" s="27"/>
      <c r="W591" s="81"/>
      <c r="X591" s="27"/>
      <c r="Y591" s="29"/>
      <c r="Z591" s="27"/>
      <c r="AA591" s="27"/>
      <c r="AB591" s="27"/>
      <c r="AC591" s="81"/>
      <c r="AD591" s="30"/>
      <c r="AE591" s="31">
        <f>SUMIFS(инфо!$D$15:$D$28,инфо!$A$15:$A$28,F591)</f>
        <v>0</v>
      </c>
      <c r="AF591" s="35">
        <f t="shared" si="134"/>
        <v>0</v>
      </c>
      <c r="AG591" s="33">
        <f t="shared" si="144"/>
        <v>0</v>
      </c>
      <c r="AH591" s="31">
        <f>SUMIFS(инфо!$E$15:$E$28,инфо!$A$15:$A$28,F591)</f>
        <v>0</v>
      </c>
      <c r="AI591" s="32">
        <f t="shared" si="135"/>
        <v>0</v>
      </c>
      <c r="AJ591" s="33">
        <f t="shared" si="145"/>
        <v>0</v>
      </c>
      <c r="AK591" s="31">
        <f>SUMIFS(инфо!$F$15:$F$28,инфо!$A$15:$A$28,F591)</f>
        <v>0</v>
      </c>
      <c r="AL591" s="32">
        <f t="shared" si="136"/>
        <v>0</v>
      </c>
      <c r="AM591" s="33">
        <f t="shared" si="139"/>
        <v>0</v>
      </c>
      <c r="AN591" s="31">
        <f>SUMIFS(инфо!$G$15:$G$28,инфо!$A$15:$A$28,F591)</f>
        <v>0</v>
      </c>
      <c r="AO591" s="32">
        <f t="shared" si="137"/>
        <v>0</v>
      </c>
      <c r="AP591" s="33">
        <f t="shared" si="140"/>
        <v>0</v>
      </c>
      <c r="AQ591" s="31">
        <f>SUMIFS(инфо!$H$15:$H$28,инфо!$A$15:$A$28,F591)</f>
        <v>0</v>
      </c>
      <c r="AR591" s="32">
        <f t="shared" si="138"/>
        <v>0</v>
      </c>
      <c r="AS591" s="33">
        <f t="shared" si="141"/>
        <v>0</v>
      </c>
      <c r="AT591" s="31">
        <f>SUMIFS(инфо!$I$15:$I$28,инфо!$A$15:$A$28,F591)</f>
        <v>0</v>
      </c>
      <c r="AU591" s="35">
        <f t="shared" si="146"/>
        <v>0</v>
      </c>
      <c r="AV591" s="33">
        <f t="shared" si="142"/>
        <v>0</v>
      </c>
      <c r="AX591" s="67">
        <f>SUMIFS(инфо!$C$15:$C$28,инфо!$A$15:$A$28,F591)*H590</f>
        <v>0</v>
      </c>
    </row>
    <row r="592" spans="1:50" x14ac:dyDescent="0.25">
      <c r="A592" s="70">
        <f t="shared" si="133"/>
        <v>46360</v>
      </c>
      <c r="B592" s="76"/>
      <c r="C592" s="15"/>
      <c r="D592" s="16"/>
      <c r="E592" s="83"/>
      <c r="F592" s="28"/>
      <c r="G592" s="34"/>
      <c r="H592" s="20"/>
      <c r="I592" s="118">
        <f>IFERROR(H592*VLOOKUP(F592,инфо!$A$15:$C$28,3,FALSE)/1000,0)</f>
        <v>0</v>
      </c>
      <c r="J592" s="20"/>
      <c r="K592" s="20"/>
      <c r="L592" s="20"/>
      <c r="M592" s="20"/>
      <c r="N592" s="20"/>
      <c r="O592" s="34"/>
      <c r="P592" s="34"/>
      <c r="Q592" s="34"/>
      <c r="R592" s="34"/>
      <c r="S592" s="68">
        <f t="shared" si="143"/>
        <v>0</v>
      </c>
      <c r="T592" s="15"/>
      <c r="U592" s="16"/>
      <c r="V592" s="34"/>
      <c r="W592" s="81"/>
      <c r="X592" s="34"/>
      <c r="Y592" s="15"/>
      <c r="Z592" s="34"/>
      <c r="AA592" s="34"/>
      <c r="AB592" s="34"/>
      <c r="AC592" s="81"/>
      <c r="AD592" s="16"/>
      <c r="AE592" s="24">
        <f>SUMIFS(инфо!$D$15:$D$28,инфо!$A$15:$A$28,F592)</f>
        <v>0</v>
      </c>
      <c r="AF592" s="35">
        <f t="shared" si="134"/>
        <v>0</v>
      </c>
      <c r="AG592" s="12">
        <f t="shared" si="144"/>
        <v>0</v>
      </c>
      <c r="AH592" s="24">
        <f>SUMIFS(инфо!$E$15:$E$28,инфо!$A$15:$A$28,F592)</f>
        <v>0</v>
      </c>
      <c r="AI592" s="32">
        <f t="shared" si="135"/>
        <v>0</v>
      </c>
      <c r="AJ592" s="12">
        <f t="shared" si="145"/>
        <v>0</v>
      </c>
      <c r="AK592" s="24">
        <f>SUMIFS(инфо!$F$15:$F$28,инфо!$A$15:$A$28,F592)</f>
        <v>0</v>
      </c>
      <c r="AL592" s="32">
        <f t="shared" si="136"/>
        <v>0</v>
      </c>
      <c r="AM592" s="12">
        <f t="shared" si="139"/>
        <v>0</v>
      </c>
      <c r="AN592" s="24">
        <f>SUMIFS(инфо!$G$15:$G$28,инфо!$A$15:$A$28,F592)</f>
        <v>0</v>
      </c>
      <c r="AO592" s="32">
        <f t="shared" si="137"/>
        <v>0</v>
      </c>
      <c r="AP592" s="12">
        <f t="shared" si="140"/>
        <v>0</v>
      </c>
      <c r="AQ592" s="24">
        <f>SUMIFS(инфо!$H$15:$H$28,инфо!$A$15:$A$28,F592)</f>
        <v>0</v>
      </c>
      <c r="AR592" s="35">
        <f t="shared" si="138"/>
        <v>0</v>
      </c>
      <c r="AS592" s="12">
        <f t="shared" si="141"/>
        <v>0</v>
      </c>
      <c r="AT592" s="24">
        <f>SUMIFS(инфо!$I$15:$I$28,инфо!$A$15:$A$28,F592)</f>
        <v>0</v>
      </c>
      <c r="AU592" s="35">
        <f t="shared" si="146"/>
        <v>0</v>
      </c>
      <c r="AV592" s="12">
        <f t="shared" si="142"/>
        <v>0</v>
      </c>
      <c r="AX592" s="68">
        <f>SUMIFS(инфо!$C$15:$C$28,инфо!$A$15:$A$28,F592)*H591</f>
        <v>0</v>
      </c>
    </row>
    <row r="593" spans="1:50" x14ac:dyDescent="0.25">
      <c r="A593" s="70">
        <f t="shared" si="133"/>
        <v>46360</v>
      </c>
      <c r="B593" s="76"/>
      <c r="C593" s="15"/>
      <c r="D593" s="16"/>
      <c r="E593" s="83"/>
      <c r="F593" s="28"/>
      <c r="G593" s="34"/>
      <c r="H593" s="23"/>
      <c r="I593" s="118">
        <f>IFERROR(H593*VLOOKUP(F593,инфо!$A$15:$C$28,3,FALSE)/1000,0)</f>
        <v>0</v>
      </c>
      <c r="J593" s="20"/>
      <c r="K593" s="20"/>
      <c r="L593" s="20"/>
      <c r="M593" s="20"/>
      <c r="N593" s="20"/>
      <c r="O593" s="34"/>
      <c r="P593" s="34"/>
      <c r="Q593" s="34"/>
      <c r="R593" s="34"/>
      <c r="S593" s="68">
        <f t="shared" si="143"/>
        <v>0</v>
      </c>
      <c r="T593" s="15"/>
      <c r="U593" s="16"/>
      <c r="V593" s="34"/>
      <c r="W593" s="81"/>
      <c r="X593" s="34"/>
      <c r="Y593" s="15"/>
      <c r="Z593" s="34"/>
      <c r="AA593" s="34"/>
      <c r="AB593" s="34"/>
      <c r="AC593" s="81"/>
      <c r="AD593" s="16"/>
      <c r="AE593" s="24">
        <f>SUMIFS(инфо!$D$15:$D$28,инфо!$A$15:$A$28,F593)</f>
        <v>0</v>
      </c>
      <c r="AF593" s="35">
        <f t="shared" si="134"/>
        <v>0</v>
      </c>
      <c r="AG593" s="12">
        <f t="shared" si="144"/>
        <v>0</v>
      </c>
      <c r="AH593" s="24">
        <f>SUMIFS(инфо!$E$15:$E$28,инфо!$A$15:$A$28,F593)</f>
        <v>0</v>
      </c>
      <c r="AI593" s="32">
        <f t="shared" si="135"/>
        <v>0</v>
      </c>
      <c r="AJ593" s="12">
        <f t="shared" si="145"/>
        <v>0</v>
      </c>
      <c r="AK593" s="24">
        <f>SUMIFS(инфо!$F$15:$F$28,инфо!$A$15:$A$28,F593)</f>
        <v>0</v>
      </c>
      <c r="AL593" s="32">
        <f t="shared" si="136"/>
        <v>0</v>
      </c>
      <c r="AM593" s="12">
        <f t="shared" si="139"/>
        <v>0</v>
      </c>
      <c r="AN593" s="24">
        <f>SUMIFS(инфо!$G$15:$G$28,инфо!$A$15:$A$28,F593)</f>
        <v>0</v>
      </c>
      <c r="AO593" s="32">
        <f t="shared" si="137"/>
        <v>0</v>
      </c>
      <c r="AP593" s="12">
        <f t="shared" si="140"/>
        <v>0</v>
      </c>
      <c r="AQ593" s="24">
        <f>SUMIFS(инфо!$H$15:$H$28,инфо!$A$15:$A$28,F593)</f>
        <v>0</v>
      </c>
      <c r="AR593" s="35">
        <f t="shared" si="138"/>
        <v>0</v>
      </c>
      <c r="AS593" s="12">
        <f t="shared" si="141"/>
        <v>0</v>
      </c>
      <c r="AT593" s="24">
        <f>SUMIFS(инфо!$I$15:$I$28,инфо!$A$15:$A$28,F593)</f>
        <v>0</v>
      </c>
      <c r="AU593" s="35">
        <f t="shared" si="146"/>
        <v>0</v>
      </c>
      <c r="AV593" s="12">
        <f t="shared" si="142"/>
        <v>0</v>
      </c>
      <c r="AX593" s="68">
        <f>SUMIFS(инфо!$C$15:$C$28,инфо!$A$15:$A$28,F593)*H592</f>
        <v>0</v>
      </c>
    </row>
    <row r="594" spans="1:50" x14ac:dyDescent="0.25">
      <c r="A594" s="70">
        <f t="shared" si="133"/>
        <v>46361</v>
      </c>
      <c r="B594" s="77"/>
      <c r="C594" s="17"/>
      <c r="D594" s="18"/>
      <c r="E594" s="83"/>
      <c r="F594" s="28"/>
      <c r="G594" s="19"/>
      <c r="H594" s="28"/>
      <c r="I594" s="118">
        <f>IFERROR(H594*VLOOKUP(F594,инфо!$A$15:$C$28,3,FALSE)/1000,0)</f>
        <v>0</v>
      </c>
      <c r="J594" s="20"/>
      <c r="K594" s="20"/>
      <c r="L594" s="20"/>
      <c r="M594" s="20"/>
      <c r="N594" s="23"/>
      <c r="O594" s="19"/>
      <c r="P594" s="19"/>
      <c r="Q594" s="19"/>
      <c r="R594" s="19"/>
      <c r="S594" s="69">
        <f t="shared" si="143"/>
        <v>0</v>
      </c>
      <c r="T594" s="17"/>
      <c r="U594" s="18"/>
      <c r="V594" s="19"/>
      <c r="W594" s="81"/>
      <c r="X594" s="19"/>
      <c r="Y594" s="17"/>
      <c r="Z594" s="19"/>
      <c r="AA594" s="19"/>
      <c r="AB594" s="19"/>
      <c r="AC594" s="81"/>
      <c r="AD594" s="18"/>
      <c r="AE594" s="25">
        <f>SUMIFS(инфо!$D$15:$D$28,инфо!$A$15:$A$28,F594)</f>
        <v>0</v>
      </c>
      <c r="AF594" s="35">
        <f t="shared" si="134"/>
        <v>0</v>
      </c>
      <c r="AG594" s="14">
        <f t="shared" si="144"/>
        <v>0</v>
      </c>
      <c r="AH594" s="25">
        <f>SUMIFS(инфо!$E$15:$E$28,инфо!$A$15:$A$28,F594)</f>
        <v>0</v>
      </c>
      <c r="AI594" s="32">
        <f t="shared" si="135"/>
        <v>0</v>
      </c>
      <c r="AJ594" s="14">
        <f t="shared" si="145"/>
        <v>0</v>
      </c>
      <c r="AK594" s="25">
        <f>SUMIFS(инфо!$F$15:$F$28,инфо!$A$15:$A$28,F594)</f>
        <v>0</v>
      </c>
      <c r="AL594" s="32">
        <f t="shared" si="136"/>
        <v>0</v>
      </c>
      <c r="AM594" s="14">
        <f t="shared" si="139"/>
        <v>0</v>
      </c>
      <c r="AN594" s="25">
        <f>SUMIFS(инфо!$G$15:$G$28,инфо!$A$15:$A$28,F594)</f>
        <v>0</v>
      </c>
      <c r="AO594" s="32">
        <f t="shared" si="137"/>
        <v>0</v>
      </c>
      <c r="AP594" s="14">
        <f t="shared" si="140"/>
        <v>0</v>
      </c>
      <c r="AQ594" s="25">
        <f>SUMIFS(инфо!$H$15:$H$28,инфо!$A$15:$A$28,F594)</f>
        <v>0</v>
      </c>
      <c r="AR594" s="26">
        <f t="shared" si="138"/>
        <v>0</v>
      </c>
      <c r="AS594" s="14">
        <f t="shared" si="141"/>
        <v>0</v>
      </c>
      <c r="AT594" s="25">
        <f>SUMIFS(инфо!$I$15:$I$28,инфо!$A$15:$A$28,F594)</f>
        <v>0</v>
      </c>
      <c r="AU594" s="35">
        <f t="shared" si="146"/>
        <v>0</v>
      </c>
      <c r="AV594" s="14">
        <f t="shared" si="142"/>
        <v>0</v>
      </c>
      <c r="AX594" s="69">
        <f>SUMIFS(инфо!$C$15:$C$28,инфо!$A$15:$A$28,F594)*H593</f>
        <v>0</v>
      </c>
    </row>
    <row r="595" spans="1:50" x14ac:dyDescent="0.25">
      <c r="A595" s="70">
        <f t="shared" si="133"/>
        <v>46361</v>
      </c>
      <c r="B595" s="75"/>
      <c r="C595" s="29"/>
      <c r="D595" s="30"/>
      <c r="E595" s="83"/>
      <c r="F595" s="28"/>
      <c r="G595" s="27"/>
      <c r="H595" s="20"/>
      <c r="I595" s="118">
        <f>IFERROR(H595*VLOOKUP(F595,инфо!$A$15:$C$28,3,FALSE)/1000,0)</f>
        <v>0</v>
      </c>
      <c r="J595" s="20"/>
      <c r="K595" s="20"/>
      <c r="L595" s="20"/>
      <c r="M595" s="20"/>
      <c r="N595" s="28"/>
      <c r="O595" s="27"/>
      <c r="P595" s="27"/>
      <c r="Q595" s="27"/>
      <c r="R595" s="27"/>
      <c r="S595" s="67">
        <f t="shared" si="143"/>
        <v>0</v>
      </c>
      <c r="T595" s="29"/>
      <c r="U595" s="30"/>
      <c r="V595" s="27"/>
      <c r="W595" s="81"/>
      <c r="X595" s="27"/>
      <c r="Y595" s="29"/>
      <c r="Z595" s="27"/>
      <c r="AA595" s="27"/>
      <c r="AB595" s="27"/>
      <c r="AC595" s="81"/>
      <c r="AD595" s="30"/>
      <c r="AE595" s="31">
        <f>SUMIFS(инфо!$D$15:$D$28,инфо!$A$15:$A$28,F595)</f>
        <v>0</v>
      </c>
      <c r="AF595" s="35">
        <f t="shared" si="134"/>
        <v>0</v>
      </c>
      <c r="AG595" s="33">
        <f t="shared" si="144"/>
        <v>0</v>
      </c>
      <c r="AH595" s="31">
        <f>SUMIFS(инфо!$E$15:$E$28,инфо!$A$15:$A$28,F595)</f>
        <v>0</v>
      </c>
      <c r="AI595" s="32">
        <f t="shared" si="135"/>
        <v>0</v>
      </c>
      <c r="AJ595" s="33">
        <f t="shared" si="145"/>
        <v>0</v>
      </c>
      <c r="AK595" s="31">
        <f>SUMIFS(инфо!$F$15:$F$28,инфо!$A$15:$A$28,F595)</f>
        <v>0</v>
      </c>
      <c r="AL595" s="32">
        <f t="shared" si="136"/>
        <v>0</v>
      </c>
      <c r="AM595" s="33">
        <f t="shared" si="139"/>
        <v>0</v>
      </c>
      <c r="AN595" s="31">
        <f>SUMIFS(инфо!$G$15:$G$28,инфо!$A$15:$A$28,F595)</f>
        <v>0</v>
      </c>
      <c r="AO595" s="32">
        <f t="shared" si="137"/>
        <v>0</v>
      </c>
      <c r="AP595" s="33">
        <f t="shared" si="140"/>
        <v>0</v>
      </c>
      <c r="AQ595" s="31">
        <f>SUMIFS(инфо!$H$15:$H$28,инфо!$A$15:$A$28,F595)</f>
        <v>0</v>
      </c>
      <c r="AR595" s="32">
        <f t="shared" si="138"/>
        <v>0</v>
      </c>
      <c r="AS595" s="33">
        <f t="shared" si="141"/>
        <v>0</v>
      </c>
      <c r="AT595" s="31">
        <f>SUMIFS(инфо!$I$15:$I$28,инфо!$A$15:$A$28,F595)</f>
        <v>0</v>
      </c>
      <c r="AU595" s="35">
        <f t="shared" si="146"/>
        <v>0</v>
      </c>
      <c r="AV595" s="33">
        <f t="shared" si="142"/>
        <v>0</v>
      </c>
      <c r="AX595" s="67">
        <f>SUMIFS(инфо!$C$15:$C$28,инфо!$A$15:$A$28,F595)*H594</f>
        <v>0</v>
      </c>
    </row>
    <row r="596" spans="1:50" x14ac:dyDescent="0.25">
      <c r="A596" s="70">
        <f t="shared" si="133"/>
        <v>46362</v>
      </c>
      <c r="B596" s="76"/>
      <c r="C596" s="15"/>
      <c r="D596" s="16"/>
      <c r="E596" s="83"/>
      <c r="F596" s="28"/>
      <c r="G596" s="34"/>
      <c r="H596" s="20"/>
      <c r="I596" s="118">
        <f>IFERROR(H596*VLOOKUP(F596,инфо!$A$15:$C$28,3,FALSE)/1000,0)</f>
        <v>0</v>
      </c>
      <c r="J596" s="20"/>
      <c r="K596" s="20"/>
      <c r="L596" s="20"/>
      <c r="M596" s="20"/>
      <c r="N596" s="20"/>
      <c r="O596" s="34"/>
      <c r="P596" s="34"/>
      <c r="Q596" s="34"/>
      <c r="R596" s="34"/>
      <c r="S596" s="68">
        <f t="shared" si="143"/>
        <v>0</v>
      </c>
      <c r="T596" s="15"/>
      <c r="U596" s="16"/>
      <c r="V596" s="34"/>
      <c r="W596" s="81"/>
      <c r="X596" s="34"/>
      <c r="Y596" s="15"/>
      <c r="Z596" s="34"/>
      <c r="AA596" s="34"/>
      <c r="AB596" s="34"/>
      <c r="AC596" s="81"/>
      <c r="AD596" s="16"/>
      <c r="AE596" s="24">
        <f>SUMIFS(инфо!$D$15:$D$28,инфо!$A$15:$A$28,F596)</f>
        <v>0</v>
      </c>
      <c r="AF596" s="35">
        <f t="shared" si="134"/>
        <v>0</v>
      </c>
      <c r="AG596" s="12">
        <f t="shared" si="144"/>
        <v>0</v>
      </c>
      <c r="AH596" s="24">
        <f>SUMIFS(инфо!$E$15:$E$28,инфо!$A$15:$A$28,F596)</f>
        <v>0</v>
      </c>
      <c r="AI596" s="32">
        <f t="shared" si="135"/>
        <v>0</v>
      </c>
      <c r="AJ596" s="12">
        <f t="shared" si="145"/>
        <v>0</v>
      </c>
      <c r="AK596" s="24">
        <f>SUMIFS(инфо!$F$15:$F$28,инфо!$A$15:$A$28,F596)</f>
        <v>0</v>
      </c>
      <c r="AL596" s="32">
        <f t="shared" si="136"/>
        <v>0</v>
      </c>
      <c r="AM596" s="12">
        <f t="shared" si="139"/>
        <v>0</v>
      </c>
      <c r="AN596" s="24">
        <f>SUMIFS(инфо!$G$15:$G$28,инфо!$A$15:$A$28,F596)</f>
        <v>0</v>
      </c>
      <c r="AO596" s="32">
        <f t="shared" si="137"/>
        <v>0</v>
      </c>
      <c r="AP596" s="12">
        <f t="shared" si="140"/>
        <v>0</v>
      </c>
      <c r="AQ596" s="24">
        <f>SUMIFS(инфо!$H$15:$H$28,инфо!$A$15:$A$28,F596)</f>
        <v>0</v>
      </c>
      <c r="AR596" s="35">
        <f t="shared" si="138"/>
        <v>0</v>
      </c>
      <c r="AS596" s="12">
        <f t="shared" si="141"/>
        <v>0</v>
      </c>
      <c r="AT596" s="24">
        <f>SUMIFS(инфо!$I$15:$I$28,инфо!$A$15:$A$28,F596)</f>
        <v>0</v>
      </c>
      <c r="AU596" s="35">
        <f t="shared" si="146"/>
        <v>0</v>
      </c>
      <c r="AV596" s="12">
        <f t="shared" si="142"/>
        <v>0</v>
      </c>
      <c r="AX596" s="68">
        <f>SUMIFS(инфо!$C$15:$C$28,инфо!$A$15:$A$28,F596)*H595</f>
        <v>0</v>
      </c>
    </row>
    <row r="597" spans="1:50" x14ac:dyDescent="0.25">
      <c r="A597" s="70">
        <f t="shared" si="133"/>
        <v>46362</v>
      </c>
      <c r="B597" s="76"/>
      <c r="C597" s="15"/>
      <c r="D597" s="16"/>
      <c r="E597" s="83"/>
      <c r="F597" s="28"/>
      <c r="G597" s="34"/>
      <c r="H597" s="23"/>
      <c r="I597" s="118">
        <f>IFERROR(H597*VLOOKUP(F597,инфо!$A$15:$C$28,3,FALSE)/1000,0)</f>
        <v>0</v>
      </c>
      <c r="J597" s="20"/>
      <c r="K597" s="20"/>
      <c r="L597" s="20"/>
      <c r="M597" s="20"/>
      <c r="N597" s="20"/>
      <c r="O597" s="34"/>
      <c r="P597" s="34"/>
      <c r="Q597" s="34"/>
      <c r="R597" s="34"/>
      <c r="S597" s="68">
        <f t="shared" si="143"/>
        <v>0</v>
      </c>
      <c r="T597" s="15"/>
      <c r="U597" s="16"/>
      <c r="V597" s="34"/>
      <c r="W597" s="81"/>
      <c r="X597" s="34"/>
      <c r="Y597" s="15"/>
      <c r="Z597" s="34"/>
      <c r="AA597" s="34"/>
      <c r="AB597" s="34"/>
      <c r="AC597" s="81"/>
      <c r="AD597" s="16"/>
      <c r="AE597" s="24">
        <f>SUMIFS(инфо!$D$15:$D$28,инфо!$A$15:$A$28,F597)</f>
        <v>0</v>
      </c>
      <c r="AF597" s="35">
        <f t="shared" si="134"/>
        <v>0</v>
      </c>
      <c r="AG597" s="12">
        <f t="shared" si="144"/>
        <v>0</v>
      </c>
      <c r="AH597" s="24">
        <f>SUMIFS(инфо!$E$15:$E$28,инфо!$A$15:$A$28,F597)</f>
        <v>0</v>
      </c>
      <c r="AI597" s="32">
        <f t="shared" si="135"/>
        <v>0</v>
      </c>
      <c r="AJ597" s="12">
        <f t="shared" si="145"/>
        <v>0</v>
      </c>
      <c r="AK597" s="24">
        <f>SUMIFS(инфо!$F$15:$F$28,инфо!$A$15:$A$28,F597)</f>
        <v>0</v>
      </c>
      <c r="AL597" s="32">
        <f t="shared" si="136"/>
        <v>0</v>
      </c>
      <c r="AM597" s="12">
        <f t="shared" si="139"/>
        <v>0</v>
      </c>
      <c r="AN597" s="24">
        <f>SUMIFS(инфо!$G$15:$G$28,инфо!$A$15:$A$28,F597)</f>
        <v>0</v>
      </c>
      <c r="AO597" s="32">
        <f t="shared" si="137"/>
        <v>0</v>
      </c>
      <c r="AP597" s="12">
        <f t="shared" si="140"/>
        <v>0</v>
      </c>
      <c r="AQ597" s="24">
        <f>SUMIFS(инфо!$H$15:$H$28,инфо!$A$15:$A$28,F597)</f>
        <v>0</v>
      </c>
      <c r="AR597" s="35">
        <f t="shared" si="138"/>
        <v>0</v>
      </c>
      <c r="AS597" s="12">
        <f t="shared" si="141"/>
        <v>0</v>
      </c>
      <c r="AT597" s="24">
        <f>SUMIFS(инфо!$I$15:$I$28,инфо!$A$15:$A$28,F597)</f>
        <v>0</v>
      </c>
      <c r="AU597" s="35">
        <f t="shared" si="146"/>
        <v>0</v>
      </c>
      <c r="AV597" s="12">
        <f t="shared" si="142"/>
        <v>0</v>
      </c>
      <c r="AX597" s="68">
        <f>SUMIFS(инфо!$C$15:$C$28,инфо!$A$15:$A$28,F597)*H596</f>
        <v>0</v>
      </c>
    </row>
    <row r="598" spans="1:50" x14ac:dyDescent="0.25">
      <c r="A598" s="70">
        <f t="shared" si="133"/>
        <v>46363</v>
      </c>
      <c r="B598" s="77"/>
      <c r="C598" s="17"/>
      <c r="D598" s="18"/>
      <c r="E598" s="83"/>
      <c r="F598" s="28"/>
      <c r="G598" s="19"/>
      <c r="H598" s="28"/>
      <c r="I598" s="118">
        <f>IFERROR(H598*VLOOKUP(F598,инфо!$A$15:$C$28,3,FALSE)/1000,0)</f>
        <v>0</v>
      </c>
      <c r="J598" s="20"/>
      <c r="K598" s="20"/>
      <c r="L598" s="20"/>
      <c r="M598" s="20"/>
      <c r="N598" s="23"/>
      <c r="O598" s="19"/>
      <c r="P598" s="19"/>
      <c r="Q598" s="19"/>
      <c r="R598" s="19"/>
      <c r="S598" s="69">
        <f t="shared" si="143"/>
        <v>0</v>
      </c>
      <c r="T598" s="17"/>
      <c r="U598" s="18"/>
      <c r="V598" s="19"/>
      <c r="W598" s="81"/>
      <c r="X598" s="19"/>
      <c r="Y598" s="17"/>
      <c r="Z598" s="19"/>
      <c r="AA598" s="19"/>
      <c r="AB598" s="19"/>
      <c r="AC598" s="81"/>
      <c r="AD598" s="18"/>
      <c r="AE598" s="25">
        <f>SUMIFS(инфо!$D$15:$D$28,инфо!$A$15:$A$28,F598)</f>
        <v>0</v>
      </c>
      <c r="AF598" s="35">
        <f t="shared" si="134"/>
        <v>0</v>
      </c>
      <c r="AG598" s="14">
        <f t="shared" si="144"/>
        <v>0</v>
      </c>
      <c r="AH598" s="25">
        <f>SUMIFS(инфо!$E$15:$E$28,инфо!$A$15:$A$28,F598)</f>
        <v>0</v>
      </c>
      <c r="AI598" s="32">
        <f t="shared" si="135"/>
        <v>0</v>
      </c>
      <c r="AJ598" s="14">
        <f t="shared" si="145"/>
        <v>0</v>
      </c>
      <c r="AK598" s="25">
        <f>SUMIFS(инфо!$F$15:$F$28,инфо!$A$15:$A$28,F598)</f>
        <v>0</v>
      </c>
      <c r="AL598" s="32">
        <f t="shared" si="136"/>
        <v>0</v>
      </c>
      <c r="AM598" s="14">
        <f t="shared" si="139"/>
        <v>0</v>
      </c>
      <c r="AN598" s="25">
        <f>SUMIFS(инфо!$G$15:$G$28,инфо!$A$15:$A$28,F598)</f>
        <v>0</v>
      </c>
      <c r="AO598" s="32">
        <f t="shared" si="137"/>
        <v>0</v>
      </c>
      <c r="AP598" s="14">
        <f t="shared" si="140"/>
        <v>0</v>
      </c>
      <c r="AQ598" s="25">
        <f>SUMIFS(инфо!$H$15:$H$28,инфо!$A$15:$A$28,F598)</f>
        <v>0</v>
      </c>
      <c r="AR598" s="26">
        <f t="shared" si="138"/>
        <v>0</v>
      </c>
      <c r="AS598" s="14">
        <f t="shared" si="141"/>
        <v>0</v>
      </c>
      <c r="AT598" s="25">
        <f>SUMIFS(инфо!$I$15:$I$28,инфо!$A$15:$A$28,F598)</f>
        <v>0</v>
      </c>
      <c r="AU598" s="35">
        <f t="shared" si="146"/>
        <v>0</v>
      </c>
      <c r="AV598" s="14">
        <f t="shared" si="142"/>
        <v>0</v>
      </c>
      <c r="AX598" s="69">
        <f>SUMIFS(инфо!$C$15:$C$28,инфо!$A$15:$A$28,F598)*H597</f>
        <v>0</v>
      </c>
    </row>
    <row r="599" spans="1:50" x14ac:dyDescent="0.25">
      <c r="A599" s="70">
        <f t="shared" si="133"/>
        <v>46363</v>
      </c>
      <c r="B599" s="75"/>
      <c r="C599" s="29"/>
      <c r="D599" s="30"/>
      <c r="E599" s="83"/>
      <c r="F599" s="28"/>
      <c r="G599" s="27"/>
      <c r="H599" s="20"/>
      <c r="I599" s="118">
        <f>IFERROR(H599*VLOOKUP(F599,инфо!$A$15:$C$28,3,FALSE)/1000,0)</f>
        <v>0</v>
      </c>
      <c r="J599" s="20"/>
      <c r="K599" s="20"/>
      <c r="L599" s="20"/>
      <c r="M599" s="20"/>
      <c r="N599" s="28"/>
      <c r="O599" s="27"/>
      <c r="P599" s="27"/>
      <c r="Q599" s="27"/>
      <c r="R599" s="27"/>
      <c r="S599" s="67">
        <f t="shared" si="143"/>
        <v>0</v>
      </c>
      <c r="T599" s="29"/>
      <c r="U599" s="30"/>
      <c r="V599" s="27"/>
      <c r="W599" s="81"/>
      <c r="X599" s="27"/>
      <c r="Y599" s="29"/>
      <c r="Z599" s="27"/>
      <c r="AA599" s="27"/>
      <c r="AB599" s="27"/>
      <c r="AC599" s="81"/>
      <c r="AD599" s="30"/>
      <c r="AE599" s="31">
        <f>SUMIFS(инфо!$D$15:$D$28,инфо!$A$15:$A$28,F599)</f>
        <v>0</v>
      </c>
      <c r="AF599" s="35">
        <f t="shared" si="134"/>
        <v>0</v>
      </c>
      <c r="AG599" s="33">
        <f t="shared" si="144"/>
        <v>0</v>
      </c>
      <c r="AH599" s="31">
        <f>SUMIFS(инфо!$E$15:$E$28,инфо!$A$15:$A$28,F599)</f>
        <v>0</v>
      </c>
      <c r="AI599" s="32">
        <f t="shared" si="135"/>
        <v>0</v>
      </c>
      <c r="AJ599" s="33">
        <f t="shared" si="145"/>
        <v>0</v>
      </c>
      <c r="AK599" s="31">
        <f>SUMIFS(инфо!$F$15:$F$28,инфо!$A$15:$A$28,F599)</f>
        <v>0</v>
      </c>
      <c r="AL599" s="32">
        <f t="shared" si="136"/>
        <v>0</v>
      </c>
      <c r="AM599" s="33">
        <f t="shared" si="139"/>
        <v>0</v>
      </c>
      <c r="AN599" s="31">
        <f>SUMIFS(инфо!$G$15:$G$28,инфо!$A$15:$A$28,F599)</f>
        <v>0</v>
      </c>
      <c r="AO599" s="32">
        <f t="shared" si="137"/>
        <v>0</v>
      </c>
      <c r="AP599" s="33">
        <f t="shared" si="140"/>
        <v>0</v>
      </c>
      <c r="AQ599" s="31">
        <f>SUMIFS(инфо!$H$15:$H$28,инфо!$A$15:$A$28,F599)</f>
        <v>0</v>
      </c>
      <c r="AR599" s="32">
        <f t="shared" si="138"/>
        <v>0</v>
      </c>
      <c r="AS599" s="33">
        <f t="shared" si="141"/>
        <v>0</v>
      </c>
      <c r="AT599" s="31">
        <f>SUMIFS(инфо!$I$15:$I$28,инфо!$A$15:$A$28,F599)</f>
        <v>0</v>
      </c>
      <c r="AU599" s="35">
        <f t="shared" si="146"/>
        <v>0</v>
      </c>
      <c r="AV599" s="33">
        <f t="shared" si="142"/>
        <v>0</v>
      </c>
      <c r="AX599" s="67">
        <f>SUMIFS(инфо!$C$15:$C$28,инфо!$A$15:$A$28,F599)*H598</f>
        <v>0</v>
      </c>
    </row>
    <row r="600" spans="1:50" x14ac:dyDescent="0.25">
      <c r="A600" s="70">
        <f t="shared" si="133"/>
        <v>46364</v>
      </c>
      <c r="B600" s="76"/>
      <c r="C600" s="15"/>
      <c r="D600" s="16"/>
      <c r="E600" s="83"/>
      <c r="F600" s="28"/>
      <c r="G600" s="34"/>
      <c r="H600" s="20"/>
      <c r="I600" s="118">
        <f>IFERROR(H600*VLOOKUP(F600,инфо!$A$15:$C$28,3,FALSE)/1000,0)</f>
        <v>0</v>
      </c>
      <c r="J600" s="20"/>
      <c r="K600" s="20"/>
      <c r="L600" s="20"/>
      <c r="M600" s="20"/>
      <c r="N600" s="20"/>
      <c r="O600" s="34"/>
      <c r="P600" s="34"/>
      <c r="Q600" s="34"/>
      <c r="R600" s="34"/>
      <c r="S600" s="68">
        <f t="shared" si="143"/>
        <v>0</v>
      </c>
      <c r="T600" s="15"/>
      <c r="U600" s="16"/>
      <c r="V600" s="34"/>
      <c r="W600" s="81"/>
      <c r="X600" s="34"/>
      <c r="Y600" s="15"/>
      <c r="Z600" s="34"/>
      <c r="AA600" s="34"/>
      <c r="AB600" s="34"/>
      <c r="AC600" s="81"/>
      <c r="AD600" s="16"/>
      <c r="AE600" s="24">
        <f>SUMIFS(инфо!$D$15:$D$28,инфо!$A$15:$A$28,F600)</f>
        <v>0</v>
      </c>
      <c r="AF600" s="35">
        <f t="shared" si="134"/>
        <v>0</v>
      </c>
      <c r="AG600" s="12">
        <f t="shared" si="144"/>
        <v>0</v>
      </c>
      <c r="AH600" s="24">
        <f>SUMIFS(инфо!$E$15:$E$28,инфо!$A$15:$A$28,F600)</f>
        <v>0</v>
      </c>
      <c r="AI600" s="32">
        <f t="shared" si="135"/>
        <v>0</v>
      </c>
      <c r="AJ600" s="12">
        <f t="shared" si="145"/>
        <v>0</v>
      </c>
      <c r="AK600" s="24">
        <f>SUMIFS(инфо!$F$15:$F$28,инфо!$A$15:$A$28,F600)</f>
        <v>0</v>
      </c>
      <c r="AL600" s="32">
        <f t="shared" si="136"/>
        <v>0</v>
      </c>
      <c r="AM600" s="12">
        <f t="shared" si="139"/>
        <v>0</v>
      </c>
      <c r="AN600" s="24">
        <f>SUMIFS(инфо!$G$15:$G$28,инфо!$A$15:$A$28,F600)</f>
        <v>0</v>
      </c>
      <c r="AO600" s="32">
        <f t="shared" si="137"/>
        <v>0</v>
      </c>
      <c r="AP600" s="12">
        <f t="shared" si="140"/>
        <v>0</v>
      </c>
      <c r="AQ600" s="24">
        <f>SUMIFS(инфо!$H$15:$H$28,инфо!$A$15:$A$28,F600)</f>
        <v>0</v>
      </c>
      <c r="AR600" s="35">
        <f t="shared" si="138"/>
        <v>0</v>
      </c>
      <c r="AS600" s="12">
        <f t="shared" si="141"/>
        <v>0</v>
      </c>
      <c r="AT600" s="24">
        <f>SUMIFS(инфо!$I$15:$I$28,инфо!$A$15:$A$28,F600)</f>
        <v>0</v>
      </c>
      <c r="AU600" s="35">
        <f t="shared" si="146"/>
        <v>0</v>
      </c>
      <c r="AV600" s="12">
        <f t="shared" si="142"/>
        <v>0</v>
      </c>
      <c r="AX600" s="68">
        <f>SUMIFS(инфо!$C$15:$C$28,инфо!$A$15:$A$28,F600)*H599</f>
        <v>0</v>
      </c>
    </row>
    <row r="601" spans="1:50" x14ac:dyDescent="0.25">
      <c r="A601" s="70">
        <f t="shared" si="133"/>
        <v>46364</v>
      </c>
      <c r="B601" s="76"/>
      <c r="C601" s="15"/>
      <c r="D601" s="16"/>
      <c r="E601" s="83"/>
      <c r="F601" s="28"/>
      <c r="G601" s="34"/>
      <c r="H601" s="23"/>
      <c r="I601" s="118">
        <f>IFERROR(H601*VLOOKUP(F601,инфо!$A$15:$C$28,3,FALSE)/1000,0)</f>
        <v>0</v>
      </c>
      <c r="J601" s="20"/>
      <c r="K601" s="20"/>
      <c r="L601" s="20"/>
      <c r="M601" s="20"/>
      <c r="N601" s="20"/>
      <c r="O601" s="34"/>
      <c r="P601" s="34"/>
      <c r="Q601" s="34"/>
      <c r="R601" s="34"/>
      <c r="S601" s="68">
        <f t="shared" si="143"/>
        <v>0</v>
      </c>
      <c r="T601" s="15"/>
      <c r="U601" s="16"/>
      <c r="V601" s="34"/>
      <c r="W601" s="81"/>
      <c r="X601" s="34"/>
      <c r="Y601" s="15"/>
      <c r="Z601" s="34"/>
      <c r="AA601" s="34"/>
      <c r="AB601" s="34"/>
      <c r="AC601" s="81"/>
      <c r="AD601" s="16"/>
      <c r="AE601" s="24">
        <f>SUMIFS(инфо!$D$15:$D$28,инфо!$A$15:$A$28,F601)</f>
        <v>0</v>
      </c>
      <c r="AF601" s="35">
        <f t="shared" si="134"/>
        <v>0</v>
      </c>
      <c r="AG601" s="12">
        <f t="shared" si="144"/>
        <v>0</v>
      </c>
      <c r="AH601" s="24">
        <f>SUMIFS(инфо!$E$15:$E$28,инфо!$A$15:$A$28,F601)</f>
        <v>0</v>
      </c>
      <c r="AI601" s="32">
        <f t="shared" si="135"/>
        <v>0</v>
      </c>
      <c r="AJ601" s="12">
        <f t="shared" si="145"/>
        <v>0</v>
      </c>
      <c r="AK601" s="24">
        <f>SUMIFS(инфо!$F$15:$F$28,инфо!$A$15:$A$28,F601)</f>
        <v>0</v>
      </c>
      <c r="AL601" s="32">
        <f t="shared" si="136"/>
        <v>0</v>
      </c>
      <c r="AM601" s="12">
        <f t="shared" si="139"/>
        <v>0</v>
      </c>
      <c r="AN601" s="24">
        <f>SUMIFS(инфо!$G$15:$G$28,инфо!$A$15:$A$28,F601)</f>
        <v>0</v>
      </c>
      <c r="AO601" s="32">
        <f t="shared" si="137"/>
        <v>0</v>
      </c>
      <c r="AP601" s="12">
        <f t="shared" si="140"/>
        <v>0</v>
      </c>
      <c r="AQ601" s="24">
        <f>SUMIFS(инфо!$H$15:$H$28,инфо!$A$15:$A$28,F601)</f>
        <v>0</v>
      </c>
      <c r="AR601" s="35">
        <f t="shared" si="138"/>
        <v>0</v>
      </c>
      <c r="AS601" s="12">
        <f t="shared" si="141"/>
        <v>0</v>
      </c>
      <c r="AT601" s="24">
        <f>SUMIFS(инфо!$I$15:$I$28,инфо!$A$15:$A$28,F601)</f>
        <v>0</v>
      </c>
      <c r="AU601" s="35">
        <f t="shared" si="146"/>
        <v>0</v>
      </c>
      <c r="AV601" s="12">
        <f t="shared" si="142"/>
        <v>0</v>
      </c>
      <c r="AX601" s="68">
        <f>SUMIFS(инфо!$C$15:$C$28,инфо!$A$15:$A$28,F601)*H600</f>
        <v>0</v>
      </c>
    </row>
    <row r="602" spans="1:50" x14ac:dyDescent="0.25">
      <c r="A602" s="70">
        <f t="shared" si="133"/>
        <v>46365</v>
      </c>
      <c r="B602" s="77"/>
      <c r="C602" s="17"/>
      <c r="D602" s="18"/>
      <c r="E602" s="83"/>
      <c r="F602" s="28"/>
      <c r="G602" s="19"/>
      <c r="H602" s="28"/>
      <c r="I602" s="118">
        <f>IFERROR(H602*VLOOKUP(F602,инфо!$A$15:$C$28,3,FALSE)/1000,0)</f>
        <v>0</v>
      </c>
      <c r="J602" s="20"/>
      <c r="K602" s="20"/>
      <c r="L602" s="20"/>
      <c r="M602" s="20"/>
      <c r="N602" s="23"/>
      <c r="O602" s="19"/>
      <c r="P602" s="19"/>
      <c r="Q602" s="19"/>
      <c r="R602" s="19"/>
      <c r="S602" s="69">
        <f t="shared" si="143"/>
        <v>0</v>
      </c>
      <c r="T602" s="17"/>
      <c r="U602" s="18"/>
      <c r="V602" s="19"/>
      <c r="W602" s="81"/>
      <c r="X602" s="19"/>
      <c r="Y602" s="17"/>
      <c r="Z602" s="19"/>
      <c r="AA602" s="19"/>
      <c r="AB602" s="19"/>
      <c r="AC602" s="81"/>
      <c r="AD602" s="18"/>
      <c r="AE602" s="25">
        <f>SUMIFS(инфо!$D$15:$D$28,инфо!$A$15:$A$28,F602)</f>
        <v>0</v>
      </c>
      <c r="AF602" s="35">
        <f t="shared" si="134"/>
        <v>0</v>
      </c>
      <c r="AG602" s="14">
        <f t="shared" si="144"/>
        <v>0</v>
      </c>
      <c r="AH602" s="25">
        <f>SUMIFS(инфо!$E$15:$E$28,инфо!$A$15:$A$28,F602)</f>
        <v>0</v>
      </c>
      <c r="AI602" s="32">
        <f t="shared" si="135"/>
        <v>0</v>
      </c>
      <c r="AJ602" s="14">
        <f t="shared" si="145"/>
        <v>0</v>
      </c>
      <c r="AK602" s="25">
        <f>SUMIFS(инфо!$F$15:$F$28,инфо!$A$15:$A$28,F602)</f>
        <v>0</v>
      </c>
      <c r="AL602" s="32">
        <f t="shared" si="136"/>
        <v>0</v>
      </c>
      <c r="AM602" s="14">
        <f t="shared" si="139"/>
        <v>0</v>
      </c>
      <c r="AN602" s="25">
        <f>SUMIFS(инфо!$G$15:$G$28,инфо!$A$15:$A$28,F602)</f>
        <v>0</v>
      </c>
      <c r="AO602" s="32">
        <f t="shared" si="137"/>
        <v>0</v>
      </c>
      <c r="AP602" s="14">
        <f t="shared" si="140"/>
        <v>0</v>
      </c>
      <c r="AQ602" s="25">
        <f>SUMIFS(инфо!$H$15:$H$28,инфо!$A$15:$A$28,F602)</f>
        <v>0</v>
      </c>
      <c r="AR602" s="26">
        <f t="shared" si="138"/>
        <v>0</v>
      </c>
      <c r="AS602" s="14">
        <f t="shared" si="141"/>
        <v>0</v>
      </c>
      <c r="AT602" s="25">
        <f>SUMIFS(инфо!$I$15:$I$28,инфо!$A$15:$A$28,F602)</f>
        <v>0</v>
      </c>
      <c r="AU602" s="35">
        <f t="shared" si="146"/>
        <v>0</v>
      </c>
      <c r="AV602" s="14">
        <f t="shared" si="142"/>
        <v>0</v>
      </c>
      <c r="AX602" s="69">
        <f>SUMIFS(инфо!$C$15:$C$28,инфо!$A$15:$A$28,F602)*H601</f>
        <v>0</v>
      </c>
    </row>
    <row r="603" spans="1:50" x14ac:dyDescent="0.25">
      <c r="A603" s="70">
        <f t="shared" si="133"/>
        <v>46365</v>
      </c>
      <c r="B603" s="75"/>
      <c r="C603" s="29"/>
      <c r="D603" s="30"/>
      <c r="E603" s="83"/>
      <c r="F603" s="28"/>
      <c r="G603" s="27"/>
      <c r="H603" s="20"/>
      <c r="I603" s="118">
        <f>IFERROR(H603*VLOOKUP(F603,инфо!$A$15:$C$28,3,FALSE)/1000,0)</f>
        <v>0</v>
      </c>
      <c r="J603" s="20"/>
      <c r="K603" s="20"/>
      <c r="L603" s="20"/>
      <c r="M603" s="20"/>
      <c r="N603" s="28"/>
      <c r="O603" s="27"/>
      <c r="P603" s="27"/>
      <c r="Q603" s="27"/>
      <c r="R603" s="27"/>
      <c r="S603" s="67">
        <f t="shared" si="143"/>
        <v>0</v>
      </c>
      <c r="T603" s="29"/>
      <c r="U603" s="30"/>
      <c r="V603" s="27"/>
      <c r="W603" s="81"/>
      <c r="X603" s="27"/>
      <c r="Y603" s="29"/>
      <c r="Z603" s="27"/>
      <c r="AA603" s="27"/>
      <c r="AB603" s="27"/>
      <c r="AC603" s="81"/>
      <c r="AD603" s="30"/>
      <c r="AE603" s="31">
        <f>SUMIFS(инфо!$D$15:$D$28,инфо!$A$15:$A$28,F603)</f>
        <v>0</v>
      </c>
      <c r="AF603" s="35">
        <f t="shared" si="134"/>
        <v>0</v>
      </c>
      <c r="AG603" s="33">
        <f t="shared" si="144"/>
        <v>0</v>
      </c>
      <c r="AH603" s="31">
        <f>SUMIFS(инфо!$E$15:$E$28,инфо!$A$15:$A$28,F603)</f>
        <v>0</v>
      </c>
      <c r="AI603" s="32">
        <f t="shared" si="135"/>
        <v>0</v>
      </c>
      <c r="AJ603" s="33">
        <f t="shared" si="145"/>
        <v>0</v>
      </c>
      <c r="AK603" s="31">
        <f>SUMIFS(инфо!$F$15:$F$28,инфо!$A$15:$A$28,F603)</f>
        <v>0</v>
      </c>
      <c r="AL603" s="32">
        <f t="shared" si="136"/>
        <v>0</v>
      </c>
      <c r="AM603" s="33">
        <f t="shared" si="139"/>
        <v>0</v>
      </c>
      <c r="AN603" s="31">
        <f>SUMIFS(инфо!$G$15:$G$28,инфо!$A$15:$A$28,F603)</f>
        <v>0</v>
      </c>
      <c r="AO603" s="32">
        <f t="shared" si="137"/>
        <v>0</v>
      </c>
      <c r="AP603" s="33">
        <f t="shared" si="140"/>
        <v>0</v>
      </c>
      <c r="AQ603" s="31">
        <f>SUMIFS(инфо!$H$15:$H$28,инфо!$A$15:$A$28,F603)</f>
        <v>0</v>
      </c>
      <c r="AR603" s="32">
        <f t="shared" si="138"/>
        <v>0</v>
      </c>
      <c r="AS603" s="33">
        <f t="shared" si="141"/>
        <v>0</v>
      </c>
      <c r="AT603" s="31">
        <f>SUMIFS(инфо!$I$15:$I$28,инфо!$A$15:$A$28,F603)</f>
        <v>0</v>
      </c>
      <c r="AU603" s="35">
        <f t="shared" si="146"/>
        <v>0</v>
      </c>
      <c r="AV603" s="33">
        <f t="shared" si="142"/>
        <v>0</v>
      </c>
      <c r="AX603" s="67">
        <f>SUMIFS(инфо!$C$15:$C$28,инфо!$A$15:$A$28,F603)*H602</f>
        <v>0</v>
      </c>
    </row>
    <row r="604" spans="1:50" x14ac:dyDescent="0.25">
      <c r="A604" s="70">
        <f t="shared" ref="A604:A667" si="147">A602+1</f>
        <v>46366</v>
      </c>
      <c r="B604" s="76"/>
      <c r="C604" s="15"/>
      <c r="D604" s="16"/>
      <c r="E604" s="83"/>
      <c r="F604" s="28"/>
      <c r="G604" s="34"/>
      <c r="H604" s="20"/>
      <c r="I604" s="118">
        <f>IFERROR(H604*VLOOKUP(F604,инфо!$A$15:$C$28,3,FALSE)/1000,0)</f>
        <v>0</v>
      </c>
      <c r="J604" s="20"/>
      <c r="K604" s="20"/>
      <c r="L604" s="20"/>
      <c r="M604" s="20"/>
      <c r="N604" s="20"/>
      <c r="O604" s="34"/>
      <c r="P604" s="34"/>
      <c r="Q604" s="34"/>
      <c r="R604" s="34"/>
      <c r="S604" s="68">
        <f t="shared" si="143"/>
        <v>0</v>
      </c>
      <c r="T604" s="15"/>
      <c r="U604" s="16"/>
      <c r="V604" s="34"/>
      <c r="W604" s="81"/>
      <c r="X604" s="34"/>
      <c r="Y604" s="15"/>
      <c r="Z604" s="34"/>
      <c r="AA604" s="34"/>
      <c r="AB604" s="34"/>
      <c r="AC604" s="81"/>
      <c r="AD604" s="16"/>
      <c r="AE604" s="24">
        <f>SUMIFS(инфо!$D$15:$D$28,инфо!$A$15:$A$28,F604)</f>
        <v>0</v>
      </c>
      <c r="AF604" s="35">
        <f t="shared" si="134"/>
        <v>0</v>
      </c>
      <c r="AG604" s="12">
        <f t="shared" si="144"/>
        <v>0</v>
      </c>
      <c r="AH604" s="24">
        <f>SUMIFS(инфо!$E$15:$E$28,инфо!$A$15:$A$28,F604)</f>
        <v>0</v>
      </c>
      <c r="AI604" s="32">
        <f t="shared" si="135"/>
        <v>0</v>
      </c>
      <c r="AJ604" s="12">
        <f t="shared" si="145"/>
        <v>0</v>
      </c>
      <c r="AK604" s="24">
        <f>SUMIFS(инфо!$F$15:$F$28,инфо!$A$15:$A$28,F604)</f>
        <v>0</v>
      </c>
      <c r="AL604" s="32">
        <f t="shared" si="136"/>
        <v>0</v>
      </c>
      <c r="AM604" s="12">
        <f t="shared" si="139"/>
        <v>0</v>
      </c>
      <c r="AN604" s="24">
        <f>SUMIFS(инфо!$G$15:$G$28,инфо!$A$15:$A$28,F604)</f>
        <v>0</v>
      </c>
      <c r="AO604" s="32">
        <f t="shared" si="137"/>
        <v>0</v>
      </c>
      <c r="AP604" s="12">
        <f t="shared" si="140"/>
        <v>0</v>
      </c>
      <c r="AQ604" s="24">
        <f>SUMIFS(инфо!$H$15:$H$28,инфо!$A$15:$A$28,F604)</f>
        <v>0</v>
      </c>
      <c r="AR604" s="35">
        <f t="shared" si="138"/>
        <v>0</v>
      </c>
      <c r="AS604" s="12">
        <f t="shared" si="141"/>
        <v>0</v>
      </c>
      <c r="AT604" s="24">
        <f>SUMIFS(инфо!$I$15:$I$28,инфо!$A$15:$A$28,F604)</f>
        <v>0</v>
      </c>
      <c r="AU604" s="35">
        <f t="shared" si="146"/>
        <v>0</v>
      </c>
      <c r="AV604" s="12">
        <f t="shared" si="142"/>
        <v>0</v>
      </c>
      <c r="AX604" s="68">
        <f>SUMIFS(инфо!$C$15:$C$28,инфо!$A$15:$A$28,F604)*H603</f>
        <v>0</v>
      </c>
    </row>
    <row r="605" spans="1:50" x14ac:dyDescent="0.25">
      <c r="A605" s="70">
        <f t="shared" si="147"/>
        <v>46366</v>
      </c>
      <c r="B605" s="76"/>
      <c r="C605" s="15"/>
      <c r="D605" s="16"/>
      <c r="E605" s="83"/>
      <c r="F605" s="28"/>
      <c r="G605" s="34"/>
      <c r="H605" s="23"/>
      <c r="I605" s="118">
        <f>IFERROR(H605*VLOOKUP(F605,инфо!$A$15:$C$28,3,FALSE)/1000,0)</f>
        <v>0</v>
      </c>
      <c r="J605" s="20"/>
      <c r="K605" s="20"/>
      <c r="L605" s="20"/>
      <c r="M605" s="20"/>
      <c r="N605" s="20"/>
      <c r="O605" s="34"/>
      <c r="P605" s="34"/>
      <c r="Q605" s="34"/>
      <c r="R605" s="34"/>
      <c r="S605" s="68">
        <f t="shared" si="143"/>
        <v>0</v>
      </c>
      <c r="T605" s="15"/>
      <c r="U605" s="16"/>
      <c r="V605" s="34"/>
      <c r="W605" s="81"/>
      <c r="X605" s="34"/>
      <c r="Y605" s="15"/>
      <c r="Z605" s="34"/>
      <c r="AA605" s="34"/>
      <c r="AB605" s="34"/>
      <c r="AC605" s="81"/>
      <c r="AD605" s="16"/>
      <c r="AE605" s="24">
        <f>SUMIFS(инфо!$D$15:$D$28,инфо!$A$15:$A$28,F605)</f>
        <v>0</v>
      </c>
      <c r="AF605" s="35">
        <f t="shared" si="134"/>
        <v>0</v>
      </c>
      <c r="AG605" s="12">
        <f t="shared" si="144"/>
        <v>0</v>
      </c>
      <c r="AH605" s="24">
        <f>SUMIFS(инфо!$E$15:$E$28,инфо!$A$15:$A$28,F605)</f>
        <v>0</v>
      </c>
      <c r="AI605" s="32">
        <f t="shared" si="135"/>
        <v>0</v>
      </c>
      <c r="AJ605" s="12">
        <f t="shared" si="145"/>
        <v>0</v>
      </c>
      <c r="AK605" s="24">
        <f>SUMIFS(инфо!$F$15:$F$28,инфо!$A$15:$A$28,F605)</f>
        <v>0</v>
      </c>
      <c r="AL605" s="32">
        <f t="shared" si="136"/>
        <v>0</v>
      </c>
      <c r="AM605" s="12">
        <f t="shared" si="139"/>
        <v>0</v>
      </c>
      <c r="AN605" s="24">
        <f>SUMIFS(инфо!$G$15:$G$28,инфо!$A$15:$A$28,F605)</f>
        <v>0</v>
      </c>
      <c r="AO605" s="32">
        <f t="shared" si="137"/>
        <v>0</v>
      </c>
      <c r="AP605" s="12">
        <f t="shared" si="140"/>
        <v>0</v>
      </c>
      <c r="AQ605" s="24">
        <f>SUMIFS(инфо!$H$15:$H$28,инфо!$A$15:$A$28,F605)</f>
        <v>0</v>
      </c>
      <c r="AR605" s="35">
        <f t="shared" si="138"/>
        <v>0</v>
      </c>
      <c r="AS605" s="12">
        <f t="shared" si="141"/>
        <v>0</v>
      </c>
      <c r="AT605" s="24">
        <f>SUMIFS(инфо!$I$15:$I$28,инфо!$A$15:$A$28,F605)</f>
        <v>0</v>
      </c>
      <c r="AU605" s="35">
        <f t="shared" si="146"/>
        <v>0</v>
      </c>
      <c r="AV605" s="12">
        <f t="shared" si="142"/>
        <v>0</v>
      </c>
      <c r="AX605" s="68">
        <f>SUMIFS(инфо!$C$15:$C$28,инфо!$A$15:$A$28,F605)*H604</f>
        <v>0</v>
      </c>
    </row>
    <row r="606" spans="1:50" x14ac:dyDescent="0.25">
      <c r="A606" s="70">
        <f t="shared" si="147"/>
        <v>46367</v>
      </c>
      <c r="B606" s="77"/>
      <c r="C606" s="17"/>
      <c r="D606" s="18"/>
      <c r="E606" s="83"/>
      <c r="F606" s="28"/>
      <c r="G606" s="19"/>
      <c r="H606" s="28"/>
      <c r="I606" s="118">
        <f>IFERROR(H606*VLOOKUP(F606,инфо!$A$15:$C$28,3,FALSE)/1000,0)</f>
        <v>0</v>
      </c>
      <c r="J606" s="20"/>
      <c r="K606" s="20"/>
      <c r="L606" s="20"/>
      <c r="M606" s="20"/>
      <c r="N606" s="23"/>
      <c r="O606" s="19"/>
      <c r="P606" s="19"/>
      <c r="Q606" s="19"/>
      <c r="R606" s="19"/>
      <c r="S606" s="69">
        <f t="shared" si="143"/>
        <v>0</v>
      </c>
      <c r="T606" s="17"/>
      <c r="U606" s="18"/>
      <c r="V606" s="19"/>
      <c r="W606" s="81"/>
      <c r="X606" s="19"/>
      <c r="Y606" s="17"/>
      <c r="Z606" s="19"/>
      <c r="AA606" s="19"/>
      <c r="AB606" s="19"/>
      <c r="AC606" s="81"/>
      <c r="AD606" s="18"/>
      <c r="AE606" s="25">
        <f>SUMIFS(инфо!$D$15:$D$28,инфо!$A$15:$A$28,F606)</f>
        <v>0</v>
      </c>
      <c r="AF606" s="35">
        <f t="shared" si="134"/>
        <v>0</v>
      </c>
      <c r="AG606" s="14">
        <f t="shared" si="144"/>
        <v>0</v>
      </c>
      <c r="AH606" s="25">
        <f>SUMIFS(инфо!$E$15:$E$28,инфо!$A$15:$A$28,F606)</f>
        <v>0</v>
      </c>
      <c r="AI606" s="32">
        <f t="shared" si="135"/>
        <v>0</v>
      </c>
      <c r="AJ606" s="14">
        <f t="shared" si="145"/>
        <v>0</v>
      </c>
      <c r="AK606" s="25">
        <f>SUMIFS(инфо!$F$15:$F$28,инфо!$A$15:$A$28,F606)</f>
        <v>0</v>
      </c>
      <c r="AL606" s="32">
        <f t="shared" si="136"/>
        <v>0</v>
      </c>
      <c r="AM606" s="14">
        <f t="shared" si="139"/>
        <v>0</v>
      </c>
      <c r="AN606" s="25">
        <f>SUMIFS(инфо!$G$15:$G$28,инфо!$A$15:$A$28,F606)</f>
        <v>0</v>
      </c>
      <c r="AO606" s="32">
        <f t="shared" si="137"/>
        <v>0</v>
      </c>
      <c r="AP606" s="14">
        <f t="shared" si="140"/>
        <v>0</v>
      </c>
      <c r="AQ606" s="25">
        <f>SUMIFS(инфо!$H$15:$H$28,инфо!$A$15:$A$28,F606)</f>
        <v>0</v>
      </c>
      <c r="AR606" s="26">
        <f t="shared" si="138"/>
        <v>0</v>
      </c>
      <c r="AS606" s="14">
        <f t="shared" si="141"/>
        <v>0</v>
      </c>
      <c r="AT606" s="25">
        <f>SUMIFS(инфо!$I$15:$I$28,инфо!$A$15:$A$28,F606)</f>
        <v>0</v>
      </c>
      <c r="AU606" s="35">
        <f t="shared" si="146"/>
        <v>0</v>
      </c>
      <c r="AV606" s="14">
        <f t="shared" si="142"/>
        <v>0</v>
      </c>
      <c r="AX606" s="69">
        <f>SUMIFS(инфо!$C$15:$C$28,инфо!$A$15:$A$28,F606)*H605</f>
        <v>0</v>
      </c>
    </row>
    <row r="607" spans="1:50" x14ac:dyDescent="0.25">
      <c r="A607" s="70">
        <f t="shared" si="147"/>
        <v>46367</v>
      </c>
      <c r="B607" s="75"/>
      <c r="C607" s="29"/>
      <c r="D607" s="30"/>
      <c r="E607" s="83"/>
      <c r="F607" s="28"/>
      <c r="G607" s="27"/>
      <c r="H607" s="20"/>
      <c r="I607" s="118">
        <f>IFERROR(H607*VLOOKUP(F607,инфо!$A$15:$C$28,3,FALSE)/1000,0)</f>
        <v>0</v>
      </c>
      <c r="J607" s="20"/>
      <c r="K607" s="20"/>
      <c r="L607" s="20"/>
      <c r="M607" s="20"/>
      <c r="N607" s="28"/>
      <c r="O607" s="27"/>
      <c r="P607" s="27"/>
      <c r="Q607" s="27"/>
      <c r="R607" s="27"/>
      <c r="S607" s="67">
        <f t="shared" si="143"/>
        <v>0</v>
      </c>
      <c r="T607" s="29"/>
      <c r="U607" s="30"/>
      <c r="V607" s="27"/>
      <c r="W607" s="81"/>
      <c r="X607" s="27"/>
      <c r="Y607" s="29"/>
      <c r="Z607" s="27"/>
      <c r="AA607" s="27"/>
      <c r="AB607" s="27"/>
      <c r="AC607" s="81"/>
      <c r="AD607" s="30"/>
      <c r="AE607" s="31">
        <f>SUMIFS(инфо!$D$15:$D$28,инфо!$A$15:$A$28,F607)</f>
        <v>0</v>
      </c>
      <c r="AF607" s="35">
        <f t="shared" si="134"/>
        <v>0</v>
      </c>
      <c r="AG607" s="33">
        <f t="shared" si="144"/>
        <v>0</v>
      </c>
      <c r="AH607" s="31">
        <f>SUMIFS(инфо!$E$15:$E$28,инфо!$A$15:$A$28,F607)</f>
        <v>0</v>
      </c>
      <c r="AI607" s="32">
        <f t="shared" si="135"/>
        <v>0</v>
      </c>
      <c r="AJ607" s="33">
        <f t="shared" si="145"/>
        <v>0</v>
      </c>
      <c r="AK607" s="31">
        <f>SUMIFS(инфо!$F$15:$F$28,инфо!$A$15:$A$28,F607)</f>
        <v>0</v>
      </c>
      <c r="AL607" s="32">
        <f t="shared" si="136"/>
        <v>0</v>
      </c>
      <c r="AM607" s="33">
        <f t="shared" si="139"/>
        <v>0</v>
      </c>
      <c r="AN607" s="31">
        <f>SUMIFS(инфо!$G$15:$G$28,инфо!$A$15:$A$28,F607)</f>
        <v>0</v>
      </c>
      <c r="AO607" s="32">
        <f t="shared" si="137"/>
        <v>0</v>
      </c>
      <c r="AP607" s="33">
        <f t="shared" si="140"/>
        <v>0</v>
      </c>
      <c r="AQ607" s="31">
        <f>SUMIFS(инфо!$H$15:$H$28,инфо!$A$15:$A$28,F607)</f>
        <v>0</v>
      </c>
      <c r="AR607" s="32">
        <f t="shared" si="138"/>
        <v>0</v>
      </c>
      <c r="AS607" s="33">
        <f t="shared" si="141"/>
        <v>0</v>
      </c>
      <c r="AT607" s="31">
        <f>SUMIFS(инфо!$I$15:$I$28,инфо!$A$15:$A$28,F607)</f>
        <v>0</v>
      </c>
      <c r="AU607" s="35">
        <f t="shared" si="146"/>
        <v>0</v>
      </c>
      <c r="AV607" s="33">
        <f t="shared" si="142"/>
        <v>0</v>
      </c>
      <c r="AX607" s="67">
        <f>SUMIFS(инфо!$C$15:$C$28,инфо!$A$15:$A$28,F607)*H606</f>
        <v>0</v>
      </c>
    </row>
    <row r="608" spans="1:50" x14ac:dyDescent="0.25">
      <c r="A608" s="70">
        <f t="shared" si="147"/>
        <v>46368</v>
      </c>
      <c r="B608" s="76"/>
      <c r="C608" s="15"/>
      <c r="D608" s="16"/>
      <c r="E608" s="83"/>
      <c r="F608" s="28"/>
      <c r="G608" s="34"/>
      <c r="H608" s="20"/>
      <c r="I608" s="118">
        <f>IFERROR(H608*VLOOKUP(F608,инфо!$A$15:$C$28,3,FALSE)/1000,0)</f>
        <v>0</v>
      </c>
      <c r="J608" s="20"/>
      <c r="K608" s="20"/>
      <c r="L608" s="20"/>
      <c r="M608" s="20"/>
      <c r="N608" s="20"/>
      <c r="O608" s="34"/>
      <c r="P608" s="34"/>
      <c r="Q608" s="34"/>
      <c r="R608" s="34"/>
      <c r="S608" s="68">
        <f t="shared" si="143"/>
        <v>0</v>
      </c>
      <c r="T608" s="15"/>
      <c r="U608" s="16"/>
      <c r="V608" s="34"/>
      <c r="W608" s="81"/>
      <c r="X608" s="34"/>
      <c r="Y608" s="15"/>
      <c r="Z608" s="34"/>
      <c r="AA608" s="34"/>
      <c r="AB608" s="34"/>
      <c r="AC608" s="81"/>
      <c r="AD608" s="16"/>
      <c r="AE608" s="24">
        <f>SUMIFS(инфо!$D$15:$D$28,инфо!$A$15:$A$28,F608)</f>
        <v>0</v>
      </c>
      <c r="AF608" s="35">
        <f t="shared" si="134"/>
        <v>0</v>
      </c>
      <c r="AG608" s="12">
        <f t="shared" si="144"/>
        <v>0</v>
      </c>
      <c r="AH608" s="24">
        <f>SUMIFS(инфо!$E$15:$E$28,инфо!$A$15:$A$28,F608)</f>
        <v>0</v>
      </c>
      <c r="AI608" s="32">
        <f t="shared" si="135"/>
        <v>0</v>
      </c>
      <c r="AJ608" s="12">
        <f t="shared" si="145"/>
        <v>0</v>
      </c>
      <c r="AK608" s="24">
        <f>SUMIFS(инфо!$F$15:$F$28,инфо!$A$15:$A$28,F608)</f>
        <v>0</v>
      </c>
      <c r="AL608" s="32">
        <f t="shared" si="136"/>
        <v>0</v>
      </c>
      <c r="AM608" s="12">
        <f t="shared" si="139"/>
        <v>0</v>
      </c>
      <c r="AN608" s="24">
        <f>SUMIFS(инфо!$G$15:$G$28,инфо!$A$15:$A$28,F608)</f>
        <v>0</v>
      </c>
      <c r="AO608" s="32">
        <f t="shared" si="137"/>
        <v>0</v>
      </c>
      <c r="AP608" s="12">
        <f t="shared" si="140"/>
        <v>0</v>
      </c>
      <c r="AQ608" s="24">
        <f>SUMIFS(инфо!$H$15:$H$28,инфо!$A$15:$A$28,F608)</f>
        <v>0</v>
      </c>
      <c r="AR608" s="35">
        <f t="shared" si="138"/>
        <v>0</v>
      </c>
      <c r="AS608" s="12">
        <f t="shared" si="141"/>
        <v>0</v>
      </c>
      <c r="AT608" s="24">
        <f>SUMIFS(инфо!$I$15:$I$28,инфо!$A$15:$A$28,F608)</f>
        <v>0</v>
      </c>
      <c r="AU608" s="35">
        <f t="shared" si="146"/>
        <v>0</v>
      </c>
      <c r="AV608" s="12">
        <f t="shared" si="142"/>
        <v>0</v>
      </c>
      <c r="AX608" s="68">
        <f>SUMIFS(инфо!$C$15:$C$28,инфо!$A$15:$A$28,F608)*H607</f>
        <v>0</v>
      </c>
    </row>
    <row r="609" spans="1:50" x14ac:dyDescent="0.25">
      <c r="A609" s="70">
        <f t="shared" si="147"/>
        <v>46368</v>
      </c>
      <c r="B609" s="76"/>
      <c r="C609" s="15"/>
      <c r="D609" s="16"/>
      <c r="E609" s="83"/>
      <c r="F609" s="28"/>
      <c r="G609" s="34"/>
      <c r="H609" s="23"/>
      <c r="I609" s="118">
        <f>IFERROR(H609*VLOOKUP(F609,инфо!$A$15:$C$28,3,FALSE)/1000,0)</f>
        <v>0</v>
      </c>
      <c r="J609" s="20"/>
      <c r="K609" s="20"/>
      <c r="L609" s="20"/>
      <c r="M609" s="20"/>
      <c r="N609" s="20"/>
      <c r="O609" s="34"/>
      <c r="P609" s="34"/>
      <c r="Q609" s="34"/>
      <c r="R609" s="34"/>
      <c r="S609" s="68">
        <f t="shared" si="143"/>
        <v>0</v>
      </c>
      <c r="T609" s="15"/>
      <c r="U609" s="16"/>
      <c r="V609" s="34"/>
      <c r="W609" s="81"/>
      <c r="X609" s="34"/>
      <c r="Y609" s="15"/>
      <c r="Z609" s="34"/>
      <c r="AA609" s="34"/>
      <c r="AB609" s="34"/>
      <c r="AC609" s="81"/>
      <c r="AD609" s="16"/>
      <c r="AE609" s="24">
        <f>SUMIFS(инфо!$D$15:$D$28,инфо!$A$15:$A$28,F609)</f>
        <v>0</v>
      </c>
      <c r="AF609" s="35">
        <f t="shared" si="134"/>
        <v>0</v>
      </c>
      <c r="AG609" s="12">
        <f t="shared" si="144"/>
        <v>0</v>
      </c>
      <c r="AH609" s="24">
        <f>SUMIFS(инфо!$E$15:$E$28,инфо!$A$15:$A$28,F609)</f>
        <v>0</v>
      </c>
      <c r="AI609" s="32">
        <f t="shared" si="135"/>
        <v>0</v>
      </c>
      <c r="AJ609" s="12">
        <f t="shared" si="145"/>
        <v>0</v>
      </c>
      <c r="AK609" s="24">
        <f>SUMIFS(инфо!$F$15:$F$28,инфо!$A$15:$A$28,F609)</f>
        <v>0</v>
      </c>
      <c r="AL609" s="32">
        <f t="shared" si="136"/>
        <v>0</v>
      </c>
      <c r="AM609" s="12">
        <f t="shared" si="139"/>
        <v>0</v>
      </c>
      <c r="AN609" s="24">
        <f>SUMIFS(инфо!$G$15:$G$28,инфо!$A$15:$A$28,F609)</f>
        <v>0</v>
      </c>
      <c r="AO609" s="32">
        <f t="shared" si="137"/>
        <v>0</v>
      </c>
      <c r="AP609" s="12">
        <f t="shared" si="140"/>
        <v>0</v>
      </c>
      <c r="AQ609" s="24">
        <f>SUMIFS(инфо!$H$15:$H$28,инфо!$A$15:$A$28,F609)</f>
        <v>0</v>
      </c>
      <c r="AR609" s="35">
        <f t="shared" si="138"/>
        <v>0</v>
      </c>
      <c r="AS609" s="12">
        <f t="shared" si="141"/>
        <v>0</v>
      </c>
      <c r="AT609" s="24">
        <f>SUMIFS(инфо!$I$15:$I$28,инфо!$A$15:$A$28,F609)</f>
        <v>0</v>
      </c>
      <c r="AU609" s="35">
        <f t="shared" si="146"/>
        <v>0</v>
      </c>
      <c r="AV609" s="12">
        <f t="shared" si="142"/>
        <v>0</v>
      </c>
      <c r="AX609" s="68">
        <f>SUMIFS(инфо!$C$15:$C$28,инфо!$A$15:$A$28,F609)*H608</f>
        <v>0</v>
      </c>
    </row>
    <row r="610" spans="1:50" x14ac:dyDescent="0.25">
      <c r="A610" s="70">
        <f t="shared" si="147"/>
        <v>46369</v>
      </c>
      <c r="B610" s="77"/>
      <c r="C610" s="17"/>
      <c r="D610" s="18"/>
      <c r="E610" s="83"/>
      <c r="F610" s="28"/>
      <c r="G610" s="19"/>
      <c r="H610" s="28"/>
      <c r="I610" s="118">
        <f>IFERROR(H610*VLOOKUP(F610,инфо!$A$15:$C$28,3,FALSE)/1000,0)</f>
        <v>0</v>
      </c>
      <c r="J610" s="20"/>
      <c r="K610" s="20"/>
      <c r="L610" s="20"/>
      <c r="M610" s="20"/>
      <c r="N610" s="23"/>
      <c r="O610" s="19"/>
      <c r="P610" s="19"/>
      <c r="Q610" s="19"/>
      <c r="R610" s="19"/>
      <c r="S610" s="69">
        <f t="shared" si="143"/>
        <v>0</v>
      </c>
      <c r="T610" s="17"/>
      <c r="U610" s="18"/>
      <c r="V610" s="19"/>
      <c r="W610" s="81"/>
      <c r="X610" s="19"/>
      <c r="Y610" s="17"/>
      <c r="Z610" s="19"/>
      <c r="AA610" s="19"/>
      <c r="AB610" s="19"/>
      <c r="AC610" s="81"/>
      <c r="AD610" s="18"/>
      <c r="AE610" s="25">
        <f>SUMIFS(инфо!$D$15:$D$28,инфо!$A$15:$A$28,F610)</f>
        <v>0</v>
      </c>
      <c r="AF610" s="35">
        <f t="shared" si="134"/>
        <v>0</v>
      </c>
      <c r="AG610" s="14">
        <f t="shared" si="144"/>
        <v>0</v>
      </c>
      <c r="AH610" s="25">
        <f>SUMIFS(инфо!$E$15:$E$28,инфо!$A$15:$A$28,F610)</f>
        <v>0</v>
      </c>
      <c r="AI610" s="32">
        <f t="shared" si="135"/>
        <v>0</v>
      </c>
      <c r="AJ610" s="14">
        <f t="shared" si="145"/>
        <v>0</v>
      </c>
      <c r="AK610" s="25">
        <f>SUMIFS(инфо!$F$15:$F$28,инфо!$A$15:$A$28,F610)</f>
        <v>0</v>
      </c>
      <c r="AL610" s="32">
        <f t="shared" si="136"/>
        <v>0</v>
      </c>
      <c r="AM610" s="14">
        <f t="shared" si="139"/>
        <v>0</v>
      </c>
      <c r="AN610" s="25">
        <f>SUMIFS(инфо!$G$15:$G$28,инфо!$A$15:$A$28,F610)</f>
        <v>0</v>
      </c>
      <c r="AO610" s="32">
        <f t="shared" si="137"/>
        <v>0</v>
      </c>
      <c r="AP610" s="14">
        <f t="shared" si="140"/>
        <v>0</v>
      </c>
      <c r="AQ610" s="25">
        <f>SUMIFS(инфо!$H$15:$H$28,инфо!$A$15:$A$28,F610)</f>
        <v>0</v>
      </c>
      <c r="AR610" s="26">
        <f t="shared" si="138"/>
        <v>0</v>
      </c>
      <c r="AS610" s="14">
        <f t="shared" si="141"/>
        <v>0</v>
      </c>
      <c r="AT610" s="25">
        <f>SUMIFS(инфо!$I$15:$I$28,инфо!$A$15:$A$28,F610)</f>
        <v>0</v>
      </c>
      <c r="AU610" s="35">
        <f t="shared" si="146"/>
        <v>0</v>
      </c>
      <c r="AV610" s="14">
        <f t="shared" si="142"/>
        <v>0</v>
      </c>
      <c r="AX610" s="69">
        <f>SUMIFS(инфо!$C$15:$C$28,инфо!$A$15:$A$28,F610)*H609</f>
        <v>0</v>
      </c>
    </row>
    <row r="611" spans="1:50" x14ac:dyDescent="0.25">
      <c r="A611" s="70">
        <f t="shared" si="147"/>
        <v>46369</v>
      </c>
      <c r="B611" s="75"/>
      <c r="C611" s="29"/>
      <c r="D611" s="30"/>
      <c r="E611" s="83"/>
      <c r="F611" s="28"/>
      <c r="G611" s="27"/>
      <c r="H611" s="20"/>
      <c r="I611" s="118">
        <f>IFERROR(H611*VLOOKUP(F611,инфо!$A$15:$C$28,3,FALSE)/1000,0)</f>
        <v>0</v>
      </c>
      <c r="J611" s="20"/>
      <c r="K611" s="20"/>
      <c r="L611" s="20"/>
      <c r="M611" s="20"/>
      <c r="N611" s="28"/>
      <c r="O611" s="27"/>
      <c r="P611" s="27"/>
      <c r="Q611" s="27"/>
      <c r="R611" s="27"/>
      <c r="S611" s="67">
        <f t="shared" si="143"/>
        <v>0</v>
      </c>
      <c r="T611" s="29"/>
      <c r="U611" s="30"/>
      <c r="V611" s="27"/>
      <c r="W611" s="81"/>
      <c r="X611" s="27"/>
      <c r="Y611" s="29"/>
      <c r="Z611" s="27"/>
      <c r="AA611" s="27"/>
      <c r="AB611" s="27"/>
      <c r="AC611" s="81"/>
      <c r="AD611" s="30"/>
      <c r="AE611" s="31">
        <f>SUMIFS(инфо!$D$15:$D$28,инфо!$A$15:$A$28,F611)</f>
        <v>0</v>
      </c>
      <c r="AF611" s="35">
        <f t="shared" si="134"/>
        <v>0</v>
      </c>
      <c r="AG611" s="33">
        <f t="shared" si="144"/>
        <v>0</v>
      </c>
      <c r="AH611" s="31">
        <f>SUMIFS(инфо!$E$15:$E$28,инфо!$A$15:$A$28,F611)</f>
        <v>0</v>
      </c>
      <c r="AI611" s="32">
        <f t="shared" si="135"/>
        <v>0</v>
      </c>
      <c r="AJ611" s="33">
        <f t="shared" si="145"/>
        <v>0</v>
      </c>
      <c r="AK611" s="31">
        <f>SUMIFS(инфо!$F$15:$F$28,инфо!$A$15:$A$28,F611)</f>
        <v>0</v>
      </c>
      <c r="AL611" s="32">
        <f t="shared" si="136"/>
        <v>0</v>
      </c>
      <c r="AM611" s="33">
        <f t="shared" si="139"/>
        <v>0</v>
      </c>
      <c r="AN611" s="31">
        <f>SUMIFS(инфо!$G$15:$G$28,инфо!$A$15:$A$28,F611)</f>
        <v>0</v>
      </c>
      <c r="AO611" s="32">
        <f t="shared" si="137"/>
        <v>0</v>
      </c>
      <c r="AP611" s="33">
        <f t="shared" si="140"/>
        <v>0</v>
      </c>
      <c r="AQ611" s="31">
        <f>SUMIFS(инфо!$H$15:$H$28,инфо!$A$15:$A$28,F611)</f>
        <v>0</v>
      </c>
      <c r="AR611" s="32">
        <f t="shared" si="138"/>
        <v>0</v>
      </c>
      <c r="AS611" s="33">
        <f t="shared" si="141"/>
        <v>0</v>
      </c>
      <c r="AT611" s="31">
        <f>SUMIFS(инфо!$I$15:$I$28,инфо!$A$15:$A$28,F611)</f>
        <v>0</v>
      </c>
      <c r="AU611" s="35">
        <f t="shared" si="146"/>
        <v>0</v>
      </c>
      <c r="AV611" s="33">
        <f t="shared" si="142"/>
        <v>0</v>
      </c>
      <c r="AX611" s="67">
        <f>SUMIFS(инфо!$C$15:$C$28,инфо!$A$15:$A$28,F611)*H610</f>
        <v>0</v>
      </c>
    </row>
    <row r="612" spans="1:50" x14ac:dyDescent="0.25">
      <c r="A612" s="70">
        <f t="shared" si="147"/>
        <v>46370</v>
      </c>
      <c r="B612" s="76"/>
      <c r="C612" s="15"/>
      <c r="D612" s="16"/>
      <c r="E612" s="83"/>
      <c r="F612" s="28"/>
      <c r="G612" s="34"/>
      <c r="H612" s="20"/>
      <c r="I612" s="118">
        <f>IFERROR(H612*VLOOKUP(F612,инфо!$A$15:$C$28,3,FALSE)/1000,0)</f>
        <v>0</v>
      </c>
      <c r="J612" s="20"/>
      <c r="K612" s="20"/>
      <c r="L612" s="20"/>
      <c r="M612" s="20"/>
      <c r="N612" s="20"/>
      <c r="O612" s="34"/>
      <c r="P612" s="34"/>
      <c r="Q612" s="34"/>
      <c r="R612" s="34"/>
      <c r="S612" s="68">
        <f t="shared" si="143"/>
        <v>0</v>
      </c>
      <c r="T612" s="15"/>
      <c r="U612" s="16"/>
      <c r="V612" s="34"/>
      <c r="W612" s="81"/>
      <c r="X612" s="34"/>
      <c r="Y612" s="15"/>
      <c r="Z612" s="34"/>
      <c r="AA612" s="34"/>
      <c r="AB612" s="34"/>
      <c r="AC612" s="81"/>
      <c r="AD612" s="16"/>
      <c r="AE612" s="24">
        <f>SUMIFS(инфо!$D$15:$D$28,инфо!$A$15:$A$28,F612)</f>
        <v>0</v>
      </c>
      <c r="AF612" s="35">
        <f t="shared" si="134"/>
        <v>0</v>
      </c>
      <c r="AG612" s="12">
        <f t="shared" si="144"/>
        <v>0</v>
      </c>
      <c r="AH612" s="24">
        <f>SUMIFS(инфо!$E$15:$E$28,инфо!$A$15:$A$28,F612)</f>
        <v>0</v>
      </c>
      <c r="AI612" s="32">
        <f t="shared" si="135"/>
        <v>0</v>
      </c>
      <c r="AJ612" s="12">
        <f t="shared" si="145"/>
        <v>0</v>
      </c>
      <c r="AK612" s="24">
        <f>SUMIFS(инфо!$F$15:$F$28,инфо!$A$15:$A$28,F612)</f>
        <v>0</v>
      </c>
      <c r="AL612" s="32">
        <f t="shared" si="136"/>
        <v>0</v>
      </c>
      <c r="AM612" s="12">
        <f t="shared" si="139"/>
        <v>0</v>
      </c>
      <c r="AN612" s="24">
        <f>SUMIFS(инфо!$G$15:$G$28,инфо!$A$15:$A$28,F612)</f>
        <v>0</v>
      </c>
      <c r="AO612" s="32">
        <f t="shared" si="137"/>
        <v>0</v>
      </c>
      <c r="AP612" s="12">
        <f t="shared" si="140"/>
        <v>0</v>
      </c>
      <c r="AQ612" s="24">
        <f>SUMIFS(инфо!$H$15:$H$28,инфо!$A$15:$A$28,F612)</f>
        <v>0</v>
      </c>
      <c r="AR612" s="35">
        <f t="shared" si="138"/>
        <v>0</v>
      </c>
      <c r="AS612" s="12">
        <f t="shared" si="141"/>
        <v>0</v>
      </c>
      <c r="AT612" s="24">
        <f>SUMIFS(инфо!$I$15:$I$28,инфо!$A$15:$A$28,F612)</f>
        <v>0</v>
      </c>
      <c r="AU612" s="35">
        <f t="shared" si="146"/>
        <v>0</v>
      </c>
      <c r="AV612" s="12">
        <f t="shared" si="142"/>
        <v>0</v>
      </c>
      <c r="AX612" s="68">
        <f>SUMIFS(инфо!$C$15:$C$28,инфо!$A$15:$A$28,F612)*H611</f>
        <v>0</v>
      </c>
    </row>
    <row r="613" spans="1:50" x14ac:dyDescent="0.25">
      <c r="A613" s="70">
        <f t="shared" si="147"/>
        <v>46370</v>
      </c>
      <c r="B613" s="76"/>
      <c r="C613" s="15"/>
      <c r="D613" s="16"/>
      <c r="E613" s="83"/>
      <c r="F613" s="28"/>
      <c r="G613" s="34"/>
      <c r="H613" s="23"/>
      <c r="I613" s="118">
        <f>IFERROR(H613*VLOOKUP(F613,инфо!$A$15:$C$28,3,FALSE)/1000,0)</f>
        <v>0</v>
      </c>
      <c r="J613" s="20"/>
      <c r="K613" s="20"/>
      <c r="L613" s="20"/>
      <c r="M613" s="20"/>
      <c r="N613" s="20"/>
      <c r="O613" s="34"/>
      <c r="P613" s="34"/>
      <c r="Q613" s="34"/>
      <c r="R613" s="34"/>
      <c r="S613" s="68">
        <f t="shared" si="143"/>
        <v>0</v>
      </c>
      <c r="T613" s="15"/>
      <c r="U613" s="16"/>
      <c r="V613" s="34"/>
      <c r="W613" s="81"/>
      <c r="X613" s="34"/>
      <c r="Y613" s="15"/>
      <c r="Z613" s="34"/>
      <c r="AA613" s="34"/>
      <c r="AB613" s="34"/>
      <c r="AC613" s="81"/>
      <c r="AD613" s="16"/>
      <c r="AE613" s="24">
        <f>SUMIFS(инфо!$D$15:$D$28,инфо!$A$15:$A$28,F613)</f>
        <v>0</v>
      </c>
      <c r="AF613" s="35">
        <f t="shared" si="134"/>
        <v>0</v>
      </c>
      <c r="AG613" s="12">
        <f t="shared" si="144"/>
        <v>0</v>
      </c>
      <c r="AH613" s="24">
        <f>SUMIFS(инфо!$E$15:$E$28,инфо!$A$15:$A$28,F613)</f>
        <v>0</v>
      </c>
      <c r="AI613" s="32">
        <f t="shared" si="135"/>
        <v>0</v>
      </c>
      <c r="AJ613" s="12">
        <f t="shared" si="145"/>
        <v>0</v>
      </c>
      <c r="AK613" s="24">
        <f>SUMIFS(инфо!$F$15:$F$28,инфо!$A$15:$A$28,F613)</f>
        <v>0</v>
      </c>
      <c r="AL613" s="32">
        <f t="shared" si="136"/>
        <v>0</v>
      </c>
      <c r="AM613" s="12">
        <f t="shared" si="139"/>
        <v>0</v>
      </c>
      <c r="AN613" s="24">
        <f>SUMIFS(инфо!$G$15:$G$28,инфо!$A$15:$A$28,F613)</f>
        <v>0</v>
      </c>
      <c r="AO613" s="32">
        <f t="shared" si="137"/>
        <v>0</v>
      </c>
      <c r="AP613" s="12">
        <f t="shared" si="140"/>
        <v>0</v>
      </c>
      <c r="AQ613" s="24">
        <f>SUMIFS(инфо!$H$15:$H$28,инфо!$A$15:$A$28,F613)</f>
        <v>0</v>
      </c>
      <c r="AR613" s="35">
        <f t="shared" si="138"/>
        <v>0</v>
      </c>
      <c r="AS613" s="12">
        <f t="shared" si="141"/>
        <v>0</v>
      </c>
      <c r="AT613" s="24">
        <f>SUMIFS(инфо!$I$15:$I$28,инфо!$A$15:$A$28,F613)</f>
        <v>0</v>
      </c>
      <c r="AU613" s="35">
        <f t="shared" si="146"/>
        <v>0</v>
      </c>
      <c r="AV613" s="12">
        <f t="shared" si="142"/>
        <v>0</v>
      </c>
      <c r="AX613" s="68">
        <f>SUMIFS(инфо!$C$15:$C$28,инфо!$A$15:$A$28,F613)*H612</f>
        <v>0</v>
      </c>
    </row>
    <row r="614" spans="1:50" x14ac:dyDescent="0.25">
      <c r="A614" s="70">
        <f t="shared" si="147"/>
        <v>46371</v>
      </c>
      <c r="B614" s="77"/>
      <c r="C614" s="17"/>
      <c r="D614" s="18"/>
      <c r="E614" s="83"/>
      <c r="F614" s="28"/>
      <c r="G614" s="19"/>
      <c r="H614" s="28"/>
      <c r="I614" s="118">
        <f>IFERROR(H614*VLOOKUP(F614,инфо!$A$15:$C$28,3,FALSE)/1000,0)</f>
        <v>0</v>
      </c>
      <c r="J614" s="20"/>
      <c r="K614" s="20"/>
      <c r="L614" s="20"/>
      <c r="M614" s="20"/>
      <c r="N614" s="23"/>
      <c r="O614" s="19"/>
      <c r="P614" s="19"/>
      <c r="Q614" s="19"/>
      <c r="R614" s="19"/>
      <c r="S614" s="69">
        <f t="shared" si="143"/>
        <v>0</v>
      </c>
      <c r="T614" s="17"/>
      <c r="U614" s="18"/>
      <c r="V614" s="19"/>
      <c r="W614" s="81"/>
      <c r="X614" s="19"/>
      <c r="Y614" s="17"/>
      <c r="Z614" s="19"/>
      <c r="AA614" s="19"/>
      <c r="AB614" s="19"/>
      <c r="AC614" s="81"/>
      <c r="AD614" s="18"/>
      <c r="AE614" s="25">
        <f>SUMIFS(инфо!$D$15:$D$28,инфо!$A$15:$A$28,F614)</f>
        <v>0</v>
      </c>
      <c r="AF614" s="35">
        <f t="shared" si="134"/>
        <v>0</v>
      </c>
      <c r="AG614" s="14">
        <f t="shared" si="144"/>
        <v>0</v>
      </c>
      <c r="AH614" s="25">
        <f>SUMIFS(инфо!$E$15:$E$28,инфо!$A$15:$A$28,F614)</f>
        <v>0</v>
      </c>
      <c r="AI614" s="32">
        <f t="shared" si="135"/>
        <v>0</v>
      </c>
      <c r="AJ614" s="14">
        <f t="shared" si="145"/>
        <v>0</v>
      </c>
      <c r="AK614" s="25">
        <f>SUMIFS(инфо!$F$15:$F$28,инфо!$A$15:$A$28,F614)</f>
        <v>0</v>
      </c>
      <c r="AL614" s="32">
        <f t="shared" si="136"/>
        <v>0</v>
      </c>
      <c r="AM614" s="14">
        <f t="shared" si="139"/>
        <v>0</v>
      </c>
      <c r="AN614" s="25">
        <f>SUMIFS(инфо!$G$15:$G$28,инфо!$A$15:$A$28,F614)</f>
        <v>0</v>
      </c>
      <c r="AO614" s="32">
        <f t="shared" si="137"/>
        <v>0</v>
      </c>
      <c r="AP614" s="14">
        <f t="shared" si="140"/>
        <v>0</v>
      </c>
      <c r="AQ614" s="25">
        <f>SUMIFS(инфо!$H$15:$H$28,инфо!$A$15:$A$28,F614)</f>
        <v>0</v>
      </c>
      <c r="AR614" s="26">
        <f t="shared" si="138"/>
        <v>0</v>
      </c>
      <c r="AS614" s="14">
        <f t="shared" si="141"/>
        <v>0</v>
      </c>
      <c r="AT614" s="25">
        <f>SUMIFS(инфо!$I$15:$I$28,инфо!$A$15:$A$28,F614)</f>
        <v>0</v>
      </c>
      <c r="AU614" s="35">
        <f t="shared" si="146"/>
        <v>0</v>
      </c>
      <c r="AV614" s="14">
        <f t="shared" si="142"/>
        <v>0</v>
      </c>
      <c r="AX614" s="69">
        <f>SUMIFS(инфо!$C$15:$C$28,инфо!$A$15:$A$28,F614)*H613</f>
        <v>0</v>
      </c>
    </row>
    <row r="615" spans="1:50" x14ac:dyDescent="0.25">
      <c r="A615" s="70">
        <f t="shared" si="147"/>
        <v>46371</v>
      </c>
      <c r="B615" s="75"/>
      <c r="C615" s="29"/>
      <c r="D615" s="30"/>
      <c r="E615" s="83"/>
      <c r="F615" s="28"/>
      <c r="G615" s="27"/>
      <c r="H615" s="20"/>
      <c r="I615" s="118">
        <f>IFERROR(H615*VLOOKUP(F615,инфо!$A$15:$C$28,3,FALSE)/1000,0)</f>
        <v>0</v>
      </c>
      <c r="J615" s="20"/>
      <c r="K615" s="20"/>
      <c r="L615" s="20"/>
      <c r="M615" s="20"/>
      <c r="N615" s="28"/>
      <c r="O615" s="27"/>
      <c r="P615" s="27"/>
      <c r="Q615" s="27"/>
      <c r="R615" s="27"/>
      <c r="S615" s="67">
        <f t="shared" si="143"/>
        <v>0</v>
      </c>
      <c r="T615" s="29"/>
      <c r="U615" s="30"/>
      <c r="V615" s="27"/>
      <c r="W615" s="81"/>
      <c r="X615" s="27"/>
      <c r="Y615" s="29"/>
      <c r="Z615" s="27"/>
      <c r="AA615" s="27"/>
      <c r="AB615" s="27"/>
      <c r="AC615" s="81"/>
      <c r="AD615" s="30"/>
      <c r="AE615" s="31">
        <f>SUMIFS(инфо!$D$15:$D$28,инфо!$A$15:$A$28,F615)</f>
        <v>0</v>
      </c>
      <c r="AF615" s="35">
        <f t="shared" si="134"/>
        <v>0</v>
      </c>
      <c r="AG615" s="33">
        <f t="shared" si="144"/>
        <v>0</v>
      </c>
      <c r="AH615" s="31">
        <f>SUMIFS(инфо!$E$15:$E$28,инфо!$A$15:$A$28,F615)</f>
        <v>0</v>
      </c>
      <c r="AI615" s="32">
        <f t="shared" si="135"/>
        <v>0</v>
      </c>
      <c r="AJ615" s="33">
        <f t="shared" si="145"/>
        <v>0</v>
      </c>
      <c r="AK615" s="31">
        <f>SUMIFS(инфо!$F$15:$F$28,инфо!$A$15:$A$28,F615)</f>
        <v>0</v>
      </c>
      <c r="AL615" s="32">
        <f t="shared" si="136"/>
        <v>0</v>
      </c>
      <c r="AM615" s="33">
        <f t="shared" si="139"/>
        <v>0</v>
      </c>
      <c r="AN615" s="31">
        <f>SUMIFS(инфо!$G$15:$G$28,инфо!$A$15:$A$28,F615)</f>
        <v>0</v>
      </c>
      <c r="AO615" s="32">
        <f t="shared" si="137"/>
        <v>0</v>
      </c>
      <c r="AP615" s="33">
        <f t="shared" si="140"/>
        <v>0</v>
      </c>
      <c r="AQ615" s="31">
        <f>SUMIFS(инфо!$H$15:$H$28,инфо!$A$15:$A$28,F615)</f>
        <v>0</v>
      </c>
      <c r="AR615" s="32">
        <f t="shared" si="138"/>
        <v>0</v>
      </c>
      <c r="AS615" s="33">
        <f t="shared" si="141"/>
        <v>0</v>
      </c>
      <c r="AT615" s="31">
        <f>SUMIFS(инфо!$I$15:$I$28,инфо!$A$15:$A$28,F615)</f>
        <v>0</v>
      </c>
      <c r="AU615" s="35">
        <f t="shared" si="146"/>
        <v>0</v>
      </c>
      <c r="AV615" s="33">
        <f t="shared" si="142"/>
        <v>0</v>
      </c>
      <c r="AX615" s="67">
        <f>SUMIFS(инфо!$C$15:$C$28,инфо!$A$15:$A$28,F615)*H614</f>
        <v>0</v>
      </c>
    </row>
    <row r="616" spans="1:50" x14ac:dyDescent="0.25">
      <c r="A616" s="70">
        <f t="shared" si="147"/>
        <v>46372</v>
      </c>
      <c r="B616" s="76"/>
      <c r="C616" s="15"/>
      <c r="D616" s="16"/>
      <c r="E616" s="83"/>
      <c r="F616" s="28"/>
      <c r="G616" s="34"/>
      <c r="H616" s="20"/>
      <c r="I616" s="118">
        <f>IFERROR(H616*VLOOKUP(F616,инфо!$A$15:$C$28,3,FALSE)/1000,0)</f>
        <v>0</v>
      </c>
      <c r="J616" s="20"/>
      <c r="K616" s="20"/>
      <c r="L616" s="20"/>
      <c r="M616" s="20"/>
      <c r="N616" s="20"/>
      <c r="O616" s="34"/>
      <c r="P616" s="34"/>
      <c r="Q616" s="34"/>
      <c r="R616" s="34"/>
      <c r="S616" s="68">
        <f t="shared" si="143"/>
        <v>0</v>
      </c>
      <c r="T616" s="15"/>
      <c r="U616" s="16"/>
      <c r="V616" s="34"/>
      <c r="W616" s="81"/>
      <c r="X616" s="34"/>
      <c r="Y616" s="15"/>
      <c r="Z616" s="34"/>
      <c r="AA616" s="34"/>
      <c r="AB616" s="34"/>
      <c r="AC616" s="81"/>
      <c r="AD616" s="16"/>
      <c r="AE616" s="24">
        <f>SUMIFS(инфо!$D$15:$D$28,инфо!$A$15:$A$28,F616)</f>
        <v>0</v>
      </c>
      <c r="AF616" s="35">
        <f t="shared" si="134"/>
        <v>0</v>
      </c>
      <c r="AG616" s="12">
        <f t="shared" si="144"/>
        <v>0</v>
      </c>
      <c r="AH616" s="24">
        <f>SUMIFS(инфо!$E$15:$E$28,инфо!$A$15:$A$28,F616)</f>
        <v>0</v>
      </c>
      <c r="AI616" s="32">
        <f t="shared" si="135"/>
        <v>0</v>
      </c>
      <c r="AJ616" s="12">
        <f t="shared" si="145"/>
        <v>0</v>
      </c>
      <c r="AK616" s="24">
        <f>SUMIFS(инфо!$F$15:$F$28,инфо!$A$15:$A$28,F616)</f>
        <v>0</v>
      </c>
      <c r="AL616" s="32">
        <f t="shared" si="136"/>
        <v>0</v>
      </c>
      <c r="AM616" s="12">
        <f t="shared" si="139"/>
        <v>0</v>
      </c>
      <c r="AN616" s="24">
        <f>SUMIFS(инфо!$G$15:$G$28,инфо!$A$15:$A$28,F616)</f>
        <v>0</v>
      </c>
      <c r="AO616" s="32">
        <f t="shared" si="137"/>
        <v>0</v>
      </c>
      <c r="AP616" s="12">
        <f t="shared" si="140"/>
        <v>0</v>
      </c>
      <c r="AQ616" s="24">
        <f>SUMIFS(инфо!$H$15:$H$28,инфо!$A$15:$A$28,F616)</f>
        <v>0</v>
      </c>
      <c r="AR616" s="35">
        <f t="shared" si="138"/>
        <v>0</v>
      </c>
      <c r="AS616" s="12">
        <f t="shared" si="141"/>
        <v>0</v>
      </c>
      <c r="AT616" s="24">
        <f>SUMIFS(инфо!$I$15:$I$28,инфо!$A$15:$A$28,F616)</f>
        <v>0</v>
      </c>
      <c r="AU616" s="35">
        <f t="shared" si="146"/>
        <v>0</v>
      </c>
      <c r="AV616" s="12">
        <f t="shared" si="142"/>
        <v>0</v>
      </c>
      <c r="AX616" s="68">
        <f>SUMIFS(инфо!$C$15:$C$28,инфо!$A$15:$A$28,F616)*H615</f>
        <v>0</v>
      </c>
    </row>
    <row r="617" spans="1:50" x14ac:dyDescent="0.25">
      <c r="A617" s="70">
        <f t="shared" si="147"/>
        <v>46372</v>
      </c>
      <c r="B617" s="76"/>
      <c r="C617" s="15"/>
      <c r="D617" s="16"/>
      <c r="E617" s="83"/>
      <c r="F617" s="28"/>
      <c r="G617" s="34"/>
      <c r="H617" s="23"/>
      <c r="I617" s="118">
        <f>IFERROR(H617*VLOOKUP(F617,инфо!$A$15:$C$28,3,FALSE)/1000,0)</f>
        <v>0</v>
      </c>
      <c r="J617" s="20"/>
      <c r="K617" s="20"/>
      <c r="L617" s="20"/>
      <c r="M617" s="20"/>
      <c r="N617" s="20"/>
      <c r="O617" s="34"/>
      <c r="P617" s="34"/>
      <c r="Q617" s="34"/>
      <c r="R617" s="34"/>
      <c r="S617" s="68">
        <f t="shared" si="143"/>
        <v>0</v>
      </c>
      <c r="T617" s="15"/>
      <c r="U617" s="16"/>
      <c r="V617" s="34"/>
      <c r="W617" s="81"/>
      <c r="X617" s="34"/>
      <c r="Y617" s="15"/>
      <c r="Z617" s="34"/>
      <c r="AA617" s="34"/>
      <c r="AB617" s="34"/>
      <c r="AC617" s="81"/>
      <c r="AD617" s="16"/>
      <c r="AE617" s="24">
        <f>SUMIFS(инфо!$D$15:$D$28,инфо!$A$15:$A$28,F617)</f>
        <v>0</v>
      </c>
      <c r="AF617" s="35">
        <f t="shared" si="134"/>
        <v>0</v>
      </c>
      <c r="AG617" s="12">
        <f t="shared" si="144"/>
        <v>0</v>
      </c>
      <c r="AH617" s="24">
        <f>SUMIFS(инфо!$E$15:$E$28,инфо!$A$15:$A$28,F617)</f>
        <v>0</v>
      </c>
      <c r="AI617" s="32">
        <f t="shared" si="135"/>
        <v>0</v>
      </c>
      <c r="AJ617" s="12">
        <f t="shared" si="145"/>
        <v>0</v>
      </c>
      <c r="AK617" s="24">
        <f>SUMIFS(инфо!$F$15:$F$28,инфо!$A$15:$A$28,F617)</f>
        <v>0</v>
      </c>
      <c r="AL617" s="32">
        <f t="shared" si="136"/>
        <v>0</v>
      </c>
      <c r="AM617" s="12">
        <f t="shared" si="139"/>
        <v>0</v>
      </c>
      <c r="AN617" s="24">
        <f>SUMIFS(инфо!$G$15:$G$28,инфо!$A$15:$A$28,F617)</f>
        <v>0</v>
      </c>
      <c r="AO617" s="32">
        <f t="shared" si="137"/>
        <v>0</v>
      </c>
      <c r="AP617" s="12">
        <f t="shared" si="140"/>
        <v>0</v>
      </c>
      <c r="AQ617" s="24">
        <f>SUMIFS(инфо!$H$15:$H$28,инфо!$A$15:$A$28,F617)</f>
        <v>0</v>
      </c>
      <c r="AR617" s="35">
        <f t="shared" si="138"/>
        <v>0</v>
      </c>
      <c r="AS617" s="12">
        <f t="shared" si="141"/>
        <v>0</v>
      </c>
      <c r="AT617" s="24">
        <f>SUMIFS(инфо!$I$15:$I$28,инфо!$A$15:$A$28,F617)</f>
        <v>0</v>
      </c>
      <c r="AU617" s="35">
        <f t="shared" si="146"/>
        <v>0</v>
      </c>
      <c r="AV617" s="12">
        <f t="shared" si="142"/>
        <v>0</v>
      </c>
      <c r="AX617" s="68">
        <f>SUMIFS(инфо!$C$15:$C$28,инфо!$A$15:$A$28,F617)*H616</f>
        <v>0</v>
      </c>
    </row>
    <row r="618" spans="1:50" x14ac:dyDescent="0.25">
      <c r="A618" s="70">
        <f t="shared" si="147"/>
        <v>46373</v>
      </c>
      <c r="B618" s="77"/>
      <c r="C618" s="17"/>
      <c r="D618" s="18"/>
      <c r="E618" s="83"/>
      <c r="F618" s="28"/>
      <c r="G618" s="19"/>
      <c r="H618" s="28"/>
      <c r="I618" s="118">
        <f>IFERROR(H618*VLOOKUP(F618,инфо!$A$15:$C$28,3,FALSE)/1000,0)</f>
        <v>0</v>
      </c>
      <c r="J618" s="20"/>
      <c r="K618" s="20"/>
      <c r="L618" s="20"/>
      <c r="M618" s="20"/>
      <c r="N618" s="23"/>
      <c r="O618" s="19"/>
      <c r="P618" s="19"/>
      <c r="Q618" s="19"/>
      <c r="R618" s="19"/>
      <c r="S618" s="69">
        <f t="shared" si="143"/>
        <v>0</v>
      </c>
      <c r="T618" s="17"/>
      <c r="U618" s="18"/>
      <c r="V618" s="19"/>
      <c r="W618" s="81"/>
      <c r="X618" s="19"/>
      <c r="Y618" s="17"/>
      <c r="Z618" s="19"/>
      <c r="AA618" s="19"/>
      <c r="AB618" s="19"/>
      <c r="AC618" s="81"/>
      <c r="AD618" s="18"/>
      <c r="AE618" s="25">
        <f>SUMIFS(инфо!$D$15:$D$28,инфо!$A$15:$A$28,F618)</f>
        <v>0</v>
      </c>
      <c r="AF618" s="35">
        <f t="shared" si="134"/>
        <v>0</v>
      </c>
      <c r="AG618" s="14">
        <f t="shared" si="144"/>
        <v>0</v>
      </c>
      <c r="AH618" s="25">
        <f>SUMIFS(инфо!$E$15:$E$28,инфо!$A$15:$A$28,F618)</f>
        <v>0</v>
      </c>
      <c r="AI618" s="32">
        <f t="shared" si="135"/>
        <v>0</v>
      </c>
      <c r="AJ618" s="14">
        <f t="shared" si="145"/>
        <v>0</v>
      </c>
      <c r="AK618" s="25">
        <f>SUMIFS(инфо!$F$15:$F$28,инфо!$A$15:$A$28,F618)</f>
        <v>0</v>
      </c>
      <c r="AL618" s="32">
        <f t="shared" si="136"/>
        <v>0</v>
      </c>
      <c r="AM618" s="14">
        <f t="shared" si="139"/>
        <v>0</v>
      </c>
      <c r="AN618" s="25">
        <f>SUMIFS(инфо!$G$15:$G$28,инфо!$A$15:$A$28,F618)</f>
        <v>0</v>
      </c>
      <c r="AO618" s="32">
        <f t="shared" si="137"/>
        <v>0</v>
      </c>
      <c r="AP618" s="14">
        <f t="shared" si="140"/>
        <v>0</v>
      </c>
      <c r="AQ618" s="25">
        <f>SUMIFS(инфо!$H$15:$H$28,инфо!$A$15:$A$28,F618)</f>
        <v>0</v>
      </c>
      <c r="AR618" s="26">
        <f t="shared" si="138"/>
        <v>0</v>
      </c>
      <c r="AS618" s="14">
        <f t="shared" si="141"/>
        <v>0</v>
      </c>
      <c r="AT618" s="25">
        <f>SUMIFS(инфо!$I$15:$I$28,инфо!$A$15:$A$28,F618)</f>
        <v>0</v>
      </c>
      <c r="AU618" s="35">
        <f t="shared" si="146"/>
        <v>0</v>
      </c>
      <c r="AV618" s="14">
        <f t="shared" si="142"/>
        <v>0</v>
      </c>
      <c r="AX618" s="69">
        <f>SUMIFS(инфо!$C$15:$C$28,инфо!$A$15:$A$28,F618)*H617</f>
        <v>0</v>
      </c>
    </row>
    <row r="619" spans="1:50" x14ac:dyDescent="0.25">
      <c r="A619" s="70">
        <f t="shared" si="147"/>
        <v>46373</v>
      </c>
      <c r="B619" s="75"/>
      <c r="C619" s="29"/>
      <c r="D619" s="30"/>
      <c r="E619" s="83"/>
      <c r="F619" s="28"/>
      <c r="G619" s="27"/>
      <c r="H619" s="20"/>
      <c r="I619" s="118">
        <f>IFERROR(H619*VLOOKUP(F619,инфо!$A$15:$C$28,3,FALSE)/1000,0)</f>
        <v>0</v>
      </c>
      <c r="J619" s="20"/>
      <c r="K619" s="20"/>
      <c r="L619" s="20"/>
      <c r="M619" s="20"/>
      <c r="N619" s="28"/>
      <c r="O619" s="27"/>
      <c r="P619" s="27"/>
      <c r="Q619" s="27"/>
      <c r="R619" s="27"/>
      <c r="S619" s="67">
        <f t="shared" si="143"/>
        <v>0</v>
      </c>
      <c r="T619" s="29"/>
      <c r="U619" s="30"/>
      <c r="V619" s="27"/>
      <c r="W619" s="81"/>
      <c r="X619" s="27"/>
      <c r="Y619" s="29"/>
      <c r="Z619" s="27"/>
      <c r="AA619" s="27"/>
      <c r="AB619" s="27"/>
      <c r="AC619" s="81"/>
      <c r="AD619" s="30"/>
      <c r="AE619" s="31">
        <f>SUMIFS(инфо!$D$15:$D$28,инфо!$A$15:$A$28,F619)</f>
        <v>0</v>
      </c>
      <c r="AF619" s="35">
        <f t="shared" si="134"/>
        <v>0</v>
      </c>
      <c r="AG619" s="33">
        <f t="shared" si="144"/>
        <v>0</v>
      </c>
      <c r="AH619" s="31">
        <f>SUMIFS(инфо!$E$15:$E$28,инфо!$A$15:$A$28,F619)</f>
        <v>0</v>
      </c>
      <c r="AI619" s="32">
        <f t="shared" si="135"/>
        <v>0</v>
      </c>
      <c r="AJ619" s="33">
        <f t="shared" si="145"/>
        <v>0</v>
      </c>
      <c r="AK619" s="31">
        <f>SUMIFS(инфо!$F$15:$F$28,инфо!$A$15:$A$28,F619)</f>
        <v>0</v>
      </c>
      <c r="AL619" s="32">
        <f t="shared" si="136"/>
        <v>0</v>
      </c>
      <c r="AM619" s="33">
        <f t="shared" si="139"/>
        <v>0</v>
      </c>
      <c r="AN619" s="31">
        <f>SUMIFS(инфо!$G$15:$G$28,инфо!$A$15:$A$28,F619)</f>
        <v>0</v>
      </c>
      <c r="AO619" s="32">
        <f t="shared" si="137"/>
        <v>0</v>
      </c>
      <c r="AP619" s="33">
        <f t="shared" si="140"/>
        <v>0</v>
      </c>
      <c r="AQ619" s="31">
        <f>SUMIFS(инфо!$H$15:$H$28,инфо!$A$15:$A$28,F619)</f>
        <v>0</v>
      </c>
      <c r="AR619" s="32">
        <f t="shared" si="138"/>
        <v>0</v>
      </c>
      <c r="AS619" s="33">
        <f t="shared" si="141"/>
        <v>0</v>
      </c>
      <c r="AT619" s="31">
        <f>SUMIFS(инфо!$I$15:$I$28,инфо!$A$15:$A$28,F619)</f>
        <v>0</v>
      </c>
      <c r="AU619" s="35">
        <f t="shared" si="146"/>
        <v>0</v>
      </c>
      <c r="AV619" s="33">
        <f t="shared" si="142"/>
        <v>0</v>
      </c>
      <c r="AX619" s="67">
        <f>SUMIFS(инфо!$C$15:$C$28,инфо!$A$15:$A$28,F619)*H618</f>
        <v>0</v>
      </c>
    </row>
    <row r="620" spans="1:50" x14ac:dyDescent="0.25">
      <c r="A620" s="70">
        <f t="shared" si="147"/>
        <v>46374</v>
      </c>
      <c r="B620" s="76"/>
      <c r="C620" s="15"/>
      <c r="D620" s="16"/>
      <c r="E620" s="83"/>
      <c r="F620" s="28"/>
      <c r="G620" s="34"/>
      <c r="H620" s="20"/>
      <c r="I620" s="118">
        <f>IFERROR(H620*VLOOKUP(F620,инфо!$A$15:$C$28,3,FALSE)/1000,0)</f>
        <v>0</v>
      </c>
      <c r="J620" s="20"/>
      <c r="K620" s="20"/>
      <c r="L620" s="20"/>
      <c r="M620" s="20"/>
      <c r="N620" s="20"/>
      <c r="O620" s="34"/>
      <c r="P620" s="34"/>
      <c r="Q620" s="34"/>
      <c r="R620" s="34"/>
      <c r="S620" s="68">
        <f t="shared" si="143"/>
        <v>0</v>
      </c>
      <c r="T620" s="15"/>
      <c r="U620" s="16"/>
      <c r="V620" s="34"/>
      <c r="W620" s="81"/>
      <c r="X620" s="34"/>
      <c r="Y620" s="15"/>
      <c r="Z620" s="34"/>
      <c r="AA620" s="34"/>
      <c r="AB620" s="34"/>
      <c r="AC620" s="81"/>
      <c r="AD620" s="16"/>
      <c r="AE620" s="24">
        <f>SUMIFS(инфо!$D$15:$D$28,инфо!$A$15:$A$28,F620)</f>
        <v>0</v>
      </c>
      <c r="AF620" s="35">
        <f t="shared" si="134"/>
        <v>0</v>
      </c>
      <c r="AG620" s="12">
        <f t="shared" si="144"/>
        <v>0</v>
      </c>
      <c r="AH620" s="24">
        <f>SUMIFS(инфо!$E$15:$E$28,инфо!$A$15:$A$28,F620)</f>
        <v>0</v>
      </c>
      <c r="AI620" s="32">
        <f t="shared" si="135"/>
        <v>0</v>
      </c>
      <c r="AJ620" s="12">
        <f t="shared" si="145"/>
        <v>0</v>
      </c>
      <c r="AK620" s="24">
        <f>SUMIFS(инфо!$F$15:$F$28,инфо!$A$15:$A$28,F620)</f>
        <v>0</v>
      </c>
      <c r="AL620" s="32">
        <f t="shared" si="136"/>
        <v>0</v>
      </c>
      <c r="AM620" s="12">
        <f t="shared" si="139"/>
        <v>0</v>
      </c>
      <c r="AN620" s="24">
        <f>SUMIFS(инфо!$G$15:$G$28,инфо!$A$15:$A$28,F620)</f>
        <v>0</v>
      </c>
      <c r="AO620" s="32">
        <f t="shared" si="137"/>
        <v>0</v>
      </c>
      <c r="AP620" s="12">
        <f t="shared" si="140"/>
        <v>0</v>
      </c>
      <c r="AQ620" s="24">
        <f>SUMIFS(инфо!$H$15:$H$28,инфо!$A$15:$A$28,F620)</f>
        <v>0</v>
      </c>
      <c r="AR620" s="35">
        <f t="shared" si="138"/>
        <v>0</v>
      </c>
      <c r="AS620" s="12">
        <f t="shared" si="141"/>
        <v>0</v>
      </c>
      <c r="AT620" s="24">
        <f>SUMIFS(инфо!$I$15:$I$28,инфо!$A$15:$A$28,F620)</f>
        <v>0</v>
      </c>
      <c r="AU620" s="35">
        <f t="shared" si="146"/>
        <v>0</v>
      </c>
      <c r="AV620" s="12">
        <f t="shared" si="142"/>
        <v>0</v>
      </c>
      <c r="AX620" s="68">
        <f>SUMIFS(инфо!$C$15:$C$28,инфо!$A$15:$A$28,F620)*H619</f>
        <v>0</v>
      </c>
    </row>
    <row r="621" spans="1:50" x14ac:dyDescent="0.25">
      <c r="A621" s="70">
        <f t="shared" si="147"/>
        <v>46374</v>
      </c>
      <c r="B621" s="76"/>
      <c r="C621" s="15"/>
      <c r="D621" s="16"/>
      <c r="E621" s="83"/>
      <c r="F621" s="28"/>
      <c r="G621" s="34"/>
      <c r="H621" s="23"/>
      <c r="I621" s="118">
        <f>IFERROR(H621*VLOOKUP(F621,инфо!$A$15:$C$28,3,FALSE)/1000,0)</f>
        <v>0</v>
      </c>
      <c r="J621" s="20"/>
      <c r="K621" s="20"/>
      <c r="L621" s="20"/>
      <c r="M621" s="20"/>
      <c r="N621" s="20"/>
      <c r="O621" s="34"/>
      <c r="P621" s="34"/>
      <c r="Q621" s="34"/>
      <c r="R621" s="34"/>
      <c r="S621" s="68">
        <f t="shared" si="143"/>
        <v>0</v>
      </c>
      <c r="T621" s="15"/>
      <c r="U621" s="16"/>
      <c r="V621" s="34"/>
      <c r="W621" s="81"/>
      <c r="X621" s="34"/>
      <c r="Y621" s="15"/>
      <c r="Z621" s="34"/>
      <c r="AA621" s="34"/>
      <c r="AB621" s="34"/>
      <c r="AC621" s="81"/>
      <c r="AD621" s="16"/>
      <c r="AE621" s="24">
        <f>SUMIFS(инфо!$D$15:$D$28,инфо!$A$15:$A$28,F621)</f>
        <v>0</v>
      </c>
      <c r="AF621" s="35">
        <f t="shared" ref="AF621:AF684" si="148">IF(H621=0,0,N621/H621)</f>
        <v>0</v>
      </c>
      <c r="AG621" s="12">
        <f t="shared" si="144"/>
        <v>0</v>
      </c>
      <c r="AH621" s="24">
        <f>SUMIFS(инфо!$E$15:$E$28,инфо!$A$15:$A$28,F621)</f>
        <v>0</v>
      </c>
      <c r="AI621" s="32">
        <f t="shared" ref="AI621:AI684" si="149">IF(H621=0,0,S621/H621)</f>
        <v>0</v>
      </c>
      <c r="AJ621" s="12">
        <f t="shared" si="145"/>
        <v>0</v>
      </c>
      <c r="AK621" s="24">
        <f>SUMIFS(инфо!$F$15:$F$28,инфо!$A$15:$A$28,F621)</f>
        <v>0</v>
      </c>
      <c r="AL621" s="32">
        <f t="shared" ref="AL621:AL684" si="150">IF(H621=0,0,Y621/H621)</f>
        <v>0</v>
      </c>
      <c r="AM621" s="12">
        <f t="shared" si="139"/>
        <v>0</v>
      </c>
      <c r="AN621" s="24">
        <f>SUMIFS(инфо!$G$15:$G$28,инфо!$A$15:$A$28,F621)</f>
        <v>0</v>
      </c>
      <c r="AO621" s="32">
        <f t="shared" ref="AO621:AO684" si="151">IF(H621=0,0,AA621/H621)</f>
        <v>0</v>
      </c>
      <c r="AP621" s="12">
        <f t="shared" si="140"/>
        <v>0</v>
      </c>
      <c r="AQ621" s="24">
        <f>SUMIFS(инфо!$H$15:$H$28,инфо!$A$15:$A$28,F621)</f>
        <v>0</v>
      </c>
      <c r="AR621" s="35">
        <f t="shared" si="138"/>
        <v>0</v>
      </c>
      <c r="AS621" s="12">
        <f t="shared" si="141"/>
        <v>0</v>
      </c>
      <c r="AT621" s="24">
        <f>SUMIFS(инфо!$I$15:$I$28,инфо!$A$15:$A$28,F621)</f>
        <v>0</v>
      </c>
      <c r="AU621" s="35">
        <f t="shared" si="146"/>
        <v>0</v>
      </c>
      <c r="AV621" s="12">
        <f t="shared" si="142"/>
        <v>0</v>
      </c>
      <c r="AX621" s="68">
        <f>SUMIFS(инфо!$C$15:$C$28,инфо!$A$15:$A$28,F621)*H620</f>
        <v>0</v>
      </c>
    </row>
    <row r="622" spans="1:50" x14ac:dyDescent="0.25">
      <c r="A622" s="70">
        <f t="shared" si="147"/>
        <v>46375</v>
      </c>
      <c r="B622" s="77"/>
      <c r="C622" s="17"/>
      <c r="D622" s="18"/>
      <c r="E622" s="83"/>
      <c r="F622" s="28"/>
      <c r="G622" s="19"/>
      <c r="H622" s="28"/>
      <c r="I622" s="118">
        <f>IFERROR(H622*VLOOKUP(F622,инфо!$A$15:$C$28,3,FALSE)/1000,0)</f>
        <v>0</v>
      </c>
      <c r="J622" s="20"/>
      <c r="K622" s="20"/>
      <c r="L622" s="20"/>
      <c r="M622" s="20"/>
      <c r="N622" s="23"/>
      <c r="O622" s="19"/>
      <c r="P622" s="19"/>
      <c r="Q622" s="19"/>
      <c r="R622" s="19"/>
      <c r="S622" s="69">
        <f t="shared" si="143"/>
        <v>0</v>
      </c>
      <c r="T622" s="17"/>
      <c r="U622" s="18"/>
      <c r="V622" s="19"/>
      <c r="W622" s="81"/>
      <c r="X622" s="19"/>
      <c r="Y622" s="17"/>
      <c r="Z622" s="19"/>
      <c r="AA622" s="19"/>
      <c r="AB622" s="19"/>
      <c r="AC622" s="81"/>
      <c r="AD622" s="18"/>
      <c r="AE622" s="25">
        <f>SUMIFS(инфо!$D$15:$D$28,инфо!$A$15:$A$28,F622)</f>
        <v>0</v>
      </c>
      <c r="AF622" s="35">
        <f t="shared" si="148"/>
        <v>0</v>
      </c>
      <c r="AG622" s="14">
        <f t="shared" si="144"/>
        <v>0</v>
      </c>
      <c r="AH622" s="25">
        <f>SUMIFS(инфо!$E$15:$E$28,инфо!$A$15:$A$28,F622)</f>
        <v>0</v>
      </c>
      <c r="AI622" s="32">
        <f t="shared" si="149"/>
        <v>0</v>
      </c>
      <c r="AJ622" s="14">
        <f t="shared" si="145"/>
        <v>0</v>
      </c>
      <c r="AK622" s="25">
        <f>SUMIFS(инфо!$F$15:$F$28,инфо!$A$15:$A$28,F622)</f>
        <v>0</v>
      </c>
      <c r="AL622" s="32">
        <f t="shared" si="150"/>
        <v>0</v>
      </c>
      <c r="AM622" s="14">
        <f t="shared" si="139"/>
        <v>0</v>
      </c>
      <c r="AN622" s="25">
        <f>SUMIFS(инфо!$G$15:$G$28,инфо!$A$15:$A$28,F622)</f>
        <v>0</v>
      </c>
      <c r="AO622" s="32">
        <f t="shared" si="151"/>
        <v>0</v>
      </c>
      <c r="AP622" s="14">
        <f t="shared" si="140"/>
        <v>0</v>
      </c>
      <c r="AQ622" s="25">
        <f>SUMIFS(инфо!$H$15:$H$28,инфо!$A$15:$A$28,F622)</f>
        <v>0</v>
      </c>
      <c r="AR622" s="26">
        <f t="shared" ref="AR622:AR685" si="152">IF(H621=0,0,AC622/H621)</f>
        <v>0</v>
      </c>
      <c r="AS622" s="14">
        <f t="shared" si="141"/>
        <v>0</v>
      </c>
      <c r="AT622" s="25">
        <f>SUMIFS(инфо!$I$15:$I$28,инфо!$A$15:$A$28,F622)</f>
        <v>0</v>
      </c>
      <c r="AU622" s="35">
        <f t="shared" si="146"/>
        <v>0</v>
      </c>
      <c r="AV622" s="14">
        <f t="shared" si="142"/>
        <v>0</v>
      </c>
      <c r="AX622" s="69">
        <f>SUMIFS(инфо!$C$15:$C$28,инфо!$A$15:$A$28,F622)*H621</f>
        <v>0</v>
      </c>
    </row>
    <row r="623" spans="1:50" x14ac:dyDescent="0.25">
      <c r="A623" s="70">
        <f t="shared" si="147"/>
        <v>46375</v>
      </c>
      <c r="B623" s="75"/>
      <c r="C623" s="29"/>
      <c r="D623" s="30"/>
      <c r="E623" s="83"/>
      <c r="F623" s="28"/>
      <c r="G623" s="27"/>
      <c r="H623" s="20"/>
      <c r="I623" s="118">
        <f>IFERROR(H623*VLOOKUP(F623,инфо!$A$15:$C$28,3,FALSE)/1000,0)</f>
        <v>0</v>
      </c>
      <c r="J623" s="20"/>
      <c r="K623" s="20"/>
      <c r="L623" s="20"/>
      <c r="M623" s="20"/>
      <c r="N623" s="28"/>
      <c r="O623" s="27"/>
      <c r="P623" s="27"/>
      <c r="Q623" s="27"/>
      <c r="R623" s="27"/>
      <c r="S623" s="67">
        <f t="shared" si="143"/>
        <v>0</v>
      </c>
      <c r="T623" s="29"/>
      <c r="U623" s="30"/>
      <c r="V623" s="27"/>
      <c r="W623" s="81"/>
      <c r="X623" s="27"/>
      <c r="Y623" s="29"/>
      <c r="Z623" s="27"/>
      <c r="AA623" s="27"/>
      <c r="AB623" s="27"/>
      <c r="AC623" s="81"/>
      <c r="AD623" s="30"/>
      <c r="AE623" s="31">
        <f>SUMIFS(инфо!$D$15:$D$28,инфо!$A$15:$A$28,F623)</f>
        <v>0</v>
      </c>
      <c r="AF623" s="35">
        <f t="shared" si="148"/>
        <v>0</v>
      </c>
      <c r="AG623" s="33">
        <f t="shared" si="144"/>
        <v>0</v>
      </c>
      <c r="AH623" s="31">
        <f>SUMIFS(инфо!$E$15:$E$28,инфо!$A$15:$A$28,F623)</f>
        <v>0</v>
      </c>
      <c r="AI623" s="32">
        <f t="shared" si="149"/>
        <v>0</v>
      </c>
      <c r="AJ623" s="33">
        <f t="shared" si="145"/>
        <v>0</v>
      </c>
      <c r="AK623" s="31">
        <f>SUMIFS(инфо!$F$15:$F$28,инфо!$A$15:$A$28,F623)</f>
        <v>0</v>
      </c>
      <c r="AL623" s="32">
        <f t="shared" si="150"/>
        <v>0</v>
      </c>
      <c r="AM623" s="33">
        <f t="shared" ref="AM623:AM686" si="153">AL623-AK623</f>
        <v>0</v>
      </c>
      <c r="AN623" s="31">
        <f>SUMIFS(инфо!$G$15:$G$28,инфо!$A$15:$A$28,F623)</f>
        <v>0</v>
      </c>
      <c r="AO623" s="32">
        <f t="shared" si="151"/>
        <v>0</v>
      </c>
      <c r="AP623" s="33">
        <f t="shared" ref="AP623:AP686" si="154">AO623-AN623</f>
        <v>0</v>
      </c>
      <c r="AQ623" s="31">
        <f>SUMIFS(инфо!$H$15:$H$28,инфо!$A$15:$A$28,F623)</f>
        <v>0</v>
      </c>
      <c r="AR623" s="32">
        <f t="shared" si="152"/>
        <v>0</v>
      </c>
      <c r="AS623" s="33">
        <f t="shared" ref="AS623:AS686" si="155">AR623-AQ623</f>
        <v>0</v>
      </c>
      <c r="AT623" s="31">
        <f>SUMIFS(инфо!$I$15:$I$28,инфо!$A$15:$A$28,F623)</f>
        <v>0</v>
      </c>
      <c r="AU623" s="35">
        <f t="shared" si="146"/>
        <v>0</v>
      </c>
      <c r="AV623" s="33">
        <f t="shared" ref="AV623:AV686" si="156">AU623-AT623</f>
        <v>0</v>
      </c>
      <c r="AX623" s="67">
        <f>SUMIFS(инфо!$C$15:$C$28,инфо!$A$15:$A$28,F623)*H622</f>
        <v>0</v>
      </c>
    </row>
    <row r="624" spans="1:50" x14ac:dyDescent="0.25">
      <c r="A624" s="70">
        <f t="shared" si="147"/>
        <v>46376</v>
      </c>
      <c r="B624" s="76"/>
      <c r="C624" s="15"/>
      <c r="D624" s="16"/>
      <c r="E624" s="83"/>
      <c r="F624" s="28"/>
      <c r="G624" s="34"/>
      <c r="H624" s="20"/>
      <c r="I624" s="118">
        <f>IFERROR(H624*VLOOKUP(F624,инфо!$A$15:$C$28,3,FALSE)/1000,0)</f>
        <v>0</v>
      </c>
      <c r="J624" s="20"/>
      <c r="K624" s="20"/>
      <c r="L624" s="20"/>
      <c r="M624" s="20"/>
      <c r="N624" s="20"/>
      <c r="O624" s="34"/>
      <c r="P624" s="34"/>
      <c r="Q624" s="34"/>
      <c r="R624" s="34"/>
      <c r="S624" s="68">
        <f t="shared" ref="S624:S687" si="157">SUM(O624:R624)</f>
        <v>0</v>
      </c>
      <c r="T624" s="15"/>
      <c r="U624" s="16"/>
      <c r="V624" s="34"/>
      <c r="W624" s="81"/>
      <c r="X624" s="34"/>
      <c r="Y624" s="15"/>
      <c r="Z624" s="34"/>
      <c r="AA624" s="34"/>
      <c r="AB624" s="34"/>
      <c r="AC624" s="81"/>
      <c r="AD624" s="16"/>
      <c r="AE624" s="24">
        <f>SUMIFS(инфо!$D$15:$D$28,инфо!$A$15:$A$28,F624)</f>
        <v>0</v>
      </c>
      <c r="AF624" s="35">
        <f t="shared" si="148"/>
        <v>0</v>
      </c>
      <c r="AG624" s="12">
        <f t="shared" si="144"/>
        <v>0</v>
      </c>
      <c r="AH624" s="24">
        <f>SUMIFS(инфо!$E$15:$E$28,инфо!$A$15:$A$28,F624)</f>
        <v>0</v>
      </c>
      <c r="AI624" s="32">
        <f t="shared" si="149"/>
        <v>0</v>
      </c>
      <c r="AJ624" s="12">
        <f t="shared" si="145"/>
        <v>0</v>
      </c>
      <c r="AK624" s="24">
        <f>SUMIFS(инфо!$F$15:$F$28,инфо!$A$15:$A$28,F624)</f>
        <v>0</v>
      </c>
      <c r="AL624" s="32">
        <f t="shared" si="150"/>
        <v>0</v>
      </c>
      <c r="AM624" s="12">
        <f t="shared" si="153"/>
        <v>0</v>
      </c>
      <c r="AN624" s="24">
        <f>SUMIFS(инфо!$G$15:$G$28,инфо!$A$15:$A$28,F624)</f>
        <v>0</v>
      </c>
      <c r="AO624" s="32">
        <f t="shared" si="151"/>
        <v>0</v>
      </c>
      <c r="AP624" s="12">
        <f t="shared" si="154"/>
        <v>0</v>
      </c>
      <c r="AQ624" s="24">
        <f>SUMIFS(инфо!$H$15:$H$28,инфо!$A$15:$A$28,F624)</f>
        <v>0</v>
      </c>
      <c r="AR624" s="35">
        <f t="shared" si="152"/>
        <v>0</v>
      </c>
      <c r="AS624" s="12">
        <f t="shared" si="155"/>
        <v>0</v>
      </c>
      <c r="AT624" s="24">
        <f>SUMIFS(инфо!$I$15:$I$28,инфо!$A$15:$A$28,F624)</f>
        <v>0</v>
      </c>
      <c r="AU624" s="35">
        <f t="shared" si="146"/>
        <v>0</v>
      </c>
      <c r="AV624" s="12">
        <f t="shared" si="156"/>
        <v>0</v>
      </c>
      <c r="AX624" s="68">
        <f>SUMIFS(инфо!$C$15:$C$28,инфо!$A$15:$A$28,F624)*H623</f>
        <v>0</v>
      </c>
    </row>
    <row r="625" spans="1:50" x14ac:dyDescent="0.25">
      <c r="A625" s="70">
        <f t="shared" si="147"/>
        <v>46376</v>
      </c>
      <c r="B625" s="76"/>
      <c r="C625" s="15"/>
      <c r="D625" s="16"/>
      <c r="E625" s="83"/>
      <c r="F625" s="28"/>
      <c r="G625" s="34"/>
      <c r="H625" s="23"/>
      <c r="I625" s="118">
        <f>IFERROR(H625*VLOOKUP(F625,инфо!$A$15:$C$28,3,FALSE)/1000,0)</f>
        <v>0</v>
      </c>
      <c r="J625" s="20"/>
      <c r="K625" s="20"/>
      <c r="L625" s="20"/>
      <c r="M625" s="20"/>
      <c r="N625" s="20"/>
      <c r="O625" s="34"/>
      <c r="P625" s="34"/>
      <c r="Q625" s="34"/>
      <c r="R625" s="34"/>
      <c r="S625" s="68">
        <f t="shared" si="157"/>
        <v>0</v>
      </c>
      <c r="T625" s="15"/>
      <c r="U625" s="16"/>
      <c r="V625" s="34"/>
      <c r="W625" s="81"/>
      <c r="X625" s="34"/>
      <c r="Y625" s="15"/>
      <c r="Z625" s="34"/>
      <c r="AA625" s="34"/>
      <c r="AB625" s="34"/>
      <c r="AC625" s="81"/>
      <c r="AD625" s="16"/>
      <c r="AE625" s="24">
        <f>SUMIFS(инфо!$D$15:$D$28,инфо!$A$15:$A$28,F625)</f>
        <v>0</v>
      </c>
      <c r="AF625" s="35">
        <f t="shared" si="148"/>
        <v>0</v>
      </c>
      <c r="AG625" s="12">
        <f t="shared" si="144"/>
        <v>0</v>
      </c>
      <c r="AH625" s="24">
        <f>SUMIFS(инфо!$E$15:$E$28,инфо!$A$15:$A$28,F625)</f>
        <v>0</v>
      </c>
      <c r="AI625" s="32">
        <f t="shared" si="149"/>
        <v>0</v>
      </c>
      <c r="AJ625" s="12">
        <f t="shared" si="145"/>
        <v>0</v>
      </c>
      <c r="AK625" s="24">
        <f>SUMIFS(инфо!$F$15:$F$28,инфо!$A$15:$A$28,F625)</f>
        <v>0</v>
      </c>
      <c r="AL625" s="32">
        <f t="shared" si="150"/>
        <v>0</v>
      </c>
      <c r="AM625" s="12">
        <f t="shared" si="153"/>
        <v>0</v>
      </c>
      <c r="AN625" s="24">
        <f>SUMIFS(инфо!$G$15:$G$28,инфо!$A$15:$A$28,F625)</f>
        <v>0</v>
      </c>
      <c r="AO625" s="32">
        <f t="shared" si="151"/>
        <v>0</v>
      </c>
      <c r="AP625" s="12">
        <f t="shared" si="154"/>
        <v>0</v>
      </c>
      <c r="AQ625" s="24">
        <f>SUMIFS(инфо!$H$15:$H$28,инфо!$A$15:$A$28,F625)</f>
        <v>0</v>
      </c>
      <c r="AR625" s="35">
        <f t="shared" si="152"/>
        <v>0</v>
      </c>
      <c r="AS625" s="12">
        <f t="shared" si="155"/>
        <v>0</v>
      </c>
      <c r="AT625" s="24">
        <f>SUMIFS(инфо!$I$15:$I$28,инфо!$A$15:$A$28,F625)</f>
        <v>0</v>
      </c>
      <c r="AU625" s="35">
        <f t="shared" si="146"/>
        <v>0</v>
      </c>
      <c r="AV625" s="12">
        <f t="shared" si="156"/>
        <v>0</v>
      </c>
      <c r="AX625" s="68">
        <f>SUMIFS(инфо!$C$15:$C$28,инфо!$A$15:$A$28,F625)*H624</f>
        <v>0</v>
      </c>
    </row>
    <row r="626" spans="1:50" x14ac:dyDescent="0.25">
      <c r="A626" s="70">
        <f t="shared" si="147"/>
        <v>46377</v>
      </c>
      <c r="B626" s="77"/>
      <c r="C626" s="17"/>
      <c r="D626" s="18"/>
      <c r="E626" s="83"/>
      <c r="F626" s="28"/>
      <c r="G626" s="19"/>
      <c r="H626" s="28"/>
      <c r="I626" s="118">
        <f>IFERROR(H626*VLOOKUP(F626,инфо!$A$15:$C$28,3,FALSE)/1000,0)</f>
        <v>0</v>
      </c>
      <c r="J626" s="20"/>
      <c r="K626" s="20"/>
      <c r="L626" s="20"/>
      <c r="M626" s="20"/>
      <c r="N626" s="23"/>
      <c r="O626" s="19"/>
      <c r="P626" s="19"/>
      <c r="Q626" s="19"/>
      <c r="R626" s="19"/>
      <c r="S626" s="69">
        <f t="shared" si="157"/>
        <v>0</v>
      </c>
      <c r="T626" s="17"/>
      <c r="U626" s="18"/>
      <c r="V626" s="19"/>
      <c r="W626" s="81"/>
      <c r="X626" s="19"/>
      <c r="Y626" s="17"/>
      <c r="Z626" s="19"/>
      <c r="AA626" s="19"/>
      <c r="AB626" s="19"/>
      <c r="AC626" s="81"/>
      <c r="AD626" s="18"/>
      <c r="AE626" s="25">
        <f>SUMIFS(инфо!$D$15:$D$28,инфо!$A$15:$A$28,F626)</f>
        <v>0</v>
      </c>
      <c r="AF626" s="35">
        <f t="shared" si="148"/>
        <v>0</v>
      </c>
      <c r="AG626" s="14">
        <f t="shared" si="144"/>
        <v>0</v>
      </c>
      <c r="AH626" s="25">
        <f>SUMIFS(инфо!$E$15:$E$28,инфо!$A$15:$A$28,F626)</f>
        <v>0</v>
      </c>
      <c r="AI626" s="32">
        <f t="shared" si="149"/>
        <v>0</v>
      </c>
      <c r="AJ626" s="14">
        <f t="shared" si="145"/>
        <v>0</v>
      </c>
      <c r="AK626" s="25">
        <f>SUMIFS(инфо!$F$15:$F$28,инфо!$A$15:$A$28,F626)</f>
        <v>0</v>
      </c>
      <c r="AL626" s="32">
        <f t="shared" si="150"/>
        <v>0</v>
      </c>
      <c r="AM626" s="14">
        <f t="shared" si="153"/>
        <v>0</v>
      </c>
      <c r="AN626" s="25">
        <f>SUMIFS(инфо!$G$15:$G$28,инфо!$A$15:$A$28,F626)</f>
        <v>0</v>
      </c>
      <c r="AO626" s="32">
        <f t="shared" si="151"/>
        <v>0</v>
      </c>
      <c r="AP626" s="14">
        <f t="shared" si="154"/>
        <v>0</v>
      </c>
      <c r="AQ626" s="25">
        <f>SUMIFS(инфо!$H$15:$H$28,инфо!$A$15:$A$28,F626)</f>
        <v>0</v>
      </c>
      <c r="AR626" s="26">
        <f t="shared" si="152"/>
        <v>0</v>
      </c>
      <c r="AS626" s="14">
        <f t="shared" si="155"/>
        <v>0</v>
      </c>
      <c r="AT626" s="25">
        <f>SUMIFS(инфо!$I$15:$I$28,инфо!$A$15:$A$28,F626)</f>
        <v>0</v>
      </c>
      <c r="AU626" s="35">
        <f t="shared" si="146"/>
        <v>0</v>
      </c>
      <c r="AV626" s="14">
        <f t="shared" si="156"/>
        <v>0</v>
      </c>
      <c r="AX626" s="69">
        <f>SUMIFS(инфо!$C$15:$C$28,инфо!$A$15:$A$28,F626)*H625</f>
        <v>0</v>
      </c>
    </row>
    <row r="627" spans="1:50" x14ac:dyDescent="0.25">
      <c r="A627" s="70">
        <f t="shared" si="147"/>
        <v>46377</v>
      </c>
      <c r="B627" s="75"/>
      <c r="C627" s="29"/>
      <c r="D627" s="30"/>
      <c r="E627" s="83"/>
      <c r="F627" s="28"/>
      <c r="G627" s="27"/>
      <c r="H627" s="20"/>
      <c r="I627" s="118">
        <f>IFERROR(H627*VLOOKUP(F627,инфо!$A$15:$C$28,3,FALSE)/1000,0)</f>
        <v>0</v>
      </c>
      <c r="J627" s="20"/>
      <c r="K627" s="20"/>
      <c r="L627" s="20"/>
      <c r="M627" s="20"/>
      <c r="N627" s="28"/>
      <c r="O627" s="27"/>
      <c r="P627" s="27"/>
      <c r="Q627" s="27"/>
      <c r="R627" s="27"/>
      <c r="S627" s="67">
        <f t="shared" si="157"/>
        <v>0</v>
      </c>
      <c r="T627" s="29"/>
      <c r="U627" s="30"/>
      <c r="V627" s="27"/>
      <c r="W627" s="81"/>
      <c r="X627" s="27"/>
      <c r="Y627" s="29"/>
      <c r="Z627" s="27"/>
      <c r="AA627" s="27"/>
      <c r="AB627" s="27"/>
      <c r="AC627" s="81"/>
      <c r="AD627" s="30"/>
      <c r="AE627" s="31">
        <f>SUMIFS(инфо!$D$15:$D$28,инфо!$A$15:$A$28,F627)</f>
        <v>0</v>
      </c>
      <c r="AF627" s="35">
        <f t="shared" si="148"/>
        <v>0</v>
      </c>
      <c r="AG627" s="33">
        <f t="shared" si="144"/>
        <v>0</v>
      </c>
      <c r="AH627" s="31">
        <f>SUMIFS(инфо!$E$15:$E$28,инфо!$A$15:$A$28,F627)</f>
        <v>0</v>
      </c>
      <c r="AI627" s="32">
        <f t="shared" si="149"/>
        <v>0</v>
      </c>
      <c r="AJ627" s="33">
        <f t="shared" si="145"/>
        <v>0</v>
      </c>
      <c r="AK627" s="31">
        <f>SUMIFS(инфо!$F$15:$F$28,инфо!$A$15:$A$28,F627)</f>
        <v>0</v>
      </c>
      <c r="AL627" s="32">
        <f t="shared" si="150"/>
        <v>0</v>
      </c>
      <c r="AM627" s="33">
        <f t="shared" si="153"/>
        <v>0</v>
      </c>
      <c r="AN627" s="31">
        <f>SUMIFS(инфо!$G$15:$G$28,инфо!$A$15:$A$28,F627)</f>
        <v>0</v>
      </c>
      <c r="AO627" s="32">
        <f t="shared" si="151"/>
        <v>0</v>
      </c>
      <c r="AP627" s="33">
        <f t="shared" si="154"/>
        <v>0</v>
      </c>
      <c r="AQ627" s="31">
        <f>SUMIFS(инфо!$H$15:$H$28,инфо!$A$15:$A$28,F627)</f>
        <v>0</v>
      </c>
      <c r="AR627" s="32">
        <f t="shared" si="152"/>
        <v>0</v>
      </c>
      <c r="AS627" s="33">
        <f t="shared" si="155"/>
        <v>0</v>
      </c>
      <c r="AT627" s="31">
        <f>SUMIFS(инфо!$I$15:$I$28,инфо!$A$15:$A$28,F627)</f>
        <v>0</v>
      </c>
      <c r="AU627" s="35">
        <f t="shared" si="146"/>
        <v>0</v>
      </c>
      <c r="AV627" s="33">
        <f t="shared" si="156"/>
        <v>0</v>
      </c>
      <c r="AX627" s="67">
        <f>SUMIFS(инфо!$C$15:$C$28,инфо!$A$15:$A$28,F627)*H626</f>
        <v>0</v>
      </c>
    </row>
    <row r="628" spans="1:50" x14ac:dyDescent="0.25">
      <c r="A628" s="70">
        <f t="shared" si="147"/>
        <v>46378</v>
      </c>
      <c r="B628" s="76"/>
      <c r="C628" s="15"/>
      <c r="D628" s="16"/>
      <c r="E628" s="83"/>
      <c r="F628" s="28"/>
      <c r="G628" s="34"/>
      <c r="H628" s="20"/>
      <c r="I628" s="118">
        <f>IFERROR(H628*VLOOKUP(F628,инфо!$A$15:$C$28,3,FALSE)/1000,0)</f>
        <v>0</v>
      </c>
      <c r="J628" s="20"/>
      <c r="K628" s="20"/>
      <c r="L628" s="20"/>
      <c r="M628" s="20"/>
      <c r="N628" s="20"/>
      <c r="O628" s="34"/>
      <c r="P628" s="34"/>
      <c r="Q628" s="34"/>
      <c r="R628" s="34"/>
      <c r="S628" s="68">
        <f t="shared" si="157"/>
        <v>0</v>
      </c>
      <c r="T628" s="15"/>
      <c r="U628" s="16"/>
      <c r="V628" s="34"/>
      <c r="W628" s="81"/>
      <c r="X628" s="34"/>
      <c r="Y628" s="15"/>
      <c r="Z628" s="34"/>
      <c r="AA628" s="34"/>
      <c r="AB628" s="34"/>
      <c r="AC628" s="81"/>
      <c r="AD628" s="16"/>
      <c r="AE628" s="24">
        <f>SUMIFS(инфо!$D$15:$D$28,инфо!$A$15:$A$28,F628)</f>
        <v>0</v>
      </c>
      <c r="AF628" s="35">
        <f t="shared" si="148"/>
        <v>0</v>
      </c>
      <c r="AG628" s="12">
        <f t="shared" si="144"/>
        <v>0</v>
      </c>
      <c r="AH628" s="24">
        <f>SUMIFS(инфо!$E$15:$E$28,инфо!$A$15:$A$28,F628)</f>
        <v>0</v>
      </c>
      <c r="AI628" s="32">
        <f t="shared" si="149"/>
        <v>0</v>
      </c>
      <c r="AJ628" s="12">
        <f t="shared" si="145"/>
        <v>0</v>
      </c>
      <c r="AK628" s="24">
        <f>SUMIFS(инфо!$F$15:$F$28,инфо!$A$15:$A$28,F628)</f>
        <v>0</v>
      </c>
      <c r="AL628" s="32">
        <f t="shared" si="150"/>
        <v>0</v>
      </c>
      <c r="AM628" s="12">
        <f t="shared" si="153"/>
        <v>0</v>
      </c>
      <c r="AN628" s="24">
        <f>SUMIFS(инфо!$G$15:$G$28,инфо!$A$15:$A$28,F628)</f>
        <v>0</v>
      </c>
      <c r="AO628" s="32">
        <f t="shared" si="151"/>
        <v>0</v>
      </c>
      <c r="AP628" s="12">
        <f t="shared" si="154"/>
        <v>0</v>
      </c>
      <c r="AQ628" s="24">
        <f>SUMIFS(инфо!$H$15:$H$28,инфо!$A$15:$A$28,F628)</f>
        <v>0</v>
      </c>
      <c r="AR628" s="35">
        <f t="shared" si="152"/>
        <v>0</v>
      </c>
      <c r="AS628" s="12">
        <f t="shared" si="155"/>
        <v>0</v>
      </c>
      <c r="AT628" s="24">
        <f>SUMIFS(инфо!$I$15:$I$28,инфо!$A$15:$A$28,F628)</f>
        <v>0</v>
      </c>
      <c r="AU628" s="35">
        <f t="shared" si="146"/>
        <v>0</v>
      </c>
      <c r="AV628" s="12">
        <f t="shared" si="156"/>
        <v>0</v>
      </c>
      <c r="AX628" s="68">
        <f>SUMIFS(инфо!$C$15:$C$28,инфо!$A$15:$A$28,F628)*H627</f>
        <v>0</v>
      </c>
    </row>
    <row r="629" spans="1:50" x14ac:dyDescent="0.25">
      <c r="A629" s="70">
        <f t="shared" si="147"/>
        <v>46378</v>
      </c>
      <c r="B629" s="76"/>
      <c r="C629" s="15"/>
      <c r="D629" s="16"/>
      <c r="E629" s="83"/>
      <c r="F629" s="28"/>
      <c r="G629" s="34"/>
      <c r="H629" s="23"/>
      <c r="I629" s="118">
        <f>IFERROR(H629*VLOOKUP(F629,инфо!$A$15:$C$28,3,FALSE)/1000,0)</f>
        <v>0</v>
      </c>
      <c r="J629" s="20"/>
      <c r="K629" s="20"/>
      <c r="L629" s="20"/>
      <c r="M629" s="20"/>
      <c r="N629" s="20"/>
      <c r="O629" s="34"/>
      <c r="P629" s="34"/>
      <c r="Q629" s="34"/>
      <c r="R629" s="34"/>
      <c r="S629" s="68">
        <f t="shared" si="157"/>
        <v>0</v>
      </c>
      <c r="T629" s="15"/>
      <c r="U629" s="16"/>
      <c r="V629" s="34"/>
      <c r="W629" s="81"/>
      <c r="X629" s="34"/>
      <c r="Y629" s="15"/>
      <c r="Z629" s="34"/>
      <c r="AA629" s="34"/>
      <c r="AB629" s="34"/>
      <c r="AC629" s="81"/>
      <c r="AD629" s="16"/>
      <c r="AE629" s="24">
        <f>SUMIFS(инфо!$D$15:$D$28,инфо!$A$15:$A$28,F629)</f>
        <v>0</v>
      </c>
      <c r="AF629" s="35">
        <f t="shared" si="148"/>
        <v>0</v>
      </c>
      <c r="AG629" s="12">
        <f t="shared" si="144"/>
        <v>0</v>
      </c>
      <c r="AH629" s="24">
        <f>SUMIFS(инфо!$E$15:$E$28,инфо!$A$15:$A$28,F629)</f>
        <v>0</v>
      </c>
      <c r="AI629" s="32">
        <f t="shared" si="149"/>
        <v>0</v>
      </c>
      <c r="AJ629" s="12">
        <f t="shared" si="145"/>
        <v>0</v>
      </c>
      <c r="AK629" s="24">
        <f>SUMIFS(инфо!$F$15:$F$28,инфо!$A$15:$A$28,F629)</f>
        <v>0</v>
      </c>
      <c r="AL629" s="32">
        <f t="shared" si="150"/>
        <v>0</v>
      </c>
      <c r="AM629" s="12">
        <f t="shared" si="153"/>
        <v>0</v>
      </c>
      <c r="AN629" s="24">
        <f>SUMIFS(инфо!$G$15:$G$28,инфо!$A$15:$A$28,F629)</f>
        <v>0</v>
      </c>
      <c r="AO629" s="32">
        <f t="shared" si="151"/>
        <v>0</v>
      </c>
      <c r="AP629" s="12">
        <f t="shared" si="154"/>
        <v>0</v>
      </c>
      <c r="AQ629" s="24">
        <f>SUMIFS(инфо!$H$15:$H$28,инфо!$A$15:$A$28,F629)</f>
        <v>0</v>
      </c>
      <c r="AR629" s="35">
        <f t="shared" si="152"/>
        <v>0</v>
      </c>
      <c r="AS629" s="12">
        <f t="shared" si="155"/>
        <v>0</v>
      </c>
      <c r="AT629" s="24">
        <f>SUMIFS(инфо!$I$15:$I$28,инфо!$A$15:$A$28,F629)</f>
        <v>0</v>
      </c>
      <c r="AU629" s="35">
        <f t="shared" si="146"/>
        <v>0</v>
      </c>
      <c r="AV629" s="12">
        <f t="shared" si="156"/>
        <v>0</v>
      </c>
      <c r="AX629" s="68">
        <f>SUMIFS(инфо!$C$15:$C$28,инфо!$A$15:$A$28,F629)*H628</f>
        <v>0</v>
      </c>
    </row>
    <row r="630" spans="1:50" x14ac:dyDescent="0.25">
      <c r="A630" s="70">
        <f t="shared" si="147"/>
        <v>46379</v>
      </c>
      <c r="B630" s="77"/>
      <c r="C630" s="17"/>
      <c r="D630" s="18"/>
      <c r="E630" s="83"/>
      <c r="F630" s="28"/>
      <c r="G630" s="19"/>
      <c r="H630" s="28"/>
      <c r="I630" s="118">
        <f>IFERROR(H630*VLOOKUP(F630,инфо!$A$15:$C$28,3,FALSE)/1000,0)</f>
        <v>0</v>
      </c>
      <c r="J630" s="20"/>
      <c r="K630" s="20"/>
      <c r="L630" s="20"/>
      <c r="M630" s="20"/>
      <c r="N630" s="23"/>
      <c r="O630" s="19"/>
      <c r="P630" s="19"/>
      <c r="Q630" s="19"/>
      <c r="R630" s="19"/>
      <c r="S630" s="69">
        <f t="shared" si="157"/>
        <v>0</v>
      </c>
      <c r="T630" s="17"/>
      <c r="U630" s="18"/>
      <c r="V630" s="19"/>
      <c r="W630" s="81"/>
      <c r="X630" s="19"/>
      <c r="Y630" s="17"/>
      <c r="Z630" s="19"/>
      <c r="AA630" s="19"/>
      <c r="AB630" s="19"/>
      <c r="AC630" s="81"/>
      <c r="AD630" s="18"/>
      <c r="AE630" s="25">
        <f>SUMIFS(инфо!$D$15:$D$28,инфо!$A$15:$A$28,F630)</f>
        <v>0</v>
      </c>
      <c r="AF630" s="35">
        <f t="shared" si="148"/>
        <v>0</v>
      </c>
      <c r="AG630" s="14">
        <f t="shared" si="144"/>
        <v>0</v>
      </c>
      <c r="AH630" s="25">
        <f>SUMIFS(инфо!$E$15:$E$28,инфо!$A$15:$A$28,F630)</f>
        <v>0</v>
      </c>
      <c r="AI630" s="32">
        <f t="shared" si="149"/>
        <v>0</v>
      </c>
      <c r="AJ630" s="14">
        <f t="shared" si="145"/>
        <v>0</v>
      </c>
      <c r="AK630" s="25">
        <f>SUMIFS(инфо!$F$15:$F$28,инфо!$A$15:$A$28,F630)</f>
        <v>0</v>
      </c>
      <c r="AL630" s="32">
        <f t="shared" si="150"/>
        <v>0</v>
      </c>
      <c r="AM630" s="14">
        <f t="shared" si="153"/>
        <v>0</v>
      </c>
      <c r="AN630" s="25">
        <f>SUMIFS(инфо!$G$15:$G$28,инфо!$A$15:$A$28,F630)</f>
        <v>0</v>
      </c>
      <c r="AO630" s="32">
        <f t="shared" si="151"/>
        <v>0</v>
      </c>
      <c r="AP630" s="14">
        <f t="shared" si="154"/>
        <v>0</v>
      </c>
      <c r="AQ630" s="25">
        <f>SUMIFS(инфо!$H$15:$H$28,инфо!$A$15:$A$28,F630)</f>
        <v>0</v>
      </c>
      <c r="AR630" s="26">
        <f t="shared" si="152"/>
        <v>0</v>
      </c>
      <c r="AS630" s="14">
        <f t="shared" si="155"/>
        <v>0</v>
      </c>
      <c r="AT630" s="25">
        <f>SUMIFS(инфо!$I$15:$I$28,инфо!$A$15:$A$28,F630)</f>
        <v>0</v>
      </c>
      <c r="AU630" s="35">
        <f t="shared" si="146"/>
        <v>0</v>
      </c>
      <c r="AV630" s="14">
        <f t="shared" si="156"/>
        <v>0</v>
      </c>
      <c r="AX630" s="69">
        <f>SUMIFS(инфо!$C$15:$C$28,инфо!$A$15:$A$28,F630)*H629</f>
        <v>0</v>
      </c>
    </row>
    <row r="631" spans="1:50" x14ac:dyDescent="0.25">
      <c r="A631" s="70">
        <f t="shared" si="147"/>
        <v>46379</v>
      </c>
      <c r="B631" s="75"/>
      <c r="C631" s="29"/>
      <c r="D631" s="30"/>
      <c r="E631" s="83"/>
      <c r="F631" s="28"/>
      <c r="G631" s="27"/>
      <c r="H631" s="20"/>
      <c r="I631" s="118">
        <f>IFERROR(H631*VLOOKUP(F631,инфо!$A$15:$C$28,3,FALSE)/1000,0)</f>
        <v>0</v>
      </c>
      <c r="J631" s="20"/>
      <c r="K631" s="20"/>
      <c r="L631" s="20"/>
      <c r="M631" s="20"/>
      <c r="N631" s="28"/>
      <c r="O631" s="27"/>
      <c r="P631" s="27"/>
      <c r="Q631" s="27"/>
      <c r="R631" s="27"/>
      <c r="S631" s="67">
        <f t="shared" si="157"/>
        <v>0</v>
      </c>
      <c r="T631" s="29"/>
      <c r="U631" s="30"/>
      <c r="V631" s="27"/>
      <c r="W631" s="81"/>
      <c r="X631" s="27"/>
      <c r="Y631" s="29"/>
      <c r="Z631" s="27"/>
      <c r="AA631" s="27"/>
      <c r="AB631" s="27"/>
      <c r="AC631" s="81"/>
      <c r="AD631" s="30"/>
      <c r="AE631" s="31">
        <f>SUMIFS(инфо!$D$15:$D$28,инфо!$A$15:$A$28,F631)</f>
        <v>0</v>
      </c>
      <c r="AF631" s="35">
        <f t="shared" si="148"/>
        <v>0</v>
      </c>
      <c r="AG631" s="33">
        <f t="shared" si="144"/>
        <v>0</v>
      </c>
      <c r="AH631" s="31">
        <f>SUMIFS(инфо!$E$15:$E$28,инфо!$A$15:$A$28,F631)</f>
        <v>0</v>
      </c>
      <c r="AI631" s="32">
        <f t="shared" si="149"/>
        <v>0</v>
      </c>
      <c r="AJ631" s="33">
        <f t="shared" si="145"/>
        <v>0</v>
      </c>
      <c r="AK631" s="31">
        <f>SUMIFS(инфо!$F$15:$F$28,инфо!$A$15:$A$28,F631)</f>
        <v>0</v>
      </c>
      <c r="AL631" s="32">
        <f t="shared" si="150"/>
        <v>0</v>
      </c>
      <c r="AM631" s="33">
        <f t="shared" si="153"/>
        <v>0</v>
      </c>
      <c r="AN631" s="31">
        <f>SUMIFS(инфо!$G$15:$G$28,инфо!$A$15:$A$28,F631)</f>
        <v>0</v>
      </c>
      <c r="AO631" s="32">
        <f t="shared" si="151"/>
        <v>0</v>
      </c>
      <c r="AP631" s="33">
        <f t="shared" si="154"/>
        <v>0</v>
      </c>
      <c r="AQ631" s="31">
        <f>SUMIFS(инфо!$H$15:$H$28,инфо!$A$15:$A$28,F631)</f>
        <v>0</v>
      </c>
      <c r="AR631" s="32">
        <f t="shared" si="152"/>
        <v>0</v>
      </c>
      <c r="AS631" s="33">
        <f t="shared" si="155"/>
        <v>0</v>
      </c>
      <c r="AT631" s="31">
        <f>SUMIFS(инфо!$I$15:$I$28,инфо!$A$15:$A$28,F631)</f>
        <v>0</v>
      </c>
      <c r="AU631" s="35">
        <f t="shared" si="146"/>
        <v>0</v>
      </c>
      <c r="AV631" s="33">
        <f t="shared" si="156"/>
        <v>0</v>
      </c>
      <c r="AX631" s="67">
        <f>SUMIFS(инфо!$C$15:$C$28,инфо!$A$15:$A$28,F631)*H630</f>
        <v>0</v>
      </c>
    </row>
    <row r="632" spans="1:50" x14ac:dyDescent="0.25">
      <c r="A632" s="70">
        <f t="shared" si="147"/>
        <v>46380</v>
      </c>
      <c r="B632" s="76"/>
      <c r="C632" s="15"/>
      <c r="D632" s="16"/>
      <c r="E632" s="83"/>
      <c r="F632" s="28"/>
      <c r="G632" s="34"/>
      <c r="H632" s="20"/>
      <c r="I632" s="118">
        <f>IFERROR(H632*VLOOKUP(F632,инфо!$A$15:$C$28,3,FALSE)/1000,0)</f>
        <v>0</v>
      </c>
      <c r="J632" s="20"/>
      <c r="K632" s="20"/>
      <c r="L632" s="20"/>
      <c r="M632" s="20"/>
      <c r="N632" s="20"/>
      <c r="O632" s="34"/>
      <c r="P632" s="34"/>
      <c r="Q632" s="34"/>
      <c r="R632" s="34"/>
      <c r="S632" s="68">
        <f t="shared" si="157"/>
        <v>0</v>
      </c>
      <c r="T632" s="15"/>
      <c r="U632" s="16"/>
      <c r="V632" s="34"/>
      <c r="W632" s="81"/>
      <c r="X632" s="34"/>
      <c r="Y632" s="15"/>
      <c r="Z632" s="34"/>
      <c r="AA632" s="34"/>
      <c r="AB632" s="34"/>
      <c r="AC632" s="81"/>
      <c r="AD632" s="16"/>
      <c r="AE632" s="24">
        <f>SUMIFS(инфо!$D$15:$D$28,инфо!$A$15:$A$28,F632)</f>
        <v>0</v>
      </c>
      <c r="AF632" s="35">
        <f t="shared" si="148"/>
        <v>0</v>
      </c>
      <c r="AG632" s="12">
        <f t="shared" si="144"/>
        <v>0</v>
      </c>
      <c r="AH632" s="24">
        <f>SUMIFS(инфо!$E$15:$E$28,инфо!$A$15:$A$28,F632)</f>
        <v>0</v>
      </c>
      <c r="AI632" s="32">
        <f t="shared" si="149"/>
        <v>0</v>
      </c>
      <c r="AJ632" s="12">
        <f t="shared" si="145"/>
        <v>0</v>
      </c>
      <c r="AK632" s="24">
        <f>SUMIFS(инфо!$F$15:$F$28,инфо!$A$15:$A$28,F632)</f>
        <v>0</v>
      </c>
      <c r="AL632" s="32">
        <f t="shared" si="150"/>
        <v>0</v>
      </c>
      <c r="AM632" s="12">
        <f t="shared" si="153"/>
        <v>0</v>
      </c>
      <c r="AN632" s="24">
        <f>SUMIFS(инфо!$G$15:$G$28,инфо!$A$15:$A$28,F632)</f>
        <v>0</v>
      </c>
      <c r="AO632" s="32">
        <f t="shared" si="151"/>
        <v>0</v>
      </c>
      <c r="AP632" s="12">
        <f t="shared" si="154"/>
        <v>0</v>
      </c>
      <c r="AQ632" s="24">
        <f>SUMIFS(инфо!$H$15:$H$28,инфо!$A$15:$A$28,F632)</f>
        <v>0</v>
      </c>
      <c r="AR632" s="35">
        <f t="shared" si="152"/>
        <v>0</v>
      </c>
      <c r="AS632" s="12">
        <f t="shared" si="155"/>
        <v>0</v>
      </c>
      <c r="AT632" s="24">
        <f>SUMIFS(инфо!$I$15:$I$28,инфо!$A$15:$A$28,F632)</f>
        <v>0</v>
      </c>
      <c r="AU632" s="35">
        <f t="shared" si="146"/>
        <v>0</v>
      </c>
      <c r="AV632" s="12">
        <f t="shared" si="156"/>
        <v>0</v>
      </c>
      <c r="AX632" s="68">
        <f>SUMIFS(инфо!$C$15:$C$28,инфо!$A$15:$A$28,F632)*H631</f>
        <v>0</v>
      </c>
    </row>
    <row r="633" spans="1:50" x14ac:dyDescent="0.25">
      <c r="A633" s="70">
        <f t="shared" si="147"/>
        <v>46380</v>
      </c>
      <c r="B633" s="76"/>
      <c r="C633" s="15"/>
      <c r="D633" s="16"/>
      <c r="E633" s="83"/>
      <c r="F633" s="28"/>
      <c r="G633" s="34"/>
      <c r="H633" s="23"/>
      <c r="I633" s="118">
        <f>IFERROR(H633*VLOOKUP(F633,инфо!$A$15:$C$28,3,FALSE)/1000,0)</f>
        <v>0</v>
      </c>
      <c r="J633" s="20"/>
      <c r="K633" s="20"/>
      <c r="L633" s="20"/>
      <c r="M633" s="20"/>
      <c r="N633" s="20"/>
      <c r="O633" s="34"/>
      <c r="P633" s="34"/>
      <c r="Q633" s="34"/>
      <c r="R633" s="34"/>
      <c r="S633" s="68">
        <f t="shared" si="157"/>
        <v>0</v>
      </c>
      <c r="T633" s="15"/>
      <c r="U633" s="16"/>
      <c r="V633" s="34"/>
      <c r="W633" s="81"/>
      <c r="X633" s="34"/>
      <c r="Y633" s="15"/>
      <c r="Z633" s="34"/>
      <c r="AA633" s="34"/>
      <c r="AB633" s="34"/>
      <c r="AC633" s="81"/>
      <c r="AD633" s="16"/>
      <c r="AE633" s="24">
        <f>SUMIFS(инфо!$D$15:$D$28,инфо!$A$15:$A$28,F633)</f>
        <v>0</v>
      </c>
      <c r="AF633" s="35">
        <f t="shared" si="148"/>
        <v>0</v>
      </c>
      <c r="AG633" s="12">
        <f t="shared" si="144"/>
        <v>0</v>
      </c>
      <c r="AH633" s="24">
        <f>SUMIFS(инфо!$E$15:$E$28,инфо!$A$15:$A$28,F633)</f>
        <v>0</v>
      </c>
      <c r="AI633" s="32">
        <f t="shared" si="149"/>
        <v>0</v>
      </c>
      <c r="AJ633" s="12">
        <f t="shared" si="145"/>
        <v>0</v>
      </c>
      <c r="AK633" s="24">
        <f>SUMIFS(инфо!$F$15:$F$28,инфо!$A$15:$A$28,F633)</f>
        <v>0</v>
      </c>
      <c r="AL633" s="32">
        <f t="shared" si="150"/>
        <v>0</v>
      </c>
      <c r="AM633" s="12">
        <f t="shared" si="153"/>
        <v>0</v>
      </c>
      <c r="AN633" s="24">
        <f>SUMIFS(инфо!$G$15:$G$28,инфо!$A$15:$A$28,F633)</f>
        <v>0</v>
      </c>
      <c r="AO633" s="32">
        <f t="shared" si="151"/>
        <v>0</v>
      </c>
      <c r="AP633" s="12">
        <f t="shared" si="154"/>
        <v>0</v>
      </c>
      <c r="AQ633" s="24">
        <f>SUMIFS(инфо!$H$15:$H$28,инфо!$A$15:$A$28,F633)</f>
        <v>0</v>
      </c>
      <c r="AR633" s="35">
        <f t="shared" si="152"/>
        <v>0</v>
      </c>
      <c r="AS633" s="12">
        <f t="shared" si="155"/>
        <v>0</v>
      </c>
      <c r="AT633" s="24">
        <f>SUMIFS(инфо!$I$15:$I$28,инфо!$A$15:$A$28,F633)</f>
        <v>0</v>
      </c>
      <c r="AU633" s="35">
        <f t="shared" si="146"/>
        <v>0</v>
      </c>
      <c r="AV633" s="12">
        <f t="shared" si="156"/>
        <v>0</v>
      </c>
      <c r="AX633" s="68">
        <f>SUMIFS(инфо!$C$15:$C$28,инфо!$A$15:$A$28,F633)*H632</f>
        <v>0</v>
      </c>
    </row>
    <row r="634" spans="1:50" x14ac:dyDescent="0.25">
      <c r="A634" s="70">
        <f t="shared" si="147"/>
        <v>46381</v>
      </c>
      <c r="B634" s="77"/>
      <c r="C634" s="17"/>
      <c r="D634" s="18"/>
      <c r="E634" s="83"/>
      <c r="F634" s="28"/>
      <c r="G634" s="19"/>
      <c r="H634" s="28"/>
      <c r="I634" s="118">
        <f>IFERROR(H634*VLOOKUP(F634,инфо!$A$15:$C$28,3,FALSE)/1000,0)</f>
        <v>0</v>
      </c>
      <c r="J634" s="20"/>
      <c r="K634" s="20"/>
      <c r="L634" s="20"/>
      <c r="M634" s="20"/>
      <c r="N634" s="23"/>
      <c r="O634" s="19"/>
      <c r="P634" s="19"/>
      <c r="Q634" s="19"/>
      <c r="R634" s="19"/>
      <c r="S634" s="69">
        <f t="shared" si="157"/>
        <v>0</v>
      </c>
      <c r="T634" s="17"/>
      <c r="U634" s="18"/>
      <c r="V634" s="19"/>
      <c r="W634" s="81"/>
      <c r="X634" s="19"/>
      <c r="Y634" s="17"/>
      <c r="Z634" s="19"/>
      <c r="AA634" s="19"/>
      <c r="AB634" s="19"/>
      <c r="AC634" s="81"/>
      <c r="AD634" s="18"/>
      <c r="AE634" s="25">
        <f>SUMIFS(инфо!$D$15:$D$28,инфо!$A$15:$A$28,F634)</f>
        <v>0</v>
      </c>
      <c r="AF634" s="35">
        <f t="shared" si="148"/>
        <v>0</v>
      </c>
      <c r="AG634" s="14">
        <f t="shared" si="144"/>
        <v>0</v>
      </c>
      <c r="AH634" s="25">
        <f>SUMIFS(инфо!$E$15:$E$28,инфо!$A$15:$A$28,F634)</f>
        <v>0</v>
      </c>
      <c r="AI634" s="32">
        <f t="shared" si="149"/>
        <v>0</v>
      </c>
      <c r="AJ634" s="14">
        <f t="shared" si="145"/>
        <v>0</v>
      </c>
      <c r="AK634" s="25">
        <f>SUMIFS(инфо!$F$15:$F$28,инфо!$A$15:$A$28,F634)</f>
        <v>0</v>
      </c>
      <c r="AL634" s="32">
        <f t="shared" si="150"/>
        <v>0</v>
      </c>
      <c r="AM634" s="14">
        <f t="shared" si="153"/>
        <v>0</v>
      </c>
      <c r="AN634" s="25">
        <f>SUMIFS(инфо!$G$15:$G$28,инфо!$A$15:$A$28,F634)</f>
        <v>0</v>
      </c>
      <c r="AO634" s="32">
        <f t="shared" si="151"/>
        <v>0</v>
      </c>
      <c r="AP634" s="14">
        <f t="shared" si="154"/>
        <v>0</v>
      </c>
      <c r="AQ634" s="25">
        <f>SUMIFS(инфо!$H$15:$H$28,инфо!$A$15:$A$28,F634)</f>
        <v>0</v>
      </c>
      <c r="AR634" s="26">
        <f t="shared" si="152"/>
        <v>0</v>
      </c>
      <c r="AS634" s="14">
        <f t="shared" si="155"/>
        <v>0</v>
      </c>
      <c r="AT634" s="25">
        <f>SUMIFS(инфо!$I$15:$I$28,инфо!$A$15:$A$28,F634)</f>
        <v>0</v>
      </c>
      <c r="AU634" s="35">
        <f t="shared" si="146"/>
        <v>0</v>
      </c>
      <c r="AV634" s="14">
        <f t="shared" si="156"/>
        <v>0</v>
      </c>
      <c r="AX634" s="69">
        <f>SUMIFS(инфо!$C$15:$C$28,инфо!$A$15:$A$28,F634)*H633</f>
        <v>0</v>
      </c>
    </row>
    <row r="635" spans="1:50" x14ac:dyDescent="0.25">
      <c r="A635" s="70">
        <f t="shared" si="147"/>
        <v>46381</v>
      </c>
      <c r="B635" s="75"/>
      <c r="C635" s="29"/>
      <c r="D635" s="30"/>
      <c r="E635" s="83"/>
      <c r="F635" s="28"/>
      <c r="G635" s="27"/>
      <c r="H635" s="20"/>
      <c r="I635" s="118">
        <f>IFERROR(H635*VLOOKUP(F635,инфо!$A$15:$C$28,3,FALSE)/1000,0)</f>
        <v>0</v>
      </c>
      <c r="J635" s="20"/>
      <c r="K635" s="20"/>
      <c r="L635" s="20"/>
      <c r="M635" s="20"/>
      <c r="N635" s="28"/>
      <c r="O635" s="27"/>
      <c r="P635" s="27"/>
      <c r="Q635" s="27"/>
      <c r="R635" s="27"/>
      <c r="S635" s="67">
        <f t="shared" si="157"/>
        <v>0</v>
      </c>
      <c r="T635" s="29"/>
      <c r="U635" s="30"/>
      <c r="V635" s="27"/>
      <c r="W635" s="81"/>
      <c r="X635" s="27"/>
      <c r="Y635" s="29"/>
      <c r="Z635" s="27"/>
      <c r="AA635" s="27"/>
      <c r="AB635" s="27"/>
      <c r="AC635" s="81"/>
      <c r="AD635" s="30"/>
      <c r="AE635" s="31">
        <f>SUMIFS(инфо!$D$15:$D$28,инфо!$A$15:$A$28,F635)</f>
        <v>0</v>
      </c>
      <c r="AF635" s="35">
        <f t="shared" si="148"/>
        <v>0</v>
      </c>
      <c r="AG635" s="33">
        <f t="shared" si="144"/>
        <v>0</v>
      </c>
      <c r="AH635" s="31">
        <f>SUMIFS(инфо!$E$15:$E$28,инфо!$A$15:$A$28,F635)</f>
        <v>0</v>
      </c>
      <c r="AI635" s="32">
        <f t="shared" si="149"/>
        <v>0</v>
      </c>
      <c r="AJ635" s="33">
        <f t="shared" si="145"/>
        <v>0</v>
      </c>
      <c r="AK635" s="31">
        <f>SUMIFS(инфо!$F$15:$F$28,инфо!$A$15:$A$28,F635)</f>
        <v>0</v>
      </c>
      <c r="AL635" s="32">
        <f t="shared" si="150"/>
        <v>0</v>
      </c>
      <c r="AM635" s="33">
        <f t="shared" si="153"/>
        <v>0</v>
      </c>
      <c r="AN635" s="31">
        <f>SUMIFS(инфо!$G$15:$G$28,инфо!$A$15:$A$28,F635)</f>
        <v>0</v>
      </c>
      <c r="AO635" s="32">
        <f t="shared" si="151"/>
        <v>0</v>
      </c>
      <c r="AP635" s="33">
        <f t="shared" si="154"/>
        <v>0</v>
      </c>
      <c r="AQ635" s="31">
        <f>SUMIFS(инфо!$H$15:$H$28,инфо!$A$15:$A$28,F635)</f>
        <v>0</v>
      </c>
      <c r="AR635" s="32">
        <f t="shared" si="152"/>
        <v>0</v>
      </c>
      <c r="AS635" s="33">
        <f t="shared" si="155"/>
        <v>0</v>
      </c>
      <c r="AT635" s="31">
        <f>SUMIFS(инфо!$I$15:$I$28,инфо!$A$15:$A$28,F635)</f>
        <v>0</v>
      </c>
      <c r="AU635" s="35">
        <f t="shared" si="146"/>
        <v>0</v>
      </c>
      <c r="AV635" s="33">
        <f t="shared" si="156"/>
        <v>0</v>
      </c>
      <c r="AX635" s="67">
        <f>SUMIFS(инфо!$C$15:$C$28,инфо!$A$15:$A$28,F635)*H634</f>
        <v>0</v>
      </c>
    </row>
    <row r="636" spans="1:50" x14ac:dyDescent="0.25">
      <c r="A636" s="70">
        <f t="shared" si="147"/>
        <v>46382</v>
      </c>
      <c r="B636" s="76"/>
      <c r="C636" s="15"/>
      <c r="D636" s="16"/>
      <c r="E636" s="83"/>
      <c r="F636" s="28"/>
      <c r="G636" s="34"/>
      <c r="H636" s="20"/>
      <c r="I636" s="118">
        <f>IFERROR(H636*VLOOKUP(F636,инфо!$A$15:$C$28,3,FALSE)/1000,0)</f>
        <v>0</v>
      </c>
      <c r="J636" s="20"/>
      <c r="K636" s="20"/>
      <c r="L636" s="20"/>
      <c r="M636" s="20"/>
      <c r="N636" s="20"/>
      <c r="O636" s="34"/>
      <c r="P636" s="34"/>
      <c r="Q636" s="34"/>
      <c r="R636" s="34"/>
      <c r="S636" s="68">
        <f t="shared" si="157"/>
        <v>0</v>
      </c>
      <c r="T636" s="15"/>
      <c r="U636" s="16"/>
      <c r="V636" s="34"/>
      <c r="W636" s="81"/>
      <c r="X636" s="34"/>
      <c r="Y636" s="15"/>
      <c r="Z636" s="34"/>
      <c r="AA636" s="34"/>
      <c r="AB636" s="34"/>
      <c r="AC636" s="81"/>
      <c r="AD636" s="16"/>
      <c r="AE636" s="24">
        <f>SUMIFS(инфо!$D$15:$D$28,инфо!$A$15:$A$28,F636)</f>
        <v>0</v>
      </c>
      <c r="AF636" s="35">
        <f t="shared" si="148"/>
        <v>0</v>
      </c>
      <c r="AG636" s="12">
        <f t="shared" si="144"/>
        <v>0</v>
      </c>
      <c r="AH636" s="24">
        <f>SUMIFS(инфо!$E$15:$E$28,инфо!$A$15:$A$28,F636)</f>
        <v>0</v>
      </c>
      <c r="AI636" s="32">
        <f t="shared" si="149"/>
        <v>0</v>
      </c>
      <c r="AJ636" s="12">
        <f t="shared" si="145"/>
        <v>0</v>
      </c>
      <c r="AK636" s="24">
        <f>SUMIFS(инфо!$F$15:$F$28,инфо!$A$15:$A$28,F636)</f>
        <v>0</v>
      </c>
      <c r="AL636" s="32">
        <f t="shared" si="150"/>
        <v>0</v>
      </c>
      <c r="AM636" s="12">
        <f t="shared" si="153"/>
        <v>0</v>
      </c>
      <c r="AN636" s="24">
        <f>SUMIFS(инфо!$G$15:$G$28,инфо!$A$15:$A$28,F636)</f>
        <v>0</v>
      </c>
      <c r="AO636" s="32">
        <f t="shared" si="151"/>
        <v>0</v>
      </c>
      <c r="AP636" s="12">
        <f t="shared" si="154"/>
        <v>0</v>
      </c>
      <c r="AQ636" s="24">
        <f>SUMIFS(инфо!$H$15:$H$28,инфо!$A$15:$A$28,F636)</f>
        <v>0</v>
      </c>
      <c r="AR636" s="35">
        <f t="shared" si="152"/>
        <v>0</v>
      </c>
      <c r="AS636" s="12">
        <f t="shared" si="155"/>
        <v>0</v>
      </c>
      <c r="AT636" s="24">
        <f>SUMIFS(инфо!$I$15:$I$28,инфо!$A$15:$A$28,F636)</f>
        <v>0</v>
      </c>
      <c r="AU636" s="35">
        <f t="shared" si="146"/>
        <v>0</v>
      </c>
      <c r="AV636" s="12">
        <f t="shared" si="156"/>
        <v>0</v>
      </c>
      <c r="AX636" s="68">
        <f>SUMIFS(инфо!$C$15:$C$28,инфо!$A$15:$A$28,F636)*H635</f>
        <v>0</v>
      </c>
    </row>
    <row r="637" spans="1:50" x14ac:dyDescent="0.25">
      <c r="A637" s="70">
        <f t="shared" si="147"/>
        <v>46382</v>
      </c>
      <c r="B637" s="76"/>
      <c r="C637" s="15"/>
      <c r="D637" s="16"/>
      <c r="E637" s="83"/>
      <c r="F637" s="28"/>
      <c r="G637" s="34"/>
      <c r="H637" s="23"/>
      <c r="I637" s="118">
        <f>IFERROR(H637*VLOOKUP(F637,инфо!$A$15:$C$28,3,FALSE)/1000,0)</f>
        <v>0</v>
      </c>
      <c r="J637" s="20"/>
      <c r="K637" s="20"/>
      <c r="L637" s="20"/>
      <c r="M637" s="20"/>
      <c r="N637" s="20"/>
      <c r="O637" s="34"/>
      <c r="P637" s="34"/>
      <c r="Q637" s="34"/>
      <c r="R637" s="34"/>
      <c r="S637" s="68">
        <f t="shared" si="157"/>
        <v>0</v>
      </c>
      <c r="T637" s="15"/>
      <c r="U637" s="16"/>
      <c r="V637" s="34"/>
      <c r="W637" s="81"/>
      <c r="X637" s="34"/>
      <c r="Y637" s="15"/>
      <c r="Z637" s="34"/>
      <c r="AA637" s="34"/>
      <c r="AB637" s="34"/>
      <c r="AC637" s="81"/>
      <c r="AD637" s="16"/>
      <c r="AE637" s="24">
        <f>SUMIFS(инфо!$D$15:$D$28,инфо!$A$15:$A$28,F637)</f>
        <v>0</v>
      </c>
      <c r="AF637" s="35">
        <f t="shared" si="148"/>
        <v>0</v>
      </c>
      <c r="AG637" s="12">
        <f t="shared" ref="AG637:AG700" si="158">AF637-AE637</f>
        <v>0</v>
      </c>
      <c r="AH637" s="24">
        <f>SUMIFS(инфо!$E$15:$E$28,инфо!$A$15:$A$28,F637)</f>
        <v>0</v>
      </c>
      <c r="AI637" s="32">
        <f t="shared" si="149"/>
        <v>0</v>
      </c>
      <c r="AJ637" s="12">
        <f t="shared" ref="AJ637:AJ700" si="159">AI637-AH637</f>
        <v>0</v>
      </c>
      <c r="AK637" s="24">
        <f>SUMIFS(инфо!$F$15:$F$28,инфо!$A$15:$A$28,F637)</f>
        <v>0</v>
      </c>
      <c r="AL637" s="32">
        <f t="shared" si="150"/>
        <v>0</v>
      </c>
      <c r="AM637" s="12">
        <f t="shared" si="153"/>
        <v>0</v>
      </c>
      <c r="AN637" s="24">
        <f>SUMIFS(инфо!$G$15:$G$28,инфо!$A$15:$A$28,F637)</f>
        <v>0</v>
      </c>
      <c r="AO637" s="32">
        <f t="shared" si="151"/>
        <v>0</v>
      </c>
      <c r="AP637" s="12">
        <f t="shared" si="154"/>
        <v>0</v>
      </c>
      <c r="AQ637" s="24">
        <f>SUMIFS(инфо!$H$15:$H$28,инфо!$A$15:$A$28,F637)</f>
        <v>0</v>
      </c>
      <c r="AR637" s="35">
        <f t="shared" si="152"/>
        <v>0</v>
      </c>
      <c r="AS637" s="12">
        <f t="shared" si="155"/>
        <v>0</v>
      </c>
      <c r="AT637" s="24">
        <f>SUMIFS(инфо!$I$15:$I$28,инфо!$A$15:$A$28,F637)</f>
        <v>0</v>
      </c>
      <c r="AU637" s="35">
        <f t="shared" si="146"/>
        <v>0</v>
      </c>
      <c r="AV637" s="12">
        <f t="shared" si="156"/>
        <v>0</v>
      </c>
      <c r="AX637" s="68">
        <f>SUMIFS(инфо!$C$15:$C$28,инфо!$A$15:$A$28,F637)*H636</f>
        <v>0</v>
      </c>
    </row>
    <row r="638" spans="1:50" x14ac:dyDescent="0.25">
      <c r="A638" s="70">
        <f t="shared" si="147"/>
        <v>46383</v>
      </c>
      <c r="B638" s="77"/>
      <c r="C638" s="17"/>
      <c r="D638" s="18"/>
      <c r="E638" s="83"/>
      <c r="F638" s="28"/>
      <c r="G638" s="19"/>
      <c r="H638" s="28"/>
      <c r="I638" s="118">
        <f>IFERROR(H638*VLOOKUP(F638,инфо!$A$15:$C$28,3,FALSE)/1000,0)</f>
        <v>0</v>
      </c>
      <c r="J638" s="20"/>
      <c r="K638" s="20"/>
      <c r="L638" s="20"/>
      <c r="M638" s="20"/>
      <c r="N638" s="23"/>
      <c r="O638" s="19"/>
      <c r="P638" s="19"/>
      <c r="Q638" s="19"/>
      <c r="R638" s="19"/>
      <c r="S638" s="69">
        <f t="shared" si="157"/>
        <v>0</v>
      </c>
      <c r="T638" s="17"/>
      <c r="U638" s="18"/>
      <c r="V638" s="19"/>
      <c r="W638" s="81"/>
      <c r="X638" s="19"/>
      <c r="Y638" s="17"/>
      <c r="Z638" s="19"/>
      <c r="AA638" s="19"/>
      <c r="AB638" s="19"/>
      <c r="AC638" s="81"/>
      <c r="AD638" s="18"/>
      <c r="AE638" s="25">
        <f>SUMIFS(инфо!$D$15:$D$28,инфо!$A$15:$A$28,F638)</f>
        <v>0</v>
      </c>
      <c r="AF638" s="35">
        <f t="shared" si="148"/>
        <v>0</v>
      </c>
      <c r="AG638" s="14">
        <f t="shared" si="158"/>
        <v>0</v>
      </c>
      <c r="AH638" s="25">
        <f>SUMIFS(инфо!$E$15:$E$28,инфо!$A$15:$A$28,F638)</f>
        <v>0</v>
      </c>
      <c r="AI638" s="32">
        <f t="shared" si="149"/>
        <v>0</v>
      </c>
      <c r="AJ638" s="14">
        <f t="shared" si="159"/>
        <v>0</v>
      </c>
      <c r="AK638" s="25">
        <f>SUMIFS(инфо!$F$15:$F$28,инфо!$A$15:$A$28,F638)</f>
        <v>0</v>
      </c>
      <c r="AL638" s="32">
        <f t="shared" si="150"/>
        <v>0</v>
      </c>
      <c r="AM638" s="14">
        <f t="shared" si="153"/>
        <v>0</v>
      </c>
      <c r="AN638" s="25">
        <f>SUMIFS(инфо!$G$15:$G$28,инфо!$A$15:$A$28,F638)</f>
        <v>0</v>
      </c>
      <c r="AO638" s="32">
        <f t="shared" si="151"/>
        <v>0</v>
      </c>
      <c r="AP638" s="14">
        <f t="shared" si="154"/>
        <v>0</v>
      </c>
      <c r="AQ638" s="25">
        <f>SUMIFS(инфо!$H$15:$H$28,инфо!$A$15:$A$28,F638)</f>
        <v>0</v>
      </c>
      <c r="AR638" s="26">
        <f t="shared" si="152"/>
        <v>0</v>
      </c>
      <c r="AS638" s="14">
        <f t="shared" si="155"/>
        <v>0</v>
      </c>
      <c r="AT638" s="25">
        <f>SUMIFS(инфо!$I$15:$I$28,инфо!$A$15:$A$28,F638)</f>
        <v>0</v>
      </c>
      <c r="AU638" s="35">
        <f t="shared" si="146"/>
        <v>0</v>
      </c>
      <c r="AV638" s="14">
        <f t="shared" si="156"/>
        <v>0</v>
      </c>
      <c r="AX638" s="69">
        <f>SUMIFS(инфо!$C$15:$C$28,инфо!$A$15:$A$28,F638)*H637</f>
        <v>0</v>
      </c>
    </row>
    <row r="639" spans="1:50" x14ac:dyDescent="0.25">
      <c r="A639" s="70">
        <f t="shared" si="147"/>
        <v>46383</v>
      </c>
      <c r="B639" s="75"/>
      <c r="C639" s="29"/>
      <c r="D639" s="30"/>
      <c r="E639" s="83"/>
      <c r="F639" s="28"/>
      <c r="G639" s="27"/>
      <c r="H639" s="20"/>
      <c r="I639" s="118">
        <f>IFERROR(H639*VLOOKUP(F639,инфо!$A$15:$C$28,3,FALSE)/1000,0)</f>
        <v>0</v>
      </c>
      <c r="J639" s="20"/>
      <c r="K639" s="20"/>
      <c r="L639" s="20"/>
      <c r="M639" s="20"/>
      <c r="N639" s="28"/>
      <c r="O639" s="27"/>
      <c r="P639" s="27"/>
      <c r="Q639" s="27"/>
      <c r="R639" s="27"/>
      <c r="S639" s="67">
        <f t="shared" si="157"/>
        <v>0</v>
      </c>
      <c r="T639" s="29"/>
      <c r="U639" s="30"/>
      <c r="V639" s="27"/>
      <c r="W639" s="81"/>
      <c r="X639" s="27"/>
      <c r="Y639" s="29"/>
      <c r="Z639" s="27"/>
      <c r="AA639" s="27"/>
      <c r="AB639" s="27"/>
      <c r="AC639" s="81"/>
      <c r="AD639" s="30"/>
      <c r="AE639" s="31">
        <f>SUMIFS(инфо!$D$15:$D$28,инфо!$A$15:$A$28,F639)</f>
        <v>0</v>
      </c>
      <c r="AF639" s="35">
        <f t="shared" si="148"/>
        <v>0</v>
      </c>
      <c r="AG639" s="33">
        <f t="shared" si="158"/>
        <v>0</v>
      </c>
      <c r="AH639" s="31">
        <f>SUMIFS(инфо!$E$15:$E$28,инфо!$A$15:$A$28,F639)</f>
        <v>0</v>
      </c>
      <c r="AI639" s="32">
        <f t="shared" si="149"/>
        <v>0</v>
      </c>
      <c r="AJ639" s="33">
        <f t="shared" si="159"/>
        <v>0</v>
      </c>
      <c r="AK639" s="31">
        <f>SUMIFS(инфо!$F$15:$F$28,инфо!$A$15:$A$28,F639)</f>
        <v>0</v>
      </c>
      <c r="AL639" s="32">
        <f t="shared" si="150"/>
        <v>0</v>
      </c>
      <c r="AM639" s="33">
        <f t="shared" si="153"/>
        <v>0</v>
      </c>
      <c r="AN639" s="31">
        <f>SUMIFS(инфо!$G$15:$G$28,инфо!$A$15:$A$28,F639)</f>
        <v>0</v>
      </c>
      <c r="AO639" s="32">
        <f t="shared" si="151"/>
        <v>0</v>
      </c>
      <c r="AP639" s="33">
        <f t="shared" si="154"/>
        <v>0</v>
      </c>
      <c r="AQ639" s="31">
        <f>SUMIFS(инфо!$H$15:$H$28,инфо!$A$15:$A$28,F639)</f>
        <v>0</v>
      </c>
      <c r="AR639" s="32">
        <f t="shared" si="152"/>
        <v>0</v>
      </c>
      <c r="AS639" s="33">
        <f t="shared" si="155"/>
        <v>0</v>
      </c>
      <c r="AT639" s="31">
        <f>SUMIFS(инфо!$I$15:$I$28,инфо!$A$15:$A$28,F639)</f>
        <v>0</v>
      </c>
      <c r="AU639" s="35">
        <f t="shared" si="146"/>
        <v>0</v>
      </c>
      <c r="AV639" s="33">
        <f t="shared" si="156"/>
        <v>0</v>
      </c>
      <c r="AX639" s="67">
        <f>SUMIFS(инфо!$C$15:$C$28,инфо!$A$15:$A$28,F639)*H638</f>
        <v>0</v>
      </c>
    </row>
    <row r="640" spans="1:50" x14ac:dyDescent="0.25">
      <c r="A640" s="70">
        <f t="shared" si="147"/>
        <v>46384</v>
      </c>
      <c r="B640" s="76"/>
      <c r="C640" s="15"/>
      <c r="D640" s="16"/>
      <c r="E640" s="83"/>
      <c r="F640" s="28"/>
      <c r="G640" s="34"/>
      <c r="H640" s="20"/>
      <c r="I640" s="118">
        <f>IFERROR(H640*VLOOKUP(F640,инфо!$A$15:$C$28,3,FALSE)/1000,0)</f>
        <v>0</v>
      </c>
      <c r="J640" s="20"/>
      <c r="K640" s="20"/>
      <c r="L640" s="20"/>
      <c r="M640" s="20"/>
      <c r="N640" s="20"/>
      <c r="O640" s="34"/>
      <c r="P640" s="34"/>
      <c r="Q640" s="34"/>
      <c r="R640" s="34"/>
      <c r="S640" s="68">
        <f t="shared" si="157"/>
        <v>0</v>
      </c>
      <c r="T640" s="15"/>
      <c r="U640" s="16"/>
      <c r="V640" s="34"/>
      <c r="W640" s="81"/>
      <c r="X640" s="34"/>
      <c r="Y640" s="15"/>
      <c r="Z640" s="34"/>
      <c r="AA640" s="34"/>
      <c r="AB640" s="34"/>
      <c r="AC640" s="81"/>
      <c r="AD640" s="16"/>
      <c r="AE640" s="24">
        <f>SUMIFS(инфо!$D$15:$D$28,инфо!$A$15:$A$28,F640)</f>
        <v>0</v>
      </c>
      <c r="AF640" s="35">
        <f t="shared" si="148"/>
        <v>0</v>
      </c>
      <c r="AG640" s="12">
        <f t="shared" si="158"/>
        <v>0</v>
      </c>
      <c r="AH640" s="24">
        <f>SUMIFS(инфо!$E$15:$E$28,инфо!$A$15:$A$28,F640)</f>
        <v>0</v>
      </c>
      <c r="AI640" s="32">
        <f t="shared" si="149"/>
        <v>0</v>
      </c>
      <c r="AJ640" s="12">
        <f t="shared" si="159"/>
        <v>0</v>
      </c>
      <c r="AK640" s="24">
        <f>SUMIFS(инфо!$F$15:$F$28,инфо!$A$15:$A$28,F640)</f>
        <v>0</v>
      </c>
      <c r="AL640" s="32">
        <f t="shared" si="150"/>
        <v>0</v>
      </c>
      <c r="AM640" s="12">
        <f t="shared" si="153"/>
        <v>0</v>
      </c>
      <c r="AN640" s="24">
        <f>SUMIFS(инфо!$G$15:$G$28,инфо!$A$15:$A$28,F640)</f>
        <v>0</v>
      </c>
      <c r="AO640" s="32">
        <f t="shared" si="151"/>
        <v>0</v>
      </c>
      <c r="AP640" s="12">
        <f t="shared" si="154"/>
        <v>0</v>
      </c>
      <c r="AQ640" s="24">
        <f>SUMIFS(инфо!$H$15:$H$28,инфо!$A$15:$A$28,F640)</f>
        <v>0</v>
      </c>
      <c r="AR640" s="35">
        <f t="shared" si="152"/>
        <v>0</v>
      </c>
      <c r="AS640" s="12">
        <f t="shared" si="155"/>
        <v>0</v>
      </c>
      <c r="AT640" s="24">
        <f>SUMIFS(инфо!$I$15:$I$28,инфо!$A$15:$A$28,F640)</f>
        <v>0</v>
      </c>
      <c r="AU640" s="35">
        <f t="shared" si="146"/>
        <v>0</v>
      </c>
      <c r="AV640" s="12">
        <f t="shared" si="156"/>
        <v>0</v>
      </c>
      <c r="AX640" s="68">
        <f>SUMIFS(инфо!$C$15:$C$28,инфо!$A$15:$A$28,F640)*H639</f>
        <v>0</v>
      </c>
    </row>
    <row r="641" spans="1:50" x14ac:dyDescent="0.25">
      <c r="A641" s="70">
        <f t="shared" si="147"/>
        <v>46384</v>
      </c>
      <c r="B641" s="76"/>
      <c r="C641" s="15"/>
      <c r="D641" s="16"/>
      <c r="E641" s="83"/>
      <c r="F641" s="28"/>
      <c r="G641" s="34"/>
      <c r="H641" s="23"/>
      <c r="I641" s="118">
        <f>IFERROR(H641*VLOOKUP(F641,инфо!$A$15:$C$28,3,FALSE)/1000,0)</f>
        <v>0</v>
      </c>
      <c r="J641" s="20"/>
      <c r="K641" s="20"/>
      <c r="L641" s="20"/>
      <c r="M641" s="20"/>
      <c r="N641" s="20"/>
      <c r="O641" s="34"/>
      <c r="P641" s="34"/>
      <c r="Q641" s="34"/>
      <c r="R641" s="34"/>
      <c r="S641" s="68">
        <f t="shared" si="157"/>
        <v>0</v>
      </c>
      <c r="T641" s="15"/>
      <c r="U641" s="16"/>
      <c r="V641" s="34"/>
      <c r="W641" s="81"/>
      <c r="X641" s="34"/>
      <c r="Y641" s="15"/>
      <c r="Z641" s="34"/>
      <c r="AA641" s="34"/>
      <c r="AB641" s="34"/>
      <c r="AC641" s="81"/>
      <c r="AD641" s="16"/>
      <c r="AE641" s="24">
        <f>SUMIFS(инфо!$D$15:$D$28,инфо!$A$15:$A$28,F641)</f>
        <v>0</v>
      </c>
      <c r="AF641" s="35">
        <f t="shared" si="148"/>
        <v>0</v>
      </c>
      <c r="AG641" s="12">
        <f t="shared" si="158"/>
        <v>0</v>
      </c>
      <c r="AH641" s="24">
        <f>SUMIFS(инфо!$E$15:$E$28,инфо!$A$15:$A$28,F641)</f>
        <v>0</v>
      </c>
      <c r="AI641" s="32">
        <f t="shared" si="149"/>
        <v>0</v>
      </c>
      <c r="AJ641" s="12">
        <f t="shared" si="159"/>
        <v>0</v>
      </c>
      <c r="AK641" s="24">
        <f>SUMIFS(инфо!$F$15:$F$28,инфо!$A$15:$A$28,F641)</f>
        <v>0</v>
      </c>
      <c r="AL641" s="32">
        <f t="shared" si="150"/>
        <v>0</v>
      </c>
      <c r="AM641" s="12">
        <f t="shared" si="153"/>
        <v>0</v>
      </c>
      <c r="AN641" s="24">
        <f>SUMIFS(инфо!$G$15:$G$28,инфо!$A$15:$A$28,F641)</f>
        <v>0</v>
      </c>
      <c r="AO641" s="32">
        <f t="shared" si="151"/>
        <v>0</v>
      </c>
      <c r="AP641" s="12">
        <f t="shared" si="154"/>
        <v>0</v>
      </c>
      <c r="AQ641" s="24">
        <f>SUMIFS(инфо!$H$15:$H$28,инфо!$A$15:$A$28,F641)</f>
        <v>0</v>
      </c>
      <c r="AR641" s="35">
        <f t="shared" si="152"/>
        <v>0</v>
      </c>
      <c r="AS641" s="12">
        <f t="shared" si="155"/>
        <v>0</v>
      </c>
      <c r="AT641" s="24">
        <f>SUMIFS(инфо!$I$15:$I$28,инфо!$A$15:$A$28,F641)</f>
        <v>0</v>
      </c>
      <c r="AU641" s="35">
        <f t="shared" si="146"/>
        <v>0</v>
      </c>
      <c r="AV641" s="12">
        <f t="shared" si="156"/>
        <v>0</v>
      </c>
      <c r="AX641" s="68">
        <f>SUMIFS(инфо!$C$15:$C$28,инфо!$A$15:$A$28,F641)*H640</f>
        <v>0</v>
      </c>
    </row>
    <row r="642" spans="1:50" x14ac:dyDescent="0.25">
      <c r="A642" s="70">
        <f t="shared" si="147"/>
        <v>46385</v>
      </c>
      <c r="B642" s="77"/>
      <c r="C642" s="17"/>
      <c r="D642" s="18"/>
      <c r="E642" s="83"/>
      <c r="F642" s="28"/>
      <c r="G642" s="19"/>
      <c r="H642" s="28"/>
      <c r="I642" s="118">
        <f>IFERROR(H642*VLOOKUP(F642,инфо!$A$15:$C$28,3,FALSE)/1000,0)</f>
        <v>0</v>
      </c>
      <c r="J642" s="20"/>
      <c r="K642" s="20"/>
      <c r="L642" s="20"/>
      <c r="M642" s="20"/>
      <c r="N642" s="23"/>
      <c r="O642" s="19"/>
      <c r="P642" s="19"/>
      <c r="Q642" s="19"/>
      <c r="R642" s="19"/>
      <c r="S642" s="69">
        <f t="shared" si="157"/>
        <v>0</v>
      </c>
      <c r="T642" s="17"/>
      <c r="U642" s="18"/>
      <c r="V642" s="19"/>
      <c r="W642" s="81"/>
      <c r="X642" s="19"/>
      <c r="Y642" s="17"/>
      <c r="Z642" s="19"/>
      <c r="AA642" s="19"/>
      <c r="AB642" s="19"/>
      <c r="AC642" s="81"/>
      <c r="AD642" s="18"/>
      <c r="AE642" s="25">
        <f>SUMIFS(инфо!$D$15:$D$28,инфо!$A$15:$A$28,F642)</f>
        <v>0</v>
      </c>
      <c r="AF642" s="35">
        <f t="shared" si="148"/>
        <v>0</v>
      </c>
      <c r="AG642" s="14">
        <f t="shared" si="158"/>
        <v>0</v>
      </c>
      <c r="AH642" s="25">
        <f>SUMIFS(инфо!$E$15:$E$28,инфо!$A$15:$A$28,F642)</f>
        <v>0</v>
      </c>
      <c r="AI642" s="32">
        <f t="shared" si="149"/>
        <v>0</v>
      </c>
      <c r="AJ642" s="14">
        <f t="shared" si="159"/>
        <v>0</v>
      </c>
      <c r="AK642" s="25">
        <f>SUMIFS(инфо!$F$15:$F$28,инфо!$A$15:$A$28,F642)</f>
        <v>0</v>
      </c>
      <c r="AL642" s="32">
        <f t="shared" si="150"/>
        <v>0</v>
      </c>
      <c r="AM642" s="14">
        <f t="shared" si="153"/>
        <v>0</v>
      </c>
      <c r="AN642" s="25">
        <f>SUMIFS(инфо!$G$15:$G$28,инфо!$A$15:$A$28,F642)</f>
        <v>0</v>
      </c>
      <c r="AO642" s="32">
        <f t="shared" si="151"/>
        <v>0</v>
      </c>
      <c r="AP642" s="14">
        <f t="shared" si="154"/>
        <v>0</v>
      </c>
      <c r="AQ642" s="25">
        <f>SUMIFS(инфо!$H$15:$H$28,инфо!$A$15:$A$28,F642)</f>
        <v>0</v>
      </c>
      <c r="AR642" s="26">
        <f t="shared" si="152"/>
        <v>0</v>
      </c>
      <c r="AS642" s="14">
        <f t="shared" si="155"/>
        <v>0</v>
      </c>
      <c r="AT642" s="25">
        <f>SUMIFS(инфо!$I$15:$I$28,инфо!$A$15:$A$28,F642)</f>
        <v>0</v>
      </c>
      <c r="AU642" s="35">
        <f t="shared" si="146"/>
        <v>0</v>
      </c>
      <c r="AV642" s="14">
        <f t="shared" si="156"/>
        <v>0</v>
      </c>
      <c r="AX642" s="69">
        <f>SUMIFS(инфо!$C$15:$C$28,инфо!$A$15:$A$28,F642)*H641</f>
        <v>0</v>
      </c>
    </row>
    <row r="643" spans="1:50" x14ac:dyDescent="0.25">
      <c r="A643" s="70">
        <f t="shared" si="147"/>
        <v>46385</v>
      </c>
      <c r="B643" s="75"/>
      <c r="C643" s="29"/>
      <c r="D643" s="30"/>
      <c r="E643" s="83"/>
      <c r="F643" s="28"/>
      <c r="G643" s="27"/>
      <c r="H643" s="20"/>
      <c r="I643" s="118">
        <f>IFERROR(H643*VLOOKUP(F643,инфо!$A$15:$C$28,3,FALSE)/1000,0)</f>
        <v>0</v>
      </c>
      <c r="J643" s="20"/>
      <c r="K643" s="20"/>
      <c r="L643" s="20"/>
      <c r="M643" s="20"/>
      <c r="N643" s="28"/>
      <c r="O643" s="27"/>
      <c r="P643" s="27"/>
      <c r="Q643" s="27"/>
      <c r="R643" s="27"/>
      <c r="S643" s="67">
        <f t="shared" si="157"/>
        <v>0</v>
      </c>
      <c r="T643" s="29"/>
      <c r="U643" s="30"/>
      <c r="V643" s="27"/>
      <c r="W643" s="81"/>
      <c r="X643" s="27"/>
      <c r="Y643" s="29"/>
      <c r="Z643" s="27"/>
      <c r="AA643" s="27"/>
      <c r="AB643" s="27"/>
      <c r="AC643" s="81"/>
      <c r="AD643" s="30"/>
      <c r="AE643" s="31">
        <f>SUMIFS(инфо!$D$15:$D$28,инфо!$A$15:$A$28,F643)</f>
        <v>0</v>
      </c>
      <c r="AF643" s="35">
        <f t="shared" si="148"/>
        <v>0</v>
      </c>
      <c r="AG643" s="33">
        <f t="shared" si="158"/>
        <v>0</v>
      </c>
      <c r="AH643" s="31">
        <f>SUMIFS(инфо!$E$15:$E$28,инфо!$A$15:$A$28,F643)</f>
        <v>0</v>
      </c>
      <c r="AI643" s="32">
        <f t="shared" si="149"/>
        <v>0</v>
      </c>
      <c r="AJ643" s="33">
        <f t="shared" si="159"/>
        <v>0</v>
      </c>
      <c r="AK643" s="31">
        <f>SUMIFS(инфо!$F$15:$F$28,инфо!$A$15:$A$28,F643)</f>
        <v>0</v>
      </c>
      <c r="AL643" s="32">
        <f t="shared" si="150"/>
        <v>0</v>
      </c>
      <c r="AM643" s="33">
        <f t="shared" si="153"/>
        <v>0</v>
      </c>
      <c r="AN643" s="31">
        <f>SUMIFS(инфо!$G$15:$G$28,инфо!$A$15:$A$28,F643)</f>
        <v>0</v>
      </c>
      <c r="AO643" s="32">
        <f t="shared" si="151"/>
        <v>0</v>
      </c>
      <c r="AP643" s="33">
        <f t="shared" si="154"/>
        <v>0</v>
      </c>
      <c r="AQ643" s="31">
        <f>SUMIFS(инфо!$H$15:$H$28,инфо!$A$15:$A$28,F643)</f>
        <v>0</v>
      </c>
      <c r="AR643" s="32">
        <f t="shared" si="152"/>
        <v>0</v>
      </c>
      <c r="AS643" s="33">
        <f t="shared" si="155"/>
        <v>0</v>
      </c>
      <c r="AT643" s="31">
        <f>SUMIFS(инфо!$I$15:$I$28,инфо!$A$15:$A$28,F643)</f>
        <v>0</v>
      </c>
      <c r="AU643" s="35">
        <f t="shared" si="146"/>
        <v>0</v>
      </c>
      <c r="AV643" s="33">
        <f t="shared" si="156"/>
        <v>0</v>
      </c>
      <c r="AX643" s="67">
        <f>SUMIFS(инфо!$C$15:$C$28,инфо!$A$15:$A$28,F643)*H642</f>
        <v>0</v>
      </c>
    </row>
    <row r="644" spans="1:50" x14ac:dyDescent="0.25">
      <c r="A644" s="70">
        <f t="shared" si="147"/>
        <v>46386</v>
      </c>
      <c r="B644" s="76"/>
      <c r="C644" s="15"/>
      <c r="D644" s="16"/>
      <c r="E644" s="83"/>
      <c r="F644" s="28"/>
      <c r="G644" s="34"/>
      <c r="H644" s="20"/>
      <c r="I644" s="118">
        <f>IFERROR(H644*VLOOKUP(F644,инфо!$A$15:$C$28,3,FALSE)/1000,0)</f>
        <v>0</v>
      </c>
      <c r="J644" s="20"/>
      <c r="K644" s="20"/>
      <c r="L644" s="20"/>
      <c r="M644" s="20"/>
      <c r="N644" s="20"/>
      <c r="O644" s="34"/>
      <c r="P644" s="34"/>
      <c r="Q644" s="34"/>
      <c r="R644" s="34"/>
      <c r="S644" s="68">
        <f t="shared" si="157"/>
        <v>0</v>
      </c>
      <c r="T644" s="15"/>
      <c r="U644" s="16"/>
      <c r="V644" s="34"/>
      <c r="W644" s="81"/>
      <c r="X644" s="34"/>
      <c r="Y644" s="15"/>
      <c r="Z644" s="34"/>
      <c r="AA644" s="34"/>
      <c r="AB644" s="34"/>
      <c r="AC644" s="81"/>
      <c r="AD644" s="16"/>
      <c r="AE644" s="24">
        <f>SUMIFS(инфо!$D$15:$D$28,инфо!$A$15:$A$28,F644)</f>
        <v>0</v>
      </c>
      <c r="AF644" s="35">
        <f t="shared" si="148"/>
        <v>0</v>
      </c>
      <c r="AG644" s="12">
        <f t="shared" si="158"/>
        <v>0</v>
      </c>
      <c r="AH644" s="24">
        <f>SUMIFS(инфо!$E$15:$E$28,инфо!$A$15:$A$28,F644)</f>
        <v>0</v>
      </c>
      <c r="AI644" s="32">
        <f t="shared" si="149"/>
        <v>0</v>
      </c>
      <c r="AJ644" s="12">
        <f t="shared" si="159"/>
        <v>0</v>
      </c>
      <c r="AK644" s="24">
        <f>SUMIFS(инфо!$F$15:$F$28,инфо!$A$15:$A$28,F644)</f>
        <v>0</v>
      </c>
      <c r="AL644" s="32">
        <f t="shared" si="150"/>
        <v>0</v>
      </c>
      <c r="AM644" s="12">
        <f t="shared" si="153"/>
        <v>0</v>
      </c>
      <c r="AN644" s="24">
        <f>SUMIFS(инфо!$G$15:$G$28,инфо!$A$15:$A$28,F644)</f>
        <v>0</v>
      </c>
      <c r="AO644" s="32">
        <f t="shared" si="151"/>
        <v>0</v>
      </c>
      <c r="AP644" s="12">
        <f t="shared" si="154"/>
        <v>0</v>
      </c>
      <c r="AQ644" s="24">
        <f>SUMIFS(инфо!$H$15:$H$28,инфо!$A$15:$A$28,F644)</f>
        <v>0</v>
      </c>
      <c r="AR644" s="35">
        <f t="shared" si="152"/>
        <v>0</v>
      </c>
      <c r="AS644" s="12">
        <f t="shared" si="155"/>
        <v>0</v>
      </c>
      <c r="AT644" s="24">
        <f>SUMIFS(инфо!$I$15:$I$28,инфо!$A$15:$A$28,F644)</f>
        <v>0</v>
      </c>
      <c r="AU644" s="35">
        <f t="shared" si="146"/>
        <v>0</v>
      </c>
      <c r="AV644" s="12">
        <f t="shared" si="156"/>
        <v>0</v>
      </c>
      <c r="AX644" s="68">
        <f>SUMIFS(инфо!$C$15:$C$28,инфо!$A$15:$A$28,F644)*H643</f>
        <v>0</v>
      </c>
    </row>
    <row r="645" spans="1:50" x14ac:dyDescent="0.25">
      <c r="A645" s="70">
        <f t="shared" si="147"/>
        <v>46386</v>
      </c>
      <c r="B645" s="76"/>
      <c r="C645" s="15"/>
      <c r="D645" s="16"/>
      <c r="E645" s="83"/>
      <c r="F645" s="28"/>
      <c r="G645" s="34"/>
      <c r="H645" s="23"/>
      <c r="I645" s="118">
        <f>IFERROR(H645*VLOOKUP(F645,инфо!$A$15:$C$28,3,FALSE)/1000,0)</f>
        <v>0</v>
      </c>
      <c r="J645" s="20"/>
      <c r="K645" s="20"/>
      <c r="L645" s="20"/>
      <c r="M645" s="20"/>
      <c r="N645" s="20"/>
      <c r="O645" s="34"/>
      <c r="P645" s="34"/>
      <c r="Q645" s="34"/>
      <c r="R645" s="34"/>
      <c r="S645" s="68">
        <f t="shared" si="157"/>
        <v>0</v>
      </c>
      <c r="T645" s="15"/>
      <c r="U645" s="16"/>
      <c r="V645" s="34"/>
      <c r="W645" s="81"/>
      <c r="X645" s="34"/>
      <c r="Y645" s="15"/>
      <c r="Z645" s="34"/>
      <c r="AA645" s="34"/>
      <c r="AB645" s="34"/>
      <c r="AC645" s="81"/>
      <c r="AD645" s="16"/>
      <c r="AE645" s="24">
        <f>SUMIFS(инфо!$D$15:$D$28,инфо!$A$15:$A$28,F645)</f>
        <v>0</v>
      </c>
      <c r="AF645" s="35">
        <f t="shared" si="148"/>
        <v>0</v>
      </c>
      <c r="AG645" s="12">
        <f t="shared" si="158"/>
        <v>0</v>
      </c>
      <c r="AH645" s="24">
        <f>SUMIFS(инфо!$E$15:$E$28,инфо!$A$15:$A$28,F645)</f>
        <v>0</v>
      </c>
      <c r="AI645" s="32">
        <f t="shared" si="149"/>
        <v>0</v>
      </c>
      <c r="AJ645" s="12">
        <f t="shared" si="159"/>
        <v>0</v>
      </c>
      <c r="AK645" s="24">
        <f>SUMIFS(инфо!$F$15:$F$28,инфо!$A$15:$A$28,F645)</f>
        <v>0</v>
      </c>
      <c r="AL645" s="32">
        <f t="shared" si="150"/>
        <v>0</v>
      </c>
      <c r="AM645" s="12">
        <f t="shared" si="153"/>
        <v>0</v>
      </c>
      <c r="AN645" s="24">
        <f>SUMIFS(инфо!$G$15:$G$28,инфо!$A$15:$A$28,F645)</f>
        <v>0</v>
      </c>
      <c r="AO645" s="32">
        <f t="shared" si="151"/>
        <v>0</v>
      </c>
      <c r="AP645" s="12">
        <f t="shared" si="154"/>
        <v>0</v>
      </c>
      <c r="AQ645" s="24">
        <f>SUMIFS(инфо!$H$15:$H$28,инфо!$A$15:$A$28,F645)</f>
        <v>0</v>
      </c>
      <c r="AR645" s="35">
        <f t="shared" si="152"/>
        <v>0</v>
      </c>
      <c r="AS645" s="12">
        <f t="shared" si="155"/>
        <v>0</v>
      </c>
      <c r="AT645" s="24">
        <f>SUMIFS(инфо!$I$15:$I$28,инфо!$A$15:$A$28,F645)</f>
        <v>0</v>
      </c>
      <c r="AU645" s="35">
        <f t="shared" si="146"/>
        <v>0</v>
      </c>
      <c r="AV645" s="12">
        <f t="shared" si="156"/>
        <v>0</v>
      </c>
      <c r="AX645" s="68">
        <f>SUMIFS(инфо!$C$15:$C$28,инфо!$A$15:$A$28,F645)*H644</f>
        <v>0</v>
      </c>
    </row>
    <row r="646" spans="1:50" x14ac:dyDescent="0.25">
      <c r="A646" s="70">
        <f t="shared" si="147"/>
        <v>46387</v>
      </c>
      <c r="B646" s="77"/>
      <c r="C646" s="17"/>
      <c r="D646" s="18"/>
      <c r="E646" s="83"/>
      <c r="F646" s="28"/>
      <c r="G646" s="19"/>
      <c r="H646" s="28"/>
      <c r="I646" s="118">
        <f>IFERROR(H646*VLOOKUP(F646,инфо!$A$15:$C$28,3,FALSE)/1000,0)</f>
        <v>0</v>
      </c>
      <c r="J646" s="20"/>
      <c r="K646" s="20"/>
      <c r="L646" s="20"/>
      <c r="M646" s="20"/>
      <c r="N646" s="23"/>
      <c r="O646" s="19"/>
      <c r="P646" s="19"/>
      <c r="Q646" s="19"/>
      <c r="R646" s="19"/>
      <c r="S646" s="69">
        <f t="shared" si="157"/>
        <v>0</v>
      </c>
      <c r="T646" s="17"/>
      <c r="U646" s="18"/>
      <c r="V646" s="19"/>
      <c r="W646" s="81"/>
      <c r="X646" s="19"/>
      <c r="Y646" s="17"/>
      <c r="Z646" s="19"/>
      <c r="AA646" s="19"/>
      <c r="AB646" s="19"/>
      <c r="AC646" s="81"/>
      <c r="AD646" s="18"/>
      <c r="AE646" s="25">
        <f>SUMIFS(инфо!$D$15:$D$28,инфо!$A$15:$A$28,F646)</f>
        <v>0</v>
      </c>
      <c r="AF646" s="35">
        <f t="shared" si="148"/>
        <v>0</v>
      </c>
      <c r="AG646" s="14">
        <f t="shared" si="158"/>
        <v>0</v>
      </c>
      <c r="AH646" s="25">
        <f>SUMIFS(инфо!$E$15:$E$28,инфо!$A$15:$A$28,F646)</f>
        <v>0</v>
      </c>
      <c r="AI646" s="32">
        <f t="shared" si="149"/>
        <v>0</v>
      </c>
      <c r="AJ646" s="14">
        <f t="shared" si="159"/>
        <v>0</v>
      </c>
      <c r="AK646" s="25">
        <f>SUMIFS(инфо!$F$15:$F$28,инфо!$A$15:$A$28,F646)</f>
        <v>0</v>
      </c>
      <c r="AL646" s="32">
        <f t="shared" si="150"/>
        <v>0</v>
      </c>
      <c r="AM646" s="14">
        <f t="shared" si="153"/>
        <v>0</v>
      </c>
      <c r="AN646" s="25">
        <f>SUMIFS(инфо!$G$15:$G$28,инфо!$A$15:$A$28,F646)</f>
        <v>0</v>
      </c>
      <c r="AO646" s="32">
        <f t="shared" si="151"/>
        <v>0</v>
      </c>
      <c r="AP646" s="14">
        <f t="shared" si="154"/>
        <v>0</v>
      </c>
      <c r="AQ646" s="25">
        <f>SUMIFS(инфо!$H$15:$H$28,инфо!$A$15:$A$28,F646)</f>
        <v>0</v>
      </c>
      <c r="AR646" s="26">
        <f t="shared" si="152"/>
        <v>0</v>
      </c>
      <c r="AS646" s="14">
        <f t="shared" si="155"/>
        <v>0</v>
      </c>
      <c r="AT646" s="25">
        <f>SUMIFS(инфо!$I$15:$I$28,инфо!$A$15:$A$28,F646)</f>
        <v>0</v>
      </c>
      <c r="AU646" s="35">
        <f t="shared" si="146"/>
        <v>0</v>
      </c>
      <c r="AV646" s="14">
        <f t="shared" si="156"/>
        <v>0</v>
      </c>
      <c r="AX646" s="69">
        <f>SUMIFS(инфо!$C$15:$C$28,инфо!$A$15:$A$28,F646)*H645</f>
        <v>0</v>
      </c>
    </row>
    <row r="647" spans="1:50" x14ac:dyDescent="0.25">
      <c r="A647" s="70">
        <f t="shared" si="147"/>
        <v>46387</v>
      </c>
      <c r="B647" s="75"/>
      <c r="C647" s="29"/>
      <c r="D647" s="30"/>
      <c r="E647" s="83"/>
      <c r="F647" s="28"/>
      <c r="G647" s="27"/>
      <c r="H647" s="20"/>
      <c r="I647" s="118">
        <f>IFERROR(H647*VLOOKUP(F647,инфо!$A$15:$C$28,3,FALSE)/1000,0)</f>
        <v>0</v>
      </c>
      <c r="J647" s="20"/>
      <c r="K647" s="20"/>
      <c r="L647" s="20"/>
      <c r="M647" s="20"/>
      <c r="N647" s="28"/>
      <c r="O647" s="27"/>
      <c r="P647" s="27"/>
      <c r="Q647" s="27"/>
      <c r="R647" s="27"/>
      <c r="S647" s="67">
        <f t="shared" si="157"/>
        <v>0</v>
      </c>
      <c r="T647" s="29"/>
      <c r="U647" s="30"/>
      <c r="V647" s="27"/>
      <c r="W647" s="81"/>
      <c r="X647" s="27"/>
      <c r="Y647" s="29"/>
      <c r="Z647" s="27"/>
      <c r="AA647" s="27"/>
      <c r="AB647" s="27"/>
      <c r="AC647" s="81"/>
      <c r="AD647" s="30"/>
      <c r="AE647" s="31">
        <f>SUMIFS(инфо!$D$15:$D$28,инфо!$A$15:$A$28,F647)</f>
        <v>0</v>
      </c>
      <c r="AF647" s="35">
        <f t="shared" si="148"/>
        <v>0</v>
      </c>
      <c r="AG647" s="33">
        <f t="shared" si="158"/>
        <v>0</v>
      </c>
      <c r="AH647" s="31">
        <f>SUMIFS(инфо!$E$15:$E$28,инфо!$A$15:$A$28,F647)</f>
        <v>0</v>
      </c>
      <c r="AI647" s="32">
        <f t="shared" si="149"/>
        <v>0</v>
      </c>
      <c r="AJ647" s="33">
        <f t="shared" si="159"/>
        <v>0</v>
      </c>
      <c r="AK647" s="31">
        <f>SUMIFS(инфо!$F$15:$F$28,инфо!$A$15:$A$28,F647)</f>
        <v>0</v>
      </c>
      <c r="AL647" s="32">
        <f t="shared" si="150"/>
        <v>0</v>
      </c>
      <c r="AM647" s="33">
        <f t="shared" si="153"/>
        <v>0</v>
      </c>
      <c r="AN647" s="31">
        <f>SUMIFS(инфо!$G$15:$G$28,инфо!$A$15:$A$28,F647)</f>
        <v>0</v>
      </c>
      <c r="AO647" s="32">
        <f t="shared" si="151"/>
        <v>0</v>
      </c>
      <c r="AP647" s="33">
        <f t="shared" si="154"/>
        <v>0</v>
      </c>
      <c r="AQ647" s="31">
        <f>SUMIFS(инфо!$H$15:$H$28,инфо!$A$15:$A$28,F647)</f>
        <v>0</v>
      </c>
      <c r="AR647" s="32">
        <f t="shared" si="152"/>
        <v>0</v>
      </c>
      <c r="AS647" s="33">
        <f t="shared" si="155"/>
        <v>0</v>
      </c>
      <c r="AT647" s="31">
        <f>SUMIFS(инфо!$I$15:$I$28,инфо!$A$15:$A$28,F647)</f>
        <v>0</v>
      </c>
      <c r="AU647" s="35">
        <f t="shared" si="146"/>
        <v>0</v>
      </c>
      <c r="AV647" s="33">
        <f t="shared" si="156"/>
        <v>0</v>
      </c>
      <c r="AX647" s="67">
        <f>SUMIFS(инфо!$C$15:$C$28,инфо!$A$15:$A$28,F647)*H646</f>
        <v>0</v>
      </c>
    </row>
    <row r="648" spans="1:50" x14ac:dyDescent="0.25">
      <c r="A648" s="70">
        <f t="shared" si="147"/>
        <v>46388</v>
      </c>
      <c r="B648" s="76"/>
      <c r="C648" s="15"/>
      <c r="D648" s="16"/>
      <c r="E648" s="83"/>
      <c r="F648" s="28"/>
      <c r="G648" s="34"/>
      <c r="H648" s="20"/>
      <c r="I648" s="118">
        <f>IFERROR(H648*VLOOKUP(F648,инфо!$A$15:$C$28,3,FALSE)/1000,0)</f>
        <v>0</v>
      </c>
      <c r="J648" s="20"/>
      <c r="K648" s="20"/>
      <c r="L648" s="20"/>
      <c r="M648" s="20"/>
      <c r="N648" s="20"/>
      <c r="O648" s="34"/>
      <c r="P648" s="34"/>
      <c r="Q648" s="34"/>
      <c r="R648" s="34"/>
      <c r="S648" s="68">
        <f t="shared" si="157"/>
        <v>0</v>
      </c>
      <c r="T648" s="15"/>
      <c r="U648" s="16"/>
      <c r="V648" s="34"/>
      <c r="W648" s="81"/>
      <c r="X648" s="34"/>
      <c r="Y648" s="15"/>
      <c r="Z648" s="34"/>
      <c r="AA648" s="34"/>
      <c r="AB648" s="34"/>
      <c r="AC648" s="81"/>
      <c r="AD648" s="16"/>
      <c r="AE648" s="24">
        <f>SUMIFS(инфо!$D$15:$D$28,инфо!$A$15:$A$28,F648)</f>
        <v>0</v>
      </c>
      <c r="AF648" s="35">
        <f t="shared" si="148"/>
        <v>0</v>
      </c>
      <c r="AG648" s="12">
        <f t="shared" si="158"/>
        <v>0</v>
      </c>
      <c r="AH648" s="24">
        <f>SUMIFS(инфо!$E$15:$E$28,инфо!$A$15:$A$28,F648)</f>
        <v>0</v>
      </c>
      <c r="AI648" s="32">
        <f t="shared" si="149"/>
        <v>0</v>
      </c>
      <c r="AJ648" s="12">
        <f t="shared" si="159"/>
        <v>0</v>
      </c>
      <c r="AK648" s="24">
        <f>SUMIFS(инфо!$F$15:$F$28,инфо!$A$15:$A$28,F648)</f>
        <v>0</v>
      </c>
      <c r="AL648" s="32">
        <f t="shared" si="150"/>
        <v>0</v>
      </c>
      <c r="AM648" s="12">
        <f t="shared" si="153"/>
        <v>0</v>
      </c>
      <c r="AN648" s="24">
        <f>SUMIFS(инфо!$G$15:$G$28,инфо!$A$15:$A$28,F648)</f>
        <v>0</v>
      </c>
      <c r="AO648" s="32">
        <f t="shared" si="151"/>
        <v>0</v>
      </c>
      <c r="AP648" s="12">
        <f t="shared" si="154"/>
        <v>0</v>
      </c>
      <c r="AQ648" s="24">
        <f>SUMIFS(инфо!$H$15:$H$28,инфо!$A$15:$A$28,F648)</f>
        <v>0</v>
      </c>
      <c r="AR648" s="35">
        <f t="shared" si="152"/>
        <v>0</v>
      </c>
      <c r="AS648" s="12">
        <f t="shared" si="155"/>
        <v>0</v>
      </c>
      <c r="AT648" s="24">
        <f>SUMIFS(инфо!$I$15:$I$28,инфо!$A$15:$A$28,F648)</f>
        <v>0</v>
      </c>
      <c r="AU648" s="35">
        <f t="shared" si="146"/>
        <v>0</v>
      </c>
      <c r="AV648" s="12">
        <f t="shared" si="156"/>
        <v>0</v>
      </c>
      <c r="AX648" s="68">
        <f>SUMIFS(инфо!$C$15:$C$28,инфо!$A$15:$A$28,F648)*H647</f>
        <v>0</v>
      </c>
    </row>
    <row r="649" spans="1:50" x14ac:dyDescent="0.25">
      <c r="A649" s="70">
        <f t="shared" si="147"/>
        <v>46388</v>
      </c>
      <c r="B649" s="76"/>
      <c r="C649" s="15"/>
      <c r="D649" s="16"/>
      <c r="E649" s="83"/>
      <c r="F649" s="28"/>
      <c r="G649" s="34"/>
      <c r="H649" s="23"/>
      <c r="I649" s="118">
        <f>IFERROR(H649*VLOOKUP(F649,инфо!$A$15:$C$28,3,FALSE)/1000,0)</f>
        <v>0</v>
      </c>
      <c r="J649" s="20"/>
      <c r="K649" s="20"/>
      <c r="L649" s="20"/>
      <c r="M649" s="20"/>
      <c r="N649" s="20"/>
      <c r="O649" s="34"/>
      <c r="P649" s="34"/>
      <c r="Q649" s="34"/>
      <c r="R649" s="34"/>
      <c r="S649" s="68">
        <f t="shared" si="157"/>
        <v>0</v>
      </c>
      <c r="T649" s="15"/>
      <c r="U649" s="16"/>
      <c r="V649" s="34"/>
      <c r="W649" s="81"/>
      <c r="X649" s="34"/>
      <c r="Y649" s="15"/>
      <c r="Z649" s="34"/>
      <c r="AA649" s="34"/>
      <c r="AB649" s="34"/>
      <c r="AC649" s="81"/>
      <c r="AD649" s="16"/>
      <c r="AE649" s="24">
        <f>SUMIFS(инфо!$D$15:$D$28,инфо!$A$15:$A$28,F649)</f>
        <v>0</v>
      </c>
      <c r="AF649" s="35">
        <f t="shared" si="148"/>
        <v>0</v>
      </c>
      <c r="AG649" s="12">
        <f t="shared" si="158"/>
        <v>0</v>
      </c>
      <c r="AH649" s="24">
        <f>SUMIFS(инфо!$E$15:$E$28,инфо!$A$15:$A$28,F649)</f>
        <v>0</v>
      </c>
      <c r="AI649" s="32">
        <f t="shared" si="149"/>
        <v>0</v>
      </c>
      <c r="AJ649" s="12">
        <f t="shared" si="159"/>
        <v>0</v>
      </c>
      <c r="AK649" s="24">
        <f>SUMIFS(инфо!$F$15:$F$28,инфо!$A$15:$A$28,F649)</f>
        <v>0</v>
      </c>
      <c r="AL649" s="32">
        <f t="shared" si="150"/>
        <v>0</v>
      </c>
      <c r="AM649" s="12">
        <f t="shared" si="153"/>
        <v>0</v>
      </c>
      <c r="AN649" s="24">
        <f>SUMIFS(инфо!$G$15:$G$28,инфо!$A$15:$A$28,F649)</f>
        <v>0</v>
      </c>
      <c r="AO649" s="32">
        <f t="shared" si="151"/>
        <v>0</v>
      </c>
      <c r="AP649" s="12">
        <f t="shared" si="154"/>
        <v>0</v>
      </c>
      <c r="AQ649" s="24">
        <f>SUMIFS(инфо!$H$15:$H$28,инфо!$A$15:$A$28,F649)</f>
        <v>0</v>
      </c>
      <c r="AR649" s="35">
        <f t="shared" si="152"/>
        <v>0</v>
      </c>
      <c r="AS649" s="12">
        <f t="shared" si="155"/>
        <v>0</v>
      </c>
      <c r="AT649" s="24">
        <f>SUMIFS(инфо!$I$15:$I$28,инфо!$A$15:$A$28,F649)</f>
        <v>0</v>
      </c>
      <c r="AU649" s="35">
        <f t="shared" ref="AU649:AU712" si="160">IF(H649=0,0,AD649/H649)</f>
        <v>0</v>
      </c>
      <c r="AV649" s="12">
        <f t="shared" si="156"/>
        <v>0</v>
      </c>
      <c r="AX649" s="68">
        <f>SUMIFS(инфо!$C$15:$C$28,инфо!$A$15:$A$28,F649)*H648</f>
        <v>0</v>
      </c>
    </row>
    <row r="650" spans="1:50" x14ac:dyDescent="0.25">
      <c r="A650" s="70">
        <f t="shared" si="147"/>
        <v>46389</v>
      </c>
      <c r="B650" s="77"/>
      <c r="C650" s="17"/>
      <c r="D650" s="18"/>
      <c r="E650" s="83"/>
      <c r="F650" s="28"/>
      <c r="G650" s="19"/>
      <c r="H650" s="28"/>
      <c r="I650" s="118">
        <f>IFERROR(H650*VLOOKUP(F650,инфо!$A$15:$C$28,3,FALSE)/1000,0)</f>
        <v>0</v>
      </c>
      <c r="J650" s="20"/>
      <c r="K650" s="20"/>
      <c r="L650" s="20"/>
      <c r="M650" s="20"/>
      <c r="N650" s="23"/>
      <c r="O650" s="19"/>
      <c r="P650" s="19"/>
      <c r="Q650" s="19"/>
      <c r="R650" s="19"/>
      <c r="S650" s="69">
        <f t="shared" si="157"/>
        <v>0</v>
      </c>
      <c r="T650" s="17"/>
      <c r="U650" s="18"/>
      <c r="V650" s="19"/>
      <c r="W650" s="81"/>
      <c r="X650" s="19"/>
      <c r="Y650" s="17"/>
      <c r="Z650" s="19"/>
      <c r="AA650" s="19"/>
      <c r="AB650" s="19"/>
      <c r="AC650" s="81"/>
      <c r="AD650" s="18"/>
      <c r="AE650" s="25">
        <f>SUMIFS(инфо!$D$15:$D$28,инфо!$A$15:$A$28,F650)</f>
        <v>0</v>
      </c>
      <c r="AF650" s="35">
        <f t="shared" si="148"/>
        <v>0</v>
      </c>
      <c r="AG650" s="14">
        <f t="shared" si="158"/>
        <v>0</v>
      </c>
      <c r="AH650" s="25">
        <f>SUMIFS(инфо!$E$15:$E$28,инфо!$A$15:$A$28,F650)</f>
        <v>0</v>
      </c>
      <c r="AI650" s="32">
        <f t="shared" si="149"/>
        <v>0</v>
      </c>
      <c r="AJ650" s="14">
        <f t="shared" si="159"/>
        <v>0</v>
      </c>
      <c r="AK650" s="25">
        <f>SUMIFS(инфо!$F$15:$F$28,инфо!$A$15:$A$28,F650)</f>
        <v>0</v>
      </c>
      <c r="AL650" s="32">
        <f t="shared" si="150"/>
        <v>0</v>
      </c>
      <c r="AM650" s="14">
        <f t="shared" si="153"/>
        <v>0</v>
      </c>
      <c r="AN650" s="25">
        <f>SUMIFS(инфо!$G$15:$G$28,инфо!$A$15:$A$28,F650)</f>
        <v>0</v>
      </c>
      <c r="AO650" s="32">
        <f t="shared" si="151"/>
        <v>0</v>
      </c>
      <c r="AP650" s="14">
        <f t="shared" si="154"/>
        <v>0</v>
      </c>
      <c r="AQ650" s="25">
        <f>SUMIFS(инфо!$H$15:$H$28,инфо!$A$15:$A$28,F650)</f>
        <v>0</v>
      </c>
      <c r="AR650" s="26">
        <f t="shared" si="152"/>
        <v>0</v>
      </c>
      <c r="AS650" s="14">
        <f t="shared" si="155"/>
        <v>0</v>
      </c>
      <c r="AT650" s="25">
        <f>SUMIFS(инфо!$I$15:$I$28,инфо!$A$15:$A$28,F650)</f>
        <v>0</v>
      </c>
      <c r="AU650" s="35">
        <f t="shared" si="160"/>
        <v>0</v>
      </c>
      <c r="AV650" s="14">
        <f t="shared" si="156"/>
        <v>0</v>
      </c>
      <c r="AX650" s="69">
        <f>SUMIFS(инфо!$C$15:$C$28,инфо!$A$15:$A$28,F650)*H649</f>
        <v>0</v>
      </c>
    </row>
    <row r="651" spans="1:50" x14ac:dyDescent="0.25">
      <c r="A651" s="70">
        <f t="shared" si="147"/>
        <v>46389</v>
      </c>
      <c r="B651" s="75"/>
      <c r="C651" s="29"/>
      <c r="D651" s="30"/>
      <c r="E651" s="83"/>
      <c r="F651" s="28"/>
      <c r="G651" s="27"/>
      <c r="H651" s="20"/>
      <c r="I651" s="118">
        <f>IFERROR(H651*VLOOKUP(F651,инфо!$A$15:$C$28,3,FALSE)/1000,0)</f>
        <v>0</v>
      </c>
      <c r="J651" s="20"/>
      <c r="K651" s="20"/>
      <c r="L651" s="20"/>
      <c r="M651" s="20"/>
      <c r="N651" s="28"/>
      <c r="O651" s="27"/>
      <c r="P651" s="27"/>
      <c r="Q651" s="27"/>
      <c r="R651" s="27"/>
      <c r="S651" s="67">
        <f t="shared" si="157"/>
        <v>0</v>
      </c>
      <c r="T651" s="29"/>
      <c r="U651" s="30"/>
      <c r="V651" s="27"/>
      <c r="W651" s="81"/>
      <c r="X651" s="27"/>
      <c r="Y651" s="29"/>
      <c r="Z651" s="27"/>
      <c r="AA651" s="27"/>
      <c r="AB651" s="27"/>
      <c r="AC651" s="81"/>
      <c r="AD651" s="30"/>
      <c r="AE651" s="31">
        <f>SUMIFS(инфо!$D$15:$D$28,инфо!$A$15:$A$28,F651)</f>
        <v>0</v>
      </c>
      <c r="AF651" s="35">
        <f t="shared" si="148"/>
        <v>0</v>
      </c>
      <c r="AG651" s="33">
        <f t="shared" si="158"/>
        <v>0</v>
      </c>
      <c r="AH651" s="31">
        <f>SUMIFS(инфо!$E$15:$E$28,инфо!$A$15:$A$28,F651)</f>
        <v>0</v>
      </c>
      <c r="AI651" s="32">
        <f t="shared" si="149"/>
        <v>0</v>
      </c>
      <c r="AJ651" s="33">
        <f t="shared" si="159"/>
        <v>0</v>
      </c>
      <c r="AK651" s="31">
        <f>SUMIFS(инфо!$F$15:$F$28,инфо!$A$15:$A$28,F651)</f>
        <v>0</v>
      </c>
      <c r="AL651" s="32">
        <f t="shared" si="150"/>
        <v>0</v>
      </c>
      <c r="AM651" s="33">
        <f t="shared" si="153"/>
        <v>0</v>
      </c>
      <c r="AN651" s="31">
        <f>SUMIFS(инфо!$G$15:$G$28,инфо!$A$15:$A$28,F651)</f>
        <v>0</v>
      </c>
      <c r="AO651" s="32">
        <f t="shared" si="151"/>
        <v>0</v>
      </c>
      <c r="AP651" s="33">
        <f t="shared" si="154"/>
        <v>0</v>
      </c>
      <c r="AQ651" s="31">
        <f>SUMIFS(инфо!$H$15:$H$28,инфо!$A$15:$A$28,F651)</f>
        <v>0</v>
      </c>
      <c r="AR651" s="32">
        <f t="shared" si="152"/>
        <v>0</v>
      </c>
      <c r="AS651" s="33">
        <f t="shared" si="155"/>
        <v>0</v>
      </c>
      <c r="AT651" s="31">
        <f>SUMIFS(инфо!$I$15:$I$28,инфо!$A$15:$A$28,F651)</f>
        <v>0</v>
      </c>
      <c r="AU651" s="35">
        <f t="shared" si="160"/>
        <v>0</v>
      </c>
      <c r="AV651" s="33">
        <f t="shared" si="156"/>
        <v>0</v>
      </c>
      <c r="AX651" s="67">
        <f>SUMIFS(инфо!$C$15:$C$28,инфо!$A$15:$A$28,F651)*H650</f>
        <v>0</v>
      </c>
    </row>
    <row r="652" spans="1:50" x14ac:dyDescent="0.25">
      <c r="A652" s="70">
        <f t="shared" si="147"/>
        <v>46390</v>
      </c>
      <c r="B652" s="76"/>
      <c r="C652" s="15"/>
      <c r="D652" s="16"/>
      <c r="E652" s="83"/>
      <c r="F652" s="28"/>
      <c r="G652" s="34"/>
      <c r="H652" s="20"/>
      <c r="I652" s="118">
        <f>IFERROR(H652*VLOOKUP(F652,инфо!$A$15:$C$28,3,FALSE)/1000,0)</f>
        <v>0</v>
      </c>
      <c r="J652" s="20"/>
      <c r="K652" s="20"/>
      <c r="L652" s="20"/>
      <c r="M652" s="20"/>
      <c r="N652" s="20"/>
      <c r="O652" s="34"/>
      <c r="P652" s="34"/>
      <c r="Q652" s="34"/>
      <c r="R652" s="34"/>
      <c r="S652" s="68">
        <f t="shared" si="157"/>
        <v>0</v>
      </c>
      <c r="T652" s="15"/>
      <c r="U652" s="16"/>
      <c r="V652" s="34"/>
      <c r="W652" s="81"/>
      <c r="X652" s="34"/>
      <c r="Y652" s="15"/>
      <c r="Z652" s="34"/>
      <c r="AA652" s="34"/>
      <c r="AB652" s="34"/>
      <c r="AC652" s="81"/>
      <c r="AD652" s="16"/>
      <c r="AE652" s="24">
        <f>SUMIFS(инфо!$D$15:$D$28,инфо!$A$15:$A$28,F652)</f>
        <v>0</v>
      </c>
      <c r="AF652" s="35">
        <f t="shared" si="148"/>
        <v>0</v>
      </c>
      <c r="AG652" s="12">
        <f t="shared" si="158"/>
        <v>0</v>
      </c>
      <c r="AH652" s="24">
        <f>SUMIFS(инфо!$E$15:$E$28,инфо!$A$15:$A$28,F652)</f>
        <v>0</v>
      </c>
      <c r="AI652" s="32">
        <f t="shared" si="149"/>
        <v>0</v>
      </c>
      <c r="AJ652" s="12">
        <f t="shared" si="159"/>
        <v>0</v>
      </c>
      <c r="AK652" s="24">
        <f>SUMIFS(инфо!$F$15:$F$28,инфо!$A$15:$A$28,F652)</f>
        <v>0</v>
      </c>
      <c r="AL652" s="32">
        <f t="shared" si="150"/>
        <v>0</v>
      </c>
      <c r="AM652" s="12">
        <f t="shared" si="153"/>
        <v>0</v>
      </c>
      <c r="AN652" s="24">
        <f>SUMIFS(инфо!$G$15:$G$28,инфо!$A$15:$A$28,F652)</f>
        <v>0</v>
      </c>
      <c r="AO652" s="32">
        <f t="shared" si="151"/>
        <v>0</v>
      </c>
      <c r="AP652" s="12">
        <f t="shared" si="154"/>
        <v>0</v>
      </c>
      <c r="AQ652" s="24">
        <f>SUMIFS(инфо!$H$15:$H$28,инфо!$A$15:$A$28,F652)</f>
        <v>0</v>
      </c>
      <c r="AR652" s="35">
        <f t="shared" si="152"/>
        <v>0</v>
      </c>
      <c r="AS652" s="12">
        <f t="shared" si="155"/>
        <v>0</v>
      </c>
      <c r="AT652" s="24">
        <f>SUMIFS(инфо!$I$15:$I$28,инфо!$A$15:$A$28,F652)</f>
        <v>0</v>
      </c>
      <c r="AU652" s="35">
        <f t="shared" si="160"/>
        <v>0</v>
      </c>
      <c r="AV652" s="12">
        <f t="shared" si="156"/>
        <v>0</v>
      </c>
      <c r="AX652" s="68">
        <f>SUMIFS(инфо!$C$15:$C$28,инфо!$A$15:$A$28,F652)*H651</f>
        <v>0</v>
      </c>
    </row>
    <row r="653" spans="1:50" x14ac:dyDescent="0.25">
      <c r="A653" s="70">
        <f t="shared" si="147"/>
        <v>46390</v>
      </c>
      <c r="B653" s="76"/>
      <c r="C653" s="15"/>
      <c r="D653" s="16"/>
      <c r="E653" s="83"/>
      <c r="F653" s="28"/>
      <c r="G653" s="34"/>
      <c r="H653" s="23"/>
      <c r="I653" s="118">
        <f>IFERROR(H653*VLOOKUP(F653,инфо!$A$15:$C$28,3,FALSE)/1000,0)</f>
        <v>0</v>
      </c>
      <c r="J653" s="20"/>
      <c r="K653" s="20"/>
      <c r="L653" s="20"/>
      <c r="M653" s="20"/>
      <c r="N653" s="20"/>
      <c r="O653" s="34"/>
      <c r="P653" s="34"/>
      <c r="Q653" s="34"/>
      <c r="R653" s="34"/>
      <c r="S653" s="68">
        <f t="shared" si="157"/>
        <v>0</v>
      </c>
      <c r="T653" s="15"/>
      <c r="U653" s="16"/>
      <c r="V653" s="34"/>
      <c r="W653" s="81"/>
      <c r="X653" s="34"/>
      <c r="Y653" s="15"/>
      <c r="Z653" s="34"/>
      <c r="AA653" s="34"/>
      <c r="AB653" s="34"/>
      <c r="AC653" s="81"/>
      <c r="AD653" s="16"/>
      <c r="AE653" s="24">
        <f>SUMIFS(инфо!$D$15:$D$28,инфо!$A$15:$A$28,F653)</f>
        <v>0</v>
      </c>
      <c r="AF653" s="35">
        <f t="shared" si="148"/>
        <v>0</v>
      </c>
      <c r="AG653" s="12">
        <f t="shared" si="158"/>
        <v>0</v>
      </c>
      <c r="AH653" s="24">
        <f>SUMIFS(инфо!$E$15:$E$28,инфо!$A$15:$A$28,F653)</f>
        <v>0</v>
      </c>
      <c r="AI653" s="32">
        <f t="shared" si="149"/>
        <v>0</v>
      </c>
      <c r="AJ653" s="12">
        <f t="shared" si="159"/>
        <v>0</v>
      </c>
      <c r="AK653" s="24">
        <f>SUMIFS(инфо!$F$15:$F$28,инфо!$A$15:$A$28,F653)</f>
        <v>0</v>
      </c>
      <c r="AL653" s="32">
        <f t="shared" si="150"/>
        <v>0</v>
      </c>
      <c r="AM653" s="12">
        <f t="shared" si="153"/>
        <v>0</v>
      </c>
      <c r="AN653" s="24">
        <f>SUMIFS(инфо!$G$15:$G$28,инфо!$A$15:$A$28,F653)</f>
        <v>0</v>
      </c>
      <c r="AO653" s="32">
        <f t="shared" si="151"/>
        <v>0</v>
      </c>
      <c r="AP653" s="12">
        <f t="shared" si="154"/>
        <v>0</v>
      </c>
      <c r="AQ653" s="24">
        <f>SUMIFS(инфо!$H$15:$H$28,инфо!$A$15:$A$28,F653)</f>
        <v>0</v>
      </c>
      <c r="AR653" s="35">
        <f t="shared" si="152"/>
        <v>0</v>
      </c>
      <c r="AS653" s="12">
        <f t="shared" si="155"/>
        <v>0</v>
      </c>
      <c r="AT653" s="24">
        <f>SUMIFS(инфо!$I$15:$I$28,инфо!$A$15:$A$28,F653)</f>
        <v>0</v>
      </c>
      <c r="AU653" s="35">
        <f t="shared" si="160"/>
        <v>0</v>
      </c>
      <c r="AV653" s="12">
        <f t="shared" si="156"/>
        <v>0</v>
      </c>
      <c r="AX653" s="68">
        <f>SUMIFS(инфо!$C$15:$C$28,инфо!$A$15:$A$28,F653)*H652</f>
        <v>0</v>
      </c>
    </row>
    <row r="654" spans="1:50" x14ac:dyDescent="0.25">
      <c r="A654" s="70">
        <f t="shared" si="147"/>
        <v>46391</v>
      </c>
      <c r="B654" s="77"/>
      <c r="C654" s="17"/>
      <c r="D654" s="18"/>
      <c r="E654" s="83"/>
      <c r="F654" s="28"/>
      <c r="G654" s="19"/>
      <c r="H654" s="28"/>
      <c r="I654" s="118">
        <f>IFERROR(H654*VLOOKUP(F654,инфо!$A$15:$C$28,3,FALSE)/1000,0)</f>
        <v>0</v>
      </c>
      <c r="J654" s="20"/>
      <c r="K654" s="20"/>
      <c r="L654" s="20"/>
      <c r="M654" s="20"/>
      <c r="N654" s="23"/>
      <c r="O654" s="19"/>
      <c r="P654" s="19"/>
      <c r="Q654" s="19"/>
      <c r="R654" s="19"/>
      <c r="S654" s="69">
        <f t="shared" si="157"/>
        <v>0</v>
      </c>
      <c r="T654" s="17"/>
      <c r="U654" s="18"/>
      <c r="V654" s="19"/>
      <c r="W654" s="81"/>
      <c r="X654" s="19"/>
      <c r="Y654" s="17"/>
      <c r="Z654" s="19"/>
      <c r="AA654" s="19"/>
      <c r="AB654" s="19"/>
      <c r="AC654" s="81"/>
      <c r="AD654" s="18"/>
      <c r="AE654" s="25">
        <f>SUMIFS(инфо!$D$15:$D$28,инфо!$A$15:$A$28,F654)</f>
        <v>0</v>
      </c>
      <c r="AF654" s="35">
        <f t="shared" si="148"/>
        <v>0</v>
      </c>
      <c r="AG654" s="14">
        <f t="shared" si="158"/>
        <v>0</v>
      </c>
      <c r="AH654" s="25">
        <f>SUMIFS(инфо!$E$15:$E$28,инфо!$A$15:$A$28,F654)</f>
        <v>0</v>
      </c>
      <c r="AI654" s="32">
        <f t="shared" si="149"/>
        <v>0</v>
      </c>
      <c r="AJ654" s="14">
        <f t="shared" si="159"/>
        <v>0</v>
      </c>
      <c r="AK654" s="25">
        <f>SUMIFS(инфо!$F$15:$F$28,инфо!$A$15:$A$28,F654)</f>
        <v>0</v>
      </c>
      <c r="AL654" s="32">
        <f t="shared" si="150"/>
        <v>0</v>
      </c>
      <c r="AM654" s="14">
        <f t="shared" si="153"/>
        <v>0</v>
      </c>
      <c r="AN654" s="25">
        <f>SUMIFS(инфо!$G$15:$G$28,инфо!$A$15:$A$28,F654)</f>
        <v>0</v>
      </c>
      <c r="AO654" s="32">
        <f t="shared" si="151"/>
        <v>0</v>
      </c>
      <c r="AP654" s="14">
        <f t="shared" si="154"/>
        <v>0</v>
      </c>
      <c r="AQ654" s="25">
        <f>SUMIFS(инфо!$H$15:$H$28,инфо!$A$15:$A$28,F654)</f>
        <v>0</v>
      </c>
      <c r="AR654" s="26">
        <f t="shared" si="152"/>
        <v>0</v>
      </c>
      <c r="AS654" s="14">
        <f t="shared" si="155"/>
        <v>0</v>
      </c>
      <c r="AT654" s="25">
        <f>SUMIFS(инфо!$I$15:$I$28,инфо!$A$15:$A$28,F654)</f>
        <v>0</v>
      </c>
      <c r="AU654" s="35">
        <f t="shared" si="160"/>
        <v>0</v>
      </c>
      <c r="AV654" s="14">
        <f t="shared" si="156"/>
        <v>0</v>
      </c>
      <c r="AX654" s="69">
        <f>SUMIFS(инфо!$C$15:$C$28,инфо!$A$15:$A$28,F654)*H653</f>
        <v>0</v>
      </c>
    </row>
    <row r="655" spans="1:50" x14ac:dyDescent="0.25">
      <c r="A655" s="70">
        <f t="shared" si="147"/>
        <v>46391</v>
      </c>
      <c r="B655" s="75"/>
      <c r="C655" s="29"/>
      <c r="D655" s="30"/>
      <c r="E655" s="83"/>
      <c r="F655" s="28"/>
      <c r="G655" s="27"/>
      <c r="H655" s="20"/>
      <c r="I655" s="118">
        <f>IFERROR(H655*VLOOKUP(F655,инфо!$A$15:$C$28,3,FALSE)/1000,0)</f>
        <v>0</v>
      </c>
      <c r="J655" s="20"/>
      <c r="K655" s="20"/>
      <c r="L655" s="20"/>
      <c r="M655" s="20"/>
      <c r="N655" s="28"/>
      <c r="O655" s="27"/>
      <c r="P655" s="27"/>
      <c r="Q655" s="27"/>
      <c r="R655" s="27"/>
      <c r="S655" s="67">
        <f t="shared" si="157"/>
        <v>0</v>
      </c>
      <c r="T655" s="29"/>
      <c r="U655" s="30"/>
      <c r="V655" s="27"/>
      <c r="W655" s="81"/>
      <c r="X655" s="27"/>
      <c r="Y655" s="29"/>
      <c r="Z655" s="27"/>
      <c r="AA655" s="27"/>
      <c r="AB655" s="27"/>
      <c r="AC655" s="81"/>
      <c r="AD655" s="30"/>
      <c r="AE655" s="31">
        <f>SUMIFS(инфо!$D$15:$D$28,инфо!$A$15:$A$28,F655)</f>
        <v>0</v>
      </c>
      <c r="AF655" s="35">
        <f t="shared" si="148"/>
        <v>0</v>
      </c>
      <c r="AG655" s="33">
        <f t="shared" si="158"/>
        <v>0</v>
      </c>
      <c r="AH655" s="31">
        <f>SUMIFS(инфо!$E$15:$E$28,инфо!$A$15:$A$28,F655)</f>
        <v>0</v>
      </c>
      <c r="AI655" s="32">
        <f t="shared" si="149"/>
        <v>0</v>
      </c>
      <c r="AJ655" s="33">
        <f t="shared" si="159"/>
        <v>0</v>
      </c>
      <c r="AK655" s="31">
        <f>SUMIFS(инфо!$F$15:$F$28,инфо!$A$15:$A$28,F655)</f>
        <v>0</v>
      </c>
      <c r="AL655" s="32">
        <f t="shared" si="150"/>
        <v>0</v>
      </c>
      <c r="AM655" s="33">
        <f t="shared" si="153"/>
        <v>0</v>
      </c>
      <c r="AN655" s="31">
        <f>SUMIFS(инфо!$G$15:$G$28,инфо!$A$15:$A$28,F655)</f>
        <v>0</v>
      </c>
      <c r="AO655" s="32">
        <f t="shared" si="151"/>
        <v>0</v>
      </c>
      <c r="AP655" s="33">
        <f t="shared" si="154"/>
        <v>0</v>
      </c>
      <c r="AQ655" s="31">
        <f>SUMIFS(инфо!$H$15:$H$28,инфо!$A$15:$A$28,F655)</f>
        <v>0</v>
      </c>
      <c r="AR655" s="32">
        <f t="shared" si="152"/>
        <v>0</v>
      </c>
      <c r="AS655" s="33">
        <f t="shared" si="155"/>
        <v>0</v>
      </c>
      <c r="AT655" s="31">
        <f>SUMIFS(инфо!$I$15:$I$28,инфо!$A$15:$A$28,F655)</f>
        <v>0</v>
      </c>
      <c r="AU655" s="35">
        <f t="shared" si="160"/>
        <v>0</v>
      </c>
      <c r="AV655" s="33">
        <f t="shared" si="156"/>
        <v>0</v>
      </c>
      <c r="AX655" s="67">
        <f>SUMIFS(инфо!$C$15:$C$28,инфо!$A$15:$A$28,F655)*H654</f>
        <v>0</v>
      </c>
    </row>
    <row r="656" spans="1:50" x14ac:dyDescent="0.25">
      <c r="A656" s="70">
        <f t="shared" si="147"/>
        <v>46392</v>
      </c>
      <c r="B656" s="76"/>
      <c r="C656" s="15"/>
      <c r="D656" s="16"/>
      <c r="E656" s="83"/>
      <c r="F656" s="28"/>
      <c r="G656" s="34"/>
      <c r="H656" s="20"/>
      <c r="I656" s="118">
        <f>IFERROR(H656*VLOOKUP(F656,инфо!$A$15:$C$28,3,FALSE)/1000,0)</f>
        <v>0</v>
      </c>
      <c r="J656" s="20"/>
      <c r="K656" s="20"/>
      <c r="L656" s="20"/>
      <c r="M656" s="20"/>
      <c r="N656" s="20"/>
      <c r="O656" s="34"/>
      <c r="P656" s="34"/>
      <c r="Q656" s="34"/>
      <c r="R656" s="34"/>
      <c r="S656" s="68">
        <f t="shared" si="157"/>
        <v>0</v>
      </c>
      <c r="T656" s="15"/>
      <c r="U656" s="16"/>
      <c r="V656" s="34"/>
      <c r="W656" s="81"/>
      <c r="X656" s="34"/>
      <c r="Y656" s="15"/>
      <c r="Z656" s="34"/>
      <c r="AA656" s="34"/>
      <c r="AB656" s="34"/>
      <c r="AC656" s="81"/>
      <c r="AD656" s="16"/>
      <c r="AE656" s="24">
        <f>SUMIFS(инфо!$D$15:$D$28,инфо!$A$15:$A$28,F656)</f>
        <v>0</v>
      </c>
      <c r="AF656" s="35">
        <f t="shared" si="148"/>
        <v>0</v>
      </c>
      <c r="AG656" s="12">
        <f t="shared" si="158"/>
        <v>0</v>
      </c>
      <c r="AH656" s="24">
        <f>SUMIFS(инфо!$E$15:$E$28,инфо!$A$15:$A$28,F656)</f>
        <v>0</v>
      </c>
      <c r="AI656" s="32">
        <f t="shared" si="149"/>
        <v>0</v>
      </c>
      <c r="AJ656" s="12">
        <f t="shared" si="159"/>
        <v>0</v>
      </c>
      <c r="AK656" s="24">
        <f>SUMIFS(инфо!$F$15:$F$28,инфо!$A$15:$A$28,F656)</f>
        <v>0</v>
      </c>
      <c r="AL656" s="32">
        <f t="shared" si="150"/>
        <v>0</v>
      </c>
      <c r="AM656" s="12">
        <f t="shared" si="153"/>
        <v>0</v>
      </c>
      <c r="AN656" s="24">
        <f>SUMIFS(инфо!$G$15:$G$28,инфо!$A$15:$A$28,F656)</f>
        <v>0</v>
      </c>
      <c r="AO656" s="32">
        <f t="shared" si="151"/>
        <v>0</v>
      </c>
      <c r="AP656" s="12">
        <f t="shared" si="154"/>
        <v>0</v>
      </c>
      <c r="AQ656" s="24">
        <f>SUMIFS(инфо!$H$15:$H$28,инфо!$A$15:$A$28,F656)</f>
        <v>0</v>
      </c>
      <c r="AR656" s="35">
        <f t="shared" si="152"/>
        <v>0</v>
      </c>
      <c r="AS656" s="12">
        <f t="shared" si="155"/>
        <v>0</v>
      </c>
      <c r="AT656" s="24">
        <f>SUMIFS(инфо!$I$15:$I$28,инфо!$A$15:$A$28,F656)</f>
        <v>0</v>
      </c>
      <c r="AU656" s="35">
        <f t="shared" si="160"/>
        <v>0</v>
      </c>
      <c r="AV656" s="12">
        <f t="shared" si="156"/>
        <v>0</v>
      </c>
      <c r="AX656" s="68">
        <f>SUMIFS(инфо!$C$15:$C$28,инфо!$A$15:$A$28,F656)*H655</f>
        <v>0</v>
      </c>
    </row>
    <row r="657" spans="1:50" x14ac:dyDescent="0.25">
      <c r="A657" s="70">
        <f t="shared" si="147"/>
        <v>46392</v>
      </c>
      <c r="B657" s="76"/>
      <c r="C657" s="15"/>
      <c r="D657" s="16"/>
      <c r="E657" s="83"/>
      <c r="F657" s="28"/>
      <c r="G657" s="34"/>
      <c r="H657" s="23"/>
      <c r="I657" s="118">
        <f>IFERROR(H657*VLOOKUP(F657,инфо!$A$15:$C$28,3,FALSE)/1000,0)</f>
        <v>0</v>
      </c>
      <c r="J657" s="20"/>
      <c r="K657" s="20"/>
      <c r="L657" s="20"/>
      <c r="M657" s="20"/>
      <c r="N657" s="20"/>
      <c r="O657" s="34"/>
      <c r="P657" s="34"/>
      <c r="Q657" s="34"/>
      <c r="R657" s="34"/>
      <c r="S657" s="68">
        <f t="shared" si="157"/>
        <v>0</v>
      </c>
      <c r="T657" s="15"/>
      <c r="U657" s="16"/>
      <c r="V657" s="34"/>
      <c r="W657" s="81"/>
      <c r="X657" s="34"/>
      <c r="Y657" s="15"/>
      <c r="Z657" s="34"/>
      <c r="AA657" s="34"/>
      <c r="AB657" s="34"/>
      <c r="AC657" s="81"/>
      <c r="AD657" s="16"/>
      <c r="AE657" s="24">
        <f>SUMIFS(инфо!$D$15:$D$28,инфо!$A$15:$A$28,F657)</f>
        <v>0</v>
      </c>
      <c r="AF657" s="35">
        <f t="shared" si="148"/>
        <v>0</v>
      </c>
      <c r="AG657" s="12">
        <f t="shared" si="158"/>
        <v>0</v>
      </c>
      <c r="AH657" s="24">
        <f>SUMIFS(инфо!$E$15:$E$28,инфо!$A$15:$A$28,F657)</f>
        <v>0</v>
      </c>
      <c r="AI657" s="32">
        <f t="shared" si="149"/>
        <v>0</v>
      </c>
      <c r="AJ657" s="12">
        <f t="shared" si="159"/>
        <v>0</v>
      </c>
      <c r="AK657" s="24">
        <f>SUMIFS(инфо!$F$15:$F$28,инфо!$A$15:$A$28,F657)</f>
        <v>0</v>
      </c>
      <c r="AL657" s="32">
        <f t="shared" si="150"/>
        <v>0</v>
      </c>
      <c r="AM657" s="12">
        <f t="shared" si="153"/>
        <v>0</v>
      </c>
      <c r="AN657" s="24">
        <f>SUMIFS(инфо!$G$15:$G$28,инфо!$A$15:$A$28,F657)</f>
        <v>0</v>
      </c>
      <c r="AO657" s="32">
        <f t="shared" si="151"/>
        <v>0</v>
      </c>
      <c r="AP657" s="12">
        <f t="shared" si="154"/>
        <v>0</v>
      </c>
      <c r="AQ657" s="24">
        <f>SUMIFS(инфо!$H$15:$H$28,инфо!$A$15:$A$28,F657)</f>
        <v>0</v>
      </c>
      <c r="AR657" s="35">
        <f t="shared" si="152"/>
        <v>0</v>
      </c>
      <c r="AS657" s="12">
        <f t="shared" si="155"/>
        <v>0</v>
      </c>
      <c r="AT657" s="24">
        <f>SUMIFS(инфо!$I$15:$I$28,инфо!$A$15:$A$28,F657)</f>
        <v>0</v>
      </c>
      <c r="AU657" s="35">
        <f t="shared" si="160"/>
        <v>0</v>
      </c>
      <c r="AV657" s="12">
        <f t="shared" si="156"/>
        <v>0</v>
      </c>
      <c r="AX657" s="68">
        <f>SUMIFS(инфо!$C$15:$C$28,инфо!$A$15:$A$28,F657)*H656</f>
        <v>0</v>
      </c>
    </row>
    <row r="658" spans="1:50" x14ac:dyDescent="0.25">
      <c r="A658" s="70">
        <f t="shared" si="147"/>
        <v>46393</v>
      </c>
      <c r="B658" s="77"/>
      <c r="C658" s="17"/>
      <c r="D658" s="18"/>
      <c r="E658" s="83"/>
      <c r="F658" s="28"/>
      <c r="G658" s="19"/>
      <c r="H658" s="28"/>
      <c r="I658" s="118">
        <f>IFERROR(H658*VLOOKUP(F658,инфо!$A$15:$C$28,3,FALSE)/1000,0)</f>
        <v>0</v>
      </c>
      <c r="J658" s="20"/>
      <c r="K658" s="20"/>
      <c r="L658" s="20"/>
      <c r="M658" s="20"/>
      <c r="N658" s="23"/>
      <c r="O658" s="19"/>
      <c r="P658" s="19"/>
      <c r="Q658" s="19"/>
      <c r="R658" s="19"/>
      <c r="S658" s="69">
        <f t="shared" si="157"/>
        <v>0</v>
      </c>
      <c r="T658" s="17"/>
      <c r="U658" s="18"/>
      <c r="V658" s="19"/>
      <c r="W658" s="81"/>
      <c r="X658" s="19"/>
      <c r="Y658" s="17"/>
      <c r="Z658" s="19"/>
      <c r="AA658" s="19"/>
      <c r="AB658" s="19"/>
      <c r="AC658" s="81"/>
      <c r="AD658" s="18"/>
      <c r="AE658" s="25">
        <f>SUMIFS(инфо!$D$15:$D$28,инфо!$A$15:$A$28,F658)</f>
        <v>0</v>
      </c>
      <c r="AF658" s="35">
        <f t="shared" si="148"/>
        <v>0</v>
      </c>
      <c r="AG658" s="14">
        <f t="shared" si="158"/>
        <v>0</v>
      </c>
      <c r="AH658" s="25">
        <f>SUMIFS(инфо!$E$15:$E$28,инфо!$A$15:$A$28,F658)</f>
        <v>0</v>
      </c>
      <c r="AI658" s="32">
        <f t="shared" si="149"/>
        <v>0</v>
      </c>
      <c r="AJ658" s="14">
        <f t="shared" si="159"/>
        <v>0</v>
      </c>
      <c r="AK658" s="25">
        <f>SUMIFS(инфо!$F$15:$F$28,инфо!$A$15:$A$28,F658)</f>
        <v>0</v>
      </c>
      <c r="AL658" s="32">
        <f t="shared" si="150"/>
        <v>0</v>
      </c>
      <c r="AM658" s="14">
        <f t="shared" si="153"/>
        <v>0</v>
      </c>
      <c r="AN658" s="25">
        <f>SUMIFS(инфо!$G$15:$G$28,инфо!$A$15:$A$28,F658)</f>
        <v>0</v>
      </c>
      <c r="AO658" s="32">
        <f t="shared" si="151"/>
        <v>0</v>
      </c>
      <c r="AP658" s="14">
        <f t="shared" si="154"/>
        <v>0</v>
      </c>
      <c r="AQ658" s="25">
        <f>SUMIFS(инфо!$H$15:$H$28,инфо!$A$15:$A$28,F658)</f>
        <v>0</v>
      </c>
      <c r="AR658" s="26">
        <f t="shared" si="152"/>
        <v>0</v>
      </c>
      <c r="AS658" s="14">
        <f t="shared" si="155"/>
        <v>0</v>
      </c>
      <c r="AT658" s="25">
        <f>SUMIFS(инфо!$I$15:$I$28,инфо!$A$15:$A$28,F658)</f>
        <v>0</v>
      </c>
      <c r="AU658" s="35">
        <f t="shared" si="160"/>
        <v>0</v>
      </c>
      <c r="AV658" s="14">
        <f t="shared" si="156"/>
        <v>0</v>
      </c>
      <c r="AX658" s="69">
        <f>SUMIFS(инфо!$C$15:$C$28,инфо!$A$15:$A$28,F658)*H657</f>
        <v>0</v>
      </c>
    </row>
    <row r="659" spans="1:50" x14ac:dyDescent="0.25">
      <c r="A659" s="70">
        <f t="shared" si="147"/>
        <v>46393</v>
      </c>
      <c r="B659" s="75"/>
      <c r="C659" s="29"/>
      <c r="D659" s="30"/>
      <c r="E659" s="83"/>
      <c r="F659" s="28"/>
      <c r="G659" s="27"/>
      <c r="H659" s="20"/>
      <c r="I659" s="118">
        <f>IFERROR(H659*VLOOKUP(F659,инфо!$A$15:$C$28,3,FALSE)/1000,0)</f>
        <v>0</v>
      </c>
      <c r="J659" s="20"/>
      <c r="K659" s="20"/>
      <c r="L659" s="20"/>
      <c r="M659" s="20"/>
      <c r="N659" s="28"/>
      <c r="O659" s="27"/>
      <c r="P659" s="27"/>
      <c r="Q659" s="27"/>
      <c r="R659" s="27"/>
      <c r="S659" s="67">
        <f t="shared" si="157"/>
        <v>0</v>
      </c>
      <c r="T659" s="29"/>
      <c r="U659" s="30"/>
      <c r="V659" s="27"/>
      <c r="W659" s="81"/>
      <c r="X659" s="27"/>
      <c r="Y659" s="29"/>
      <c r="Z659" s="27"/>
      <c r="AA659" s="27"/>
      <c r="AB659" s="27"/>
      <c r="AC659" s="81"/>
      <c r="AD659" s="30"/>
      <c r="AE659" s="31">
        <f>SUMIFS(инфо!$D$15:$D$28,инфо!$A$15:$A$28,F659)</f>
        <v>0</v>
      </c>
      <c r="AF659" s="35">
        <f t="shared" si="148"/>
        <v>0</v>
      </c>
      <c r="AG659" s="33">
        <f t="shared" si="158"/>
        <v>0</v>
      </c>
      <c r="AH659" s="31">
        <f>SUMIFS(инфо!$E$15:$E$28,инфо!$A$15:$A$28,F659)</f>
        <v>0</v>
      </c>
      <c r="AI659" s="32">
        <f t="shared" si="149"/>
        <v>0</v>
      </c>
      <c r="AJ659" s="33">
        <f t="shared" si="159"/>
        <v>0</v>
      </c>
      <c r="AK659" s="31">
        <f>SUMIFS(инфо!$F$15:$F$28,инфо!$A$15:$A$28,F659)</f>
        <v>0</v>
      </c>
      <c r="AL659" s="32">
        <f t="shared" si="150"/>
        <v>0</v>
      </c>
      <c r="AM659" s="33">
        <f t="shared" si="153"/>
        <v>0</v>
      </c>
      <c r="AN659" s="31">
        <f>SUMIFS(инфо!$G$15:$G$28,инфо!$A$15:$A$28,F659)</f>
        <v>0</v>
      </c>
      <c r="AO659" s="32">
        <f t="shared" si="151"/>
        <v>0</v>
      </c>
      <c r="AP659" s="33">
        <f t="shared" si="154"/>
        <v>0</v>
      </c>
      <c r="AQ659" s="31">
        <f>SUMIFS(инфо!$H$15:$H$28,инфо!$A$15:$A$28,F659)</f>
        <v>0</v>
      </c>
      <c r="AR659" s="32">
        <f t="shared" si="152"/>
        <v>0</v>
      </c>
      <c r="AS659" s="33">
        <f t="shared" si="155"/>
        <v>0</v>
      </c>
      <c r="AT659" s="31">
        <f>SUMIFS(инфо!$I$15:$I$28,инфо!$A$15:$A$28,F659)</f>
        <v>0</v>
      </c>
      <c r="AU659" s="35">
        <f t="shared" si="160"/>
        <v>0</v>
      </c>
      <c r="AV659" s="33">
        <f t="shared" si="156"/>
        <v>0</v>
      </c>
      <c r="AX659" s="67">
        <f>SUMIFS(инфо!$C$15:$C$28,инфо!$A$15:$A$28,F659)*H658</f>
        <v>0</v>
      </c>
    </row>
    <row r="660" spans="1:50" x14ac:dyDescent="0.25">
      <c r="A660" s="70">
        <f t="shared" si="147"/>
        <v>46394</v>
      </c>
      <c r="B660" s="76"/>
      <c r="C660" s="15"/>
      <c r="D660" s="16"/>
      <c r="E660" s="83"/>
      <c r="F660" s="28"/>
      <c r="G660" s="34"/>
      <c r="H660" s="20"/>
      <c r="I660" s="118">
        <f>IFERROR(H660*VLOOKUP(F660,инфо!$A$15:$C$28,3,FALSE)/1000,0)</f>
        <v>0</v>
      </c>
      <c r="J660" s="20"/>
      <c r="K660" s="20"/>
      <c r="L660" s="20"/>
      <c r="M660" s="20"/>
      <c r="N660" s="20"/>
      <c r="O660" s="34"/>
      <c r="P660" s="34"/>
      <c r="Q660" s="34"/>
      <c r="R660" s="34"/>
      <c r="S660" s="68">
        <f t="shared" si="157"/>
        <v>0</v>
      </c>
      <c r="T660" s="15"/>
      <c r="U660" s="16"/>
      <c r="V660" s="34"/>
      <c r="W660" s="81"/>
      <c r="X660" s="34"/>
      <c r="Y660" s="15"/>
      <c r="Z660" s="34"/>
      <c r="AA660" s="34"/>
      <c r="AB660" s="34"/>
      <c r="AC660" s="81"/>
      <c r="AD660" s="16"/>
      <c r="AE660" s="24">
        <f>SUMIFS(инфо!$D$15:$D$28,инфо!$A$15:$A$28,F660)</f>
        <v>0</v>
      </c>
      <c r="AF660" s="35">
        <f t="shared" si="148"/>
        <v>0</v>
      </c>
      <c r="AG660" s="12">
        <f t="shared" si="158"/>
        <v>0</v>
      </c>
      <c r="AH660" s="24">
        <f>SUMIFS(инфо!$E$15:$E$28,инфо!$A$15:$A$28,F660)</f>
        <v>0</v>
      </c>
      <c r="AI660" s="32">
        <f t="shared" si="149"/>
        <v>0</v>
      </c>
      <c r="AJ660" s="12">
        <f t="shared" si="159"/>
        <v>0</v>
      </c>
      <c r="AK660" s="24">
        <f>SUMIFS(инфо!$F$15:$F$28,инфо!$A$15:$A$28,F660)</f>
        <v>0</v>
      </c>
      <c r="AL660" s="32">
        <f t="shared" si="150"/>
        <v>0</v>
      </c>
      <c r="AM660" s="12">
        <f t="shared" si="153"/>
        <v>0</v>
      </c>
      <c r="AN660" s="24">
        <f>SUMIFS(инфо!$G$15:$G$28,инфо!$A$15:$A$28,F660)</f>
        <v>0</v>
      </c>
      <c r="AO660" s="32">
        <f t="shared" si="151"/>
        <v>0</v>
      </c>
      <c r="AP660" s="12">
        <f t="shared" si="154"/>
        <v>0</v>
      </c>
      <c r="AQ660" s="24">
        <f>SUMIFS(инфо!$H$15:$H$28,инфо!$A$15:$A$28,F660)</f>
        <v>0</v>
      </c>
      <c r="AR660" s="35">
        <f t="shared" si="152"/>
        <v>0</v>
      </c>
      <c r="AS660" s="12">
        <f t="shared" si="155"/>
        <v>0</v>
      </c>
      <c r="AT660" s="24">
        <f>SUMIFS(инфо!$I$15:$I$28,инфо!$A$15:$A$28,F660)</f>
        <v>0</v>
      </c>
      <c r="AU660" s="35">
        <f t="shared" si="160"/>
        <v>0</v>
      </c>
      <c r="AV660" s="12">
        <f t="shared" si="156"/>
        <v>0</v>
      </c>
      <c r="AX660" s="68">
        <f>SUMIFS(инфо!$C$15:$C$28,инфо!$A$15:$A$28,F660)*H659</f>
        <v>0</v>
      </c>
    </row>
    <row r="661" spans="1:50" x14ac:dyDescent="0.25">
      <c r="A661" s="70">
        <f t="shared" si="147"/>
        <v>46394</v>
      </c>
      <c r="B661" s="76"/>
      <c r="C661" s="15"/>
      <c r="D661" s="16"/>
      <c r="E661" s="83"/>
      <c r="F661" s="28"/>
      <c r="G661" s="34"/>
      <c r="H661" s="23"/>
      <c r="I661" s="118">
        <f>IFERROR(H661*VLOOKUP(F661,инфо!$A$15:$C$28,3,FALSE)/1000,0)</f>
        <v>0</v>
      </c>
      <c r="J661" s="20"/>
      <c r="K661" s="20"/>
      <c r="L661" s="20"/>
      <c r="M661" s="20"/>
      <c r="N661" s="20"/>
      <c r="O661" s="34"/>
      <c r="P661" s="34"/>
      <c r="Q661" s="34"/>
      <c r="R661" s="34"/>
      <c r="S661" s="68">
        <f t="shared" si="157"/>
        <v>0</v>
      </c>
      <c r="T661" s="15"/>
      <c r="U661" s="16"/>
      <c r="V661" s="34"/>
      <c r="W661" s="81"/>
      <c r="X661" s="34"/>
      <c r="Y661" s="15"/>
      <c r="Z661" s="34"/>
      <c r="AA661" s="34"/>
      <c r="AB661" s="34"/>
      <c r="AC661" s="81"/>
      <c r="AD661" s="16"/>
      <c r="AE661" s="24">
        <f>SUMIFS(инфо!$D$15:$D$28,инфо!$A$15:$A$28,F661)</f>
        <v>0</v>
      </c>
      <c r="AF661" s="35">
        <f t="shared" si="148"/>
        <v>0</v>
      </c>
      <c r="AG661" s="12">
        <f t="shared" si="158"/>
        <v>0</v>
      </c>
      <c r="AH661" s="24">
        <f>SUMIFS(инфо!$E$15:$E$28,инфо!$A$15:$A$28,F661)</f>
        <v>0</v>
      </c>
      <c r="AI661" s="32">
        <f t="shared" si="149"/>
        <v>0</v>
      </c>
      <c r="AJ661" s="12">
        <f t="shared" si="159"/>
        <v>0</v>
      </c>
      <c r="AK661" s="24">
        <f>SUMIFS(инфо!$F$15:$F$28,инфо!$A$15:$A$28,F661)</f>
        <v>0</v>
      </c>
      <c r="AL661" s="32">
        <f t="shared" si="150"/>
        <v>0</v>
      </c>
      <c r="AM661" s="12">
        <f t="shared" si="153"/>
        <v>0</v>
      </c>
      <c r="AN661" s="24">
        <f>SUMIFS(инфо!$G$15:$G$28,инфо!$A$15:$A$28,F661)</f>
        <v>0</v>
      </c>
      <c r="AO661" s="32">
        <f t="shared" si="151"/>
        <v>0</v>
      </c>
      <c r="AP661" s="12">
        <f t="shared" si="154"/>
        <v>0</v>
      </c>
      <c r="AQ661" s="24">
        <f>SUMIFS(инфо!$H$15:$H$28,инфо!$A$15:$A$28,F661)</f>
        <v>0</v>
      </c>
      <c r="AR661" s="35">
        <f t="shared" si="152"/>
        <v>0</v>
      </c>
      <c r="AS661" s="12">
        <f t="shared" si="155"/>
        <v>0</v>
      </c>
      <c r="AT661" s="24">
        <f>SUMIFS(инфо!$I$15:$I$28,инфо!$A$15:$A$28,F661)</f>
        <v>0</v>
      </c>
      <c r="AU661" s="35">
        <f t="shared" si="160"/>
        <v>0</v>
      </c>
      <c r="AV661" s="12">
        <f t="shared" si="156"/>
        <v>0</v>
      </c>
      <c r="AX661" s="68">
        <f>SUMIFS(инфо!$C$15:$C$28,инфо!$A$15:$A$28,F661)*H660</f>
        <v>0</v>
      </c>
    </row>
    <row r="662" spans="1:50" x14ac:dyDescent="0.25">
      <c r="A662" s="70">
        <f t="shared" si="147"/>
        <v>46395</v>
      </c>
      <c r="B662" s="77"/>
      <c r="C662" s="17"/>
      <c r="D662" s="18"/>
      <c r="E662" s="83"/>
      <c r="F662" s="28"/>
      <c r="G662" s="19"/>
      <c r="H662" s="28"/>
      <c r="I662" s="118">
        <f>IFERROR(H662*VLOOKUP(F662,инфо!$A$15:$C$28,3,FALSE)/1000,0)</f>
        <v>0</v>
      </c>
      <c r="J662" s="20"/>
      <c r="K662" s="20"/>
      <c r="L662" s="20"/>
      <c r="M662" s="20"/>
      <c r="N662" s="23"/>
      <c r="O662" s="19"/>
      <c r="P662" s="19"/>
      <c r="Q662" s="19"/>
      <c r="R662" s="19"/>
      <c r="S662" s="69">
        <f t="shared" si="157"/>
        <v>0</v>
      </c>
      <c r="T662" s="17"/>
      <c r="U662" s="18"/>
      <c r="V662" s="19"/>
      <c r="W662" s="81"/>
      <c r="X662" s="19"/>
      <c r="Y662" s="17"/>
      <c r="Z662" s="19"/>
      <c r="AA662" s="19"/>
      <c r="AB662" s="19"/>
      <c r="AC662" s="81"/>
      <c r="AD662" s="18"/>
      <c r="AE662" s="25">
        <f>SUMIFS(инфо!$D$15:$D$28,инфо!$A$15:$A$28,F662)</f>
        <v>0</v>
      </c>
      <c r="AF662" s="35">
        <f t="shared" si="148"/>
        <v>0</v>
      </c>
      <c r="AG662" s="14">
        <f t="shared" si="158"/>
        <v>0</v>
      </c>
      <c r="AH662" s="25">
        <f>SUMIFS(инфо!$E$15:$E$28,инфо!$A$15:$A$28,F662)</f>
        <v>0</v>
      </c>
      <c r="AI662" s="32">
        <f t="shared" si="149"/>
        <v>0</v>
      </c>
      <c r="AJ662" s="14">
        <f t="shared" si="159"/>
        <v>0</v>
      </c>
      <c r="AK662" s="25">
        <f>SUMIFS(инфо!$F$15:$F$28,инфо!$A$15:$A$28,F662)</f>
        <v>0</v>
      </c>
      <c r="AL662" s="32">
        <f t="shared" si="150"/>
        <v>0</v>
      </c>
      <c r="AM662" s="14">
        <f t="shared" si="153"/>
        <v>0</v>
      </c>
      <c r="AN662" s="25">
        <f>SUMIFS(инфо!$G$15:$G$28,инфо!$A$15:$A$28,F662)</f>
        <v>0</v>
      </c>
      <c r="AO662" s="32">
        <f t="shared" si="151"/>
        <v>0</v>
      </c>
      <c r="AP662" s="14">
        <f t="shared" si="154"/>
        <v>0</v>
      </c>
      <c r="AQ662" s="25">
        <f>SUMIFS(инфо!$H$15:$H$28,инфо!$A$15:$A$28,F662)</f>
        <v>0</v>
      </c>
      <c r="AR662" s="26">
        <f t="shared" si="152"/>
        <v>0</v>
      </c>
      <c r="AS662" s="14">
        <f t="shared" si="155"/>
        <v>0</v>
      </c>
      <c r="AT662" s="25">
        <f>SUMIFS(инфо!$I$15:$I$28,инфо!$A$15:$A$28,F662)</f>
        <v>0</v>
      </c>
      <c r="AU662" s="35">
        <f t="shared" si="160"/>
        <v>0</v>
      </c>
      <c r="AV662" s="14">
        <f t="shared" si="156"/>
        <v>0</v>
      </c>
      <c r="AX662" s="69">
        <f>SUMIFS(инфо!$C$15:$C$28,инфо!$A$15:$A$28,F662)*H661</f>
        <v>0</v>
      </c>
    </row>
    <row r="663" spans="1:50" x14ac:dyDescent="0.25">
      <c r="A663" s="70">
        <f t="shared" si="147"/>
        <v>46395</v>
      </c>
      <c r="B663" s="75"/>
      <c r="C663" s="29"/>
      <c r="D663" s="30"/>
      <c r="E663" s="83"/>
      <c r="F663" s="28"/>
      <c r="G663" s="27"/>
      <c r="H663" s="20"/>
      <c r="I663" s="118">
        <f>IFERROR(H663*VLOOKUP(F663,инфо!$A$15:$C$28,3,FALSE)/1000,0)</f>
        <v>0</v>
      </c>
      <c r="J663" s="20"/>
      <c r="K663" s="20"/>
      <c r="L663" s="20"/>
      <c r="M663" s="20"/>
      <c r="N663" s="28"/>
      <c r="O663" s="27"/>
      <c r="P663" s="27"/>
      <c r="Q663" s="27"/>
      <c r="R663" s="27"/>
      <c r="S663" s="67">
        <f t="shared" si="157"/>
        <v>0</v>
      </c>
      <c r="T663" s="29"/>
      <c r="U663" s="30"/>
      <c r="V663" s="27"/>
      <c r="W663" s="81"/>
      <c r="X663" s="27"/>
      <c r="Y663" s="29"/>
      <c r="Z663" s="27"/>
      <c r="AA663" s="27"/>
      <c r="AB663" s="27"/>
      <c r="AC663" s="81"/>
      <c r="AD663" s="30"/>
      <c r="AE663" s="31">
        <f>SUMIFS(инфо!$D$15:$D$28,инфо!$A$15:$A$28,F663)</f>
        <v>0</v>
      </c>
      <c r="AF663" s="35">
        <f t="shared" si="148"/>
        <v>0</v>
      </c>
      <c r="AG663" s="33">
        <f t="shared" si="158"/>
        <v>0</v>
      </c>
      <c r="AH663" s="31">
        <f>SUMIFS(инфо!$E$15:$E$28,инфо!$A$15:$A$28,F663)</f>
        <v>0</v>
      </c>
      <c r="AI663" s="32">
        <f t="shared" si="149"/>
        <v>0</v>
      </c>
      <c r="AJ663" s="33">
        <f t="shared" si="159"/>
        <v>0</v>
      </c>
      <c r="AK663" s="31">
        <f>SUMIFS(инфо!$F$15:$F$28,инфо!$A$15:$A$28,F663)</f>
        <v>0</v>
      </c>
      <c r="AL663" s="32">
        <f t="shared" si="150"/>
        <v>0</v>
      </c>
      <c r="AM663" s="33">
        <f t="shared" si="153"/>
        <v>0</v>
      </c>
      <c r="AN663" s="31">
        <f>SUMIFS(инфо!$G$15:$G$28,инфо!$A$15:$A$28,F663)</f>
        <v>0</v>
      </c>
      <c r="AO663" s="32">
        <f t="shared" si="151"/>
        <v>0</v>
      </c>
      <c r="AP663" s="33">
        <f t="shared" si="154"/>
        <v>0</v>
      </c>
      <c r="AQ663" s="31">
        <f>SUMIFS(инфо!$H$15:$H$28,инфо!$A$15:$A$28,F663)</f>
        <v>0</v>
      </c>
      <c r="AR663" s="32">
        <f t="shared" si="152"/>
        <v>0</v>
      </c>
      <c r="AS663" s="33">
        <f t="shared" si="155"/>
        <v>0</v>
      </c>
      <c r="AT663" s="31">
        <f>SUMIFS(инфо!$I$15:$I$28,инфо!$A$15:$A$28,F663)</f>
        <v>0</v>
      </c>
      <c r="AU663" s="35">
        <f t="shared" si="160"/>
        <v>0</v>
      </c>
      <c r="AV663" s="33">
        <f t="shared" si="156"/>
        <v>0</v>
      </c>
      <c r="AX663" s="67">
        <f>SUMIFS(инфо!$C$15:$C$28,инфо!$A$15:$A$28,F663)*H662</f>
        <v>0</v>
      </c>
    </row>
    <row r="664" spans="1:50" x14ac:dyDescent="0.25">
      <c r="A664" s="70">
        <f t="shared" si="147"/>
        <v>46396</v>
      </c>
      <c r="B664" s="76"/>
      <c r="C664" s="15"/>
      <c r="D664" s="16"/>
      <c r="E664" s="83"/>
      <c r="F664" s="28"/>
      <c r="G664" s="34"/>
      <c r="H664" s="20"/>
      <c r="I664" s="118">
        <f>IFERROR(H664*VLOOKUP(F664,инфо!$A$15:$C$28,3,FALSE)/1000,0)</f>
        <v>0</v>
      </c>
      <c r="J664" s="20"/>
      <c r="K664" s="20"/>
      <c r="L664" s="20"/>
      <c r="M664" s="20"/>
      <c r="N664" s="20"/>
      <c r="O664" s="34"/>
      <c r="P664" s="34"/>
      <c r="Q664" s="34"/>
      <c r="R664" s="34"/>
      <c r="S664" s="68">
        <f t="shared" si="157"/>
        <v>0</v>
      </c>
      <c r="T664" s="15"/>
      <c r="U664" s="16"/>
      <c r="V664" s="34"/>
      <c r="W664" s="81"/>
      <c r="X664" s="34"/>
      <c r="Y664" s="15"/>
      <c r="Z664" s="34"/>
      <c r="AA664" s="34"/>
      <c r="AB664" s="34"/>
      <c r="AC664" s="81"/>
      <c r="AD664" s="16"/>
      <c r="AE664" s="24">
        <f>SUMIFS(инфо!$D$15:$D$28,инфо!$A$15:$A$28,F664)</f>
        <v>0</v>
      </c>
      <c r="AF664" s="35">
        <f t="shared" si="148"/>
        <v>0</v>
      </c>
      <c r="AG664" s="12">
        <f t="shared" si="158"/>
        <v>0</v>
      </c>
      <c r="AH664" s="24">
        <f>SUMIFS(инфо!$E$15:$E$28,инфо!$A$15:$A$28,F664)</f>
        <v>0</v>
      </c>
      <c r="AI664" s="32">
        <f t="shared" si="149"/>
        <v>0</v>
      </c>
      <c r="AJ664" s="12">
        <f t="shared" si="159"/>
        <v>0</v>
      </c>
      <c r="AK664" s="24">
        <f>SUMIFS(инфо!$F$15:$F$28,инфо!$A$15:$A$28,F664)</f>
        <v>0</v>
      </c>
      <c r="AL664" s="32">
        <f t="shared" si="150"/>
        <v>0</v>
      </c>
      <c r="AM664" s="12">
        <f t="shared" si="153"/>
        <v>0</v>
      </c>
      <c r="AN664" s="24">
        <f>SUMIFS(инфо!$G$15:$G$28,инфо!$A$15:$A$28,F664)</f>
        <v>0</v>
      </c>
      <c r="AO664" s="32">
        <f t="shared" si="151"/>
        <v>0</v>
      </c>
      <c r="AP664" s="12">
        <f t="shared" si="154"/>
        <v>0</v>
      </c>
      <c r="AQ664" s="24">
        <f>SUMIFS(инфо!$H$15:$H$28,инфо!$A$15:$A$28,F664)</f>
        <v>0</v>
      </c>
      <c r="AR664" s="35">
        <f t="shared" si="152"/>
        <v>0</v>
      </c>
      <c r="AS664" s="12">
        <f t="shared" si="155"/>
        <v>0</v>
      </c>
      <c r="AT664" s="24">
        <f>SUMIFS(инфо!$I$15:$I$28,инфо!$A$15:$A$28,F664)</f>
        <v>0</v>
      </c>
      <c r="AU664" s="35">
        <f t="shared" si="160"/>
        <v>0</v>
      </c>
      <c r="AV664" s="12">
        <f t="shared" si="156"/>
        <v>0</v>
      </c>
      <c r="AX664" s="68">
        <f>SUMIFS(инфо!$C$15:$C$28,инфо!$A$15:$A$28,F664)*H663</f>
        <v>0</v>
      </c>
    </row>
    <row r="665" spans="1:50" x14ac:dyDescent="0.25">
      <c r="A665" s="70">
        <f t="shared" si="147"/>
        <v>46396</v>
      </c>
      <c r="B665" s="76"/>
      <c r="C665" s="15"/>
      <c r="D665" s="16"/>
      <c r="E665" s="83"/>
      <c r="F665" s="28"/>
      <c r="G665" s="34"/>
      <c r="H665" s="23"/>
      <c r="I665" s="118">
        <f>IFERROR(H665*VLOOKUP(F665,инфо!$A$15:$C$28,3,FALSE)/1000,0)</f>
        <v>0</v>
      </c>
      <c r="J665" s="20"/>
      <c r="K665" s="20"/>
      <c r="L665" s="20"/>
      <c r="M665" s="20"/>
      <c r="N665" s="20"/>
      <c r="O665" s="34"/>
      <c r="P665" s="34"/>
      <c r="Q665" s="34"/>
      <c r="R665" s="34"/>
      <c r="S665" s="68">
        <f t="shared" si="157"/>
        <v>0</v>
      </c>
      <c r="T665" s="15"/>
      <c r="U665" s="16"/>
      <c r="V665" s="34"/>
      <c r="W665" s="81"/>
      <c r="X665" s="34"/>
      <c r="Y665" s="15"/>
      <c r="Z665" s="34"/>
      <c r="AA665" s="34"/>
      <c r="AB665" s="34"/>
      <c r="AC665" s="81"/>
      <c r="AD665" s="16"/>
      <c r="AE665" s="24">
        <f>SUMIFS(инфо!$D$15:$D$28,инфо!$A$15:$A$28,F665)</f>
        <v>0</v>
      </c>
      <c r="AF665" s="35">
        <f t="shared" si="148"/>
        <v>0</v>
      </c>
      <c r="AG665" s="12">
        <f t="shared" si="158"/>
        <v>0</v>
      </c>
      <c r="AH665" s="24">
        <f>SUMIFS(инфо!$E$15:$E$28,инфо!$A$15:$A$28,F665)</f>
        <v>0</v>
      </c>
      <c r="AI665" s="32">
        <f t="shared" si="149"/>
        <v>0</v>
      </c>
      <c r="AJ665" s="12">
        <f t="shared" si="159"/>
        <v>0</v>
      </c>
      <c r="AK665" s="24">
        <f>SUMIFS(инфо!$F$15:$F$28,инфо!$A$15:$A$28,F665)</f>
        <v>0</v>
      </c>
      <c r="AL665" s="32">
        <f t="shared" si="150"/>
        <v>0</v>
      </c>
      <c r="AM665" s="12">
        <f t="shared" si="153"/>
        <v>0</v>
      </c>
      <c r="AN665" s="24">
        <f>SUMIFS(инфо!$G$15:$G$28,инфо!$A$15:$A$28,F665)</f>
        <v>0</v>
      </c>
      <c r="AO665" s="32">
        <f t="shared" si="151"/>
        <v>0</v>
      </c>
      <c r="AP665" s="12">
        <f t="shared" si="154"/>
        <v>0</v>
      </c>
      <c r="AQ665" s="24">
        <f>SUMIFS(инфо!$H$15:$H$28,инфо!$A$15:$A$28,F665)</f>
        <v>0</v>
      </c>
      <c r="AR665" s="35">
        <f t="shared" si="152"/>
        <v>0</v>
      </c>
      <c r="AS665" s="12">
        <f t="shared" si="155"/>
        <v>0</v>
      </c>
      <c r="AT665" s="24">
        <f>SUMIFS(инфо!$I$15:$I$28,инфо!$A$15:$A$28,F665)</f>
        <v>0</v>
      </c>
      <c r="AU665" s="35">
        <f t="shared" si="160"/>
        <v>0</v>
      </c>
      <c r="AV665" s="12">
        <f t="shared" si="156"/>
        <v>0</v>
      </c>
      <c r="AX665" s="68">
        <f>SUMIFS(инфо!$C$15:$C$28,инфо!$A$15:$A$28,F665)*H664</f>
        <v>0</v>
      </c>
    </row>
    <row r="666" spans="1:50" x14ac:dyDescent="0.25">
      <c r="A666" s="70">
        <f t="shared" si="147"/>
        <v>46397</v>
      </c>
      <c r="B666" s="77"/>
      <c r="C666" s="17"/>
      <c r="D666" s="18"/>
      <c r="E666" s="83"/>
      <c r="F666" s="28"/>
      <c r="G666" s="19"/>
      <c r="H666" s="28"/>
      <c r="I666" s="118">
        <f>IFERROR(H666*VLOOKUP(F666,инфо!$A$15:$C$28,3,FALSE)/1000,0)</f>
        <v>0</v>
      </c>
      <c r="J666" s="20"/>
      <c r="K666" s="20"/>
      <c r="L666" s="20"/>
      <c r="M666" s="20"/>
      <c r="N666" s="23"/>
      <c r="O666" s="19"/>
      <c r="P666" s="19"/>
      <c r="Q666" s="19"/>
      <c r="R666" s="19"/>
      <c r="S666" s="69">
        <f t="shared" si="157"/>
        <v>0</v>
      </c>
      <c r="T666" s="17"/>
      <c r="U666" s="18"/>
      <c r="V666" s="19"/>
      <c r="W666" s="81"/>
      <c r="X666" s="19"/>
      <c r="Y666" s="17"/>
      <c r="Z666" s="19"/>
      <c r="AA666" s="19"/>
      <c r="AB666" s="19"/>
      <c r="AC666" s="81"/>
      <c r="AD666" s="18"/>
      <c r="AE666" s="25">
        <f>SUMIFS(инфо!$D$15:$D$28,инфо!$A$15:$A$28,F666)</f>
        <v>0</v>
      </c>
      <c r="AF666" s="35">
        <f t="shared" si="148"/>
        <v>0</v>
      </c>
      <c r="AG666" s="14">
        <f t="shared" si="158"/>
        <v>0</v>
      </c>
      <c r="AH666" s="25">
        <f>SUMIFS(инфо!$E$15:$E$28,инфо!$A$15:$A$28,F666)</f>
        <v>0</v>
      </c>
      <c r="AI666" s="32">
        <f t="shared" si="149"/>
        <v>0</v>
      </c>
      <c r="AJ666" s="14">
        <f t="shared" si="159"/>
        <v>0</v>
      </c>
      <c r="AK666" s="25">
        <f>SUMIFS(инфо!$F$15:$F$28,инфо!$A$15:$A$28,F666)</f>
        <v>0</v>
      </c>
      <c r="AL666" s="32">
        <f t="shared" si="150"/>
        <v>0</v>
      </c>
      <c r="AM666" s="14">
        <f t="shared" si="153"/>
        <v>0</v>
      </c>
      <c r="AN666" s="25">
        <f>SUMIFS(инфо!$G$15:$G$28,инфо!$A$15:$A$28,F666)</f>
        <v>0</v>
      </c>
      <c r="AO666" s="32">
        <f t="shared" si="151"/>
        <v>0</v>
      </c>
      <c r="AP666" s="14">
        <f t="shared" si="154"/>
        <v>0</v>
      </c>
      <c r="AQ666" s="25">
        <f>SUMIFS(инфо!$H$15:$H$28,инфо!$A$15:$A$28,F666)</f>
        <v>0</v>
      </c>
      <c r="AR666" s="26">
        <f t="shared" si="152"/>
        <v>0</v>
      </c>
      <c r="AS666" s="14">
        <f t="shared" si="155"/>
        <v>0</v>
      </c>
      <c r="AT666" s="25">
        <f>SUMIFS(инфо!$I$15:$I$28,инфо!$A$15:$A$28,F666)</f>
        <v>0</v>
      </c>
      <c r="AU666" s="35">
        <f t="shared" si="160"/>
        <v>0</v>
      </c>
      <c r="AV666" s="14">
        <f t="shared" si="156"/>
        <v>0</v>
      </c>
      <c r="AX666" s="69">
        <f>SUMIFS(инфо!$C$15:$C$28,инфо!$A$15:$A$28,F666)*H665</f>
        <v>0</v>
      </c>
    </row>
    <row r="667" spans="1:50" x14ac:dyDescent="0.25">
      <c r="A667" s="70">
        <f t="shared" si="147"/>
        <v>46397</v>
      </c>
      <c r="B667" s="75"/>
      <c r="C667" s="29"/>
      <c r="D667" s="30"/>
      <c r="E667" s="83"/>
      <c r="F667" s="28"/>
      <c r="G667" s="27"/>
      <c r="H667" s="20"/>
      <c r="I667" s="118">
        <f>IFERROR(H667*VLOOKUP(F667,инфо!$A$15:$C$28,3,FALSE)/1000,0)</f>
        <v>0</v>
      </c>
      <c r="J667" s="20"/>
      <c r="K667" s="20"/>
      <c r="L667" s="20"/>
      <c r="M667" s="20"/>
      <c r="N667" s="28"/>
      <c r="O667" s="27"/>
      <c r="P667" s="27"/>
      <c r="Q667" s="27"/>
      <c r="R667" s="27"/>
      <c r="S667" s="67">
        <f t="shared" si="157"/>
        <v>0</v>
      </c>
      <c r="T667" s="29"/>
      <c r="U667" s="30"/>
      <c r="V667" s="27"/>
      <c r="W667" s="81"/>
      <c r="X667" s="27"/>
      <c r="Y667" s="29"/>
      <c r="Z667" s="27"/>
      <c r="AA667" s="27"/>
      <c r="AB667" s="27"/>
      <c r="AC667" s="81"/>
      <c r="AD667" s="30"/>
      <c r="AE667" s="31">
        <f>SUMIFS(инфо!$D$15:$D$28,инфо!$A$15:$A$28,F667)</f>
        <v>0</v>
      </c>
      <c r="AF667" s="35">
        <f t="shared" si="148"/>
        <v>0</v>
      </c>
      <c r="AG667" s="33">
        <f t="shared" si="158"/>
        <v>0</v>
      </c>
      <c r="AH667" s="31">
        <f>SUMIFS(инфо!$E$15:$E$28,инфо!$A$15:$A$28,F667)</f>
        <v>0</v>
      </c>
      <c r="AI667" s="32">
        <f t="shared" si="149"/>
        <v>0</v>
      </c>
      <c r="AJ667" s="33">
        <f t="shared" si="159"/>
        <v>0</v>
      </c>
      <c r="AK667" s="31">
        <f>SUMIFS(инфо!$F$15:$F$28,инфо!$A$15:$A$28,F667)</f>
        <v>0</v>
      </c>
      <c r="AL667" s="32">
        <f t="shared" si="150"/>
        <v>0</v>
      </c>
      <c r="AM667" s="33">
        <f t="shared" si="153"/>
        <v>0</v>
      </c>
      <c r="AN667" s="31">
        <f>SUMIFS(инфо!$G$15:$G$28,инфо!$A$15:$A$28,F667)</f>
        <v>0</v>
      </c>
      <c r="AO667" s="32">
        <f t="shared" si="151"/>
        <v>0</v>
      </c>
      <c r="AP667" s="33">
        <f t="shared" si="154"/>
        <v>0</v>
      </c>
      <c r="AQ667" s="31">
        <f>SUMIFS(инфо!$H$15:$H$28,инфо!$A$15:$A$28,F667)</f>
        <v>0</v>
      </c>
      <c r="AR667" s="32">
        <f t="shared" si="152"/>
        <v>0</v>
      </c>
      <c r="AS667" s="33">
        <f t="shared" si="155"/>
        <v>0</v>
      </c>
      <c r="AT667" s="31">
        <f>SUMIFS(инфо!$I$15:$I$28,инфо!$A$15:$A$28,F667)</f>
        <v>0</v>
      </c>
      <c r="AU667" s="35">
        <f t="shared" si="160"/>
        <v>0</v>
      </c>
      <c r="AV667" s="33">
        <f t="shared" si="156"/>
        <v>0</v>
      </c>
      <c r="AX667" s="67">
        <f>SUMIFS(инфо!$C$15:$C$28,инфо!$A$15:$A$28,F667)*H666</f>
        <v>0</v>
      </c>
    </row>
    <row r="668" spans="1:50" x14ac:dyDescent="0.25">
      <c r="A668" s="70">
        <f t="shared" ref="A668:A731" si="161">A666+1</f>
        <v>46398</v>
      </c>
      <c r="B668" s="76"/>
      <c r="C668" s="15"/>
      <c r="D668" s="16"/>
      <c r="E668" s="83"/>
      <c r="F668" s="28"/>
      <c r="G668" s="34"/>
      <c r="H668" s="20"/>
      <c r="I668" s="118">
        <f>IFERROR(H668*VLOOKUP(F668,инфо!$A$15:$C$28,3,FALSE)/1000,0)</f>
        <v>0</v>
      </c>
      <c r="J668" s="20"/>
      <c r="K668" s="20"/>
      <c r="L668" s="20"/>
      <c r="M668" s="20"/>
      <c r="N668" s="20"/>
      <c r="O668" s="34"/>
      <c r="P668" s="34"/>
      <c r="Q668" s="34"/>
      <c r="R668" s="34"/>
      <c r="S668" s="68">
        <f t="shared" si="157"/>
        <v>0</v>
      </c>
      <c r="T668" s="15"/>
      <c r="U668" s="16"/>
      <c r="V668" s="34"/>
      <c r="W668" s="81"/>
      <c r="X668" s="34"/>
      <c r="Y668" s="15"/>
      <c r="Z668" s="34"/>
      <c r="AA668" s="34"/>
      <c r="AB668" s="34"/>
      <c r="AC668" s="81"/>
      <c r="AD668" s="16"/>
      <c r="AE668" s="24">
        <f>SUMIFS(инфо!$D$15:$D$28,инфо!$A$15:$A$28,F668)</f>
        <v>0</v>
      </c>
      <c r="AF668" s="35">
        <f t="shared" si="148"/>
        <v>0</v>
      </c>
      <c r="AG668" s="12">
        <f t="shared" si="158"/>
        <v>0</v>
      </c>
      <c r="AH668" s="24">
        <f>SUMIFS(инфо!$E$15:$E$28,инфо!$A$15:$A$28,F668)</f>
        <v>0</v>
      </c>
      <c r="AI668" s="32">
        <f t="shared" si="149"/>
        <v>0</v>
      </c>
      <c r="AJ668" s="12">
        <f t="shared" si="159"/>
        <v>0</v>
      </c>
      <c r="AK668" s="24">
        <f>SUMIFS(инфо!$F$15:$F$28,инфо!$A$15:$A$28,F668)</f>
        <v>0</v>
      </c>
      <c r="AL668" s="32">
        <f t="shared" si="150"/>
        <v>0</v>
      </c>
      <c r="AM668" s="12">
        <f t="shared" si="153"/>
        <v>0</v>
      </c>
      <c r="AN668" s="24">
        <f>SUMIFS(инфо!$G$15:$G$28,инфо!$A$15:$A$28,F668)</f>
        <v>0</v>
      </c>
      <c r="AO668" s="32">
        <f t="shared" si="151"/>
        <v>0</v>
      </c>
      <c r="AP668" s="12">
        <f t="shared" si="154"/>
        <v>0</v>
      </c>
      <c r="AQ668" s="24">
        <f>SUMIFS(инфо!$H$15:$H$28,инфо!$A$15:$A$28,F668)</f>
        <v>0</v>
      </c>
      <c r="AR668" s="35">
        <f t="shared" si="152"/>
        <v>0</v>
      </c>
      <c r="AS668" s="12">
        <f t="shared" si="155"/>
        <v>0</v>
      </c>
      <c r="AT668" s="24">
        <f>SUMIFS(инфо!$I$15:$I$28,инфо!$A$15:$A$28,F668)</f>
        <v>0</v>
      </c>
      <c r="AU668" s="35">
        <f t="shared" si="160"/>
        <v>0</v>
      </c>
      <c r="AV668" s="12">
        <f t="shared" si="156"/>
        <v>0</v>
      </c>
      <c r="AX668" s="68">
        <f>SUMIFS(инфо!$C$15:$C$28,инфо!$A$15:$A$28,F668)*H667</f>
        <v>0</v>
      </c>
    </row>
    <row r="669" spans="1:50" x14ac:dyDescent="0.25">
      <c r="A669" s="70">
        <f t="shared" si="161"/>
        <v>46398</v>
      </c>
      <c r="B669" s="76"/>
      <c r="C669" s="15"/>
      <c r="D669" s="16"/>
      <c r="E669" s="83"/>
      <c r="F669" s="28"/>
      <c r="G669" s="34"/>
      <c r="H669" s="23"/>
      <c r="I669" s="118">
        <f>IFERROR(H669*VLOOKUP(F669,инфо!$A$15:$C$28,3,FALSE)/1000,0)</f>
        <v>0</v>
      </c>
      <c r="J669" s="20"/>
      <c r="K669" s="20"/>
      <c r="L669" s="20"/>
      <c r="M669" s="20"/>
      <c r="N669" s="20"/>
      <c r="O669" s="34"/>
      <c r="P669" s="34"/>
      <c r="Q669" s="34"/>
      <c r="R669" s="34"/>
      <c r="S669" s="68">
        <f t="shared" si="157"/>
        <v>0</v>
      </c>
      <c r="T669" s="15"/>
      <c r="U669" s="16"/>
      <c r="V669" s="34"/>
      <c r="W669" s="81"/>
      <c r="X669" s="34"/>
      <c r="Y669" s="15"/>
      <c r="Z669" s="34"/>
      <c r="AA669" s="34"/>
      <c r="AB669" s="34"/>
      <c r="AC669" s="81"/>
      <c r="AD669" s="16"/>
      <c r="AE669" s="24">
        <f>SUMIFS(инфо!$D$15:$D$28,инфо!$A$15:$A$28,F669)</f>
        <v>0</v>
      </c>
      <c r="AF669" s="35">
        <f t="shared" si="148"/>
        <v>0</v>
      </c>
      <c r="AG669" s="12">
        <f t="shared" si="158"/>
        <v>0</v>
      </c>
      <c r="AH669" s="24">
        <f>SUMIFS(инфо!$E$15:$E$28,инфо!$A$15:$A$28,F669)</f>
        <v>0</v>
      </c>
      <c r="AI669" s="32">
        <f t="shared" si="149"/>
        <v>0</v>
      </c>
      <c r="AJ669" s="12">
        <f t="shared" si="159"/>
        <v>0</v>
      </c>
      <c r="AK669" s="24">
        <f>SUMIFS(инфо!$F$15:$F$28,инфо!$A$15:$A$28,F669)</f>
        <v>0</v>
      </c>
      <c r="AL669" s="32">
        <f t="shared" si="150"/>
        <v>0</v>
      </c>
      <c r="AM669" s="12">
        <f t="shared" si="153"/>
        <v>0</v>
      </c>
      <c r="AN669" s="24">
        <f>SUMIFS(инфо!$G$15:$G$28,инфо!$A$15:$A$28,F669)</f>
        <v>0</v>
      </c>
      <c r="AO669" s="32">
        <f t="shared" si="151"/>
        <v>0</v>
      </c>
      <c r="AP669" s="12">
        <f t="shared" si="154"/>
        <v>0</v>
      </c>
      <c r="AQ669" s="24">
        <f>SUMIFS(инфо!$H$15:$H$28,инфо!$A$15:$A$28,F669)</f>
        <v>0</v>
      </c>
      <c r="AR669" s="35">
        <f t="shared" si="152"/>
        <v>0</v>
      </c>
      <c r="AS669" s="12">
        <f t="shared" si="155"/>
        <v>0</v>
      </c>
      <c r="AT669" s="24">
        <f>SUMIFS(инфо!$I$15:$I$28,инфо!$A$15:$A$28,F669)</f>
        <v>0</v>
      </c>
      <c r="AU669" s="35">
        <f t="shared" si="160"/>
        <v>0</v>
      </c>
      <c r="AV669" s="12">
        <f t="shared" si="156"/>
        <v>0</v>
      </c>
      <c r="AX669" s="68">
        <f>SUMIFS(инфо!$C$15:$C$28,инфо!$A$15:$A$28,F669)*H668</f>
        <v>0</v>
      </c>
    </row>
    <row r="670" spans="1:50" x14ac:dyDescent="0.25">
      <c r="A670" s="70">
        <f t="shared" si="161"/>
        <v>46399</v>
      </c>
      <c r="B670" s="77"/>
      <c r="C670" s="17"/>
      <c r="D670" s="18"/>
      <c r="E670" s="83"/>
      <c r="F670" s="28"/>
      <c r="G670" s="19"/>
      <c r="H670" s="28"/>
      <c r="I670" s="118">
        <f>IFERROR(H670*VLOOKUP(F670,инфо!$A$15:$C$28,3,FALSE)/1000,0)</f>
        <v>0</v>
      </c>
      <c r="J670" s="20"/>
      <c r="K670" s="20"/>
      <c r="L670" s="20"/>
      <c r="M670" s="20"/>
      <c r="N670" s="23"/>
      <c r="O670" s="19"/>
      <c r="P670" s="19"/>
      <c r="Q670" s="19"/>
      <c r="R670" s="19"/>
      <c r="S670" s="69">
        <f t="shared" si="157"/>
        <v>0</v>
      </c>
      <c r="T670" s="17"/>
      <c r="U670" s="18"/>
      <c r="V670" s="19"/>
      <c r="W670" s="81"/>
      <c r="X670" s="19"/>
      <c r="Y670" s="17"/>
      <c r="Z670" s="19"/>
      <c r="AA670" s="19"/>
      <c r="AB670" s="19"/>
      <c r="AC670" s="81"/>
      <c r="AD670" s="18"/>
      <c r="AE670" s="25">
        <f>SUMIFS(инфо!$D$15:$D$28,инфо!$A$15:$A$28,F670)</f>
        <v>0</v>
      </c>
      <c r="AF670" s="35">
        <f t="shared" si="148"/>
        <v>0</v>
      </c>
      <c r="AG670" s="14">
        <f t="shared" si="158"/>
        <v>0</v>
      </c>
      <c r="AH670" s="25">
        <f>SUMIFS(инфо!$E$15:$E$28,инфо!$A$15:$A$28,F670)</f>
        <v>0</v>
      </c>
      <c r="AI670" s="32">
        <f t="shared" si="149"/>
        <v>0</v>
      </c>
      <c r="AJ670" s="14">
        <f t="shared" si="159"/>
        <v>0</v>
      </c>
      <c r="AK670" s="25">
        <f>SUMIFS(инфо!$F$15:$F$28,инфо!$A$15:$A$28,F670)</f>
        <v>0</v>
      </c>
      <c r="AL670" s="32">
        <f t="shared" si="150"/>
        <v>0</v>
      </c>
      <c r="AM670" s="14">
        <f t="shared" si="153"/>
        <v>0</v>
      </c>
      <c r="AN670" s="25">
        <f>SUMIFS(инфо!$G$15:$G$28,инфо!$A$15:$A$28,F670)</f>
        <v>0</v>
      </c>
      <c r="AO670" s="32">
        <f t="shared" si="151"/>
        <v>0</v>
      </c>
      <c r="AP670" s="14">
        <f t="shared" si="154"/>
        <v>0</v>
      </c>
      <c r="AQ670" s="25">
        <f>SUMIFS(инфо!$H$15:$H$28,инфо!$A$15:$A$28,F670)</f>
        <v>0</v>
      </c>
      <c r="AR670" s="26">
        <f t="shared" si="152"/>
        <v>0</v>
      </c>
      <c r="AS670" s="14">
        <f t="shared" si="155"/>
        <v>0</v>
      </c>
      <c r="AT670" s="25">
        <f>SUMIFS(инфо!$I$15:$I$28,инфо!$A$15:$A$28,F670)</f>
        <v>0</v>
      </c>
      <c r="AU670" s="35">
        <f t="shared" si="160"/>
        <v>0</v>
      </c>
      <c r="AV670" s="14">
        <f t="shared" si="156"/>
        <v>0</v>
      </c>
      <c r="AX670" s="69">
        <f>SUMIFS(инфо!$C$15:$C$28,инфо!$A$15:$A$28,F670)*H669</f>
        <v>0</v>
      </c>
    </row>
    <row r="671" spans="1:50" x14ac:dyDescent="0.25">
      <c r="A671" s="70">
        <f t="shared" si="161"/>
        <v>46399</v>
      </c>
      <c r="B671" s="75"/>
      <c r="C671" s="29"/>
      <c r="D671" s="30"/>
      <c r="E671" s="83"/>
      <c r="F671" s="28"/>
      <c r="G671" s="27"/>
      <c r="H671" s="20"/>
      <c r="I671" s="118">
        <f>IFERROR(H671*VLOOKUP(F671,инфо!$A$15:$C$28,3,FALSE)/1000,0)</f>
        <v>0</v>
      </c>
      <c r="J671" s="20"/>
      <c r="K671" s="20"/>
      <c r="L671" s="20"/>
      <c r="M671" s="20"/>
      <c r="N671" s="28"/>
      <c r="O671" s="27"/>
      <c r="P671" s="27"/>
      <c r="Q671" s="27"/>
      <c r="R671" s="27"/>
      <c r="S671" s="67">
        <f t="shared" si="157"/>
        <v>0</v>
      </c>
      <c r="T671" s="29"/>
      <c r="U671" s="30"/>
      <c r="V671" s="27"/>
      <c r="W671" s="81"/>
      <c r="X671" s="27"/>
      <c r="Y671" s="29"/>
      <c r="Z671" s="27"/>
      <c r="AA671" s="27"/>
      <c r="AB671" s="27"/>
      <c r="AC671" s="81"/>
      <c r="AD671" s="30"/>
      <c r="AE671" s="31">
        <f>SUMIFS(инфо!$D$15:$D$28,инфо!$A$15:$A$28,F671)</f>
        <v>0</v>
      </c>
      <c r="AF671" s="35">
        <f t="shared" si="148"/>
        <v>0</v>
      </c>
      <c r="AG671" s="33">
        <f t="shared" si="158"/>
        <v>0</v>
      </c>
      <c r="AH671" s="31">
        <f>SUMIFS(инфо!$E$15:$E$28,инфо!$A$15:$A$28,F671)</f>
        <v>0</v>
      </c>
      <c r="AI671" s="32">
        <f t="shared" si="149"/>
        <v>0</v>
      </c>
      <c r="AJ671" s="33">
        <f t="shared" si="159"/>
        <v>0</v>
      </c>
      <c r="AK671" s="31">
        <f>SUMIFS(инфо!$F$15:$F$28,инфо!$A$15:$A$28,F671)</f>
        <v>0</v>
      </c>
      <c r="AL671" s="32">
        <f t="shared" si="150"/>
        <v>0</v>
      </c>
      <c r="AM671" s="33">
        <f t="shared" si="153"/>
        <v>0</v>
      </c>
      <c r="AN671" s="31">
        <f>SUMIFS(инфо!$G$15:$G$28,инфо!$A$15:$A$28,F671)</f>
        <v>0</v>
      </c>
      <c r="AO671" s="32">
        <f t="shared" si="151"/>
        <v>0</v>
      </c>
      <c r="AP671" s="33">
        <f t="shared" si="154"/>
        <v>0</v>
      </c>
      <c r="AQ671" s="31">
        <f>SUMIFS(инфо!$H$15:$H$28,инфо!$A$15:$A$28,F671)</f>
        <v>0</v>
      </c>
      <c r="AR671" s="32">
        <f t="shared" si="152"/>
        <v>0</v>
      </c>
      <c r="AS671" s="33">
        <f t="shared" si="155"/>
        <v>0</v>
      </c>
      <c r="AT671" s="31">
        <f>SUMIFS(инфо!$I$15:$I$28,инфо!$A$15:$A$28,F671)</f>
        <v>0</v>
      </c>
      <c r="AU671" s="35">
        <f t="shared" si="160"/>
        <v>0</v>
      </c>
      <c r="AV671" s="33">
        <f t="shared" si="156"/>
        <v>0</v>
      </c>
      <c r="AX671" s="67">
        <f>SUMIFS(инфо!$C$15:$C$28,инфо!$A$15:$A$28,F671)*H670</f>
        <v>0</v>
      </c>
    </row>
    <row r="672" spans="1:50" x14ac:dyDescent="0.25">
      <c r="A672" s="70">
        <f t="shared" si="161"/>
        <v>46400</v>
      </c>
      <c r="B672" s="76"/>
      <c r="C672" s="15"/>
      <c r="D672" s="16"/>
      <c r="E672" s="83"/>
      <c r="F672" s="28"/>
      <c r="G672" s="34"/>
      <c r="H672" s="20"/>
      <c r="I672" s="118">
        <f>IFERROR(H672*VLOOKUP(F672,инфо!$A$15:$C$28,3,FALSE)/1000,0)</f>
        <v>0</v>
      </c>
      <c r="J672" s="20"/>
      <c r="K672" s="20"/>
      <c r="L672" s="20"/>
      <c r="M672" s="20"/>
      <c r="N672" s="20"/>
      <c r="O672" s="34"/>
      <c r="P672" s="34"/>
      <c r="Q672" s="34"/>
      <c r="R672" s="34"/>
      <c r="S672" s="68">
        <f t="shared" si="157"/>
        <v>0</v>
      </c>
      <c r="T672" s="15"/>
      <c r="U672" s="16"/>
      <c r="V672" s="34"/>
      <c r="W672" s="81"/>
      <c r="X672" s="34"/>
      <c r="Y672" s="15"/>
      <c r="Z672" s="34"/>
      <c r="AA672" s="34"/>
      <c r="AB672" s="34"/>
      <c r="AC672" s="81"/>
      <c r="AD672" s="16"/>
      <c r="AE672" s="24">
        <f>SUMIFS(инфо!$D$15:$D$28,инфо!$A$15:$A$28,F672)</f>
        <v>0</v>
      </c>
      <c r="AF672" s="35">
        <f t="shared" si="148"/>
        <v>0</v>
      </c>
      <c r="AG672" s="12">
        <f t="shared" si="158"/>
        <v>0</v>
      </c>
      <c r="AH672" s="24">
        <f>SUMIFS(инфо!$E$15:$E$28,инфо!$A$15:$A$28,F672)</f>
        <v>0</v>
      </c>
      <c r="AI672" s="32">
        <f t="shared" si="149"/>
        <v>0</v>
      </c>
      <c r="AJ672" s="12">
        <f t="shared" si="159"/>
        <v>0</v>
      </c>
      <c r="AK672" s="24">
        <f>SUMIFS(инфо!$F$15:$F$28,инфо!$A$15:$A$28,F672)</f>
        <v>0</v>
      </c>
      <c r="AL672" s="32">
        <f t="shared" si="150"/>
        <v>0</v>
      </c>
      <c r="AM672" s="12">
        <f t="shared" si="153"/>
        <v>0</v>
      </c>
      <c r="AN672" s="24">
        <f>SUMIFS(инфо!$G$15:$G$28,инфо!$A$15:$A$28,F672)</f>
        <v>0</v>
      </c>
      <c r="AO672" s="32">
        <f t="shared" si="151"/>
        <v>0</v>
      </c>
      <c r="AP672" s="12">
        <f t="shared" si="154"/>
        <v>0</v>
      </c>
      <c r="AQ672" s="24">
        <f>SUMIFS(инфо!$H$15:$H$28,инфо!$A$15:$A$28,F672)</f>
        <v>0</v>
      </c>
      <c r="AR672" s="35">
        <f t="shared" si="152"/>
        <v>0</v>
      </c>
      <c r="AS672" s="12">
        <f t="shared" si="155"/>
        <v>0</v>
      </c>
      <c r="AT672" s="24">
        <f>SUMIFS(инфо!$I$15:$I$28,инфо!$A$15:$A$28,F672)</f>
        <v>0</v>
      </c>
      <c r="AU672" s="35">
        <f t="shared" si="160"/>
        <v>0</v>
      </c>
      <c r="AV672" s="12">
        <f t="shared" si="156"/>
        <v>0</v>
      </c>
      <c r="AX672" s="68">
        <f>SUMIFS(инфо!$C$15:$C$28,инфо!$A$15:$A$28,F672)*H671</f>
        <v>0</v>
      </c>
    </row>
    <row r="673" spans="1:50" x14ac:dyDescent="0.25">
      <c r="A673" s="70">
        <f t="shared" si="161"/>
        <v>46400</v>
      </c>
      <c r="B673" s="76"/>
      <c r="C673" s="15"/>
      <c r="D673" s="16"/>
      <c r="E673" s="83"/>
      <c r="F673" s="28"/>
      <c r="G673" s="34"/>
      <c r="H673" s="23"/>
      <c r="I673" s="118">
        <f>IFERROR(H673*VLOOKUP(F673,инфо!$A$15:$C$28,3,FALSE)/1000,0)</f>
        <v>0</v>
      </c>
      <c r="J673" s="20"/>
      <c r="K673" s="20"/>
      <c r="L673" s="20"/>
      <c r="M673" s="20"/>
      <c r="N673" s="20"/>
      <c r="O673" s="34"/>
      <c r="P673" s="34"/>
      <c r="Q673" s="34"/>
      <c r="R673" s="34"/>
      <c r="S673" s="68">
        <f t="shared" si="157"/>
        <v>0</v>
      </c>
      <c r="T673" s="15"/>
      <c r="U673" s="16"/>
      <c r="V673" s="34"/>
      <c r="W673" s="81"/>
      <c r="X673" s="34"/>
      <c r="Y673" s="15"/>
      <c r="Z673" s="34"/>
      <c r="AA673" s="34"/>
      <c r="AB673" s="34"/>
      <c r="AC673" s="81"/>
      <c r="AD673" s="16"/>
      <c r="AE673" s="24">
        <f>SUMIFS(инфо!$D$15:$D$28,инфо!$A$15:$A$28,F673)</f>
        <v>0</v>
      </c>
      <c r="AF673" s="35">
        <f t="shared" si="148"/>
        <v>0</v>
      </c>
      <c r="AG673" s="12">
        <f t="shared" si="158"/>
        <v>0</v>
      </c>
      <c r="AH673" s="24">
        <f>SUMIFS(инфо!$E$15:$E$28,инфо!$A$15:$A$28,F673)</f>
        <v>0</v>
      </c>
      <c r="AI673" s="32">
        <f t="shared" si="149"/>
        <v>0</v>
      </c>
      <c r="AJ673" s="12">
        <f t="shared" si="159"/>
        <v>0</v>
      </c>
      <c r="AK673" s="24">
        <f>SUMIFS(инфо!$F$15:$F$28,инфо!$A$15:$A$28,F673)</f>
        <v>0</v>
      </c>
      <c r="AL673" s="32">
        <f t="shared" si="150"/>
        <v>0</v>
      </c>
      <c r="AM673" s="12">
        <f t="shared" si="153"/>
        <v>0</v>
      </c>
      <c r="AN673" s="24">
        <f>SUMIFS(инфо!$G$15:$G$28,инфо!$A$15:$A$28,F673)</f>
        <v>0</v>
      </c>
      <c r="AO673" s="32">
        <f t="shared" si="151"/>
        <v>0</v>
      </c>
      <c r="AP673" s="12">
        <f t="shared" si="154"/>
        <v>0</v>
      </c>
      <c r="AQ673" s="24">
        <f>SUMIFS(инфо!$H$15:$H$28,инфо!$A$15:$A$28,F673)</f>
        <v>0</v>
      </c>
      <c r="AR673" s="35">
        <f t="shared" si="152"/>
        <v>0</v>
      </c>
      <c r="AS673" s="12">
        <f t="shared" si="155"/>
        <v>0</v>
      </c>
      <c r="AT673" s="24">
        <f>SUMIFS(инфо!$I$15:$I$28,инфо!$A$15:$A$28,F673)</f>
        <v>0</v>
      </c>
      <c r="AU673" s="35">
        <f t="shared" si="160"/>
        <v>0</v>
      </c>
      <c r="AV673" s="12">
        <f t="shared" si="156"/>
        <v>0</v>
      </c>
      <c r="AX673" s="68">
        <f>SUMIFS(инфо!$C$15:$C$28,инфо!$A$15:$A$28,F673)*H672</f>
        <v>0</v>
      </c>
    </row>
    <row r="674" spans="1:50" x14ac:dyDescent="0.25">
      <c r="A674" s="70">
        <f t="shared" si="161"/>
        <v>46401</v>
      </c>
      <c r="B674" s="77"/>
      <c r="C674" s="17"/>
      <c r="D674" s="18"/>
      <c r="E674" s="83"/>
      <c r="F674" s="28"/>
      <c r="G674" s="19"/>
      <c r="H674" s="28"/>
      <c r="I674" s="118">
        <f>IFERROR(H674*VLOOKUP(F674,инфо!$A$15:$C$28,3,FALSE)/1000,0)</f>
        <v>0</v>
      </c>
      <c r="J674" s="20"/>
      <c r="K674" s="20"/>
      <c r="L674" s="20"/>
      <c r="M674" s="20"/>
      <c r="N674" s="23"/>
      <c r="O674" s="19"/>
      <c r="P674" s="19"/>
      <c r="Q674" s="19"/>
      <c r="R674" s="19"/>
      <c r="S674" s="69">
        <f t="shared" si="157"/>
        <v>0</v>
      </c>
      <c r="T674" s="17"/>
      <c r="U674" s="18"/>
      <c r="V674" s="19"/>
      <c r="W674" s="81"/>
      <c r="X674" s="19"/>
      <c r="Y674" s="17"/>
      <c r="Z674" s="19"/>
      <c r="AA674" s="19"/>
      <c r="AB674" s="19"/>
      <c r="AC674" s="81"/>
      <c r="AD674" s="18"/>
      <c r="AE674" s="25">
        <f>SUMIFS(инфо!$D$15:$D$28,инфо!$A$15:$A$28,F674)</f>
        <v>0</v>
      </c>
      <c r="AF674" s="35">
        <f t="shared" si="148"/>
        <v>0</v>
      </c>
      <c r="AG674" s="14">
        <f t="shared" si="158"/>
        <v>0</v>
      </c>
      <c r="AH674" s="25">
        <f>SUMIFS(инфо!$E$15:$E$28,инфо!$A$15:$A$28,F674)</f>
        <v>0</v>
      </c>
      <c r="AI674" s="32">
        <f t="shared" si="149"/>
        <v>0</v>
      </c>
      <c r="AJ674" s="14">
        <f t="shared" si="159"/>
        <v>0</v>
      </c>
      <c r="AK674" s="25">
        <f>SUMIFS(инфо!$F$15:$F$28,инфо!$A$15:$A$28,F674)</f>
        <v>0</v>
      </c>
      <c r="AL674" s="32">
        <f t="shared" si="150"/>
        <v>0</v>
      </c>
      <c r="AM674" s="14">
        <f t="shared" si="153"/>
        <v>0</v>
      </c>
      <c r="AN674" s="25">
        <f>SUMIFS(инфо!$G$15:$G$28,инфо!$A$15:$A$28,F674)</f>
        <v>0</v>
      </c>
      <c r="AO674" s="32">
        <f t="shared" si="151"/>
        <v>0</v>
      </c>
      <c r="AP674" s="14">
        <f t="shared" si="154"/>
        <v>0</v>
      </c>
      <c r="AQ674" s="25">
        <f>SUMIFS(инфо!$H$15:$H$28,инфо!$A$15:$A$28,F674)</f>
        <v>0</v>
      </c>
      <c r="AR674" s="26">
        <f t="shared" si="152"/>
        <v>0</v>
      </c>
      <c r="AS674" s="14">
        <f t="shared" si="155"/>
        <v>0</v>
      </c>
      <c r="AT674" s="25">
        <f>SUMIFS(инфо!$I$15:$I$28,инфо!$A$15:$A$28,F674)</f>
        <v>0</v>
      </c>
      <c r="AU674" s="35">
        <f t="shared" si="160"/>
        <v>0</v>
      </c>
      <c r="AV674" s="14">
        <f t="shared" si="156"/>
        <v>0</v>
      </c>
      <c r="AX674" s="69">
        <f>SUMIFS(инфо!$C$15:$C$28,инфо!$A$15:$A$28,F674)*H673</f>
        <v>0</v>
      </c>
    </row>
    <row r="675" spans="1:50" x14ac:dyDescent="0.25">
      <c r="A675" s="70">
        <f t="shared" si="161"/>
        <v>46401</v>
      </c>
      <c r="B675" s="75"/>
      <c r="C675" s="29"/>
      <c r="D675" s="30"/>
      <c r="E675" s="11"/>
      <c r="F675" s="28"/>
      <c r="G675" s="27"/>
      <c r="H675" s="20"/>
      <c r="I675" s="118">
        <f>IFERROR(H675*VLOOKUP(F675,инфо!$A$15:$C$28,3,FALSE)/1000,0)</f>
        <v>0</v>
      </c>
      <c r="J675" s="20"/>
      <c r="K675" s="20"/>
      <c r="L675" s="20"/>
      <c r="M675" s="20"/>
      <c r="N675" s="28"/>
      <c r="O675" s="27"/>
      <c r="P675" s="27"/>
      <c r="Q675" s="27"/>
      <c r="R675" s="27"/>
      <c r="S675" s="67">
        <f t="shared" si="157"/>
        <v>0</v>
      </c>
      <c r="T675" s="29"/>
      <c r="U675" s="30"/>
      <c r="V675" s="27"/>
      <c r="W675" s="81"/>
      <c r="X675" s="27"/>
      <c r="Y675" s="29"/>
      <c r="Z675" s="27"/>
      <c r="AA675" s="27"/>
      <c r="AB675" s="27"/>
      <c r="AC675" s="81"/>
      <c r="AD675" s="30"/>
      <c r="AE675" s="31">
        <f>SUMIFS(инфо!$D$15:$D$28,инфо!$A$15:$A$28,F675)</f>
        <v>0</v>
      </c>
      <c r="AF675" s="35">
        <f t="shared" si="148"/>
        <v>0</v>
      </c>
      <c r="AG675" s="33">
        <f t="shared" si="158"/>
        <v>0</v>
      </c>
      <c r="AH675" s="31">
        <f>SUMIFS(инфо!$E$15:$E$28,инфо!$A$15:$A$28,F675)</f>
        <v>0</v>
      </c>
      <c r="AI675" s="32">
        <f t="shared" si="149"/>
        <v>0</v>
      </c>
      <c r="AJ675" s="33">
        <f t="shared" si="159"/>
        <v>0</v>
      </c>
      <c r="AK675" s="31">
        <f>SUMIFS(инфо!$F$15:$F$28,инфо!$A$15:$A$28,F675)</f>
        <v>0</v>
      </c>
      <c r="AL675" s="32">
        <f t="shared" si="150"/>
        <v>0</v>
      </c>
      <c r="AM675" s="33">
        <f t="shared" si="153"/>
        <v>0</v>
      </c>
      <c r="AN675" s="31">
        <f>SUMIFS(инфо!$G$15:$G$28,инфо!$A$15:$A$28,F675)</f>
        <v>0</v>
      </c>
      <c r="AO675" s="32">
        <f t="shared" si="151"/>
        <v>0</v>
      </c>
      <c r="AP675" s="33">
        <f t="shared" si="154"/>
        <v>0</v>
      </c>
      <c r="AQ675" s="31">
        <f>SUMIFS(инфо!$H$15:$H$28,инфо!$A$15:$A$28,F675)</f>
        <v>0</v>
      </c>
      <c r="AR675" s="32">
        <f t="shared" si="152"/>
        <v>0</v>
      </c>
      <c r="AS675" s="33">
        <f t="shared" si="155"/>
        <v>0</v>
      </c>
      <c r="AT675" s="31">
        <f>SUMIFS(инфо!$I$15:$I$28,инфо!$A$15:$A$28,F675)</f>
        <v>0</v>
      </c>
      <c r="AU675" s="35">
        <f t="shared" si="160"/>
        <v>0</v>
      </c>
      <c r="AV675" s="33">
        <f t="shared" si="156"/>
        <v>0</v>
      </c>
      <c r="AX675" s="67">
        <f>SUMIFS(инфо!$C$15:$C$28,инфо!$A$15:$A$28,F675)*H674</f>
        <v>0</v>
      </c>
    </row>
    <row r="676" spans="1:50" x14ac:dyDescent="0.25">
      <c r="A676" s="70">
        <f t="shared" si="161"/>
        <v>46402</v>
      </c>
      <c r="B676" s="76"/>
      <c r="C676" s="15"/>
      <c r="D676" s="16"/>
      <c r="E676" s="11"/>
      <c r="F676" s="28"/>
      <c r="G676" s="34"/>
      <c r="H676" s="20"/>
      <c r="I676" s="118">
        <f>IFERROR(H676*VLOOKUP(F676,инфо!$A$15:$C$28,3,FALSE)/1000,0)</f>
        <v>0</v>
      </c>
      <c r="J676" s="20"/>
      <c r="K676" s="20"/>
      <c r="L676" s="20"/>
      <c r="M676" s="20"/>
      <c r="N676" s="20"/>
      <c r="O676" s="34"/>
      <c r="P676" s="34"/>
      <c r="Q676" s="34"/>
      <c r="R676" s="34"/>
      <c r="S676" s="68">
        <f t="shared" si="157"/>
        <v>0</v>
      </c>
      <c r="T676" s="15"/>
      <c r="U676" s="16"/>
      <c r="V676" s="34"/>
      <c r="W676" s="81"/>
      <c r="X676" s="34"/>
      <c r="Y676" s="15"/>
      <c r="Z676" s="34"/>
      <c r="AA676" s="34"/>
      <c r="AB676" s="34"/>
      <c r="AC676" s="81"/>
      <c r="AD676" s="16"/>
      <c r="AE676" s="24">
        <f>SUMIFS(инфо!$D$15:$D$28,инфо!$A$15:$A$28,F676)</f>
        <v>0</v>
      </c>
      <c r="AF676" s="35">
        <f t="shared" si="148"/>
        <v>0</v>
      </c>
      <c r="AG676" s="12">
        <f t="shared" si="158"/>
        <v>0</v>
      </c>
      <c r="AH676" s="24">
        <f>SUMIFS(инфо!$E$15:$E$28,инфо!$A$15:$A$28,F676)</f>
        <v>0</v>
      </c>
      <c r="AI676" s="32">
        <f t="shared" si="149"/>
        <v>0</v>
      </c>
      <c r="AJ676" s="12">
        <f t="shared" si="159"/>
        <v>0</v>
      </c>
      <c r="AK676" s="24">
        <f>SUMIFS(инфо!$F$15:$F$28,инфо!$A$15:$A$28,F676)</f>
        <v>0</v>
      </c>
      <c r="AL676" s="32">
        <f t="shared" si="150"/>
        <v>0</v>
      </c>
      <c r="AM676" s="12">
        <f t="shared" si="153"/>
        <v>0</v>
      </c>
      <c r="AN676" s="24">
        <f>SUMIFS(инфо!$G$15:$G$28,инфо!$A$15:$A$28,F676)</f>
        <v>0</v>
      </c>
      <c r="AO676" s="32">
        <f t="shared" si="151"/>
        <v>0</v>
      </c>
      <c r="AP676" s="12">
        <f t="shared" si="154"/>
        <v>0</v>
      </c>
      <c r="AQ676" s="24">
        <f>SUMIFS(инфо!$H$15:$H$28,инфо!$A$15:$A$28,F676)</f>
        <v>0</v>
      </c>
      <c r="AR676" s="35">
        <f t="shared" si="152"/>
        <v>0</v>
      </c>
      <c r="AS676" s="12">
        <f t="shared" si="155"/>
        <v>0</v>
      </c>
      <c r="AT676" s="24">
        <f>SUMIFS(инфо!$I$15:$I$28,инфо!$A$15:$A$28,F676)</f>
        <v>0</v>
      </c>
      <c r="AU676" s="35">
        <f t="shared" si="160"/>
        <v>0</v>
      </c>
      <c r="AV676" s="12">
        <f t="shared" si="156"/>
        <v>0</v>
      </c>
      <c r="AX676" s="68">
        <f>SUMIFS(инфо!$C$15:$C$28,инфо!$A$15:$A$28,F676)*H675</f>
        <v>0</v>
      </c>
    </row>
    <row r="677" spans="1:50" x14ac:dyDescent="0.25">
      <c r="A677" s="70">
        <f t="shared" si="161"/>
        <v>46402</v>
      </c>
      <c r="B677" s="76"/>
      <c r="C677" s="15"/>
      <c r="D677" s="16"/>
      <c r="E677" s="11"/>
      <c r="F677" s="28"/>
      <c r="G677" s="34"/>
      <c r="H677" s="23"/>
      <c r="I677" s="118">
        <f>IFERROR(H677*VLOOKUP(F677,инфо!$A$15:$C$28,3,FALSE)/1000,0)</f>
        <v>0</v>
      </c>
      <c r="J677" s="20"/>
      <c r="K677" s="20"/>
      <c r="L677" s="20"/>
      <c r="M677" s="20"/>
      <c r="N677" s="20"/>
      <c r="O677" s="34"/>
      <c r="P677" s="34"/>
      <c r="Q677" s="34"/>
      <c r="R677" s="34"/>
      <c r="S677" s="68">
        <f t="shared" si="157"/>
        <v>0</v>
      </c>
      <c r="T677" s="15"/>
      <c r="U677" s="16"/>
      <c r="V677" s="34"/>
      <c r="W677" s="81"/>
      <c r="X677" s="34"/>
      <c r="Y677" s="15"/>
      <c r="Z677" s="34"/>
      <c r="AA677" s="34"/>
      <c r="AB677" s="34"/>
      <c r="AC677" s="81"/>
      <c r="AD677" s="16"/>
      <c r="AE677" s="24">
        <f>SUMIFS(инфо!$D$15:$D$28,инфо!$A$15:$A$28,F677)</f>
        <v>0</v>
      </c>
      <c r="AF677" s="35">
        <f t="shared" si="148"/>
        <v>0</v>
      </c>
      <c r="AG677" s="12">
        <f t="shared" si="158"/>
        <v>0</v>
      </c>
      <c r="AH677" s="24">
        <f>SUMIFS(инфо!$E$15:$E$28,инфо!$A$15:$A$28,F677)</f>
        <v>0</v>
      </c>
      <c r="AI677" s="32">
        <f t="shared" si="149"/>
        <v>0</v>
      </c>
      <c r="AJ677" s="12">
        <f t="shared" si="159"/>
        <v>0</v>
      </c>
      <c r="AK677" s="24">
        <f>SUMIFS(инфо!$F$15:$F$28,инфо!$A$15:$A$28,F677)</f>
        <v>0</v>
      </c>
      <c r="AL677" s="32">
        <f t="shared" si="150"/>
        <v>0</v>
      </c>
      <c r="AM677" s="12">
        <f t="shared" si="153"/>
        <v>0</v>
      </c>
      <c r="AN677" s="24">
        <f>SUMIFS(инфо!$G$15:$G$28,инфо!$A$15:$A$28,F677)</f>
        <v>0</v>
      </c>
      <c r="AO677" s="32">
        <f t="shared" si="151"/>
        <v>0</v>
      </c>
      <c r="AP677" s="12">
        <f t="shared" si="154"/>
        <v>0</v>
      </c>
      <c r="AQ677" s="24">
        <f>SUMIFS(инфо!$H$15:$H$28,инфо!$A$15:$A$28,F677)</f>
        <v>0</v>
      </c>
      <c r="AR677" s="35">
        <f t="shared" si="152"/>
        <v>0</v>
      </c>
      <c r="AS677" s="12">
        <f t="shared" si="155"/>
        <v>0</v>
      </c>
      <c r="AT677" s="24">
        <f>SUMIFS(инфо!$I$15:$I$28,инфо!$A$15:$A$28,F677)</f>
        <v>0</v>
      </c>
      <c r="AU677" s="35">
        <f t="shared" si="160"/>
        <v>0</v>
      </c>
      <c r="AV677" s="12">
        <f t="shared" si="156"/>
        <v>0</v>
      </c>
      <c r="AX677" s="68">
        <f>SUMIFS(инфо!$C$15:$C$28,инфо!$A$15:$A$28,F677)*H676</f>
        <v>0</v>
      </c>
    </row>
    <row r="678" spans="1:50" x14ac:dyDescent="0.25">
      <c r="A678" s="70">
        <f t="shared" si="161"/>
        <v>46403</v>
      </c>
      <c r="B678" s="77"/>
      <c r="C678" s="17"/>
      <c r="D678" s="18"/>
      <c r="E678" s="11"/>
      <c r="F678" s="28"/>
      <c r="G678" s="19"/>
      <c r="H678" s="28"/>
      <c r="I678" s="118">
        <f>IFERROR(H678*VLOOKUP(F678,инфо!$A$15:$C$28,3,FALSE)/1000,0)</f>
        <v>0</v>
      </c>
      <c r="J678" s="20"/>
      <c r="K678" s="20"/>
      <c r="L678" s="20"/>
      <c r="M678" s="20"/>
      <c r="N678" s="23"/>
      <c r="O678" s="19"/>
      <c r="P678" s="19"/>
      <c r="Q678" s="19"/>
      <c r="R678" s="19"/>
      <c r="S678" s="69">
        <f t="shared" si="157"/>
        <v>0</v>
      </c>
      <c r="T678" s="17"/>
      <c r="U678" s="18"/>
      <c r="V678" s="19"/>
      <c r="W678" s="81"/>
      <c r="X678" s="19"/>
      <c r="Y678" s="17"/>
      <c r="Z678" s="19"/>
      <c r="AA678" s="19"/>
      <c r="AB678" s="19"/>
      <c r="AC678" s="81"/>
      <c r="AD678" s="18"/>
      <c r="AE678" s="25">
        <f>SUMIFS(инфо!$D$15:$D$28,инфо!$A$15:$A$28,F678)</f>
        <v>0</v>
      </c>
      <c r="AF678" s="35">
        <f t="shared" si="148"/>
        <v>0</v>
      </c>
      <c r="AG678" s="14">
        <f t="shared" si="158"/>
        <v>0</v>
      </c>
      <c r="AH678" s="25">
        <f>SUMIFS(инфо!$E$15:$E$28,инфо!$A$15:$A$28,F678)</f>
        <v>0</v>
      </c>
      <c r="AI678" s="32">
        <f t="shared" si="149"/>
        <v>0</v>
      </c>
      <c r="AJ678" s="14">
        <f t="shared" si="159"/>
        <v>0</v>
      </c>
      <c r="AK678" s="25">
        <f>SUMIFS(инфо!$F$15:$F$28,инфо!$A$15:$A$28,F678)</f>
        <v>0</v>
      </c>
      <c r="AL678" s="32">
        <f t="shared" si="150"/>
        <v>0</v>
      </c>
      <c r="AM678" s="14">
        <f t="shared" si="153"/>
        <v>0</v>
      </c>
      <c r="AN678" s="25">
        <f>SUMIFS(инфо!$G$15:$G$28,инфо!$A$15:$A$28,F678)</f>
        <v>0</v>
      </c>
      <c r="AO678" s="32">
        <f t="shared" si="151"/>
        <v>0</v>
      </c>
      <c r="AP678" s="14">
        <f t="shared" si="154"/>
        <v>0</v>
      </c>
      <c r="AQ678" s="25">
        <f>SUMIFS(инфо!$H$15:$H$28,инфо!$A$15:$A$28,F678)</f>
        <v>0</v>
      </c>
      <c r="AR678" s="26">
        <f t="shared" si="152"/>
        <v>0</v>
      </c>
      <c r="AS678" s="14">
        <f t="shared" si="155"/>
        <v>0</v>
      </c>
      <c r="AT678" s="25">
        <f>SUMIFS(инфо!$I$15:$I$28,инфо!$A$15:$A$28,F678)</f>
        <v>0</v>
      </c>
      <c r="AU678" s="35">
        <f t="shared" si="160"/>
        <v>0</v>
      </c>
      <c r="AV678" s="14">
        <f t="shared" si="156"/>
        <v>0</v>
      </c>
      <c r="AX678" s="69">
        <f>SUMIFS(инфо!$C$15:$C$28,инфо!$A$15:$A$28,F678)*H677</f>
        <v>0</v>
      </c>
    </row>
    <row r="679" spans="1:50" x14ac:dyDescent="0.25">
      <c r="A679" s="70">
        <f t="shared" si="161"/>
        <v>46403</v>
      </c>
      <c r="B679" s="75"/>
      <c r="C679" s="29"/>
      <c r="D679" s="30"/>
      <c r="E679" s="11"/>
      <c r="F679" s="28"/>
      <c r="G679" s="27"/>
      <c r="H679" s="20"/>
      <c r="I679" s="118">
        <f>IFERROR(H679*VLOOKUP(F679,инфо!$A$15:$C$28,3,FALSE)/1000,0)</f>
        <v>0</v>
      </c>
      <c r="J679" s="20"/>
      <c r="K679" s="20"/>
      <c r="L679" s="20"/>
      <c r="M679" s="20"/>
      <c r="N679" s="28"/>
      <c r="O679" s="27"/>
      <c r="P679" s="27"/>
      <c r="Q679" s="27"/>
      <c r="R679" s="27"/>
      <c r="S679" s="67">
        <f t="shared" si="157"/>
        <v>0</v>
      </c>
      <c r="T679" s="29"/>
      <c r="U679" s="30"/>
      <c r="V679" s="27"/>
      <c r="W679" s="81"/>
      <c r="X679" s="27"/>
      <c r="Y679" s="29"/>
      <c r="Z679" s="27"/>
      <c r="AA679" s="27"/>
      <c r="AB679" s="27"/>
      <c r="AC679" s="81"/>
      <c r="AD679" s="30"/>
      <c r="AE679" s="31">
        <f>SUMIFS(инфо!$D$15:$D$28,инфо!$A$15:$A$28,F679)</f>
        <v>0</v>
      </c>
      <c r="AF679" s="35">
        <f t="shared" si="148"/>
        <v>0</v>
      </c>
      <c r="AG679" s="33">
        <f t="shared" si="158"/>
        <v>0</v>
      </c>
      <c r="AH679" s="31">
        <f>SUMIFS(инфо!$E$15:$E$28,инфо!$A$15:$A$28,F679)</f>
        <v>0</v>
      </c>
      <c r="AI679" s="32">
        <f t="shared" si="149"/>
        <v>0</v>
      </c>
      <c r="AJ679" s="33">
        <f t="shared" si="159"/>
        <v>0</v>
      </c>
      <c r="AK679" s="31">
        <f>SUMIFS(инфо!$F$15:$F$28,инфо!$A$15:$A$28,F679)</f>
        <v>0</v>
      </c>
      <c r="AL679" s="32">
        <f t="shared" si="150"/>
        <v>0</v>
      </c>
      <c r="AM679" s="33">
        <f t="shared" si="153"/>
        <v>0</v>
      </c>
      <c r="AN679" s="31">
        <f>SUMIFS(инфо!$G$15:$G$28,инфо!$A$15:$A$28,F679)</f>
        <v>0</v>
      </c>
      <c r="AO679" s="32">
        <f t="shared" si="151"/>
        <v>0</v>
      </c>
      <c r="AP679" s="33">
        <f t="shared" si="154"/>
        <v>0</v>
      </c>
      <c r="AQ679" s="31">
        <f>SUMIFS(инфо!$H$15:$H$28,инфо!$A$15:$A$28,F679)</f>
        <v>0</v>
      </c>
      <c r="AR679" s="32">
        <f t="shared" si="152"/>
        <v>0</v>
      </c>
      <c r="AS679" s="33">
        <f t="shared" si="155"/>
        <v>0</v>
      </c>
      <c r="AT679" s="31">
        <f>SUMIFS(инфо!$I$15:$I$28,инфо!$A$15:$A$28,F679)</f>
        <v>0</v>
      </c>
      <c r="AU679" s="35">
        <f t="shared" si="160"/>
        <v>0</v>
      </c>
      <c r="AV679" s="33">
        <f t="shared" si="156"/>
        <v>0</v>
      </c>
      <c r="AX679" s="67">
        <f>SUMIFS(инфо!$C$15:$C$28,инфо!$A$15:$A$28,F679)*H678</f>
        <v>0</v>
      </c>
    </row>
    <row r="680" spans="1:50" x14ac:dyDescent="0.25">
      <c r="A680" s="70">
        <f t="shared" si="161"/>
        <v>46404</v>
      </c>
      <c r="B680" s="76"/>
      <c r="C680" s="15"/>
      <c r="D680" s="16"/>
      <c r="E680" s="11"/>
      <c r="F680" s="28"/>
      <c r="G680" s="34"/>
      <c r="H680" s="20"/>
      <c r="I680" s="118">
        <f>IFERROR(H680*VLOOKUP(F680,инфо!$A$15:$C$28,3,FALSE)/1000,0)</f>
        <v>0</v>
      </c>
      <c r="J680" s="20"/>
      <c r="K680" s="20"/>
      <c r="L680" s="20"/>
      <c r="M680" s="20"/>
      <c r="N680" s="20"/>
      <c r="O680" s="34"/>
      <c r="P680" s="34"/>
      <c r="Q680" s="34"/>
      <c r="R680" s="34"/>
      <c r="S680" s="68">
        <f t="shared" si="157"/>
        <v>0</v>
      </c>
      <c r="T680" s="15"/>
      <c r="U680" s="16"/>
      <c r="V680" s="34"/>
      <c r="W680" s="81"/>
      <c r="X680" s="34"/>
      <c r="Y680" s="15"/>
      <c r="Z680" s="34"/>
      <c r="AA680" s="34"/>
      <c r="AB680" s="34"/>
      <c r="AC680" s="81"/>
      <c r="AD680" s="16"/>
      <c r="AE680" s="24">
        <f>SUMIFS(инфо!$D$15:$D$28,инфо!$A$15:$A$28,F680)</f>
        <v>0</v>
      </c>
      <c r="AF680" s="35">
        <f t="shared" si="148"/>
        <v>0</v>
      </c>
      <c r="AG680" s="12">
        <f t="shared" si="158"/>
        <v>0</v>
      </c>
      <c r="AH680" s="24">
        <f>SUMIFS(инфо!$E$15:$E$28,инфо!$A$15:$A$28,F680)</f>
        <v>0</v>
      </c>
      <c r="AI680" s="32">
        <f t="shared" si="149"/>
        <v>0</v>
      </c>
      <c r="AJ680" s="12">
        <f t="shared" si="159"/>
        <v>0</v>
      </c>
      <c r="AK680" s="24">
        <f>SUMIFS(инфо!$F$15:$F$28,инфо!$A$15:$A$28,F680)</f>
        <v>0</v>
      </c>
      <c r="AL680" s="32">
        <f t="shared" si="150"/>
        <v>0</v>
      </c>
      <c r="AM680" s="12">
        <f t="shared" si="153"/>
        <v>0</v>
      </c>
      <c r="AN680" s="24">
        <f>SUMIFS(инфо!$G$15:$G$28,инфо!$A$15:$A$28,F680)</f>
        <v>0</v>
      </c>
      <c r="AO680" s="32">
        <f t="shared" si="151"/>
        <v>0</v>
      </c>
      <c r="AP680" s="12">
        <f t="shared" si="154"/>
        <v>0</v>
      </c>
      <c r="AQ680" s="24">
        <f>SUMIFS(инфо!$H$15:$H$28,инфо!$A$15:$A$28,F680)</f>
        <v>0</v>
      </c>
      <c r="AR680" s="35">
        <f t="shared" si="152"/>
        <v>0</v>
      </c>
      <c r="AS680" s="12">
        <f t="shared" si="155"/>
        <v>0</v>
      </c>
      <c r="AT680" s="24">
        <f>SUMIFS(инфо!$I$15:$I$28,инфо!$A$15:$A$28,F680)</f>
        <v>0</v>
      </c>
      <c r="AU680" s="35">
        <f t="shared" si="160"/>
        <v>0</v>
      </c>
      <c r="AV680" s="12">
        <f t="shared" si="156"/>
        <v>0</v>
      </c>
      <c r="AX680" s="68">
        <f>SUMIFS(инфо!$C$15:$C$28,инфо!$A$15:$A$28,F680)*H679</f>
        <v>0</v>
      </c>
    </row>
    <row r="681" spans="1:50" x14ac:dyDescent="0.25">
      <c r="A681" s="70">
        <f t="shared" si="161"/>
        <v>46404</v>
      </c>
      <c r="B681" s="76"/>
      <c r="C681" s="15"/>
      <c r="D681" s="16"/>
      <c r="E681" s="11"/>
      <c r="F681" s="28"/>
      <c r="G681" s="34"/>
      <c r="H681" s="23"/>
      <c r="I681" s="118">
        <f>IFERROR(H681*VLOOKUP(F681,инфо!$A$15:$C$28,3,FALSE)/1000,0)</f>
        <v>0</v>
      </c>
      <c r="J681" s="20"/>
      <c r="K681" s="20"/>
      <c r="L681" s="20"/>
      <c r="M681" s="20"/>
      <c r="N681" s="20"/>
      <c r="O681" s="34"/>
      <c r="P681" s="34"/>
      <c r="Q681" s="34"/>
      <c r="R681" s="34"/>
      <c r="S681" s="68">
        <f t="shared" si="157"/>
        <v>0</v>
      </c>
      <c r="T681" s="15"/>
      <c r="U681" s="16"/>
      <c r="V681" s="34"/>
      <c r="W681" s="81"/>
      <c r="X681" s="34"/>
      <c r="Y681" s="15"/>
      <c r="Z681" s="34"/>
      <c r="AA681" s="34"/>
      <c r="AB681" s="34"/>
      <c r="AC681" s="81"/>
      <c r="AD681" s="16"/>
      <c r="AE681" s="24">
        <f>SUMIFS(инфо!$D$15:$D$28,инфо!$A$15:$A$28,F681)</f>
        <v>0</v>
      </c>
      <c r="AF681" s="35">
        <f t="shared" si="148"/>
        <v>0</v>
      </c>
      <c r="AG681" s="12">
        <f t="shared" si="158"/>
        <v>0</v>
      </c>
      <c r="AH681" s="24">
        <f>SUMIFS(инфо!$E$15:$E$28,инфо!$A$15:$A$28,F681)</f>
        <v>0</v>
      </c>
      <c r="AI681" s="32">
        <f t="shared" si="149"/>
        <v>0</v>
      </c>
      <c r="AJ681" s="12">
        <f t="shared" si="159"/>
        <v>0</v>
      </c>
      <c r="AK681" s="24">
        <f>SUMIFS(инфо!$F$15:$F$28,инфо!$A$15:$A$28,F681)</f>
        <v>0</v>
      </c>
      <c r="AL681" s="32">
        <f t="shared" si="150"/>
        <v>0</v>
      </c>
      <c r="AM681" s="12">
        <f t="shared" si="153"/>
        <v>0</v>
      </c>
      <c r="AN681" s="24">
        <f>SUMIFS(инфо!$G$15:$G$28,инфо!$A$15:$A$28,F681)</f>
        <v>0</v>
      </c>
      <c r="AO681" s="32">
        <f t="shared" si="151"/>
        <v>0</v>
      </c>
      <c r="AP681" s="12">
        <f t="shared" si="154"/>
        <v>0</v>
      </c>
      <c r="AQ681" s="24">
        <f>SUMIFS(инфо!$H$15:$H$28,инфо!$A$15:$A$28,F681)</f>
        <v>0</v>
      </c>
      <c r="AR681" s="35">
        <f t="shared" si="152"/>
        <v>0</v>
      </c>
      <c r="AS681" s="12">
        <f t="shared" si="155"/>
        <v>0</v>
      </c>
      <c r="AT681" s="24">
        <f>SUMIFS(инфо!$I$15:$I$28,инфо!$A$15:$A$28,F681)</f>
        <v>0</v>
      </c>
      <c r="AU681" s="35">
        <f t="shared" si="160"/>
        <v>0</v>
      </c>
      <c r="AV681" s="12">
        <f t="shared" si="156"/>
        <v>0</v>
      </c>
      <c r="AX681" s="68">
        <f>SUMIFS(инфо!$C$15:$C$28,инфо!$A$15:$A$28,F681)*H680</f>
        <v>0</v>
      </c>
    </row>
    <row r="682" spans="1:50" x14ac:dyDescent="0.25">
      <c r="A682" s="70">
        <f t="shared" si="161"/>
        <v>46405</v>
      </c>
      <c r="B682" s="77"/>
      <c r="C682" s="17"/>
      <c r="D682" s="18"/>
      <c r="E682" s="11"/>
      <c r="F682" s="28"/>
      <c r="G682" s="19"/>
      <c r="H682" s="28"/>
      <c r="I682" s="118">
        <f>IFERROR(H682*VLOOKUP(F682,инфо!$A$15:$C$28,3,FALSE)/1000,0)</f>
        <v>0</v>
      </c>
      <c r="J682" s="20"/>
      <c r="K682" s="20"/>
      <c r="L682" s="20"/>
      <c r="M682" s="20"/>
      <c r="N682" s="23"/>
      <c r="O682" s="19"/>
      <c r="P682" s="19"/>
      <c r="Q682" s="19"/>
      <c r="R682" s="19"/>
      <c r="S682" s="69">
        <f t="shared" si="157"/>
        <v>0</v>
      </c>
      <c r="T682" s="17"/>
      <c r="U682" s="18"/>
      <c r="V682" s="19"/>
      <c r="W682" s="81"/>
      <c r="X682" s="19"/>
      <c r="Y682" s="17"/>
      <c r="Z682" s="19"/>
      <c r="AA682" s="19"/>
      <c r="AB682" s="19"/>
      <c r="AC682" s="81"/>
      <c r="AD682" s="18"/>
      <c r="AE682" s="25">
        <f>SUMIFS(инфо!$D$15:$D$28,инфо!$A$15:$A$28,F682)</f>
        <v>0</v>
      </c>
      <c r="AF682" s="35">
        <f t="shared" si="148"/>
        <v>0</v>
      </c>
      <c r="AG682" s="14">
        <f t="shared" si="158"/>
        <v>0</v>
      </c>
      <c r="AH682" s="25">
        <f>SUMIFS(инфо!$E$15:$E$28,инфо!$A$15:$A$28,F682)</f>
        <v>0</v>
      </c>
      <c r="AI682" s="32">
        <f t="shared" si="149"/>
        <v>0</v>
      </c>
      <c r="AJ682" s="14">
        <f t="shared" si="159"/>
        <v>0</v>
      </c>
      <c r="AK682" s="25">
        <f>SUMIFS(инфо!$F$15:$F$28,инфо!$A$15:$A$28,F682)</f>
        <v>0</v>
      </c>
      <c r="AL682" s="32">
        <f t="shared" si="150"/>
        <v>0</v>
      </c>
      <c r="AM682" s="14">
        <f t="shared" si="153"/>
        <v>0</v>
      </c>
      <c r="AN682" s="25">
        <f>SUMIFS(инфо!$G$15:$G$28,инфо!$A$15:$A$28,F682)</f>
        <v>0</v>
      </c>
      <c r="AO682" s="32">
        <f t="shared" si="151"/>
        <v>0</v>
      </c>
      <c r="AP682" s="14">
        <f t="shared" si="154"/>
        <v>0</v>
      </c>
      <c r="AQ682" s="25">
        <f>SUMIFS(инфо!$H$15:$H$28,инфо!$A$15:$A$28,F682)</f>
        <v>0</v>
      </c>
      <c r="AR682" s="26">
        <f t="shared" si="152"/>
        <v>0</v>
      </c>
      <c r="AS682" s="14">
        <f t="shared" si="155"/>
        <v>0</v>
      </c>
      <c r="AT682" s="25">
        <f>SUMIFS(инфо!$I$15:$I$28,инфо!$A$15:$A$28,F682)</f>
        <v>0</v>
      </c>
      <c r="AU682" s="35">
        <f t="shared" si="160"/>
        <v>0</v>
      </c>
      <c r="AV682" s="14">
        <f t="shared" si="156"/>
        <v>0</v>
      </c>
      <c r="AX682" s="69">
        <f>SUMIFS(инфо!$C$15:$C$28,инфо!$A$15:$A$28,F682)*H681</f>
        <v>0</v>
      </c>
    </row>
    <row r="683" spans="1:50" x14ac:dyDescent="0.25">
      <c r="A683" s="70">
        <f t="shared" si="161"/>
        <v>46405</v>
      </c>
      <c r="B683" s="75"/>
      <c r="C683" s="29"/>
      <c r="D683" s="30"/>
      <c r="E683" s="11"/>
      <c r="F683" s="28"/>
      <c r="G683" s="27"/>
      <c r="H683" s="20"/>
      <c r="I683" s="118">
        <f>IFERROR(H683*VLOOKUP(F683,инфо!$A$15:$C$28,3,FALSE)/1000,0)</f>
        <v>0</v>
      </c>
      <c r="J683" s="20"/>
      <c r="K683" s="20"/>
      <c r="L683" s="20"/>
      <c r="M683" s="20"/>
      <c r="N683" s="28"/>
      <c r="O683" s="27"/>
      <c r="P683" s="27"/>
      <c r="Q683" s="27"/>
      <c r="R683" s="27"/>
      <c r="S683" s="67">
        <f t="shared" si="157"/>
        <v>0</v>
      </c>
      <c r="T683" s="29"/>
      <c r="U683" s="30"/>
      <c r="V683" s="27"/>
      <c r="W683" s="81"/>
      <c r="X683" s="27"/>
      <c r="Y683" s="29"/>
      <c r="Z683" s="27"/>
      <c r="AA683" s="27"/>
      <c r="AB683" s="27"/>
      <c r="AC683" s="81"/>
      <c r="AD683" s="30"/>
      <c r="AE683" s="31">
        <f>SUMIFS(инфо!$D$15:$D$28,инфо!$A$15:$A$28,F683)</f>
        <v>0</v>
      </c>
      <c r="AF683" s="35">
        <f t="shared" si="148"/>
        <v>0</v>
      </c>
      <c r="AG683" s="33">
        <f t="shared" si="158"/>
        <v>0</v>
      </c>
      <c r="AH683" s="31">
        <f>SUMIFS(инфо!$E$15:$E$28,инфо!$A$15:$A$28,F683)</f>
        <v>0</v>
      </c>
      <c r="AI683" s="32">
        <f t="shared" si="149"/>
        <v>0</v>
      </c>
      <c r="AJ683" s="33">
        <f t="shared" si="159"/>
        <v>0</v>
      </c>
      <c r="AK683" s="31">
        <f>SUMIFS(инфо!$F$15:$F$28,инфо!$A$15:$A$28,F683)</f>
        <v>0</v>
      </c>
      <c r="AL683" s="32">
        <f t="shared" si="150"/>
        <v>0</v>
      </c>
      <c r="AM683" s="33">
        <f t="shared" si="153"/>
        <v>0</v>
      </c>
      <c r="AN683" s="31">
        <f>SUMIFS(инфо!$G$15:$G$28,инфо!$A$15:$A$28,F683)</f>
        <v>0</v>
      </c>
      <c r="AO683" s="32">
        <f t="shared" si="151"/>
        <v>0</v>
      </c>
      <c r="AP683" s="33">
        <f t="shared" si="154"/>
        <v>0</v>
      </c>
      <c r="AQ683" s="31">
        <f>SUMIFS(инфо!$H$15:$H$28,инфо!$A$15:$A$28,F683)</f>
        <v>0</v>
      </c>
      <c r="AR683" s="32">
        <f t="shared" si="152"/>
        <v>0</v>
      </c>
      <c r="AS683" s="33">
        <f t="shared" si="155"/>
        <v>0</v>
      </c>
      <c r="AT683" s="31">
        <f>SUMIFS(инфо!$I$15:$I$28,инфо!$A$15:$A$28,F683)</f>
        <v>0</v>
      </c>
      <c r="AU683" s="35">
        <f t="shared" si="160"/>
        <v>0</v>
      </c>
      <c r="AV683" s="33">
        <f t="shared" si="156"/>
        <v>0</v>
      </c>
      <c r="AX683" s="67">
        <f>SUMIFS(инфо!$C$15:$C$28,инфо!$A$15:$A$28,F683)*H682</f>
        <v>0</v>
      </c>
    </row>
    <row r="684" spans="1:50" x14ac:dyDescent="0.25">
      <c r="A684" s="70">
        <f t="shared" si="161"/>
        <v>46406</v>
      </c>
      <c r="B684" s="76"/>
      <c r="C684" s="15"/>
      <c r="D684" s="16"/>
      <c r="E684" s="11"/>
      <c r="F684" s="28"/>
      <c r="G684" s="34"/>
      <c r="H684" s="20"/>
      <c r="I684" s="118">
        <f>IFERROR(H684*VLOOKUP(F684,инфо!$A$15:$C$28,3,FALSE)/1000,0)</f>
        <v>0</v>
      </c>
      <c r="J684" s="20"/>
      <c r="K684" s="20"/>
      <c r="L684" s="20"/>
      <c r="M684" s="20"/>
      <c r="N684" s="20"/>
      <c r="O684" s="34"/>
      <c r="P684" s="34"/>
      <c r="Q684" s="34"/>
      <c r="R684" s="34"/>
      <c r="S684" s="68">
        <f t="shared" si="157"/>
        <v>0</v>
      </c>
      <c r="T684" s="15"/>
      <c r="U684" s="16"/>
      <c r="V684" s="34"/>
      <c r="W684" s="81"/>
      <c r="X684" s="34"/>
      <c r="Y684" s="15"/>
      <c r="Z684" s="34"/>
      <c r="AA684" s="34"/>
      <c r="AB684" s="34"/>
      <c r="AC684" s="81"/>
      <c r="AD684" s="16"/>
      <c r="AE684" s="24">
        <f>SUMIFS(инфо!$D$15:$D$28,инфо!$A$15:$A$28,F684)</f>
        <v>0</v>
      </c>
      <c r="AF684" s="35">
        <f t="shared" si="148"/>
        <v>0</v>
      </c>
      <c r="AG684" s="12">
        <f t="shared" si="158"/>
        <v>0</v>
      </c>
      <c r="AH684" s="24">
        <f>SUMIFS(инфо!$E$15:$E$28,инфо!$A$15:$A$28,F684)</f>
        <v>0</v>
      </c>
      <c r="AI684" s="32">
        <f t="shared" si="149"/>
        <v>0</v>
      </c>
      <c r="AJ684" s="12">
        <f t="shared" si="159"/>
        <v>0</v>
      </c>
      <c r="AK684" s="24">
        <f>SUMIFS(инфо!$F$15:$F$28,инфо!$A$15:$A$28,F684)</f>
        <v>0</v>
      </c>
      <c r="AL684" s="32">
        <f t="shared" si="150"/>
        <v>0</v>
      </c>
      <c r="AM684" s="12">
        <f t="shared" si="153"/>
        <v>0</v>
      </c>
      <c r="AN684" s="24">
        <f>SUMIFS(инфо!$G$15:$G$28,инфо!$A$15:$A$28,F684)</f>
        <v>0</v>
      </c>
      <c r="AO684" s="32">
        <f t="shared" si="151"/>
        <v>0</v>
      </c>
      <c r="AP684" s="12">
        <f t="shared" si="154"/>
        <v>0</v>
      </c>
      <c r="AQ684" s="24">
        <f>SUMIFS(инфо!$H$15:$H$28,инфо!$A$15:$A$28,F684)</f>
        <v>0</v>
      </c>
      <c r="AR684" s="35">
        <f t="shared" si="152"/>
        <v>0</v>
      </c>
      <c r="AS684" s="12">
        <f t="shared" si="155"/>
        <v>0</v>
      </c>
      <c r="AT684" s="24">
        <f>SUMIFS(инфо!$I$15:$I$28,инфо!$A$15:$A$28,F684)</f>
        <v>0</v>
      </c>
      <c r="AU684" s="35">
        <f t="shared" si="160"/>
        <v>0</v>
      </c>
      <c r="AV684" s="12">
        <f t="shared" si="156"/>
        <v>0</v>
      </c>
      <c r="AX684" s="68">
        <f>SUMIFS(инфо!$C$15:$C$28,инфо!$A$15:$A$28,F684)*H683</f>
        <v>0</v>
      </c>
    </row>
    <row r="685" spans="1:50" x14ac:dyDescent="0.25">
      <c r="A685" s="70">
        <f t="shared" si="161"/>
        <v>46406</v>
      </c>
      <c r="B685" s="76"/>
      <c r="C685" s="15"/>
      <c r="D685" s="16"/>
      <c r="E685" s="11"/>
      <c r="F685" s="28"/>
      <c r="G685" s="34"/>
      <c r="H685" s="23"/>
      <c r="I685" s="118">
        <f>IFERROR(H685*VLOOKUP(F685,инфо!$A$15:$C$28,3,FALSE)/1000,0)</f>
        <v>0</v>
      </c>
      <c r="J685" s="20"/>
      <c r="K685" s="20"/>
      <c r="L685" s="20"/>
      <c r="M685" s="20"/>
      <c r="N685" s="20"/>
      <c r="O685" s="34"/>
      <c r="P685" s="34"/>
      <c r="Q685" s="34"/>
      <c r="R685" s="34"/>
      <c r="S685" s="68">
        <f t="shared" si="157"/>
        <v>0</v>
      </c>
      <c r="T685" s="15"/>
      <c r="U685" s="16"/>
      <c r="V685" s="34"/>
      <c r="W685" s="81"/>
      <c r="X685" s="34"/>
      <c r="Y685" s="15"/>
      <c r="Z685" s="34"/>
      <c r="AA685" s="34"/>
      <c r="AB685" s="34"/>
      <c r="AC685" s="81"/>
      <c r="AD685" s="16"/>
      <c r="AE685" s="24">
        <f>SUMIFS(инфо!$D$15:$D$28,инфо!$A$15:$A$28,F685)</f>
        <v>0</v>
      </c>
      <c r="AF685" s="35">
        <f t="shared" ref="AF685:AF748" si="162">IF(H685=0,0,N685/H685)</f>
        <v>0</v>
      </c>
      <c r="AG685" s="12">
        <f t="shared" si="158"/>
        <v>0</v>
      </c>
      <c r="AH685" s="24">
        <f>SUMIFS(инфо!$E$15:$E$28,инфо!$A$15:$A$28,F685)</f>
        <v>0</v>
      </c>
      <c r="AI685" s="32">
        <f t="shared" ref="AI685:AI748" si="163">IF(H685=0,0,S685/H685)</f>
        <v>0</v>
      </c>
      <c r="AJ685" s="12">
        <f t="shared" si="159"/>
        <v>0</v>
      </c>
      <c r="AK685" s="24">
        <f>SUMIFS(инфо!$F$15:$F$28,инфо!$A$15:$A$28,F685)</f>
        <v>0</v>
      </c>
      <c r="AL685" s="32">
        <f t="shared" ref="AL685:AL748" si="164">IF(H685=0,0,Y685/H685)</f>
        <v>0</v>
      </c>
      <c r="AM685" s="12">
        <f t="shared" si="153"/>
        <v>0</v>
      </c>
      <c r="AN685" s="24">
        <f>SUMIFS(инфо!$G$15:$G$28,инфо!$A$15:$A$28,F685)</f>
        <v>0</v>
      </c>
      <c r="AO685" s="32">
        <f t="shared" ref="AO685:AO748" si="165">IF(H685=0,0,AA685/H685)</f>
        <v>0</v>
      </c>
      <c r="AP685" s="12">
        <f t="shared" si="154"/>
        <v>0</v>
      </c>
      <c r="AQ685" s="24">
        <f>SUMIFS(инфо!$H$15:$H$28,инфо!$A$15:$A$28,F685)</f>
        <v>0</v>
      </c>
      <c r="AR685" s="35">
        <f t="shared" si="152"/>
        <v>0</v>
      </c>
      <c r="AS685" s="12">
        <f t="shared" si="155"/>
        <v>0</v>
      </c>
      <c r="AT685" s="24">
        <f>SUMIFS(инфо!$I$15:$I$28,инфо!$A$15:$A$28,F685)</f>
        <v>0</v>
      </c>
      <c r="AU685" s="35">
        <f t="shared" si="160"/>
        <v>0</v>
      </c>
      <c r="AV685" s="12">
        <f t="shared" si="156"/>
        <v>0</v>
      </c>
      <c r="AX685" s="68">
        <f>SUMIFS(инфо!$C$15:$C$28,инфо!$A$15:$A$28,F685)*H684</f>
        <v>0</v>
      </c>
    </row>
    <row r="686" spans="1:50" x14ac:dyDescent="0.25">
      <c r="A686" s="70">
        <f t="shared" si="161"/>
        <v>46407</v>
      </c>
      <c r="B686" s="77"/>
      <c r="C686" s="17"/>
      <c r="D686" s="18"/>
      <c r="E686" s="11"/>
      <c r="F686" s="28"/>
      <c r="G686" s="19"/>
      <c r="H686" s="28"/>
      <c r="I686" s="118">
        <f>IFERROR(H686*VLOOKUP(F686,инфо!$A$15:$C$28,3,FALSE)/1000,0)</f>
        <v>0</v>
      </c>
      <c r="J686" s="20"/>
      <c r="K686" s="20"/>
      <c r="L686" s="20"/>
      <c r="M686" s="20"/>
      <c r="N686" s="23"/>
      <c r="O686" s="19"/>
      <c r="P686" s="19"/>
      <c r="Q686" s="19"/>
      <c r="R686" s="19"/>
      <c r="S686" s="69">
        <f t="shared" si="157"/>
        <v>0</v>
      </c>
      <c r="T686" s="17"/>
      <c r="U686" s="18"/>
      <c r="V686" s="19"/>
      <c r="W686" s="81"/>
      <c r="X686" s="19"/>
      <c r="Y686" s="17"/>
      <c r="Z686" s="19"/>
      <c r="AA686" s="19"/>
      <c r="AB686" s="19"/>
      <c r="AC686" s="81"/>
      <c r="AD686" s="18"/>
      <c r="AE686" s="25">
        <f>SUMIFS(инфо!$D$15:$D$28,инфо!$A$15:$A$28,F686)</f>
        <v>0</v>
      </c>
      <c r="AF686" s="35">
        <f t="shared" si="162"/>
        <v>0</v>
      </c>
      <c r="AG686" s="14">
        <f t="shared" si="158"/>
        <v>0</v>
      </c>
      <c r="AH686" s="25">
        <f>SUMIFS(инфо!$E$15:$E$28,инфо!$A$15:$A$28,F686)</f>
        <v>0</v>
      </c>
      <c r="AI686" s="32">
        <f t="shared" si="163"/>
        <v>0</v>
      </c>
      <c r="AJ686" s="14">
        <f t="shared" si="159"/>
        <v>0</v>
      </c>
      <c r="AK686" s="25">
        <f>SUMIFS(инфо!$F$15:$F$28,инфо!$A$15:$A$28,F686)</f>
        <v>0</v>
      </c>
      <c r="AL686" s="32">
        <f t="shared" si="164"/>
        <v>0</v>
      </c>
      <c r="AM686" s="14">
        <f t="shared" si="153"/>
        <v>0</v>
      </c>
      <c r="AN686" s="25">
        <f>SUMIFS(инфо!$G$15:$G$28,инфо!$A$15:$A$28,F686)</f>
        <v>0</v>
      </c>
      <c r="AO686" s="32">
        <f t="shared" si="165"/>
        <v>0</v>
      </c>
      <c r="AP686" s="14">
        <f t="shared" si="154"/>
        <v>0</v>
      </c>
      <c r="AQ686" s="25">
        <f>SUMIFS(инфо!$H$15:$H$28,инфо!$A$15:$A$28,F686)</f>
        <v>0</v>
      </c>
      <c r="AR686" s="26">
        <f t="shared" ref="AR686:AR749" si="166">IF(H685=0,0,AC686/H685)</f>
        <v>0</v>
      </c>
      <c r="AS686" s="14">
        <f t="shared" si="155"/>
        <v>0</v>
      </c>
      <c r="AT686" s="25">
        <f>SUMIFS(инфо!$I$15:$I$28,инфо!$A$15:$A$28,F686)</f>
        <v>0</v>
      </c>
      <c r="AU686" s="35">
        <f t="shared" si="160"/>
        <v>0</v>
      </c>
      <c r="AV686" s="14">
        <f t="shared" si="156"/>
        <v>0</v>
      </c>
      <c r="AX686" s="69">
        <f>SUMIFS(инфо!$C$15:$C$28,инфо!$A$15:$A$28,F686)*H685</f>
        <v>0</v>
      </c>
    </row>
    <row r="687" spans="1:50" x14ac:dyDescent="0.25">
      <c r="A687" s="70">
        <f t="shared" si="161"/>
        <v>46407</v>
      </c>
      <c r="B687" s="75"/>
      <c r="C687" s="29"/>
      <c r="D687" s="30"/>
      <c r="E687" s="11"/>
      <c r="F687" s="28"/>
      <c r="G687" s="27"/>
      <c r="H687" s="20"/>
      <c r="I687" s="118">
        <f>IFERROR(H687*VLOOKUP(F687,инфо!$A$15:$C$28,3,FALSE)/1000,0)</f>
        <v>0</v>
      </c>
      <c r="J687" s="20"/>
      <c r="K687" s="20"/>
      <c r="L687" s="20"/>
      <c r="M687" s="20"/>
      <c r="N687" s="28"/>
      <c r="O687" s="27"/>
      <c r="P687" s="27"/>
      <c r="Q687" s="27"/>
      <c r="R687" s="27"/>
      <c r="S687" s="67">
        <f t="shared" si="157"/>
        <v>0</v>
      </c>
      <c r="T687" s="29"/>
      <c r="U687" s="30"/>
      <c r="V687" s="27"/>
      <c r="W687" s="81"/>
      <c r="X687" s="27"/>
      <c r="Y687" s="29"/>
      <c r="Z687" s="27"/>
      <c r="AA687" s="27"/>
      <c r="AB687" s="27"/>
      <c r="AC687" s="81"/>
      <c r="AD687" s="30"/>
      <c r="AE687" s="31">
        <f>SUMIFS(инфо!$D$15:$D$28,инфо!$A$15:$A$28,F687)</f>
        <v>0</v>
      </c>
      <c r="AF687" s="35">
        <f t="shared" si="162"/>
        <v>0</v>
      </c>
      <c r="AG687" s="33">
        <f t="shared" si="158"/>
        <v>0</v>
      </c>
      <c r="AH687" s="31">
        <f>SUMIFS(инфо!$E$15:$E$28,инфо!$A$15:$A$28,F687)</f>
        <v>0</v>
      </c>
      <c r="AI687" s="32">
        <f t="shared" si="163"/>
        <v>0</v>
      </c>
      <c r="AJ687" s="33">
        <f t="shared" si="159"/>
        <v>0</v>
      </c>
      <c r="AK687" s="31">
        <f>SUMIFS(инфо!$F$15:$F$28,инфо!$A$15:$A$28,F687)</f>
        <v>0</v>
      </c>
      <c r="AL687" s="32">
        <f t="shared" si="164"/>
        <v>0</v>
      </c>
      <c r="AM687" s="33">
        <f t="shared" ref="AM687:AM750" si="167">AL687-AK687</f>
        <v>0</v>
      </c>
      <c r="AN687" s="31">
        <f>SUMIFS(инфо!$G$15:$G$28,инфо!$A$15:$A$28,F687)</f>
        <v>0</v>
      </c>
      <c r="AO687" s="32">
        <f t="shared" si="165"/>
        <v>0</v>
      </c>
      <c r="AP687" s="33">
        <f t="shared" ref="AP687:AP750" si="168">AO687-AN687</f>
        <v>0</v>
      </c>
      <c r="AQ687" s="31">
        <f>SUMIFS(инфо!$H$15:$H$28,инфо!$A$15:$A$28,F687)</f>
        <v>0</v>
      </c>
      <c r="AR687" s="32">
        <f t="shared" si="166"/>
        <v>0</v>
      </c>
      <c r="AS687" s="33">
        <f t="shared" ref="AS687:AS750" si="169">AR687-AQ687</f>
        <v>0</v>
      </c>
      <c r="AT687" s="31">
        <f>SUMIFS(инфо!$I$15:$I$28,инфо!$A$15:$A$28,F687)</f>
        <v>0</v>
      </c>
      <c r="AU687" s="35">
        <f t="shared" si="160"/>
        <v>0</v>
      </c>
      <c r="AV687" s="33">
        <f t="shared" ref="AV687:AV750" si="170">AU687-AT687</f>
        <v>0</v>
      </c>
      <c r="AX687" s="67">
        <f>SUMIFS(инфо!$C$15:$C$28,инфо!$A$15:$A$28,F687)*H686</f>
        <v>0</v>
      </c>
    </row>
    <row r="688" spans="1:50" x14ac:dyDescent="0.25">
      <c r="A688" s="70">
        <f t="shared" si="161"/>
        <v>46408</v>
      </c>
      <c r="B688" s="76"/>
      <c r="C688" s="15"/>
      <c r="D688" s="16"/>
      <c r="E688" s="11"/>
      <c r="F688" s="28"/>
      <c r="G688" s="34"/>
      <c r="H688" s="20"/>
      <c r="I688" s="118">
        <f>IFERROR(H688*VLOOKUP(F688,инфо!$A$15:$C$28,3,FALSE)/1000,0)</f>
        <v>0</v>
      </c>
      <c r="J688" s="20"/>
      <c r="K688" s="20"/>
      <c r="L688" s="20"/>
      <c r="M688" s="20"/>
      <c r="N688" s="20"/>
      <c r="O688" s="34"/>
      <c r="P688" s="34"/>
      <c r="Q688" s="34"/>
      <c r="R688" s="34"/>
      <c r="S688" s="68">
        <f t="shared" ref="S688:S751" si="171">SUM(O688:R688)</f>
        <v>0</v>
      </c>
      <c r="T688" s="15"/>
      <c r="U688" s="16"/>
      <c r="V688" s="34"/>
      <c r="W688" s="81"/>
      <c r="X688" s="34"/>
      <c r="Y688" s="15"/>
      <c r="Z688" s="34"/>
      <c r="AA688" s="34"/>
      <c r="AB688" s="34"/>
      <c r="AC688" s="81"/>
      <c r="AD688" s="16"/>
      <c r="AE688" s="24">
        <f>SUMIFS(инфо!$D$15:$D$28,инфо!$A$15:$A$28,F688)</f>
        <v>0</v>
      </c>
      <c r="AF688" s="35">
        <f t="shared" si="162"/>
        <v>0</v>
      </c>
      <c r="AG688" s="12">
        <f t="shared" si="158"/>
        <v>0</v>
      </c>
      <c r="AH688" s="24">
        <f>SUMIFS(инфо!$E$15:$E$28,инфо!$A$15:$A$28,F688)</f>
        <v>0</v>
      </c>
      <c r="AI688" s="32">
        <f t="shared" si="163"/>
        <v>0</v>
      </c>
      <c r="AJ688" s="12">
        <f t="shared" si="159"/>
        <v>0</v>
      </c>
      <c r="AK688" s="24">
        <f>SUMIFS(инфо!$F$15:$F$28,инфо!$A$15:$A$28,F688)</f>
        <v>0</v>
      </c>
      <c r="AL688" s="32">
        <f t="shared" si="164"/>
        <v>0</v>
      </c>
      <c r="AM688" s="12">
        <f t="shared" si="167"/>
        <v>0</v>
      </c>
      <c r="AN688" s="24">
        <f>SUMIFS(инфо!$G$15:$G$28,инфо!$A$15:$A$28,F688)</f>
        <v>0</v>
      </c>
      <c r="AO688" s="32">
        <f t="shared" si="165"/>
        <v>0</v>
      </c>
      <c r="AP688" s="12">
        <f t="shared" si="168"/>
        <v>0</v>
      </c>
      <c r="AQ688" s="24">
        <f>SUMIFS(инфо!$H$15:$H$28,инфо!$A$15:$A$28,F688)</f>
        <v>0</v>
      </c>
      <c r="AR688" s="35">
        <f t="shared" si="166"/>
        <v>0</v>
      </c>
      <c r="AS688" s="12">
        <f t="shared" si="169"/>
        <v>0</v>
      </c>
      <c r="AT688" s="24">
        <f>SUMIFS(инфо!$I$15:$I$28,инфо!$A$15:$A$28,F688)</f>
        <v>0</v>
      </c>
      <c r="AU688" s="35">
        <f t="shared" si="160"/>
        <v>0</v>
      </c>
      <c r="AV688" s="12">
        <f t="shared" si="170"/>
        <v>0</v>
      </c>
      <c r="AX688" s="68">
        <f>SUMIFS(инфо!$C$15:$C$28,инфо!$A$15:$A$28,F688)*H687</f>
        <v>0</v>
      </c>
    </row>
    <row r="689" spans="1:50" x14ac:dyDescent="0.25">
      <c r="A689" s="70">
        <f t="shared" si="161"/>
        <v>46408</v>
      </c>
      <c r="B689" s="76"/>
      <c r="C689" s="15"/>
      <c r="D689" s="16"/>
      <c r="E689" s="11"/>
      <c r="F689" s="28"/>
      <c r="G689" s="34"/>
      <c r="H689" s="23"/>
      <c r="I689" s="118">
        <f>IFERROR(H689*VLOOKUP(F689,инфо!$A$15:$C$28,3,FALSE)/1000,0)</f>
        <v>0</v>
      </c>
      <c r="J689" s="20"/>
      <c r="K689" s="20"/>
      <c r="L689" s="20"/>
      <c r="M689" s="20"/>
      <c r="N689" s="20"/>
      <c r="O689" s="34"/>
      <c r="P689" s="34"/>
      <c r="Q689" s="34"/>
      <c r="R689" s="34"/>
      <c r="S689" s="68">
        <f t="shared" si="171"/>
        <v>0</v>
      </c>
      <c r="T689" s="15"/>
      <c r="U689" s="16"/>
      <c r="V689" s="34"/>
      <c r="W689" s="81"/>
      <c r="X689" s="34"/>
      <c r="Y689" s="15"/>
      <c r="Z689" s="34"/>
      <c r="AA689" s="34"/>
      <c r="AB689" s="34"/>
      <c r="AC689" s="81"/>
      <c r="AD689" s="16"/>
      <c r="AE689" s="24">
        <f>SUMIFS(инфо!$D$15:$D$28,инфо!$A$15:$A$28,F689)</f>
        <v>0</v>
      </c>
      <c r="AF689" s="35">
        <f t="shared" si="162"/>
        <v>0</v>
      </c>
      <c r="AG689" s="12">
        <f t="shared" si="158"/>
        <v>0</v>
      </c>
      <c r="AH689" s="24">
        <f>SUMIFS(инфо!$E$15:$E$28,инфо!$A$15:$A$28,F689)</f>
        <v>0</v>
      </c>
      <c r="AI689" s="32">
        <f t="shared" si="163"/>
        <v>0</v>
      </c>
      <c r="AJ689" s="12">
        <f t="shared" si="159"/>
        <v>0</v>
      </c>
      <c r="AK689" s="24">
        <f>SUMIFS(инфо!$F$15:$F$28,инфо!$A$15:$A$28,F689)</f>
        <v>0</v>
      </c>
      <c r="AL689" s="32">
        <f t="shared" si="164"/>
        <v>0</v>
      </c>
      <c r="AM689" s="12">
        <f t="shared" si="167"/>
        <v>0</v>
      </c>
      <c r="AN689" s="24">
        <f>SUMIFS(инфо!$G$15:$G$28,инфо!$A$15:$A$28,F689)</f>
        <v>0</v>
      </c>
      <c r="AO689" s="32">
        <f t="shared" si="165"/>
        <v>0</v>
      </c>
      <c r="AP689" s="12">
        <f t="shared" si="168"/>
        <v>0</v>
      </c>
      <c r="AQ689" s="24">
        <f>SUMIFS(инфо!$H$15:$H$28,инфо!$A$15:$A$28,F689)</f>
        <v>0</v>
      </c>
      <c r="AR689" s="35">
        <f t="shared" si="166"/>
        <v>0</v>
      </c>
      <c r="AS689" s="12">
        <f t="shared" si="169"/>
        <v>0</v>
      </c>
      <c r="AT689" s="24">
        <f>SUMIFS(инфо!$I$15:$I$28,инфо!$A$15:$A$28,F689)</f>
        <v>0</v>
      </c>
      <c r="AU689" s="35">
        <f t="shared" si="160"/>
        <v>0</v>
      </c>
      <c r="AV689" s="12">
        <f t="shared" si="170"/>
        <v>0</v>
      </c>
      <c r="AX689" s="68">
        <f>SUMIFS(инфо!$C$15:$C$28,инфо!$A$15:$A$28,F689)*H688</f>
        <v>0</v>
      </c>
    </row>
    <row r="690" spans="1:50" x14ac:dyDescent="0.25">
      <c r="A690" s="70">
        <f t="shared" si="161"/>
        <v>46409</v>
      </c>
      <c r="B690" s="77"/>
      <c r="C690" s="17"/>
      <c r="D690" s="18"/>
      <c r="E690" s="11"/>
      <c r="F690" s="28"/>
      <c r="G690" s="19"/>
      <c r="H690" s="28"/>
      <c r="I690" s="118">
        <f>IFERROR(H690*VLOOKUP(F690,инфо!$A$15:$C$28,3,FALSE)/1000,0)</f>
        <v>0</v>
      </c>
      <c r="J690" s="20"/>
      <c r="K690" s="20"/>
      <c r="L690" s="20"/>
      <c r="M690" s="20"/>
      <c r="N690" s="23"/>
      <c r="O690" s="19"/>
      <c r="P690" s="19"/>
      <c r="Q690" s="19"/>
      <c r="R690" s="19"/>
      <c r="S690" s="69">
        <f t="shared" si="171"/>
        <v>0</v>
      </c>
      <c r="T690" s="17"/>
      <c r="U690" s="18"/>
      <c r="V690" s="19"/>
      <c r="W690" s="81"/>
      <c r="X690" s="19"/>
      <c r="Y690" s="17"/>
      <c r="Z690" s="19"/>
      <c r="AA690" s="19"/>
      <c r="AB690" s="19"/>
      <c r="AC690" s="81"/>
      <c r="AD690" s="18"/>
      <c r="AE690" s="25">
        <f>SUMIFS(инфо!$D$15:$D$28,инфо!$A$15:$A$28,F690)</f>
        <v>0</v>
      </c>
      <c r="AF690" s="35">
        <f t="shared" si="162"/>
        <v>0</v>
      </c>
      <c r="AG690" s="14">
        <f t="shared" si="158"/>
        <v>0</v>
      </c>
      <c r="AH690" s="25">
        <f>SUMIFS(инфо!$E$15:$E$28,инфо!$A$15:$A$28,F690)</f>
        <v>0</v>
      </c>
      <c r="AI690" s="32">
        <f t="shared" si="163"/>
        <v>0</v>
      </c>
      <c r="AJ690" s="14">
        <f t="shared" si="159"/>
        <v>0</v>
      </c>
      <c r="AK690" s="25">
        <f>SUMIFS(инфо!$F$15:$F$28,инфо!$A$15:$A$28,F690)</f>
        <v>0</v>
      </c>
      <c r="AL690" s="32">
        <f t="shared" si="164"/>
        <v>0</v>
      </c>
      <c r="AM690" s="14">
        <f t="shared" si="167"/>
        <v>0</v>
      </c>
      <c r="AN690" s="25">
        <f>SUMIFS(инфо!$G$15:$G$28,инфо!$A$15:$A$28,F690)</f>
        <v>0</v>
      </c>
      <c r="AO690" s="32">
        <f t="shared" si="165"/>
        <v>0</v>
      </c>
      <c r="AP690" s="14">
        <f t="shared" si="168"/>
        <v>0</v>
      </c>
      <c r="AQ690" s="25">
        <f>SUMIFS(инфо!$H$15:$H$28,инфо!$A$15:$A$28,F690)</f>
        <v>0</v>
      </c>
      <c r="AR690" s="26">
        <f t="shared" si="166"/>
        <v>0</v>
      </c>
      <c r="AS690" s="14">
        <f t="shared" si="169"/>
        <v>0</v>
      </c>
      <c r="AT690" s="25">
        <f>SUMIFS(инфо!$I$15:$I$28,инфо!$A$15:$A$28,F690)</f>
        <v>0</v>
      </c>
      <c r="AU690" s="35">
        <f t="shared" si="160"/>
        <v>0</v>
      </c>
      <c r="AV690" s="14">
        <f t="shared" si="170"/>
        <v>0</v>
      </c>
      <c r="AX690" s="69">
        <f>SUMIFS(инфо!$C$15:$C$28,инфо!$A$15:$A$28,F690)*H689</f>
        <v>0</v>
      </c>
    </row>
    <row r="691" spans="1:50" x14ac:dyDescent="0.25">
      <c r="A691" s="70">
        <f t="shared" si="161"/>
        <v>46409</v>
      </c>
      <c r="B691" s="75"/>
      <c r="C691" s="29"/>
      <c r="D691" s="30"/>
      <c r="E691" s="11"/>
      <c r="F691" s="28"/>
      <c r="G691" s="27"/>
      <c r="H691" s="20"/>
      <c r="I691" s="118">
        <f>IFERROR(H691*VLOOKUP(F691,инфо!$A$15:$C$28,3,FALSE)/1000,0)</f>
        <v>0</v>
      </c>
      <c r="J691" s="20"/>
      <c r="K691" s="20"/>
      <c r="L691" s="20"/>
      <c r="M691" s="20"/>
      <c r="N691" s="28"/>
      <c r="O691" s="27"/>
      <c r="P691" s="27"/>
      <c r="Q691" s="27"/>
      <c r="R691" s="27"/>
      <c r="S691" s="67">
        <f t="shared" si="171"/>
        <v>0</v>
      </c>
      <c r="T691" s="29"/>
      <c r="U691" s="30"/>
      <c r="V691" s="27"/>
      <c r="W691" s="81"/>
      <c r="X691" s="27"/>
      <c r="Y691" s="29"/>
      <c r="Z691" s="27"/>
      <c r="AA691" s="27"/>
      <c r="AB691" s="27"/>
      <c r="AC691" s="81"/>
      <c r="AD691" s="30"/>
      <c r="AE691" s="31">
        <f>SUMIFS(инфо!$D$15:$D$28,инфо!$A$15:$A$28,F691)</f>
        <v>0</v>
      </c>
      <c r="AF691" s="35">
        <f t="shared" si="162"/>
        <v>0</v>
      </c>
      <c r="AG691" s="33">
        <f t="shared" si="158"/>
        <v>0</v>
      </c>
      <c r="AH691" s="31">
        <f>SUMIFS(инфо!$E$15:$E$28,инфо!$A$15:$A$28,F691)</f>
        <v>0</v>
      </c>
      <c r="AI691" s="32">
        <f t="shared" si="163"/>
        <v>0</v>
      </c>
      <c r="AJ691" s="33">
        <f t="shared" si="159"/>
        <v>0</v>
      </c>
      <c r="AK691" s="31">
        <f>SUMIFS(инфо!$F$15:$F$28,инфо!$A$15:$A$28,F691)</f>
        <v>0</v>
      </c>
      <c r="AL691" s="32">
        <f t="shared" si="164"/>
        <v>0</v>
      </c>
      <c r="AM691" s="33">
        <f t="shared" si="167"/>
        <v>0</v>
      </c>
      <c r="AN691" s="31">
        <f>SUMIFS(инфо!$G$15:$G$28,инфо!$A$15:$A$28,F691)</f>
        <v>0</v>
      </c>
      <c r="AO691" s="32">
        <f t="shared" si="165"/>
        <v>0</v>
      </c>
      <c r="AP691" s="33">
        <f t="shared" si="168"/>
        <v>0</v>
      </c>
      <c r="AQ691" s="31">
        <f>SUMIFS(инфо!$H$15:$H$28,инфо!$A$15:$A$28,F691)</f>
        <v>0</v>
      </c>
      <c r="AR691" s="32">
        <f t="shared" si="166"/>
        <v>0</v>
      </c>
      <c r="AS691" s="33">
        <f t="shared" si="169"/>
        <v>0</v>
      </c>
      <c r="AT691" s="31">
        <f>SUMIFS(инфо!$I$15:$I$28,инфо!$A$15:$A$28,F691)</f>
        <v>0</v>
      </c>
      <c r="AU691" s="35">
        <f t="shared" si="160"/>
        <v>0</v>
      </c>
      <c r="AV691" s="33">
        <f t="shared" si="170"/>
        <v>0</v>
      </c>
      <c r="AX691" s="67">
        <f>SUMIFS(инфо!$C$15:$C$28,инфо!$A$15:$A$28,F691)*H690</f>
        <v>0</v>
      </c>
    </row>
    <row r="692" spans="1:50" x14ac:dyDescent="0.25">
      <c r="A692" s="70">
        <f t="shared" si="161"/>
        <v>46410</v>
      </c>
      <c r="B692" s="76"/>
      <c r="C692" s="15"/>
      <c r="D692" s="16"/>
      <c r="E692" s="11"/>
      <c r="F692" s="28"/>
      <c r="G692" s="34"/>
      <c r="H692" s="20"/>
      <c r="I692" s="118">
        <f>IFERROR(H692*VLOOKUP(F692,инфо!$A$15:$C$28,3,FALSE)/1000,0)</f>
        <v>0</v>
      </c>
      <c r="J692" s="20"/>
      <c r="K692" s="20"/>
      <c r="L692" s="20"/>
      <c r="M692" s="20"/>
      <c r="N692" s="20"/>
      <c r="O692" s="34"/>
      <c r="P692" s="34"/>
      <c r="Q692" s="34"/>
      <c r="R692" s="34"/>
      <c r="S692" s="68">
        <f t="shared" si="171"/>
        <v>0</v>
      </c>
      <c r="T692" s="15"/>
      <c r="U692" s="16"/>
      <c r="V692" s="34"/>
      <c r="W692" s="81"/>
      <c r="X692" s="34"/>
      <c r="Y692" s="15"/>
      <c r="Z692" s="34"/>
      <c r="AA692" s="34"/>
      <c r="AB692" s="34"/>
      <c r="AC692" s="81"/>
      <c r="AD692" s="16"/>
      <c r="AE692" s="24">
        <f>SUMIFS(инфо!$D$15:$D$28,инфо!$A$15:$A$28,F692)</f>
        <v>0</v>
      </c>
      <c r="AF692" s="35">
        <f t="shared" si="162"/>
        <v>0</v>
      </c>
      <c r="AG692" s="12">
        <f t="shared" si="158"/>
        <v>0</v>
      </c>
      <c r="AH692" s="24">
        <f>SUMIFS(инфо!$E$15:$E$28,инфо!$A$15:$A$28,F692)</f>
        <v>0</v>
      </c>
      <c r="AI692" s="32">
        <f t="shared" si="163"/>
        <v>0</v>
      </c>
      <c r="AJ692" s="12">
        <f t="shared" si="159"/>
        <v>0</v>
      </c>
      <c r="AK692" s="24">
        <f>SUMIFS(инфо!$F$15:$F$28,инфо!$A$15:$A$28,F692)</f>
        <v>0</v>
      </c>
      <c r="AL692" s="32">
        <f t="shared" si="164"/>
        <v>0</v>
      </c>
      <c r="AM692" s="12">
        <f t="shared" si="167"/>
        <v>0</v>
      </c>
      <c r="AN692" s="24">
        <f>SUMIFS(инфо!$G$15:$G$28,инфо!$A$15:$A$28,F692)</f>
        <v>0</v>
      </c>
      <c r="AO692" s="32">
        <f t="shared" si="165"/>
        <v>0</v>
      </c>
      <c r="AP692" s="12">
        <f t="shared" si="168"/>
        <v>0</v>
      </c>
      <c r="AQ692" s="24">
        <f>SUMIFS(инфо!$H$15:$H$28,инфо!$A$15:$A$28,F692)</f>
        <v>0</v>
      </c>
      <c r="AR692" s="35">
        <f t="shared" si="166"/>
        <v>0</v>
      </c>
      <c r="AS692" s="12">
        <f t="shared" si="169"/>
        <v>0</v>
      </c>
      <c r="AT692" s="24">
        <f>SUMIFS(инфо!$I$15:$I$28,инфо!$A$15:$A$28,F692)</f>
        <v>0</v>
      </c>
      <c r="AU692" s="35">
        <f t="shared" si="160"/>
        <v>0</v>
      </c>
      <c r="AV692" s="12">
        <f t="shared" si="170"/>
        <v>0</v>
      </c>
      <c r="AX692" s="68">
        <f>SUMIFS(инфо!$C$15:$C$28,инфо!$A$15:$A$28,F692)*H691</f>
        <v>0</v>
      </c>
    </row>
    <row r="693" spans="1:50" x14ac:dyDescent="0.25">
      <c r="A693" s="70">
        <f t="shared" si="161"/>
        <v>46410</v>
      </c>
      <c r="B693" s="76"/>
      <c r="C693" s="15"/>
      <c r="D693" s="16"/>
      <c r="E693" s="11"/>
      <c r="F693" s="28"/>
      <c r="G693" s="34"/>
      <c r="H693" s="23"/>
      <c r="I693" s="118">
        <f>IFERROR(H693*VLOOKUP(F693,инфо!$A$15:$C$28,3,FALSE)/1000,0)</f>
        <v>0</v>
      </c>
      <c r="J693" s="20"/>
      <c r="K693" s="20"/>
      <c r="L693" s="20"/>
      <c r="M693" s="20"/>
      <c r="N693" s="20"/>
      <c r="O693" s="34"/>
      <c r="P693" s="34"/>
      <c r="Q693" s="34"/>
      <c r="R693" s="34"/>
      <c r="S693" s="68">
        <f t="shared" si="171"/>
        <v>0</v>
      </c>
      <c r="T693" s="15"/>
      <c r="U693" s="16"/>
      <c r="V693" s="34"/>
      <c r="W693" s="81"/>
      <c r="X693" s="34"/>
      <c r="Y693" s="15"/>
      <c r="Z693" s="34"/>
      <c r="AA693" s="34"/>
      <c r="AB693" s="34"/>
      <c r="AC693" s="81"/>
      <c r="AD693" s="16"/>
      <c r="AE693" s="24">
        <f>SUMIFS(инфо!$D$15:$D$28,инфо!$A$15:$A$28,F693)</f>
        <v>0</v>
      </c>
      <c r="AF693" s="35">
        <f t="shared" si="162"/>
        <v>0</v>
      </c>
      <c r="AG693" s="12">
        <f t="shared" si="158"/>
        <v>0</v>
      </c>
      <c r="AH693" s="24">
        <f>SUMIFS(инфо!$E$15:$E$28,инфо!$A$15:$A$28,F693)</f>
        <v>0</v>
      </c>
      <c r="AI693" s="32">
        <f t="shared" si="163"/>
        <v>0</v>
      </c>
      <c r="AJ693" s="12">
        <f t="shared" si="159"/>
        <v>0</v>
      </c>
      <c r="AK693" s="24">
        <f>SUMIFS(инфо!$F$15:$F$28,инфо!$A$15:$A$28,F693)</f>
        <v>0</v>
      </c>
      <c r="AL693" s="32">
        <f t="shared" si="164"/>
        <v>0</v>
      </c>
      <c r="AM693" s="12">
        <f t="shared" si="167"/>
        <v>0</v>
      </c>
      <c r="AN693" s="24">
        <f>SUMIFS(инфо!$G$15:$G$28,инфо!$A$15:$A$28,F693)</f>
        <v>0</v>
      </c>
      <c r="AO693" s="32">
        <f t="shared" si="165"/>
        <v>0</v>
      </c>
      <c r="AP693" s="12">
        <f t="shared" si="168"/>
        <v>0</v>
      </c>
      <c r="AQ693" s="24">
        <f>SUMIFS(инфо!$H$15:$H$28,инфо!$A$15:$A$28,F693)</f>
        <v>0</v>
      </c>
      <c r="AR693" s="35">
        <f t="shared" si="166"/>
        <v>0</v>
      </c>
      <c r="AS693" s="12">
        <f t="shared" si="169"/>
        <v>0</v>
      </c>
      <c r="AT693" s="24">
        <f>SUMIFS(инфо!$I$15:$I$28,инфо!$A$15:$A$28,F693)</f>
        <v>0</v>
      </c>
      <c r="AU693" s="35">
        <f t="shared" si="160"/>
        <v>0</v>
      </c>
      <c r="AV693" s="12">
        <f t="shared" si="170"/>
        <v>0</v>
      </c>
      <c r="AX693" s="68">
        <f>SUMIFS(инфо!$C$15:$C$28,инфо!$A$15:$A$28,F693)*H692</f>
        <v>0</v>
      </c>
    </row>
    <row r="694" spans="1:50" x14ac:dyDescent="0.25">
      <c r="A694" s="70">
        <f t="shared" si="161"/>
        <v>46411</v>
      </c>
      <c r="B694" s="77"/>
      <c r="C694" s="17"/>
      <c r="D694" s="18"/>
      <c r="E694" s="11"/>
      <c r="F694" s="28"/>
      <c r="G694" s="19"/>
      <c r="H694" s="28"/>
      <c r="I694" s="118">
        <f>IFERROR(H694*VLOOKUP(F694,инфо!$A$15:$C$28,3,FALSE)/1000,0)</f>
        <v>0</v>
      </c>
      <c r="J694" s="20"/>
      <c r="K694" s="20"/>
      <c r="L694" s="20"/>
      <c r="M694" s="20"/>
      <c r="N694" s="23"/>
      <c r="O694" s="19"/>
      <c r="P694" s="19"/>
      <c r="Q694" s="19"/>
      <c r="R694" s="19"/>
      <c r="S694" s="69">
        <f t="shared" si="171"/>
        <v>0</v>
      </c>
      <c r="T694" s="17"/>
      <c r="U694" s="18"/>
      <c r="V694" s="19"/>
      <c r="W694" s="81"/>
      <c r="X694" s="19"/>
      <c r="Y694" s="17"/>
      <c r="Z694" s="19"/>
      <c r="AA694" s="19"/>
      <c r="AB694" s="19"/>
      <c r="AC694" s="81"/>
      <c r="AD694" s="18"/>
      <c r="AE694" s="25">
        <f>SUMIFS(инфо!$D$15:$D$28,инфо!$A$15:$A$28,F694)</f>
        <v>0</v>
      </c>
      <c r="AF694" s="35">
        <f t="shared" si="162"/>
        <v>0</v>
      </c>
      <c r="AG694" s="14">
        <f t="shared" si="158"/>
        <v>0</v>
      </c>
      <c r="AH694" s="25">
        <f>SUMIFS(инфо!$E$15:$E$28,инфо!$A$15:$A$28,F694)</f>
        <v>0</v>
      </c>
      <c r="AI694" s="32">
        <f t="shared" si="163"/>
        <v>0</v>
      </c>
      <c r="AJ694" s="14">
        <f t="shared" si="159"/>
        <v>0</v>
      </c>
      <c r="AK694" s="25">
        <f>SUMIFS(инфо!$F$15:$F$28,инфо!$A$15:$A$28,F694)</f>
        <v>0</v>
      </c>
      <c r="AL694" s="32">
        <f t="shared" si="164"/>
        <v>0</v>
      </c>
      <c r="AM694" s="14">
        <f t="shared" si="167"/>
        <v>0</v>
      </c>
      <c r="AN694" s="25">
        <f>SUMIFS(инфо!$G$15:$G$28,инфо!$A$15:$A$28,F694)</f>
        <v>0</v>
      </c>
      <c r="AO694" s="32">
        <f t="shared" si="165"/>
        <v>0</v>
      </c>
      <c r="AP694" s="14">
        <f t="shared" si="168"/>
        <v>0</v>
      </c>
      <c r="AQ694" s="25">
        <f>SUMIFS(инфо!$H$15:$H$28,инфо!$A$15:$A$28,F694)</f>
        <v>0</v>
      </c>
      <c r="AR694" s="26">
        <f t="shared" si="166"/>
        <v>0</v>
      </c>
      <c r="AS694" s="14">
        <f t="shared" si="169"/>
        <v>0</v>
      </c>
      <c r="AT694" s="25">
        <f>SUMIFS(инфо!$I$15:$I$28,инфо!$A$15:$A$28,F694)</f>
        <v>0</v>
      </c>
      <c r="AU694" s="35">
        <f t="shared" si="160"/>
        <v>0</v>
      </c>
      <c r="AV694" s="14">
        <f t="shared" si="170"/>
        <v>0</v>
      </c>
      <c r="AX694" s="69">
        <f>SUMIFS(инфо!$C$15:$C$28,инфо!$A$15:$A$28,F694)*H693</f>
        <v>0</v>
      </c>
    </row>
    <row r="695" spans="1:50" x14ac:dyDescent="0.25">
      <c r="A695" s="70">
        <f t="shared" si="161"/>
        <v>46411</v>
      </c>
      <c r="B695" s="75"/>
      <c r="C695" s="29"/>
      <c r="D695" s="30"/>
      <c r="E695" s="11"/>
      <c r="F695" s="28"/>
      <c r="G695" s="27"/>
      <c r="H695" s="20"/>
      <c r="I695" s="118">
        <f>IFERROR(H695*VLOOKUP(F695,инфо!$A$15:$C$28,3,FALSE)/1000,0)</f>
        <v>0</v>
      </c>
      <c r="J695" s="20"/>
      <c r="K695" s="20"/>
      <c r="L695" s="20"/>
      <c r="M695" s="20"/>
      <c r="N695" s="28"/>
      <c r="O695" s="27"/>
      <c r="P695" s="27"/>
      <c r="Q695" s="27"/>
      <c r="R695" s="27"/>
      <c r="S695" s="67">
        <f t="shared" si="171"/>
        <v>0</v>
      </c>
      <c r="T695" s="29"/>
      <c r="U695" s="30"/>
      <c r="V695" s="27"/>
      <c r="W695" s="81"/>
      <c r="X695" s="27"/>
      <c r="Y695" s="29"/>
      <c r="Z695" s="27"/>
      <c r="AA695" s="27"/>
      <c r="AB695" s="27"/>
      <c r="AC695" s="81"/>
      <c r="AD695" s="30"/>
      <c r="AE695" s="31">
        <f>SUMIFS(инфо!$D$15:$D$28,инфо!$A$15:$A$28,F695)</f>
        <v>0</v>
      </c>
      <c r="AF695" s="35">
        <f t="shared" si="162"/>
        <v>0</v>
      </c>
      <c r="AG695" s="33">
        <f t="shared" si="158"/>
        <v>0</v>
      </c>
      <c r="AH695" s="31">
        <f>SUMIFS(инфо!$E$15:$E$28,инфо!$A$15:$A$28,F695)</f>
        <v>0</v>
      </c>
      <c r="AI695" s="32">
        <f t="shared" si="163"/>
        <v>0</v>
      </c>
      <c r="AJ695" s="33">
        <f t="shared" si="159"/>
        <v>0</v>
      </c>
      <c r="AK695" s="31">
        <f>SUMIFS(инфо!$F$15:$F$28,инфо!$A$15:$A$28,F695)</f>
        <v>0</v>
      </c>
      <c r="AL695" s="32">
        <f t="shared" si="164"/>
        <v>0</v>
      </c>
      <c r="AM695" s="33">
        <f t="shared" si="167"/>
        <v>0</v>
      </c>
      <c r="AN695" s="31">
        <f>SUMIFS(инфо!$G$15:$G$28,инфо!$A$15:$A$28,F695)</f>
        <v>0</v>
      </c>
      <c r="AO695" s="32">
        <f t="shared" si="165"/>
        <v>0</v>
      </c>
      <c r="AP695" s="33">
        <f t="shared" si="168"/>
        <v>0</v>
      </c>
      <c r="AQ695" s="31">
        <f>SUMIFS(инфо!$H$15:$H$28,инфо!$A$15:$A$28,F695)</f>
        <v>0</v>
      </c>
      <c r="AR695" s="32">
        <f t="shared" si="166"/>
        <v>0</v>
      </c>
      <c r="AS695" s="33">
        <f t="shared" si="169"/>
        <v>0</v>
      </c>
      <c r="AT695" s="31">
        <f>SUMIFS(инфо!$I$15:$I$28,инфо!$A$15:$A$28,F695)</f>
        <v>0</v>
      </c>
      <c r="AU695" s="35">
        <f t="shared" si="160"/>
        <v>0</v>
      </c>
      <c r="AV695" s="33">
        <f t="shared" si="170"/>
        <v>0</v>
      </c>
      <c r="AX695" s="67">
        <f>SUMIFS(инфо!$C$15:$C$28,инфо!$A$15:$A$28,F695)*H694</f>
        <v>0</v>
      </c>
    </row>
    <row r="696" spans="1:50" x14ac:dyDescent="0.25">
      <c r="A696" s="70">
        <f t="shared" si="161"/>
        <v>46412</v>
      </c>
      <c r="B696" s="76"/>
      <c r="C696" s="15"/>
      <c r="D696" s="16"/>
      <c r="E696" s="11"/>
      <c r="F696" s="28"/>
      <c r="G696" s="34"/>
      <c r="H696" s="20"/>
      <c r="I696" s="118">
        <f>IFERROR(H696*VLOOKUP(F696,инфо!$A$15:$C$28,3,FALSE)/1000,0)</f>
        <v>0</v>
      </c>
      <c r="J696" s="20"/>
      <c r="K696" s="20"/>
      <c r="L696" s="20"/>
      <c r="M696" s="20"/>
      <c r="N696" s="20"/>
      <c r="O696" s="34"/>
      <c r="P696" s="34"/>
      <c r="Q696" s="34"/>
      <c r="R696" s="34"/>
      <c r="S696" s="68">
        <f t="shared" si="171"/>
        <v>0</v>
      </c>
      <c r="T696" s="15"/>
      <c r="U696" s="16"/>
      <c r="V696" s="34"/>
      <c r="W696" s="81"/>
      <c r="X696" s="34"/>
      <c r="Y696" s="15"/>
      <c r="Z696" s="34"/>
      <c r="AA696" s="34"/>
      <c r="AB696" s="34"/>
      <c r="AC696" s="81"/>
      <c r="AD696" s="16"/>
      <c r="AE696" s="24">
        <f>SUMIFS(инфо!$D$15:$D$28,инфо!$A$15:$A$28,F696)</f>
        <v>0</v>
      </c>
      <c r="AF696" s="35">
        <f t="shared" si="162"/>
        <v>0</v>
      </c>
      <c r="AG696" s="12">
        <f t="shared" si="158"/>
        <v>0</v>
      </c>
      <c r="AH696" s="24">
        <f>SUMIFS(инфо!$E$15:$E$28,инфо!$A$15:$A$28,F696)</f>
        <v>0</v>
      </c>
      <c r="AI696" s="32">
        <f t="shared" si="163"/>
        <v>0</v>
      </c>
      <c r="AJ696" s="12">
        <f t="shared" si="159"/>
        <v>0</v>
      </c>
      <c r="AK696" s="24">
        <f>SUMIFS(инфо!$F$15:$F$28,инфо!$A$15:$A$28,F696)</f>
        <v>0</v>
      </c>
      <c r="AL696" s="32">
        <f t="shared" si="164"/>
        <v>0</v>
      </c>
      <c r="AM696" s="12">
        <f t="shared" si="167"/>
        <v>0</v>
      </c>
      <c r="AN696" s="24">
        <f>SUMIFS(инфо!$G$15:$G$28,инфо!$A$15:$A$28,F696)</f>
        <v>0</v>
      </c>
      <c r="AO696" s="32">
        <f t="shared" si="165"/>
        <v>0</v>
      </c>
      <c r="AP696" s="12">
        <f t="shared" si="168"/>
        <v>0</v>
      </c>
      <c r="AQ696" s="24">
        <f>SUMIFS(инфо!$H$15:$H$28,инфо!$A$15:$A$28,F696)</f>
        <v>0</v>
      </c>
      <c r="AR696" s="35">
        <f t="shared" si="166"/>
        <v>0</v>
      </c>
      <c r="AS696" s="12">
        <f t="shared" si="169"/>
        <v>0</v>
      </c>
      <c r="AT696" s="24">
        <f>SUMIFS(инфо!$I$15:$I$28,инфо!$A$15:$A$28,F696)</f>
        <v>0</v>
      </c>
      <c r="AU696" s="35">
        <f t="shared" si="160"/>
        <v>0</v>
      </c>
      <c r="AV696" s="12">
        <f t="shared" si="170"/>
        <v>0</v>
      </c>
      <c r="AX696" s="68">
        <f>SUMIFS(инфо!$C$15:$C$28,инфо!$A$15:$A$28,F696)*H695</f>
        <v>0</v>
      </c>
    </row>
    <row r="697" spans="1:50" x14ac:dyDescent="0.25">
      <c r="A697" s="70">
        <f t="shared" si="161"/>
        <v>46412</v>
      </c>
      <c r="B697" s="76"/>
      <c r="C697" s="15"/>
      <c r="D697" s="16"/>
      <c r="E697" s="11"/>
      <c r="F697" s="28"/>
      <c r="G697" s="34"/>
      <c r="H697" s="23"/>
      <c r="I697" s="118">
        <f>IFERROR(H697*VLOOKUP(F697,инфо!$A$15:$C$28,3,FALSE)/1000,0)</f>
        <v>0</v>
      </c>
      <c r="J697" s="20"/>
      <c r="K697" s="20"/>
      <c r="L697" s="20"/>
      <c r="M697" s="20"/>
      <c r="N697" s="20"/>
      <c r="O697" s="34"/>
      <c r="P697" s="34"/>
      <c r="Q697" s="34"/>
      <c r="R697" s="34"/>
      <c r="S697" s="68">
        <f t="shared" si="171"/>
        <v>0</v>
      </c>
      <c r="T697" s="15"/>
      <c r="U697" s="16"/>
      <c r="V697" s="34"/>
      <c r="W697" s="81"/>
      <c r="X697" s="34"/>
      <c r="Y697" s="15"/>
      <c r="Z697" s="34"/>
      <c r="AA697" s="34"/>
      <c r="AB697" s="34"/>
      <c r="AC697" s="81"/>
      <c r="AD697" s="16"/>
      <c r="AE697" s="24">
        <f>SUMIFS(инфо!$D$15:$D$28,инфо!$A$15:$A$28,F697)</f>
        <v>0</v>
      </c>
      <c r="AF697" s="35">
        <f t="shared" si="162"/>
        <v>0</v>
      </c>
      <c r="AG697" s="12">
        <f t="shared" si="158"/>
        <v>0</v>
      </c>
      <c r="AH697" s="24">
        <f>SUMIFS(инфо!$E$15:$E$28,инфо!$A$15:$A$28,F697)</f>
        <v>0</v>
      </c>
      <c r="AI697" s="32">
        <f t="shared" si="163"/>
        <v>0</v>
      </c>
      <c r="AJ697" s="12">
        <f t="shared" si="159"/>
        <v>0</v>
      </c>
      <c r="AK697" s="24">
        <f>SUMIFS(инфо!$F$15:$F$28,инфо!$A$15:$A$28,F697)</f>
        <v>0</v>
      </c>
      <c r="AL697" s="32">
        <f t="shared" si="164"/>
        <v>0</v>
      </c>
      <c r="AM697" s="12">
        <f t="shared" si="167"/>
        <v>0</v>
      </c>
      <c r="AN697" s="24">
        <f>SUMIFS(инфо!$G$15:$G$28,инфо!$A$15:$A$28,F697)</f>
        <v>0</v>
      </c>
      <c r="AO697" s="32">
        <f t="shared" si="165"/>
        <v>0</v>
      </c>
      <c r="AP697" s="12">
        <f t="shared" si="168"/>
        <v>0</v>
      </c>
      <c r="AQ697" s="24">
        <f>SUMIFS(инфо!$H$15:$H$28,инфо!$A$15:$A$28,F697)</f>
        <v>0</v>
      </c>
      <c r="AR697" s="35">
        <f t="shared" si="166"/>
        <v>0</v>
      </c>
      <c r="AS697" s="12">
        <f t="shared" si="169"/>
        <v>0</v>
      </c>
      <c r="AT697" s="24">
        <f>SUMIFS(инфо!$I$15:$I$28,инфо!$A$15:$A$28,F697)</f>
        <v>0</v>
      </c>
      <c r="AU697" s="35">
        <f t="shared" si="160"/>
        <v>0</v>
      </c>
      <c r="AV697" s="12">
        <f t="shared" si="170"/>
        <v>0</v>
      </c>
      <c r="AX697" s="68">
        <f>SUMIFS(инфо!$C$15:$C$28,инфо!$A$15:$A$28,F697)*H696</f>
        <v>0</v>
      </c>
    </row>
    <row r="698" spans="1:50" x14ac:dyDescent="0.25">
      <c r="A698" s="70">
        <f t="shared" si="161"/>
        <v>46413</v>
      </c>
      <c r="B698" s="77"/>
      <c r="C698" s="17"/>
      <c r="D698" s="18"/>
      <c r="E698" s="11"/>
      <c r="F698" s="28"/>
      <c r="G698" s="19"/>
      <c r="H698" s="28"/>
      <c r="I698" s="118">
        <f>IFERROR(H698*VLOOKUP(F698,инфо!$A$15:$C$28,3,FALSE)/1000,0)</f>
        <v>0</v>
      </c>
      <c r="J698" s="20"/>
      <c r="K698" s="20"/>
      <c r="L698" s="20"/>
      <c r="M698" s="20"/>
      <c r="N698" s="23"/>
      <c r="O698" s="19"/>
      <c r="P698" s="19"/>
      <c r="Q698" s="19"/>
      <c r="R698" s="19"/>
      <c r="S698" s="69">
        <f t="shared" si="171"/>
        <v>0</v>
      </c>
      <c r="T698" s="17"/>
      <c r="U698" s="18"/>
      <c r="V698" s="19"/>
      <c r="W698" s="81"/>
      <c r="X698" s="19"/>
      <c r="Y698" s="17"/>
      <c r="Z698" s="19"/>
      <c r="AA698" s="19"/>
      <c r="AB698" s="19"/>
      <c r="AC698" s="81"/>
      <c r="AD698" s="18"/>
      <c r="AE698" s="25">
        <f>SUMIFS(инфо!$D$15:$D$28,инфо!$A$15:$A$28,F698)</f>
        <v>0</v>
      </c>
      <c r="AF698" s="35">
        <f t="shared" si="162"/>
        <v>0</v>
      </c>
      <c r="AG698" s="14">
        <f t="shared" si="158"/>
        <v>0</v>
      </c>
      <c r="AH698" s="25">
        <f>SUMIFS(инфо!$E$15:$E$28,инфо!$A$15:$A$28,F698)</f>
        <v>0</v>
      </c>
      <c r="AI698" s="32">
        <f t="shared" si="163"/>
        <v>0</v>
      </c>
      <c r="AJ698" s="14">
        <f t="shared" si="159"/>
        <v>0</v>
      </c>
      <c r="AK698" s="25">
        <f>SUMIFS(инфо!$F$15:$F$28,инфо!$A$15:$A$28,F698)</f>
        <v>0</v>
      </c>
      <c r="AL698" s="32">
        <f t="shared" si="164"/>
        <v>0</v>
      </c>
      <c r="AM698" s="14">
        <f t="shared" si="167"/>
        <v>0</v>
      </c>
      <c r="AN698" s="25">
        <f>SUMIFS(инфо!$G$15:$G$28,инфо!$A$15:$A$28,F698)</f>
        <v>0</v>
      </c>
      <c r="AO698" s="32">
        <f t="shared" si="165"/>
        <v>0</v>
      </c>
      <c r="AP698" s="14">
        <f t="shared" si="168"/>
        <v>0</v>
      </c>
      <c r="AQ698" s="25">
        <f>SUMIFS(инфо!$H$15:$H$28,инфо!$A$15:$A$28,F698)</f>
        <v>0</v>
      </c>
      <c r="AR698" s="26">
        <f t="shared" si="166"/>
        <v>0</v>
      </c>
      <c r="AS698" s="14">
        <f t="shared" si="169"/>
        <v>0</v>
      </c>
      <c r="AT698" s="25">
        <f>SUMIFS(инфо!$I$15:$I$28,инфо!$A$15:$A$28,F698)</f>
        <v>0</v>
      </c>
      <c r="AU698" s="35">
        <f t="shared" si="160"/>
        <v>0</v>
      </c>
      <c r="AV698" s="14">
        <f t="shared" si="170"/>
        <v>0</v>
      </c>
      <c r="AX698" s="69">
        <f>SUMIFS(инфо!$C$15:$C$28,инфо!$A$15:$A$28,F698)*H697</f>
        <v>0</v>
      </c>
    </row>
    <row r="699" spans="1:50" x14ac:dyDescent="0.25">
      <c r="A699" s="70">
        <f t="shared" si="161"/>
        <v>46413</v>
      </c>
      <c r="B699" s="75"/>
      <c r="C699" s="29"/>
      <c r="D699" s="30"/>
      <c r="E699" s="11"/>
      <c r="F699" s="28"/>
      <c r="G699" s="27"/>
      <c r="H699" s="20"/>
      <c r="I699" s="118">
        <f>IFERROR(H699*VLOOKUP(F699,инфо!$A$15:$C$28,3,FALSE)/1000,0)</f>
        <v>0</v>
      </c>
      <c r="J699" s="20"/>
      <c r="K699" s="20"/>
      <c r="L699" s="20"/>
      <c r="M699" s="20"/>
      <c r="N699" s="28"/>
      <c r="O699" s="27"/>
      <c r="P699" s="27"/>
      <c r="Q699" s="27"/>
      <c r="R699" s="27"/>
      <c r="S699" s="67">
        <f t="shared" si="171"/>
        <v>0</v>
      </c>
      <c r="T699" s="29"/>
      <c r="U699" s="30"/>
      <c r="V699" s="27"/>
      <c r="W699" s="81"/>
      <c r="X699" s="27"/>
      <c r="Y699" s="29"/>
      <c r="Z699" s="27"/>
      <c r="AA699" s="27"/>
      <c r="AB699" s="27"/>
      <c r="AC699" s="81"/>
      <c r="AD699" s="30"/>
      <c r="AE699" s="31">
        <f>SUMIFS(инфо!$D$15:$D$28,инфо!$A$15:$A$28,F699)</f>
        <v>0</v>
      </c>
      <c r="AF699" s="35">
        <f t="shared" si="162"/>
        <v>0</v>
      </c>
      <c r="AG699" s="33">
        <f t="shared" si="158"/>
        <v>0</v>
      </c>
      <c r="AH699" s="31">
        <f>SUMIFS(инфо!$E$15:$E$28,инфо!$A$15:$A$28,F699)</f>
        <v>0</v>
      </c>
      <c r="AI699" s="32">
        <f t="shared" si="163"/>
        <v>0</v>
      </c>
      <c r="AJ699" s="33">
        <f t="shared" si="159"/>
        <v>0</v>
      </c>
      <c r="AK699" s="31">
        <f>SUMIFS(инфо!$F$15:$F$28,инфо!$A$15:$A$28,F699)</f>
        <v>0</v>
      </c>
      <c r="AL699" s="32">
        <f t="shared" si="164"/>
        <v>0</v>
      </c>
      <c r="AM699" s="33">
        <f t="shared" si="167"/>
        <v>0</v>
      </c>
      <c r="AN699" s="31">
        <f>SUMIFS(инфо!$G$15:$G$28,инфо!$A$15:$A$28,F699)</f>
        <v>0</v>
      </c>
      <c r="AO699" s="32">
        <f t="shared" si="165"/>
        <v>0</v>
      </c>
      <c r="AP699" s="33">
        <f t="shared" si="168"/>
        <v>0</v>
      </c>
      <c r="AQ699" s="31">
        <f>SUMIFS(инфо!$H$15:$H$28,инфо!$A$15:$A$28,F699)</f>
        <v>0</v>
      </c>
      <c r="AR699" s="32">
        <f t="shared" si="166"/>
        <v>0</v>
      </c>
      <c r="AS699" s="33">
        <f t="shared" si="169"/>
        <v>0</v>
      </c>
      <c r="AT699" s="31">
        <f>SUMIFS(инфо!$I$15:$I$28,инфо!$A$15:$A$28,F699)</f>
        <v>0</v>
      </c>
      <c r="AU699" s="35">
        <f t="shared" si="160"/>
        <v>0</v>
      </c>
      <c r="AV699" s="33">
        <f t="shared" si="170"/>
        <v>0</v>
      </c>
      <c r="AX699" s="67">
        <f>SUMIFS(инфо!$C$15:$C$28,инфо!$A$15:$A$28,F699)*H698</f>
        <v>0</v>
      </c>
    </row>
    <row r="700" spans="1:50" x14ac:dyDescent="0.25">
      <c r="A700" s="70">
        <f t="shared" si="161"/>
        <v>46414</v>
      </c>
      <c r="B700" s="76"/>
      <c r="C700" s="15"/>
      <c r="D700" s="16"/>
      <c r="E700" s="11"/>
      <c r="F700" s="28"/>
      <c r="G700" s="34"/>
      <c r="H700" s="20"/>
      <c r="I700" s="118">
        <f>IFERROR(H700*VLOOKUP(F700,инфо!$A$15:$C$28,3,FALSE)/1000,0)</f>
        <v>0</v>
      </c>
      <c r="J700" s="20"/>
      <c r="K700" s="20"/>
      <c r="L700" s="20"/>
      <c r="M700" s="20"/>
      <c r="N700" s="20"/>
      <c r="O700" s="34"/>
      <c r="P700" s="34"/>
      <c r="Q700" s="34"/>
      <c r="R700" s="34"/>
      <c r="S700" s="68">
        <f t="shared" si="171"/>
        <v>0</v>
      </c>
      <c r="T700" s="15"/>
      <c r="U700" s="16"/>
      <c r="V700" s="34"/>
      <c r="W700" s="81"/>
      <c r="X700" s="34"/>
      <c r="Y700" s="15"/>
      <c r="Z700" s="34"/>
      <c r="AA700" s="34"/>
      <c r="AB700" s="34"/>
      <c r="AC700" s="81"/>
      <c r="AD700" s="16"/>
      <c r="AE700" s="24">
        <f>SUMIFS(инфо!$D$15:$D$28,инфо!$A$15:$A$28,F700)</f>
        <v>0</v>
      </c>
      <c r="AF700" s="35">
        <f t="shared" si="162"/>
        <v>0</v>
      </c>
      <c r="AG700" s="12">
        <f t="shared" si="158"/>
        <v>0</v>
      </c>
      <c r="AH700" s="24">
        <f>SUMIFS(инфо!$E$15:$E$28,инфо!$A$15:$A$28,F700)</f>
        <v>0</v>
      </c>
      <c r="AI700" s="32">
        <f t="shared" si="163"/>
        <v>0</v>
      </c>
      <c r="AJ700" s="12">
        <f t="shared" si="159"/>
        <v>0</v>
      </c>
      <c r="AK700" s="24">
        <f>SUMIFS(инфо!$F$15:$F$28,инфо!$A$15:$A$28,F700)</f>
        <v>0</v>
      </c>
      <c r="AL700" s="32">
        <f t="shared" si="164"/>
        <v>0</v>
      </c>
      <c r="AM700" s="12">
        <f t="shared" si="167"/>
        <v>0</v>
      </c>
      <c r="AN700" s="24">
        <f>SUMIFS(инфо!$G$15:$G$28,инфо!$A$15:$A$28,F700)</f>
        <v>0</v>
      </c>
      <c r="AO700" s="32">
        <f t="shared" si="165"/>
        <v>0</v>
      </c>
      <c r="AP700" s="12">
        <f t="shared" si="168"/>
        <v>0</v>
      </c>
      <c r="AQ700" s="24">
        <f>SUMIFS(инфо!$H$15:$H$28,инфо!$A$15:$A$28,F700)</f>
        <v>0</v>
      </c>
      <c r="AR700" s="35">
        <f t="shared" si="166"/>
        <v>0</v>
      </c>
      <c r="AS700" s="12">
        <f t="shared" si="169"/>
        <v>0</v>
      </c>
      <c r="AT700" s="24">
        <f>SUMIFS(инфо!$I$15:$I$28,инфо!$A$15:$A$28,F700)</f>
        <v>0</v>
      </c>
      <c r="AU700" s="35">
        <f t="shared" si="160"/>
        <v>0</v>
      </c>
      <c r="AV700" s="12">
        <f t="shared" si="170"/>
        <v>0</v>
      </c>
      <c r="AX700" s="68">
        <f>SUMIFS(инфо!$C$15:$C$28,инфо!$A$15:$A$28,F700)*H699</f>
        <v>0</v>
      </c>
    </row>
    <row r="701" spans="1:50" x14ac:dyDescent="0.25">
      <c r="A701" s="70">
        <f t="shared" si="161"/>
        <v>46414</v>
      </c>
      <c r="B701" s="76"/>
      <c r="C701" s="15"/>
      <c r="D701" s="16"/>
      <c r="E701" s="11"/>
      <c r="F701" s="28"/>
      <c r="G701" s="34"/>
      <c r="H701" s="23"/>
      <c r="I701" s="118">
        <f>IFERROR(H701*VLOOKUP(F701,инфо!$A$15:$C$28,3,FALSE)/1000,0)</f>
        <v>0</v>
      </c>
      <c r="J701" s="20"/>
      <c r="K701" s="20"/>
      <c r="L701" s="20"/>
      <c r="M701" s="20"/>
      <c r="N701" s="20"/>
      <c r="O701" s="34"/>
      <c r="P701" s="34"/>
      <c r="Q701" s="34"/>
      <c r="R701" s="34"/>
      <c r="S701" s="68">
        <f t="shared" si="171"/>
        <v>0</v>
      </c>
      <c r="T701" s="15"/>
      <c r="U701" s="16"/>
      <c r="V701" s="34"/>
      <c r="W701" s="81"/>
      <c r="X701" s="34"/>
      <c r="Y701" s="15"/>
      <c r="Z701" s="34"/>
      <c r="AA701" s="34"/>
      <c r="AB701" s="34"/>
      <c r="AC701" s="81"/>
      <c r="AD701" s="16"/>
      <c r="AE701" s="24">
        <f>SUMIFS(инфо!$D$15:$D$28,инфо!$A$15:$A$28,F701)</f>
        <v>0</v>
      </c>
      <c r="AF701" s="35">
        <f t="shared" si="162"/>
        <v>0</v>
      </c>
      <c r="AG701" s="12">
        <f t="shared" ref="AG701:AG764" si="172">AF701-AE701</f>
        <v>0</v>
      </c>
      <c r="AH701" s="24">
        <f>SUMIFS(инфо!$E$15:$E$28,инфо!$A$15:$A$28,F701)</f>
        <v>0</v>
      </c>
      <c r="AI701" s="32">
        <f t="shared" si="163"/>
        <v>0</v>
      </c>
      <c r="AJ701" s="12">
        <f t="shared" ref="AJ701:AJ764" si="173">AI701-AH701</f>
        <v>0</v>
      </c>
      <c r="AK701" s="24">
        <f>SUMIFS(инфо!$F$15:$F$28,инфо!$A$15:$A$28,F701)</f>
        <v>0</v>
      </c>
      <c r="AL701" s="32">
        <f t="shared" si="164"/>
        <v>0</v>
      </c>
      <c r="AM701" s="12">
        <f t="shared" si="167"/>
        <v>0</v>
      </c>
      <c r="AN701" s="24">
        <f>SUMIFS(инфо!$G$15:$G$28,инфо!$A$15:$A$28,F701)</f>
        <v>0</v>
      </c>
      <c r="AO701" s="32">
        <f t="shared" si="165"/>
        <v>0</v>
      </c>
      <c r="AP701" s="12">
        <f t="shared" si="168"/>
        <v>0</v>
      </c>
      <c r="AQ701" s="24">
        <f>SUMIFS(инфо!$H$15:$H$28,инфо!$A$15:$A$28,F701)</f>
        <v>0</v>
      </c>
      <c r="AR701" s="35">
        <f t="shared" si="166"/>
        <v>0</v>
      </c>
      <c r="AS701" s="12">
        <f t="shared" si="169"/>
        <v>0</v>
      </c>
      <c r="AT701" s="24">
        <f>SUMIFS(инфо!$I$15:$I$28,инфо!$A$15:$A$28,F701)</f>
        <v>0</v>
      </c>
      <c r="AU701" s="35">
        <f t="shared" si="160"/>
        <v>0</v>
      </c>
      <c r="AV701" s="12">
        <f t="shared" si="170"/>
        <v>0</v>
      </c>
      <c r="AX701" s="68">
        <f>SUMIFS(инфо!$C$15:$C$28,инфо!$A$15:$A$28,F701)*H700</f>
        <v>0</v>
      </c>
    </row>
    <row r="702" spans="1:50" x14ac:dyDescent="0.25">
      <c r="A702" s="70">
        <f t="shared" si="161"/>
        <v>46415</v>
      </c>
      <c r="B702" s="77"/>
      <c r="C702" s="17"/>
      <c r="D702" s="18"/>
      <c r="E702" s="11"/>
      <c r="F702" s="28"/>
      <c r="G702" s="19"/>
      <c r="H702" s="28"/>
      <c r="I702" s="118">
        <f>IFERROR(H702*VLOOKUP(F702,инфо!$A$15:$C$28,3,FALSE)/1000,0)</f>
        <v>0</v>
      </c>
      <c r="J702" s="20"/>
      <c r="K702" s="20"/>
      <c r="L702" s="20"/>
      <c r="M702" s="20"/>
      <c r="N702" s="23"/>
      <c r="O702" s="19"/>
      <c r="P702" s="19"/>
      <c r="Q702" s="19"/>
      <c r="R702" s="19"/>
      <c r="S702" s="69">
        <f t="shared" si="171"/>
        <v>0</v>
      </c>
      <c r="T702" s="17"/>
      <c r="U702" s="18"/>
      <c r="V702" s="19"/>
      <c r="W702" s="81"/>
      <c r="X702" s="19"/>
      <c r="Y702" s="17"/>
      <c r="Z702" s="19"/>
      <c r="AA702" s="19"/>
      <c r="AB702" s="19"/>
      <c r="AC702" s="81"/>
      <c r="AD702" s="18"/>
      <c r="AE702" s="25">
        <f>SUMIFS(инфо!$D$15:$D$28,инфо!$A$15:$A$28,F702)</f>
        <v>0</v>
      </c>
      <c r="AF702" s="35">
        <f t="shared" si="162"/>
        <v>0</v>
      </c>
      <c r="AG702" s="14">
        <f t="shared" si="172"/>
        <v>0</v>
      </c>
      <c r="AH702" s="25">
        <f>SUMIFS(инфо!$E$15:$E$28,инфо!$A$15:$A$28,F702)</f>
        <v>0</v>
      </c>
      <c r="AI702" s="32">
        <f t="shared" si="163"/>
        <v>0</v>
      </c>
      <c r="AJ702" s="14">
        <f t="shared" si="173"/>
        <v>0</v>
      </c>
      <c r="AK702" s="25">
        <f>SUMIFS(инфо!$F$15:$F$28,инфо!$A$15:$A$28,F702)</f>
        <v>0</v>
      </c>
      <c r="AL702" s="32">
        <f t="shared" si="164"/>
        <v>0</v>
      </c>
      <c r="AM702" s="14">
        <f t="shared" si="167"/>
        <v>0</v>
      </c>
      <c r="AN702" s="25">
        <f>SUMIFS(инфо!$G$15:$G$28,инфо!$A$15:$A$28,F702)</f>
        <v>0</v>
      </c>
      <c r="AO702" s="32">
        <f t="shared" si="165"/>
        <v>0</v>
      </c>
      <c r="AP702" s="14">
        <f t="shared" si="168"/>
        <v>0</v>
      </c>
      <c r="AQ702" s="25">
        <f>SUMIFS(инфо!$H$15:$H$28,инфо!$A$15:$A$28,F702)</f>
        <v>0</v>
      </c>
      <c r="AR702" s="26">
        <f t="shared" si="166"/>
        <v>0</v>
      </c>
      <c r="AS702" s="14">
        <f t="shared" si="169"/>
        <v>0</v>
      </c>
      <c r="AT702" s="25">
        <f>SUMIFS(инфо!$I$15:$I$28,инфо!$A$15:$A$28,F702)</f>
        <v>0</v>
      </c>
      <c r="AU702" s="35">
        <f t="shared" si="160"/>
        <v>0</v>
      </c>
      <c r="AV702" s="14">
        <f t="shared" si="170"/>
        <v>0</v>
      </c>
      <c r="AX702" s="69">
        <f>SUMIFS(инфо!$C$15:$C$28,инфо!$A$15:$A$28,F702)*H701</f>
        <v>0</v>
      </c>
    </row>
    <row r="703" spans="1:50" x14ac:dyDescent="0.25">
      <c r="A703" s="70">
        <f t="shared" si="161"/>
        <v>46415</v>
      </c>
      <c r="B703" s="75"/>
      <c r="C703" s="29"/>
      <c r="D703" s="30"/>
      <c r="E703" s="11"/>
      <c r="F703" s="28"/>
      <c r="G703" s="27"/>
      <c r="H703" s="20"/>
      <c r="I703" s="118">
        <f>IFERROR(H703*VLOOKUP(F703,инфо!$A$15:$C$28,3,FALSE)/1000,0)</f>
        <v>0</v>
      </c>
      <c r="J703" s="20"/>
      <c r="K703" s="20"/>
      <c r="L703" s="20"/>
      <c r="M703" s="20"/>
      <c r="N703" s="28"/>
      <c r="O703" s="27"/>
      <c r="P703" s="27"/>
      <c r="Q703" s="27"/>
      <c r="R703" s="27"/>
      <c r="S703" s="67">
        <f t="shared" si="171"/>
        <v>0</v>
      </c>
      <c r="T703" s="29"/>
      <c r="U703" s="30"/>
      <c r="V703" s="27"/>
      <c r="W703" s="81"/>
      <c r="X703" s="27"/>
      <c r="Y703" s="29"/>
      <c r="Z703" s="27"/>
      <c r="AA703" s="27"/>
      <c r="AB703" s="27"/>
      <c r="AC703" s="81"/>
      <c r="AD703" s="30"/>
      <c r="AE703" s="31">
        <f>SUMIFS(инфо!$D$15:$D$28,инфо!$A$15:$A$28,F703)</f>
        <v>0</v>
      </c>
      <c r="AF703" s="35">
        <f t="shared" si="162"/>
        <v>0</v>
      </c>
      <c r="AG703" s="33">
        <f t="shared" si="172"/>
        <v>0</v>
      </c>
      <c r="AH703" s="31">
        <f>SUMIFS(инфо!$E$15:$E$28,инфо!$A$15:$A$28,F703)</f>
        <v>0</v>
      </c>
      <c r="AI703" s="32">
        <f t="shared" si="163"/>
        <v>0</v>
      </c>
      <c r="AJ703" s="33">
        <f t="shared" si="173"/>
        <v>0</v>
      </c>
      <c r="AK703" s="31">
        <f>SUMIFS(инфо!$F$15:$F$28,инфо!$A$15:$A$28,F703)</f>
        <v>0</v>
      </c>
      <c r="AL703" s="32">
        <f t="shared" si="164"/>
        <v>0</v>
      </c>
      <c r="AM703" s="33">
        <f t="shared" si="167"/>
        <v>0</v>
      </c>
      <c r="AN703" s="31">
        <f>SUMIFS(инфо!$G$15:$G$28,инфо!$A$15:$A$28,F703)</f>
        <v>0</v>
      </c>
      <c r="AO703" s="32">
        <f t="shared" si="165"/>
        <v>0</v>
      </c>
      <c r="AP703" s="33">
        <f t="shared" si="168"/>
        <v>0</v>
      </c>
      <c r="AQ703" s="31">
        <f>SUMIFS(инфо!$H$15:$H$28,инфо!$A$15:$A$28,F703)</f>
        <v>0</v>
      </c>
      <c r="AR703" s="32">
        <f t="shared" si="166"/>
        <v>0</v>
      </c>
      <c r="AS703" s="33">
        <f t="shared" si="169"/>
        <v>0</v>
      </c>
      <c r="AT703" s="31">
        <f>SUMIFS(инфо!$I$15:$I$28,инфо!$A$15:$A$28,F703)</f>
        <v>0</v>
      </c>
      <c r="AU703" s="35">
        <f t="shared" si="160"/>
        <v>0</v>
      </c>
      <c r="AV703" s="33">
        <f t="shared" si="170"/>
        <v>0</v>
      </c>
      <c r="AX703" s="67">
        <f>SUMIFS(инфо!$C$15:$C$28,инфо!$A$15:$A$28,F703)*H702</f>
        <v>0</v>
      </c>
    </row>
    <row r="704" spans="1:50" x14ac:dyDescent="0.25">
      <c r="A704" s="70">
        <f t="shared" si="161"/>
        <v>46416</v>
      </c>
      <c r="B704" s="76"/>
      <c r="C704" s="15"/>
      <c r="D704" s="16"/>
      <c r="E704" s="11"/>
      <c r="F704" s="28"/>
      <c r="G704" s="34"/>
      <c r="H704" s="20"/>
      <c r="I704" s="118">
        <f>IFERROR(H704*VLOOKUP(F704,инфо!$A$15:$C$28,3,FALSE)/1000,0)</f>
        <v>0</v>
      </c>
      <c r="J704" s="20"/>
      <c r="K704" s="20"/>
      <c r="L704" s="20"/>
      <c r="M704" s="20"/>
      <c r="N704" s="20"/>
      <c r="O704" s="34"/>
      <c r="P704" s="34"/>
      <c r="Q704" s="34"/>
      <c r="R704" s="34"/>
      <c r="S704" s="68">
        <f t="shared" si="171"/>
        <v>0</v>
      </c>
      <c r="T704" s="15"/>
      <c r="U704" s="16"/>
      <c r="V704" s="34"/>
      <c r="W704" s="81"/>
      <c r="X704" s="34"/>
      <c r="Y704" s="15"/>
      <c r="Z704" s="34"/>
      <c r="AA704" s="34"/>
      <c r="AB704" s="34"/>
      <c r="AC704" s="81"/>
      <c r="AD704" s="16"/>
      <c r="AE704" s="24">
        <f>SUMIFS(инфо!$D$15:$D$28,инфо!$A$15:$A$28,F704)</f>
        <v>0</v>
      </c>
      <c r="AF704" s="35">
        <f t="shared" si="162"/>
        <v>0</v>
      </c>
      <c r="AG704" s="12">
        <f t="shared" si="172"/>
        <v>0</v>
      </c>
      <c r="AH704" s="24">
        <f>SUMIFS(инфо!$E$15:$E$28,инфо!$A$15:$A$28,F704)</f>
        <v>0</v>
      </c>
      <c r="AI704" s="32">
        <f t="shared" si="163"/>
        <v>0</v>
      </c>
      <c r="AJ704" s="12">
        <f t="shared" si="173"/>
        <v>0</v>
      </c>
      <c r="AK704" s="24">
        <f>SUMIFS(инфо!$F$15:$F$28,инфо!$A$15:$A$28,F704)</f>
        <v>0</v>
      </c>
      <c r="AL704" s="32">
        <f t="shared" si="164"/>
        <v>0</v>
      </c>
      <c r="AM704" s="12">
        <f t="shared" si="167"/>
        <v>0</v>
      </c>
      <c r="AN704" s="24">
        <f>SUMIFS(инфо!$G$15:$G$28,инфо!$A$15:$A$28,F704)</f>
        <v>0</v>
      </c>
      <c r="AO704" s="32">
        <f t="shared" si="165"/>
        <v>0</v>
      </c>
      <c r="AP704" s="12">
        <f t="shared" si="168"/>
        <v>0</v>
      </c>
      <c r="AQ704" s="24">
        <f>SUMIFS(инфо!$H$15:$H$28,инфо!$A$15:$A$28,F704)</f>
        <v>0</v>
      </c>
      <c r="AR704" s="35">
        <f t="shared" si="166"/>
        <v>0</v>
      </c>
      <c r="AS704" s="12">
        <f t="shared" si="169"/>
        <v>0</v>
      </c>
      <c r="AT704" s="24">
        <f>SUMIFS(инфо!$I$15:$I$28,инфо!$A$15:$A$28,F704)</f>
        <v>0</v>
      </c>
      <c r="AU704" s="35">
        <f t="shared" si="160"/>
        <v>0</v>
      </c>
      <c r="AV704" s="12">
        <f t="shared" si="170"/>
        <v>0</v>
      </c>
      <c r="AX704" s="68">
        <f>SUMIFS(инфо!$C$15:$C$28,инфо!$A$15:$A$28,F704)*H703</f>
        <v>0</v>
      </c>
    </row>
    <row r="705" spans="1:50" x14ac:dyDescent="0.25">
      <c r="A705" s="70">
        <f t="shared" si="161"/>
        <v>46416</v>
      </c>
      <c r="B705" s="76"/>
      <c r="C705" s="15"/>
      <c r="D705" s="16"/>
      <c r="E705" s="11"/>
      <c r="F705" s="28"/>
      <c r="G705" s="34"/>
      <c r="H705" s="23"/>
      <c r="I705" s="118">
        <f>IFERROR(H705*VLOOKUP(F705,инфо!$A$15:$C$28,3,FALSE)/1000,0)</f>
        <v>0</v>
      </c>
      <c r="J705" s="20"/>
      <c r="K705" s="20"/>
      <c r="L705" s="20"/>
      <c r="M705" s="20"/>
      <c r="N705" s="20"/>
      <c r="O705" s="34"/>
      <c r="P705" s="34"/>
      <c r="Q705" s="34"/>
      <c r="R705" s="34"/>
      <c r="S705" s="68">
        <f t="shared" si="171"/>
        <v>0</v>
      </c>
      <c r="T705" s="15"/>
      <c r="U705" s="16"/>
      <c r="V705" s="34"/>
      <c r="W705" s="81"/>
      <c r="X705" s="34"/>
      <c r="Y705" s="15"/>
      <c r="Z705" s="34"/>
      <c r="AA705" s="34"/>
      <c r="AB705" s="34"/>
      <c r="AC705" s="81"/>
      <c r="AD705" s="16"/>
      <c r="AE705" s="24">
        <f>SUMIFS(инфо!$D$15:$D$28,инфо!$A$15:$A$28,F705)</f>
        <v>0</v>
      </c>
      <c r="AF705" s="35">
        <f t="shared" si="162"/>
        <v>0</v>
      </c>
      <c r="AG705" s="12">
        <f t="shared" si="172"/>
        <v>0</v>
      </c>
      <c r="AH705" s="24">
        <f>SUMIFS(инфо!$E$15:$E$28,инфо!$A$15:$A$28,F705)</f>
        <v>0</v>
      </c>
      <c r="AI705" s="32">
        <f t="shared" si="163"/>
        <v>0</v>
      </c>
      <c r="AJ705" s="12">
        <f t="shared" si="173"/>
        <v>0</v>
      </c>
      <c r="AK705" s="24">
        <f>SUMIFS(инфо!$F$15:$F$28,инфо!$A$15:$A$28,F705)</f>
        <v>0</v>
      </c>
      <c r="AL705" s="32">
        <f t="shared" si="164"/>
        <v>0</v>
      </c>
      <c r="AM705" s="12">
        <f t="shared" si="167"/>
        <v>0</v>
      </c>
      <c r="AN705" s="24">
        <f>SUMIFS(инфо!$G$15:$G$28,инфо!$A$15:$A$28,F705)</f>
        <v>0</v>
      </c>
      <c r="AO705" s="32">
        <f t="shared" si="165"/>
        <v>0</v>
      </c>
      <c r="AP705" s="12">
        <f t="shared" si="168"/>
        <v>0</v>
      </c>
      <c r="AQ705" s="24">
        <f>SUMIFS(инфо!$H$15:$H$28,инфо!$A$15:$A$28,F705)</f>
        <v>0</v>
      </c>
      <c r="AR705" s="35">
        <f t="shared" si="166"/>
        <v>0</v>
      </c>
      <c r="AS705" s="12">
        <f t="shared" si="169"/>
        <v>0</v>
      </c>
      <c r="AT705" s="24">
        <f>SUMIFS(инфо!$I$15:$I$28,инфо!$A$15:$A$28,F705)</f>
        <v>0</v>
      </c>
      <c r="AU705" s="35">
        <f t="shared" si="160"/>
        <v>0</v>
      </c>
      <c r="AV705" s="12">
        <f t="shared" si="170"/>
        <v>0</v>
      </c>
      <c r="AX705" s="68">
        <f>SUMIFS(инфо!$C$15:$C$28,инфо!$A$15:$A$28,F705)*H704</f>
        <v>0</v>
      </c>
    </row>
    <row r="706" spans="1:50" x14ac:dyDescent="0.25">
      <c r="A706" s="70">
        <f t="shared" si="161"/>
        <v>46417</v>
      </c>
      <c r="B706" s="77"/>
      <c r="C706" s="17"/>
      <c r="D706" s="18"/>
      <c r="E706" s="11"/>
      <c r="F706" s="28"/>
      <c r="G706" s="19"/>
      <c r="H706" s="28"/>
      <c r="I706" s="118">
        <f>IFERROR(H706*VLOOKUP(F706,инфо!$A$15:$C$28,3,FALSE)/1000,0)</f>
        <v>0</v>
      </c>
      <c r="J706" s="20"/>
      <c r="K706" s="20"/>
      <c r="L706" s="20"/>
      <c r="M706" s="20"/>
      <c r="N706" s="23"/>
      <c r="O706" s="19"/>
      <c r="P706" s="19"/>
      <c r="Q706" s="19"/>
      <c r="R706" s="19"/>
      <c r="S706" s="69">
        <f t="shared" si="171"/>
        <v>0</v>
      </c>
      <c r="T706" s="17"/>
      <c r="U706" s="18"/>
      <c r="V706" s="19"/>
      <c r="W706" s="81"/>
      <c r="X706" s="19"/>
      <c r="Y706" s="17"/>
      <c r="Z706" s="19"/>
      <c r="AA706" s="19"/>
      <c r="AB706" s="19"/>
      <c r="AC706" s="81"/>
      <c r="AD706" s="18"/>
      <c r="AE706" s="25">
        <f>SUMIFS(инфо!$D$15:$D$28,инфо!$A$15:$A$28,F706)</f>
        <v>0</v>
      </c>
      <c r="AF706" s="35">
        <f t="shared" si="162"/>
        <v>0</v>
      </c>
      <c r="AG706" s="14">
        <f t="shared" si="172"/>
        <v>0</v>
      </c>
      <c r="AH706" s="25">
        <f>SUMIFS(инфо!$E$15:$E$28,инфо!$A$15:$A$28,F706)</f>
        <v>0</v>
      </c>
      <c r="AI706" s="32">
        <f t="shared" si="163"/>
        <v>0</v>
      </c>
      <c r="AJ706" s="14">
        <f t="shared" si="173"/>
        <v>0</v>
      </c>
      <c r="AK706" s="25">
        <f>SUMIFS(инфо!$F$15:$F$28,инфо!$A$15:$A$28,F706)</f>
        <v>0</v>
      </c>
      <c r="AL706" s="32">
        <f t="shared" si="164"/>
        <v>0</v>
      </c>
      <c r="AM706" s="14">
        <f t="shared" si="167"/>
        <v>0</v>
      </c>
      <c r="AN706" s="25">
        <f>SUMIFS(инфо!$G$15:$G$28,инфо!$A$15:$A$28,F706)</f>
        <v>0</v>
      </c>
      <c r="AO706" s="32">
        <f t="shared" si="165"/>
        <v>0</v>
      </c>
      <c r="AP706" s="14">
        <f t="shared" si="168"/>
        <v>0</v>
      </c>
      <c r="AQ706" s="25">
        <f>SUMIFS(инфо!$H$15:$H$28,инфо!$A$15:$A$28,F706)</f>
        <v>0</v>
      </c>
      <c r="AR706" s="26">
        <f t="shared" si="166"/>
        <v>0</v>
      </c>
      <c r="AS706" s="14">
        <f t="shared" si="169"/>
        <v>0</v>
      </c>
      <c r="AT706" s="25">
        <f>SUMIFS(инфо!$I$15:$I$28,инфо!$A$15:$A$28,F706)</f>
        <v>0</v>
      </c>
      <c r="AU706" s="35">
        <f t="shared" si="160"/>
        <v>0</v>
      </c>
      <c r="AV706" s="14">
        <f t="shared" si="170"/>
        <v>0</v>
      </c>
      <c r="AX706" s="69">
        <f>SUMIFS(инфо!$C$15:$C$28,инфо!$A$15:$A$28,F706)*H705</f>
        <v>0</v>
      </c>
    </row>
    <row r="707" spans="1:50" x14ac:dyDescent="0.25">
      <c r="A707" s="70">
        <f t="shared" si="161"/>
        <v>46417</v>
      </c>
      <c r="B707" s="75"/>
      <c r="C707" s="29"/>
      <c r="D707" s="30"/>
      <c r="E707" s="11"/>
      <c r="F707" s="28"/>
      <c r="G707" s="27"/>
      <c r="H707" s="20"/>
      <c r="I707" s="118">
        <f>IFERROR(H707*VLOOKUP(F707,инфо!$A$15:$C$28,3,FALSE)/1000,0)</f>
        <v>0</v>
      </c>
      <c r="J707" s="20"/>
      <c r="K707" s="20"/>
      <c r="L707" s="20"/>
      <c r="M707" s="20"/>
      <c r="N707" s="28"/>
      <c r="O707" s="27"/>
      <c r="P707" s="27"/>
      <c r="Q707" s="27"/>
      <c r="R707" s="27"/>
      <c r="S707" s="67">
        <f t="shared" si="171"/>
        <v>0</v>
      </c>
      <c r="T707" s="29"/>
      <c r="U707" s="30"/>
      <c r="V707" s="27"/>
      <c r="W707" s="81"/>
      <c r="X707" s="27"/>
      <c r="Y707" s="29"/>
      <c r="Z707" s="27"/>
      <c r="AA707" s="27"/>
      <c r="AB707" s="27"/>
      <c r="AC707" s="81"/>
      <c r="AD707" s="30"/>
      <c r="AE707" s="31">
        <f>SUMIFS(инфо!$D$15:$D$28,инфо!$A$15:$A$28,F707)</f>
        <v>0</v>
      </c>
      <c r="AF707" s="35">
        <f t="shared" si="162"/>
        <v>0</v>
      </c>
      <c r="AG707" s="33">
        <f t="shared" si="172"/>
        <v>0</v>
      </c>
      <c r="AH707" s="31">
        <f>SUMIFS(инфо!$E$15:$E$28,инфо!$A$15:$A$28,F707)</f>
        <v>0</v>
      </c>
      <c r="AI707" s="32">
        <f t="shared" si="163"/>
        <v>0</v>
      </c>
      <c r="AJ707" s="33">
        <f t="shared" si="173"/>
        <v>0</v>
      </c>
      <c r="AK707" s="31">
        <f>SUMIFS(инфо!$F$15:$F$28,инфо!$A$15:$A$28,F707)</f>
        <v>0</v>
      </c>
      <c r="AL707" s="32">
        <f t="shared" si="164"/>
        <v>0</v>
      </c>
      <c r="AM707" s="33">
        <f t="shared" si="167"/>
        <v>0</v>
      </c>
      <c r="AN707" s="31">
        <f>SUMIFS(инфо!$G$15:$G$28,инфо!$A$15:$A$28,F707)</f>
        <v>0</v>
      </c>
      <c r="AO707" s="32">
        <f t="shared" si="165"/>
        <v>0</v>
      </c>
      <c r="AP707" s="33">
        <f t="shared" si="168"/>
        <v>0</v>
      </c>
      <c r="AQ707" s="31">
        <f>SUMIFS(инфо!$H$15:$H$28,инфо!$A$15:$A$28,F707)</f>
        <v>0</v>
      </c>
      <c r="AR707" s="32">
        <f t="shared" si="166"/>
        <v>0</v>
      </c>
      <c r="AS707" s="33">
        <f t="shared" si="169"/>
        <v>0</v>
      </c>
      <c r="AT707" s="31">
        <f>SUMIFS(инфо!$I$15:$I$28,инфо!$A$15:$A$28,F707)</f>
        <v>0</v>
      </c>
      <c r="AU707" s="35">
        <f t="shared" si="160"/>
        <v>0</v>
      </c>
      <c r="AV707" s="33">
        <f t="shared" si="170"/>
        <v>0</v>
      </c>
      <c r="AX707" s="67">
        <f>SUMIFS(инфо!$C$15:$C$28,инфо!$A$15:$A$28,F707)*H706</f>
        <v>0</v>
      </c>
    </row>
    <row r="708" spans="1:50" x14ac:dyDescent="0.25">
      <c r="A708" s="70">
        <f t="shared" si="161"/>
        <v>46418</v>
      </c>
      <c r="B708" s="76"/>
      <c r="C708" s="15"/>
      <c r="D708" s="16"/>
      <c r="E708" s="11"/>
      <c r="F708" s="28"/>
      <c r="G708" s="34"/>
      <c r="H708" s="20"/>
      <c r="I708" s="118">
        <f>IFERROR(H708*VLOOKUP(F708,инфо!$A$15:$C$28,3,FALSE)/1000,0)</f>
        <v>0</v>
      </c>
      <c r="J708" s="20"/>
      <c r="K708" s="20"/>
      <c r="L708" s="20"/>
      <c r="M708" s="20"/>
      <c r="N708" s="20"/>
      <c r="O708" s="34"/>
      <c r="P708" s="34"/>
      <c r="Q708" s="34"/>
      <c r="R708" s="34"/>
      <c r="S708" s="68">
        <f t="shared" si="171"/>
        <v>0</v>
      </c>
      <c r="T708" s="15"/>
      <c r="U708" s="16"/>
      <c r="V708" s="34"/>
      <c r="W708" s="81"/>
      <c r="X708" s="34"/>
      <c r="Y708" s="15"/>
      <c r="Z708" s="34"/>
      <c r="AA708" s="34"/>
      <c r="AB708" s="34"/>
      <c r="AC708" s="81"/>
      <c r="AD708" s="16"/>
      <c r="AE708" s="24">
        <f>SUMIFS(инфо!$D$15:$D$28,инфо!$A$15:$A$28,F708)</f>
        <v>0</v>
      </c>
      <c r="AF708" s="35">
        <f t="shared" si="162"/>
        <v>0</v>
      </c>
      <c r="AG708" s="12">
        <f t="shared" si="172"/>
        <v>0</v>
      </c>
      <c r="AH708" s="24">
        <f>SUMIFS(инфо!$E$15:$E$28,инфо!$A$15:$A$28,F708)</f>
        <v>0</v>
      </c>
      <c r="AI708" s="32">
        <f t="shared" si="163"/>
        <v>0</v>
      </c>
      <c r="AJ708" s="12">
        <f t="shared" si="173"/>
        <v>0</v>
      </c>
      <c r="AK708" s="24">
        <f>SUMIFS(инфо!$F$15:$F$28,инфо!$A$15:$A$28,F708)</f>
        <v>0</v>
      </c>
      <c r="AL708" s="32">
        <f t="shared" si="164"/>
        <v>0</v>
      </c>
      <c r="AM708" s="12">
        <f t="shared" si="167"/>
        <v>0</v>
      </c>
      <c r="AN708" s="24">
        <f>SUMIFS(инфо!$G$15:$G$28,инфо!$A$15:$A$28,F708)</f>
        <v>0</v>
      </c>
      <c r="AO708" s="32">
        <f t="shared" si="165"/>
        <v>0</v>
      </c>
      <c r="AP708" s="12">
        <f t="shared" si="168"/>
        <v>0</v>
      </c>
      <c r="AQ708" s="24">
        <f>SUMIFS(инфо!$H$15:$H$28,инфо!$A$15:$A$28,F708)</f>
        <v>0</v>
      </c>
      <c r="AR708" s="35">
        <f t="shared" si="166"/>
        <v>0</v>
      </c>
      <c r="AS708" s="12">
        <f t="shared" si="169"/>
        <v>0</v>
      </c>
      <c r="AT708" s="24">
        <f>SUMIFS(инфо!$I$15:$I$28,инфо!$A$15:$A$28,F708)</f>
        <v>0</v>
      </c>
      <c r="AU708" s="35">
        <f t="shared" si="160"/>
        <v>0</v>
      </c>
      <c r="AV708" s="12">
        <f t="shared" si="170"/>
        <v>0</v>
      </c>
      <c r="AX708" s="68">
        <f>SUMIFS(инфо!$C$15:$C$28,инфо!$A$15:$A$28,F708)*H707</f>
        <v>0</v>
      </c>
    </row>
    <row r="709" spans="1:50" x14ac:dyDescent="0.25">
      <c r="A709" s="70">
        <f t="shared" si="161"/>
        <v>46418</v>
      </c>
      <c r="B709" s="76"/>
      <c r="C709" s="15"/>
      <c r="D709" s="16"/>
      <c r="E709" s="11"/>
      <c r="F709" s="28"/>
      <c r="G709" s="34"/>
      <c r="H709" s="23"/>
      <c r="I709" s="118">
        <f>IFERROR(H709*VLOOKUP(F709,инфо!$A$15:$C$28,3,FALSE)/1000,0)</f>
        <v>0</v>
      </c>
      <c r="J709" s="20"/>
      <c r="K709" s="20"/>
      <c r="L709" s="20"/>
      <c r="M709" s="20"/>
      <c r="N709" s="20"/>
      <c r="O709" s="34"/>
      <c r="P709" s="34"/>
      <c r="Q709" s="34"/>
      <c r="R709" s="34"/>
      <c r="S709" s="68">
        <f t="shared" si="171"/>
        <v>0</v>
      </c>
      <c r="T709" s="15"/>
      <c r="U709" s="16"/>
      <c r="V709" s="34"/>
      <c r="W709" s="81"/>
      <c r="X709" s="34"/>
      <c r="Y709" s="15"/>
      <c r="Z709" s="34"/>
      <c r="AA709" s="34"/>
      <c r="AB709" s="34"/>
      <c r="AC709" s="81"/>
      <c r="AD709" s="16"/>
      <c r="AE709" s="24">
        <f>SUMIFS(инфо!$D$15:$D$28,инфо!$A$15:$A$28,F709)</f>
        <v>0</v>
      </c>
      <c r="AF709" s="35">
        <f t="shared" si="162"/>
        <v>0</v>
      </c>
      <c r="AG709" s="12">
        <f t="shared" si="172"/>
        <v>0</v>
      </c>
      <c r="AH709" s="24">
        <f>SUMIFS(инфо!$E$15:$E$28,инфо!$A$15:$A$28,F709)</f>
        <v>0</v>
      </c>
      <c r="AI709" s="32">
        <f t="shared" si="163"/>
        <v>0</v>
      </c>
      <c r="AJ709" s="12">
        <f t="shared" si="173"/>
        <v>0</v>
      </c>
      <c r="AK709" s="24">
        <f>SUMIFS(инфо!$F$15:$F$28,инфо!$A$15:$A$28,F709)</f>
        <v>0</v>
      </c>
      <c r="AL709" s="32">
        <f t="shared" si="164"/>
        <v>0</v>
      </c>
      <c r="AM709" s="12">
        <f t="shared" si="167"/>
        <v>0</v>
      </c>
      <c r="AN709" s="24">
        <f>SUMIFS(инфо!$G$15:$G$28,инфо!$A$15:$A$28,F709)</f>
        <v>0</v>
      </c>
      <c r="AO709" s="32">
        <f t="shared" si="165"/>
        <v>0</v>
      </c>
      <c r="AP709" s="12">
        <f t="shared" si="168"/>
        <v>0</v>
      </c>
      <c r="AQ709" s="24">
        <f>SUMIFS(инфо!$H$15:$H$28,инфо!$A$15:$A$28,F709)</f>
        <v>0</v>
      </c>
      <c r="AR709" s="35">
        <f t="shared" si="166"/>
        <v>0</v>
      </c>
      <c r="AS709" s="12">
        <f t="shared" si="169"/>
        <v>0</v>
      </c>
      <c r="AT709" s="24">
        <f>SUMIFS(инфо!$I$15:$I$28,инфо!$A$15:$A$28,F709)</f>
        <v>0</v>
      </c>
      <c r="AU709" s="35">
        <f t="shared" si="160"/>
        <v>0</v>
      </c>
      <c r="AV709" s="12">
        <f t="shared" si="170"/>
        <v>0</v>
      </c>
      <c r="AX709" s="68">
        <f>SUMIFS(инфо!$C$15:$C$28,инфо!$A$15:$A$28,F709)*H708</f>
        <v>0</v>
      </c>
    </row>
    <row r="710" spans="1:50" x14ac:dyDescent="0.25">
      <c r="A710" s="70">
        <f t="shared" si="161"/>
        <v>46419</v>
      </c>
      <c r="B710" s="77"/>
      <c r="C710" s="17"/>
      <c r="D710" s="18"/>
      <c r="E710" s="11"/>
      <c r="F710" s="28"/>
      <c r="G710" s="19"/>
      <c r="H710" s="28"/>
      <c r="I710" s="118">
        <f>IFERROR(H710*VLOOKUP(F710,инфо!$A$15:$C$28,3,FALSE)/1000,0)</f>
        <v>0</v>
      </c>
      <c r="J710" s="20"/>
      <c r="K710" s="20"/>
      <c r="L710" s="20"/>
      <c r="M710" s="20"/>
      <c r="N710" s="23"/>
      <c r="O710" s="19"/>
      <c r="P710" s="19"/>
      <c r="Q710" s="19"/>
      <c r="R710" s="19"/>
      <c r="S710" s="69">
        <f t="shared" si="171"/>
        <v>0</v>
      </c>
      <c r="T710" s="17"/>
      <c r="U710" s="18"/>
      <c r="V710" s="19"/>
      <c r="W710" s="81"/>
      <c r="X710" s="19"/>
      <c r="Y710" s="17"/>
      <c r="Z710" s="19"/>
      <c r="AA710" s="19"/>
      <c r="AB710" s="19"/>
      <c r="AC710" s="81"/>
      <c r="AD710" s="18"/>
      <c r="AE710" s="25">
        <f>SUMIFS(инфо!$D$15:$D$28,инфо!$A$15:$A$28,F710)</f>
        <v>0</v>
      </c>
      <c r="AF710" s="35">
        <f t="shared" si="162"/>
        <v>0</v>
      </c>
      <c r="AG710" s="14">
        <f t="shared" si="172"/>
        <v>0</v>
      </c>
      <c r="AH710" s="25">
        <f>SUMIFS(инфо!$E$15:$E$28,инфо!$A$15:$A$28,F710)</f>
        <v>0</v>
      </c>
      <c r="AI710" s="32">
        <f t="shared" si="163"/>
        <v>0</v>
      </c>
      <c r="AJ710" s="14">
        <f t="shared" si="173"/>
        <v>0</v>
      </c>
      <c r="AK710" s="25">
        <f>SUMIFS(инфо!$F$15:$F$28,инфо!$A$15:$A$28,F710)</f>
        <v>0</v>
      </c>
      <c r="AL710" s="32">
        <f t="shared" si="164"/>
        <v>0</v>
      </c>
      <c r="AM710" s="14">
        <f t="shared" si="167"/>
        <v>0</v>
      </c>
      <c r="AN710" s="25">
        <f>SUMIFS(инфо!$G$15:$G$28,инфо!$A$15:$A$28,F710)</f>
        <v>0</v>
      </c>
      <c r="AO710" s="32">
        <f t="shared" si="165"/>
        <v>0</v>
      </c>
      <c r="AP710" s="14">
        <f t="shared" si="168"/>
        <v>0</v>
      </c>
      <c r="AQ710" s="25">
        <f>SUMIFS(инфо!$H$15:$H$28,инфо!$A$15:$A$28,F710)</f>
        <v>0</v>
      </c>
      <c r="AR710" s="26">
        <f t="shared" si="166"/>
        <v>0</v>
      </c>
      <c r="AS710" s="14">
        <f t="shared" si="169"/>
        <v>0</v>
      </c>
      <c r="AT710" s="25">
        <f>SUMIFS(инфо!$I$15:$I$28,инфо!$A$15:$A$28,F710)</f>
        <v>0</v>
      </c>
      <c r="AU710" s="35">
        <f t="shared" si="160"/>
        <v>0</v>
      </c>
      <c r="AV710" s="14">
        <f t="shared" si="170"/>
        <v>0</v>
      </c>
      <c r="AX710" s="69">
        <f>SUMIFS(инфо!$C$15:$C$28,инфо!$A$15:$A$28,F710)*H709</f>
        <v>0</v>
      </c>
    </row>
    <row r="711" spans="1:50" x14ac:dyDescent="0.25">
      <c r="A711" s="70">
        <f t="shared" si="161"/>
        <v>46419</v>
      </c>
      <c r="B711" s="75"/>
      <c r="C711" s="29"/>
      <c r="D711" s="30"/>
      <c r="E711" s="11"/>
      <c r="F711" s="28"/>
      <c r="G711" s="27"/>
      <c r="H711" s="20"/>
      <c r="I711" s="118">
        <f>IFERROR(H711*VLOOKUP(F711,инфо!$A$15:$C$28,3,FALSE)/1000,0)</f>
        <v>0</v>
      </c>
      <c r="J711" s="20"/>
      <c r="K711" s="20"/>
      <c r="L711" s="20"/>
      <c r="M711" s="20"/>
      <c r="N711" s="28"/>
      <c r="O711" s="27"/>
      <c r="P711" s="27"/>
      <c r="Q711" s="27"/>
      <c r="R711" s="27"/>
      <c r="S711" s="67">
        <f t="shared" si="171"/>
        <v>0</v>
      </c>
      <c r="T711" s="29"/>
      <c r="U711" s="30"/>
      <c r="V711" s="27"/>
      <c r="W711" s="81"/>
      <c r="X711" s="27"/>
      <c r="Y711" s="29"/>
      <c r="Z711" s="27"/>
      <c r="AA711" s="27"/>
      <c r="AB711" s="27"/>
      <c r="AC711" s="81"/>
      <c r="AD711" s="30"/>
      <c r="AE711" s="31">
        <f>SUMIFS(инфо!$D$15:$D$28,инфо!$A$15:$A$28,F711)</f>
        <v>0</v>
      </c>
      <c r="AF711" s="35">
        <f t="shared" si="162"/>
        <v>0</v>
      </c>
      <c r="AG711" s="33">
        <f t="shared" si="172"/>
        <v>0</v>
      </c>
      <c r="AH711" s="31">
        <f>SUMIFS(инфо!$E$15:$E$28,инфо!$A$15:$A$28,F711)</f>
        <v>0</v>
      </c>
      <c r="AI711" s="32">
        <f t="shared" si="163"/>
        <v>0</v>
      </c>
      <c r="AJ711" s="33">
        <f t="shared" si="173"/>
        <v>0</v>
      </c>
      <c r="AK711" s="31">
        <f>SUMIFS(инфо!$F$15:$F$28,инфо!$A$15:$A$28,F711)</f>
        <v>0</v>
      </c>
      <c r="AL711" s="32">
        <f t="shared" si="164"/>
        <v>0</v>
      </c>
      <c r="AM711" s="33">
        <f t="shared" si="167"/>
        <v>0</v>
      </c>
      <c r="AN711" s="31">
        <f>SUMIFS(инфо!$G$15:$G$28,инфо!$A$15:$A$28,F711)</f>
        <v>0</v>
      </c>
      <c r="AO711" s="32">
        <f t="shared" si="165"/>
        <v>0</v>
      </c>
      <c r="AP711" s="33">
        <f t="shared" si="168"/>
        <v>0</v>
      </c>
      <c r="AQ711" s="31">
        <f>SUMIFS(инфо!$H$15:$H$28,инфо!$A$15:$A$28,F711)</f>
        <v>0</v>
      </c>
      <c r="AR711" s="32">
        <f t="shared" si="166"/>
        <v>0</v>
      </c>
      <c r="AS711" s="33">
        <f t="shared" si="169"/>
        <v>0</v>
      </c>
      <c r="AT711" s="31">
        <f>SUMIFS(инфо!$I$15:$I$28,инфо!$A$15:$A$28,F711)</f>
        <v>0</v>
      </c>
      <c r="AU711" s="35">
        <f t="shared" si="160"/>
        <v>0</v>
      </c>
      <c r="AV711" s="33">
        <f t="shared" si="170"/>
        <v>0</v>
      </c>
      <c r="AX711" s="67">
        <f>SUMIFS(инфо!$C$15:$C$28,инфо!$A$15:$A$28,F711)*H710</f>
        <v>0</v>
      </c>
    </row>
    <row r="712" spans="1:50" x14ac:dyDescent="0.25">
      <c r="A712" s="70">
        <f t="shared" si="161"/>
        <v>46420</v>
      </c>
      <c r="B712" s="76"/>
      <c r="C712" s="15"/>
      <c r="D712" s="16"/>
      <c r="E712" s="11"/>
      <c r="F712" s="28"/>
      <c r="G712" s="34"/>
      <c r="H712" s="20"/>
      <c r="I712" s="118">
        <f>IFERROR(H712*VLOOKUP(F712,инфо!$A$15:$C$28,3,FALSE)/1000,0)</f>
        <v>0</v>
      </c>
      <c r="J712" s="20"/>
      <c r="K712" s="20"/>
      <c r="L712" s="20"/>
      <c r="M712" s="20"/>
      <c r="N712" s="20"/>
      <c r="O712" s="34"/>
      <c r="P712" s="34"/>
      <c r="Q712" s="34"/>
      <c r="R712" s="34"/>
      <c r="S712" s="68">
        <f t="shared" si="171"/>
        <v>0</v>
      </c>
      <c r="T712" s="15"/>
      <c r="U712" s="16"/>
      <c r="V712" s="34"/>
      <c r="W712" s="81"/>
      <c r="X712" s="34"/>
      <c r="Y712" s="15"/>
      <c r="Z712" s="34"/>
      <c r="AA712" s="34"/>
      <c r="AB712" s="34"/>
      <c r="AC712" s="81"/>
      <c r="AD712" s="16"/>
      <c r="AE712" s="24">
        <f>SUMIFS(инфо!$D$15:$D$28,инфо!$A$15:$A$28,F712)</f>
        <v>0</v>
      </c>
      <c r="AF712" s="35">
        <f t="shared" si="162"/>
        <v>0</v>
      </c>
      <c r="AG712" s="12">
        <f t="shared" si="172"/>
        <v>0</v>
      </c>
      <c r="AH712" s="24">
        <f>SUMIFS(инфо!$E$15:$E$28,инфо!$A$15:$A$28,F712)</f>
        <v>0</v>
      </c>
      <c r="AI712" s="32">
        <f t="shared" si="163"/>
        <v>0</v>
      </c>
      <c r="AJ712" s="12">
        <f t="shared" si="173"/>
        <v>0</v>
      </c>
      <c r="AK712" s="24">
        <f>SUMIFS(инфо!$F$15:$F$28,инфо!$A$15:$A$28,F712)</f>
        <v>0</v>
      </c>
      <c r="AL712" s="32">
        <f t="shared" si="164"/>
        <v>0</v>
      </c>
      <c r="AM712" s="12">
        <f t="shared" si="167"/>
        <v>0</v>
      </c>
      <c r="AN712" s="24">
        <f>SUMIFS(инфо!$G$15:$G$28,инфо!$A$15:$A$28,F712)</f>
        <v>0</v>
      </c>
      <c r="AO712" s="32">
        <f t="shared" si="165"/>
        <v>0</v>
      </c>
      <c r="AP712" s="12">
        <f t="shared" si="168"/>
        <v>0</v>
      </c>
      <c r="AQ712" s="24">
        <f>SUMIFS(инфо!$H$15:$H$28,инфо!$A$15:$A$28,F712)</f>
        <v>0</v>
      </c>
      <c r="AR712" s="35">
        <f t="shared" si="166"/>
        <v>0</v>
      </c>
      <c r="AS712" s="12">
        <f t="shared" si="169"/>
        <v>0</v>
      </c>
      <c r="AT712" s="24">
        <f>SUMIFS(инфо!$I$15:$I$28,инфо!$A$15:$A$28,F712)</f>
        <v>0</v>
      </c>
      <c r="AU712" s="35">
        <f t="shared" si="160"/>
        <v>0</v>
      </c>
      <c r="AV712" s="12">
        <f t="shared" si="170"/>
        <v>0</v>
      </c>
      <c r="AX712" s="68">
        <f>SUMIFS(инфо!$C$15:$C$28,инфо!$A$15:$A$28,F712)*H711</f>
        <v>0</v>
      </c>
    </row>
    <row r="713" spans="1:50" x14ac:dyDescent="0.25">
      <c r="A713" s="70">
        <f t="shared" si="161"/>
        <v>46420</v>
      </c>
      <c r="B713" s="76"/>
      <c r="C713" s="15"/>
      <c r="D713" s="16"/>
      <c r="E713" s="11"/>
      <c r="F713" s="28"/>
      <c r="G713" s="34"/>
      <c r="H713" s="23"/>
      <c r="I713" s="118">
        <f>IFERROR(H713*VLOOKUP(F713,инфо!$A$15:$C$28,3,FALSE)/1000,0)</f>
        <v>0</v>
      </c>
      <c r="J713" s="20"/>
      <c r="K713" s="20"/>
      <c r="L713" s="20"/>
      <c r="M713" s="20"/>
      <c r="N713" s="20"/>
      <c r="O713" s="34"/>
      <c r="P713" s="34"/>
      <c r="Q713" s="34"/>
      <c r="R713" s="34"/>
      <c r="S713" s="68">
        <f t="shared" si="171"/>
        <v>0</v>
      </c>
      <c r="T713" s="15"/>
      <c r="U713" s="16"/>
      <c r="V713" s="34"/>
      <c r="W713" s="81"/>
      <c r="X713" s="34"/>
      <c r="Y713" s="15"/>
      <c r="Z713" s="34"/>
      <c r="AA713" s="34"/>
      <c r="AB713" s="34"/>
      <c r="AC713" s="81"/>
      <c r="AD713" s="16"/>
      <c r="AE713" s="24">
        <f>SUMIFS(инфо!$D$15:$D$28,инфо!$A$15:$A$28,F713)</f>
        <v>0</v>
      </c>
      <c r="AF713" s="35">
        <f t="shared" si="162"/>
        <v>0</v>
      </c>
      <c r="AG713" s="12">
        <f t="shared" si="172"/>
        <v>0</v>
      </c>
      <c r="AH713" s="24">
        <f>SUMIFS(инфо!$E$15:$E$28,инфо!$A$15:$A$28,F713)</f>
        <v>0</v>
      </c>
      <c r="AI713" s="32">
        <f t="shared" si="163"/>
        <v>0</v>
      </c>
      <c r="AJ713" s="12">
        <f t="shared" si="173"/>
        <v>0</v>
      </c>
      <c r="AK713" s="24">
        <f>SUMIFS(инфо!$F$15:$F$28,инфо!$A$15:$A$28,F713)</f>
        <v>0</v>
      </c>
      <c r="AL713" s="32">
        <f t="shared" si="164"/>
        <v>0</v>
      </c>
      <c r="AM713" s="12">
        <f t="shared" si="167"/>
        <v>0</v>
      </c>
      <c r="AN713" s="24">
        <f>SUMIFS(инфо!$G$15:$G$28,инфо!$A$15:$A$28,F713)</f>
        <v>0</v>
      </c>
      <c r="AO713" s="32">
        <f t="shared" si="165"/>
        <v>0</v>
      </c>
      <c r="AP713" s="12">
        <f t="shared" si="168"/>
        <v>0</v>
      </c>
      <c r="AQ713" s="24">
        <f>SUMIFS(инфо!$H$15:$H$28,инфо!$A$15:$A$28,F713)</f>
        <v>0</v>
      </c>
      <c r="AR713" s="35">
        <f t="shared" si="166"/>
        <v>0</v>
      </c>
      <c r="AS713" s="12">
        <f t="shared" si="169"/>
        <v>0</v>
      </c>
      <c r="AT713" s="24">
        <f>SUMIFS(инфо!$I$15:$I$28,инфо!$A$15:$A$28,F713)</f>
        <v>0</v>
      </c>
      <c r="AU713" s="35">
        <f t="shared" ref="AU713:AU776" si="174">IF(H713=0,0,AD713/H713)</f>
        <v>0</v>
      </c>
      <c r="AV713" s="12">
        <f t="shared" si="170"/>
        <v>0</v>
      </c>
      <c r="AX713" s="68">
        <f>SUMIFS(инфо!$C$15:$C$28,инфо!$A$15:$A$28,F713)*H712</f>
        <v>0</v>
      </c>
    </row>
    <row r="714" spans="1:50" x14ac:dyDescent="0.25">
      <c r="A714" s="70">
        <f t="shared" si="161"/>
        <v>46421</v>
      </c>
      <c r="B714" s="77"/>
      <c r="C714" s="17"/>
      <c r="D714" s="18"/>
      <c r="E714" s="11"/>
      <c r="F714" s="28"/>
      <c r="G714" s="19"/>
      <c r="H714" s="28"/>
      <c r="I714" s="118">
        <f>IFERROR(H714*VLOOKUP(F714,инфо!$A$15:$C$28,3,FALSE)/1000,0)</f>
        <v>0</v>
      </c>
      <c r="J714" s="20"/>
      <c r="K714" s="20"/>
      <c r="L714" s="20"/>
      <c r="M714" s="20"/>
      <c r="N714" s="23"/>
      <c r="O714" s="19"/>
      <c r="P714" s="19"/>
      <c r="Q714" s="19"/>
      <c r="R714" s="19"/>
      <c r="S714" s="69">
        <f t="shared" si="171"/>
        <v>0</v>
      </c>
      <c r="T714" s="17"/>
      <c r="U714" s="18"/>
      <c r="V714" s="19"/>
      <c r="W714" s="81"/>
      <c r="X714" s="19"/>
      <c r="Y714" s="17"/>
      <c r="Z714" s="19"/>
      <c r="AA714" s="19"/>
      <c r="AB714" s="19"/>
      <c r="AC714" s="81"/>
      <c r="AD714" s="18"/>
      <c r="AE714" s="25">
        <f>SUMIFS(инфо!$D$15:$D$28,инфо!$A$15:$A$28,F714)</f>
        <v>0</v>
      </c>
      <c r="AF714" s="35">
        <f t="shared" si="162"/>
        <v>0</v>
      </c>
      <c r="AG714" s="14">
        <f t="shared" si="172"/>
        <v>0</v>
      </c>
      <c r="AH714" s="25">
        <f>SUMIFS(инфо!$E$15:$E$28,инфо!$A$15:$A$28,F714)</f>
        <v>0</v>
      </c>
      <c r="AI714" s="32">
        <f t="shared" si="163"/>
        <v>0</v>
      </c>
      <c r="AJ714" s="14">
        <f t="shared" si="173"/>
        <v>0</v>
      </c>
      <c r="AK714" s="25">
        <f>SUMIFS(инфо!$F$15:$F$28,инфо!$A$15:$A$28,F714)</f>
        <v>0</v>
      </c>
      <c r="AL714" s="32">
        <f t="shared" si="164"/>
        <v>0</v>
      </c>
      <c r="AM714" s="14">
        <f t="shared" si="167"/>
        <v>0</v>
      </c>
      <c r="AN714" s="25">
        <f>SUMIFS(инфо!$G$15:$G$28,инфо!$A$15:$A$28,F714)</f>
        <v>0</v>
      </c>
      <c r="AO714" s="32">
        <f t="shared" si="165"/>
        <v>0</v>
      </c>
      <c r="AP714" s="14">
        <f t="shared" si="168"/>
        <v>0</v>
      </c>
      <c r="AQ714" s="25">
        <f>SUMIFS(инфо!$H$15:$H$28,инфо!$A$15:$A$28,F714)</f>
        <v>0</v>
      </c>
      <c r="AR714" s="26">
        <f t="shared" si="166"/>
        <v>0</v>
      </c>
      <c r="AS714" s="14">
        <f t="shared" si="169"/>
        <v>0</v>
      </c>
      <c r="AT714" s="25">
        <f>SUMIFS(инфо!$I$15:$I$28,инфо!$A$15:$A$28,F714)</f>
        <v>0</v>
      </c>
      <c r="AU714" s="35">
        <f t="shared" si="174"/>
        <v>0</v>
      </c>
      <c r="AV714" s="14">
        <f t="shared" si="170"/>
        <v>0</v>
      </c>
      <c r="AX714" s="69">
        <f>SUMIFS(инфо!$C$15:$C$28,инфо!$A$15:$A$28,F714)*H713</f>
        <v>0</v>
      </c>
    </row>
    <row r="715" spans="1:50" x14ac:dyDescent="0.25">
      <c r="A715" s="70">
        <f t="shared" si="161"/>
        <v>46421</v>
      </c>
      <c r="B715" s="75"/>
      <c r="C715" s="29"/>
      <c r="D715" s="30"/>
      <c r="E715" s="11"/>
      <c r="F715" s="28"/>
      <c r="G715" s="27"/>
      <c r="H715" s="20"/>
      <c r="I715" s="118">
        <f>IFERROR(H715*VLOOKUP(F715,инфо!$A$15:$C$28,3,FALSE)/1000,0)</f>
        <v>0</v>
      </c>
      <c r="J715" s="20"/>
      <c r="K715" s="20"/>
      <c r="L715" s="20"/>
      <c r="M715" s="20"/>
      <c r="N715" s="28"/>
      <c r="O715" s="27"/>
      <c r="P715" s="27"/>
      <c r="Q715" s="27"/>
      <c r="R715" s="27"/>
      <c r="S715" s="67">
        <f t="shared" si="171"/>
        <v>0</v>
      </c>
      <c r="T715" s="29"/>
      <c r="U715" s="30"/>
      <c r="V715" s="27"/>
      <c r="W715" s="81"/>
      <c r="X715" s="27"/>
      <c r="Y715" s="29"/>
      <c r="Z715" s="27"/>
      <c r="AA715" s="27"/>
      <c r="AB715" s="27"/>
      <c r="AC715" s="81"/>
      <c r="AD715" s="30"/>
      <c r="AE715" s="31">
        <f>SUMIFS(инфо!$D$15:$D$28,инфо!$A$15:$A$28,F715)</f>
        <v>0</v>
      </c>
      <c r="AF715" s="35">
        <f t="shared" si="162"/>
        <v>0</v>
      </c>
      <c r="AG715" s="33">
        <f t="shared" si="172"/>
        <v>0</v>
      </c>
      <c r="AH715" s="31">
        <f>SUMIFS(инфо!$E$15:$E$28,инфо!$A$15:$A$28,F715)</f>
        <v>0</v>
      </c>
      <c r="AI715" s="32">
        <f t="shared" si="163"/>
        <v>0</v>
      </c>
      <c r="AJ715" s="33">
        <f t="shared" si="173"/>
        <v>0</v>
      </c>
      <c r="AK715" s="31">
        <f>SUMIFS(инфо!$F$15:$F$28,инфо!$A$15:$A$28,F715)</f>
        <v>0</v>
      </c>
      <c r="AL715" s="32">
        <f t="shared" si="164"/>
        <v>0</v>
      </c>
      <c r="AM715" s="33">
        <f t="shared" si="167"/>
        <v>0</v>
      </c>
      <c r="AN715" s="31">
        <f>SUMIFS(инфо!$G$15:$G$28,инфо!$A$15:$A$28,F715)</f>
        <v>0</v>
      </c>
      <c r="AO715" s="32">
        <f t="shared" si="165"/>
        <v>0</v>
      </c>
      <c r="AP715" s="33">
        <f t="shared" si="168"/>
        <v>0</v>
      </c>
      <c r="AQ715" s="31">
        <f>SUMIFS(инфо!$H$15:$H$28,инфо!$A$15:$A$28,F715)</f>
        <v>0</v>
      </c>
      <c r="AR715" s="32">
        <f t="shared" si="166"/>
        <v>0</v>
      </c>
      <c r="AS715" s="33">
        <f t="shared" si="169"/>
        <v>0</v>
      </c>
      <c r="AT715" s="31">
        <f>SUMIFS(инфо!$I$15:$I$28,инфо!$A$15:$A$28,F715)</f>
        <v>0</v>
      </c>
      <c r="AU715" s="35">
        <f t="shared" si="174"/>
        <v>0</v>
      </c>
      <c r="AV715" s="33">
        <f t="shared" si="170"/>
        <v>0</v>
      </c>
      <c r="AX715" s="67">
        <f>SUMIFS(инфо!$C$15:$C$28,инфо!$A$15:$A$28,F715)*H714</f>
        <v>0</v>
      </c>
    </row>
    <row r="716" spans="1:50" x14ac:dyDescent="0.25">
      <c r="A716" s="70">
        <f t="shared" si="161"/>
        <v>46422</v>
      </c>
      <c r="B716" s="76"/>
      <c r="C716" s="15"/>
      <c r="D716" s="16"/>
      <c r="E716" s="11"/>
      <c r="F716" s="28"/>
      <c r="G716" s="34"/>
      <c r="H716" s="20"/>
      <c r="I716" s="118">
        <f>IFERROR(H716*VLOOKUP(F716,инфо!$A$15:$C$28,3,FALSE)/1000,0)</f>
        <v>0</v>
      </c>
      <c r="J716" s="20"/>
      <c r="K716" s="20"/>
      <c r="L716" s="20"/>
      <c r="M716" s="20"/>
      <c r="N716" s="20"/>
      <c r="O716" s="34"/>
      <c r="P716" s="34"/>
      <c r="Q716" s="34"/>
      <c r="R716" s="34"/>
      <c r="S716" s="68">
        <f t="shared" si="171"/>
        <v>0</v>
      </c>
      <c r="T716" s="15"/>
      <c r="U716" s="16"/>
      <c r="V716" s="34"/>
      <c r="W716" s="81"/>
      <c r="X716" s="34"/>
      <c r="Y716" s="15"/>
      <c r="Z716" s="34"/>
      <c r="AA716" s="34"/>
      <c r="AB716" s="34"/>
      <c r="AC716" s="81"/>
      <c r="AD716" s="16"/>
      <c r="AE716" s="24">
        <f>SUMIFS(инфо!$D$15:$D$28,инфо!$A$15:$A$28,F716)</f>
        <v>0</v>
      </c>
      <c r="AF716" s="35">
        <f t="shared" si="162"/>
        <v>0</v>
      </c>
      <c r="AG716" s="12">
        <f t="shared" si="172"/>
        <v>0</v>
      </c>
      <c r="AH716" s="24">
        <f>SUMIFS(инфо!$E$15:$E$28,инфо!$A$15:$A$28,F716)</f>
        <v>0</v>
      </c>
      <c r="AI716" s="32">
        <f t="shared" si="163"/>
        <v>0</v>
      </c>
      <c r="AJ716" s="12">
        <f t="shared" si="173"/>
        <v>0</v>
      </c>
      <c r="AK716" s="24">
        <f>SUMIFS(инфо!$F$15:$F$28,инфо!$A$15:$A$28,F716)</f>
        <v>0</v>
      </c>
      <c r="AL716" s="32">
        <f t="shared" si="164"/>
        <v>0</v>
      </c>
      <c r="AM716" s="12">
        <f t="shared" si="167"/>
        <v>0</v>
      </c>
      <c r="AN716" s="24">
        <f>SUMIFS(инфо!$G$15:$G$28,инфо!$A$15:$A$28,F716)</f>
        <v>0</v>
      </c>
      <c r="AO716" s="32">
        <f t="shared" si="165"/>
        <v>0</v>
      </c>
      <c r="AP716" s="12">
        <f t="shared" si="168"/>
        <v>0</v>
      </c>
      <c r="AQ716" s="24">
        <f>SUMIFS(инфо!$H$15:$H$28,инфо!$A$15:$A$28,F716)</f>
        <v>0</v>
      </c>
      <c r="AR716" s="35">
        <f t="shared" si="166"/>
        <v>0</v>
      </c>
      <c r="AS716" s="12">
        <f t="shared" si="169"/>
        <v>0</v>
      </c>
      <c r="AT716" s="24">
        <f>SUMIFS(инфо!$I$15:$I$28,инфо!$A$15:$A$28,F716)</f>
        <v>0</v>
      </c>
      <c r="AU716" s="35">
        <f t="shared" si="174"/>
        <v>0</v>
      </c>
      <c r="AV716" s="12">
        <f t="shared" si="170"/>
        <v>0</v>
      </c>
      <c r="AX716" s="68">
        <f>SUMIFS(инфо!$C$15:$C$28,инфо!$A$15:$A$28,F716)*H715</f>
        <v>0</v>
      </c>
    </row>
    <row r="717" spans="1:50" x14ac:dyDescent="0.25">
      <c r="A717" s="70">
        <f t="shared" si="161"/>
        <v>46422</v>
      </c>
      <c r="B717" s="76"/>
      <c r="C717" s="15"/>
      <c r="D717" s="16"/>
      <c r="E717" s="11"/>
      <c r="F717" s="28"/>
      <c r="G717" s="34"/>
      <c r="H717" s="23"/>
      <c r="I717" s="118">
        <f>IFERROR(H717*VLOOKUP(F717,инфо!$A$15:$C$28,3,FALSE)/1000,0)</f>
        <v>0</v>
      </c>
      <c r="J717" s="20"/>
      <c r="K717" s="20"/>
      <c r="L717" s="20"/>
      <c r="M717" s="20"/>
      <c r="N717" s="20"/>
      <c r="O717" s="34"/>
      <c r="P717" s="34"/>
      <c r="Q717" s="34"/>
      <c r="R717" s="34"/>
      <c r="S717" s="68">
        <f t="shared" si="171"/>
        <v>0</v>
      </c>
      <c r="T717" s="15"/>
      <c r="U717" s="16"/>
      <c r="V717" s="34"/>
      <c r="W717" s="81"/>
      <c r="X717" s="34"/>
      <c r="Y717" s="15"/>
      <c r="Z717" s="34"/>
      <c r="AA717" s="34"/>
      <c r="AB717" s="34"/>
      <c r="AC717" s="81"/>
      <c r="AD717" s="16"/>
      <c r="AE717" s="24">
        <f>SUMIFS(инфо!$D$15:$D$28,инфо!$A$15:$A$28,F717)</f>
        <v>0</v>
      </c>
      <c r="AF717" s="35">
        <f t="shared" si="162"/>
        <v>0</v>
      </c>
      <c r="AG717" s="12">
        <f t="shared" si="172"/>
        <v>0</v>
      </c>
      <c r="AH717" s="24">
        <f>SUMIFS(инфо!$E$15:$E$28,инфо!$A$15:$A$28,F717)</f>
        <v>0</v>
      </c>
      <c r="AI717" s="32">
        <f t="shared" si="163"/>
        <v>0</v>
      </c>
      <c r="AJ717" s="12">
        <f t="shared" si="173"/>
        <v>0</v>
      </c>
      <c r="AK717" s="24">
        <f>SUMIFS(инфо!$F$15:$F$28,инфо!$A$15:$A$28,F717)</f>
        <v>0</v>
      </c>
      <c r="AL717" s="32">
        <f t="shared" si="164"/>
        <v>0</v>
      </c>
      <c r="AM717" s="12">
        <f t="shared" si="167"/>
        <v>0</v>
      </c>
      <c r="AN717" s="24">
        <f>SUMIFS(инфо!$G$15:$G$28,инфо!$A$15:$A$28,F717)</f>
        <v>0</v>
      </c>
      <c r="AO717" s="32">
        <f t="shared" si="165"/>
        <v>0</v>
      </c>
      <c r="AP717" s="12">
        <f t="shared" si="168"/>
        <v>0</v>
      </c>
      <c r="AQ717" s="24">
        <f>SUMIFS(инфо!$H$15:$H$28,инфо!$A$15:$A$28,F717)</f>
        <v>0</v>
      </c>
      <c r="AR717" s="35">
        <f t="shared" si="166"/>
        <v>0</v>
      </c>
      <c r="AS717" s="12">
        <f t="shared" si="169"/>
        <v>0</v>
      </c>
      <c r="AT717" s="24">
        <f>SUMIFS(инфо!$I$15:$I$28,инфо!$A$15:$A$28,F717)</f>
        <v>0</v>
      </c>
      <c r="AU717" s="35">
        <f t="shared" si="174"/>
        <v>0</v>
      </c>
      <c r="AV717" s="12">
        <f t="shared" si="170"/>
        <v>0</v>
      </c>
      <c r="AX717" s="68">
        <f>SUMIFS(инфо!$C$15:$C$28,инфо!$A$15:$A$28,F717)*H716</f>
        <v>0</v>
      </c>
    </row>
    <row r="718" spans="1:50" x14ac:dyDescent="0.25">
      <c r="A718" s="70">
        <f t="shared" si="161"/>
        <v>46423</v>
      </c>
      <c r="B718" s="77"/>
      <c r="C718" s="17"/>
      <c r="D718" s="18"/>
      <c r="E718" s="11"/>
      <c r="F718" s="28"/>
      <c r="G718" s="19"/>
      <c r="H718" s="28"/>
      <c r="I718" s="118">
        <f>IFERROR(H718*VLOOKUP(F718,инфо!$A$15:$C$28,3,FALSE)/1000,0)</f>
        <v>0</v>
      </c>
      <c r="J718" s="20"/>
      <c r="K718" s="20"/>
      <c r="L718" s="20"/>
      <c r="M718" s="20"/>
      <c r="N718" s="23"/>
      <c r="O718" s="19"/>
      <c r="P718" s="19"/>
      <c r="Q718" s="19"/>
      <c r="R718" s="19"/>
      <c r="S718" s="69">
        <f t="shared" si="171"/>
        <v>0</v>
      </c>
      <c r="T718" s="17"/>
      <c r="U718" s="18"/>
      <c r="V718" s="19"/>
      <c r="W718" s="81"/>
      <c r="X718" s="19"/>
      <c r="Y718" s="17"/>
      <c r="Z718" s="19"/>
      <c r="AA718" s="19"/>
      <c r="AB718" s="19"/>
      <c r="AC718" s="81"/>
      <c r="AD718" s="18"/>
      <c r="AE718" s="25">
        <f>SUMIFS(инфо!$D$15:$D$28,инфо!$A$15:$A$28,F718)</f>
        <v>0</v>
      </c>
      <c r="AF718" s="35">
        <f t="shared" si="162"/>
        <v>0</v>
      </c>
      <c r="AG718" s="14">
        <f t="shared" si="172"/>
        <v>0</v>
      </c>
      <c r="AH718" s="25">
        <f>SUMIFS(инфо!$E$15:$E$28,инфо!$A$15:$A$28,F718)</f>
        <v>0</v>
      </c>
      <c r="AI718" s="32">
        <f t="shared" si="163"/>
        <v>0</v>
      </c>
      <c r="AJ718" s="14">
        <f t="shared" si="173"/>
        <v>0</v>
      </c>
      <c r="AK718" s="25">
        <f>SUMIFS(инфо!$F$15:$F$28,инфо!$A$15:$A$28,F718)</f>
        <v>0</v>
      </c>
      <c r="AL718" s="32">
        <f t="shared" si="164"/>
        <v>0</v>
      </c>
      <c r="AM718" s="14">
        <f t="shared" si="167"/>
        <v>0</v>
      </c>
      <c r="AN718" s="25">
        <f>SUMIFS(инфо!$G$15:$G$28,инфо!$A$15:$A$28,F718)</f>
        <v>0</v>
      </c>
      <c r="AO718" s="32">
        <f t="shared" si="165"/>
        <v>0</v>
      </c>
      <c r="AP718" s="14">
        <f t="shared" si="168"/>
        <v>0</v>
      </c>
      <c r="AQ718" s="25">
        <f>SUMIFS(инфо!$H$15:$H$28,инфо!$A$15:$A$28,F718)</f>
        <v>0</v>
      </c>
      <c r="AR718" s="26">
        <f t="shared" si="166"/>
        <v>0</v>
      </c>
      <c r="AS718" s="14">
        <f t="shared" si="169"/>
        <v>0</v>
      </c>
      <c r="AT718" s="25">
        <f>SUMIFS(инфо!$I$15:$I$28,инфо!$A$15:$A$28,F718)</f>
        <v>0</v>
      </c>
      <c r="AU718" s="35">
        <f t="shared" si="174"/>
        <v>0</v>
      </c>
      <c r="AV718" s="14">
        <f t="shared" si="170"/>
        <v>0</v>
      </c>
      <c r="AX718" s="69">
        <f>SUMIFS(инфо!$C$15:$C$28,инфо!$A$15:$A$28,F718)*H717</f>
        <v>0</v>
      </c>
    </row>
    <row r="719" spans="1:50" x14ac:dyDescent="0.25">
      <c r="A719" s="70">
        <f t="shared" si="161"/>
        <v>46423</v>
      </c>
      <c r="B719" s="75"/>
      <c r="C719" s="29"/>
      <c r="D719" s="30"/>
      <c r="E719" s="11"/>
      <c r="F719" s="28"/>
      <c r="G719" s="27"/>
      <c r="H719" s="20"/>
      <c r="I719" s="118">
        <f>IFERROR(H719*VLOOKUP(F719,инфо!$A$15:$C$28,3,FALSE)/1000,0)</f>
        <v>0</v>
      </c>
      <c r="J719" s="20"/>
      <c r="K719" s="20"/>
      <c r="L719" s="20"/>
      <c r="M719" s="20"/>
      <c r="N719" s="28"/>
      <c r="O719" s="27"/>
      <c r="P719" s="27"/>
      <c r="Q719" s="27"/>
      <c r="R719" s="27"/>
      <c r="S719" s="67">
        <f t="shared" si="171"/>
        <v>0</v>
      </c>
      <c r="T719" s="29"/>
      <c r="U719" s="30"/>
      <c r="V719" s="27"/>
      <c r="W719" s="81"/>
      <c r="X719" s="27"/>
      <c r="Y719" s="29"/>
      <c r="Z719" s="27"/>
      <c r="AA719" s="27"/>
      <c r="AB719" s="27"/>
      <c r="AC719" s="81"/>
      <c r="AD719" s="30"/>
      <c r="AE719" s="31">
        <f>SUMIFS(инфо!$D$15:$D$28,инфо!$A$15:$A$28,F719)</f>
        <v>0</v>
      </c>
      <c r="AF719" s="35">
        <f t="shared" si="162"/>
        <v>0</v>
      </c>
      <c r="AG719" s="33">
        <f t="shared" si="172"/>
        <v>0</v>
      </c>
      <c r="AH719" s="31">
        <f>SUMIFS(инфо!$E$15:$E$28,инфо!$A$15:$A$28,F719)</f>
        <v>0</v>
      </c>
      <c r="AI719" s="32">
        <f t="shared" si="163"/>
        <v>0</v>
      </c>
      <c r="AJ719" s="33">
        <f t="shared" si="173"/>
        <v>0</v>
      </c>
      <c r="AK719" s="31">
        <f>SUMIFS(инфо!$F$15:$F$28,инфо!$A$15:$A$28,F719)</f>
        <v>0</v>
      </c>
      <c r="AL719" s="32">
        <f t="shared" si="164"/>
        <v>0</v>
      </c>
      <c r="AM719" s="33">
        <f t="shared" si="167"/>
        <v>0</v>
      </c>
      <c r="AN719" s="31">
        <f>SUMIFS(инфо!$G$15:$G$28,инфо!$A$15:$A$28,F719)</f>
        <v>0</v>
      </c>
      <c r="AO719" s="32">
        <f t="shared" si="165"/>
        <v>0</v>
      </c>
      <c r="AP719" s="33">
        <f t="shared" si="168"/>
        <v>0</v>
      </c>
      <c r="AQ719" s="31">
        <f>SUMIFS(инфо!$H$15:$H$28,инфо!$A$15:$A$28,F719)</f>
        <v>0</v>
      </c>
      <c r="AR719" s="32">
        <f t="shared" si="166"/>
        <v>0</v>
      </c>
      <c r="AS719" s="33">
        <f t="shared" si="169"/>
        <v>0</v>
      </c>
      <c r="AT719" s="31">
        <f>SUMIFS(инфо!$I$15:$I$28,инфо!$A$15:$A$28,F719)</f>
        <v>0</v>
      </c>
      <c r="AU719" s="35">
        <f t="shared" si="174"/>
        <v>0</v>
      </c>
      <c r="AV719" s="33">
        <f t="shared" si="170"/>
        <v>0</v>
      </c>
      <c r="AX719" s="67">
        <f>SUMIFS(инфо!$C$15:$C$28,инфо!$A$15:$A$28,F719)*H718</f>
        <v>0</v>
      </c>
    </row>
    <row r="720" spans="1:50" x14ac:dyDescent="0.25">
      <c r="A720" s="70">
        <f t="shared" si="161"/>
        <v>46424</v>
      </c>
      <c r="B720" s="76"/>
      <c r="C720" s="15"/>
      <c r="D720" s="16"/>
      <c r="E720" s="11"/>
      <c r="F720" s="28"/>
      <c r="G720" s="34"/>
      <c r="H720" s="20"/>
      <c r="I720" s="118">
        <f>IFERROR(H720*VLOOKUP(F720,инфо!$A$15:$C$28,3,FALSE)/1000,0)</f>
        <v>0</v>
      </c>
      <c r="J720" s="20"/>
      <c r="K720" s="20"/>
      <c r="L720" s="20"/>
      <c r="M720" s="20"/>
      <c r="N720" s="20"/>
      <c r="O720" s="34"/>
      <c r="P720" s="34"/>
      <c r="Q720" s="34"/>
      <c r="R720" s="34"/>
      <c r="S720" s="68">
        <f t="shared" si="171"/>
        <v>0</v>
      </c>
      <c r="T720" s="15"/>
      <c r="U720" s="16"/>
      <c r="V720" s="34"/>
      <c r="W720" s="81"/>
      <c r="X720" s="34"/>
      <c r="Y720" s="15"/>
      <c r="Z720" s="34"/>
      <c r="AA720" s="34"/>
      <c r="AB720" s="34"/>
      <c r="AC720" s="81"/>
      <c r="AD720" s="16"/>
      <c r="AE720" s="24">
        <f>SUMIFS(инфо!$D$15:$D$28,инфо!$A$15:$A$28,F720)</f>
        <v>0</v>
      </c>
      <c r="AF720" s="35">
        <f t="shared" si="162"/>
        <v>0</v>
      </c>
      <c r="AG720" s="12">
        <f t="shared" si="172"/>
        <v>0</v>
      </c>
      <c r="AH720" s="24">
        <f>SUMIFS(инфо!$E$15:$E$28,инфо!$A$15:$A$28,F720)</f>
        <v>0</v>
      </c>
      <c r="AI720" s="32">
        <f t="shared" si="163"/>
        <v>0</v>
      </c>
      <c r="AJ720" s="12">
        <f t="shared" si="173"/>
        <v>0</v>
      </c>
      <c r="AK720" s="24">
        <f>SUMIFS(инфо!$F$15:$F$28,инфо!$A$15:$A$28,F720)</f>
        <v>0</v>
      </c>
      <c r="AL720" s="32">
        <f t="shared" si="164"/>
        <v>0</v>
      </c>
      <c r="AM720" s="12">
        <f t="shared" si="167"/>
        <v>0</v>
      </c>
      <c r="AN720" s="24">
        <f>SUMIFS(инфо!$G$15:$G$28,инфо!$A$15:$A$28,F720)</f>
        <v>0</v>
      </c>
      <c r="AO720" s="32">
        <f t="shared" si="165"/>
        <v>0</v>
      </c>
      <c r="AP720" s="12">
        <f t="shared" si="168"/>
        <v>0</v>
      </c>
      <c r="AQ720" s="24">
        <f>SUMIFS(инфо!$H$15:$H$28,инфо!$A$15:$A$28,F720)</f>
        <v>0</v>
      </c>
      <c r="AR720" s="35">
        <f t="shared" si="166"/>
        <v>0</v>
      </c>
      <c r="AS720" s="12">
        <f t="shared" si="169"/>
        <v>0</v>
      </c>
      <c r="AT720" s="24">
        <f>SUMIFS(инфо!$I$15:$I$28,инфо!$A$15:$A$28,F720)</f>
        <v>0</v>
      </c>
      <c r="AU720" s="35">
        <f t="shared" si="174"/>
        <v>0</v>
      </c>
      <c r="AV720" s="12">
        <f t="shared" si="170"/>
        <v>0</v>
      </c>
      <c r="AX720" s="68">
        <f>SUMIFS(инфо!$C$15:$C$28,инфо!$A$15:$A$28,F720)*H719</f>
        <v>0</v>
      </c>
    </row>
    <row r="721" spans="1:50" x14ac:dyDescent="0.25">
      <c r="A721" s="70">
        <f t="shared" si="161"/>
        <v>46424</v>
      </c>
      <c r="B721" s="76"/>
      <c r="C721" s="15"/>
      <c r="D721" s="16"/>
      <c r="E721" s="11"/>
      <c r="F721" s="28"/>
      <c r="G721" s="34"/>
      <c r="H721" s="23"/>
      <c r="I721" s="118">
        <f>IFERROR(H721*VLOOKUP(F721,инфо!$A$15:$C$28,3,FALSE)/1000,0)</f>
        <v>0</v>
      </c>
      <c r="J721" s="20"/>
      <c r="K721" s="20"/>
      <c r="L721" s="20"/>
      <c r="M721" s="20"/>
      <c r="N721" s="20"/>
      <c r="O721" s="34"/>
      <c r="P721" s="34"/>
      <c r="Q721" s="34"/>
      <c r="R721" s="34"/>
      <c r="S721" s="68">
        <f t="shared" si="171"/>
        <v>0</v>
      </c>
      <c r="T721" s="15"/>
      <c r="U721" s="16"/>
      <c r="V721" s="34"/>
      <c r="W721" s="81"/>
      <c r="X721" s="34"/>
      <c r="Y721" s="15"/>
      <c r="Z721" s="34"/>
      <c r="AA721" s="34"/>
      <c r="AB721" s="34"/>
      <c r="AC721" s="81"/>
      <c r="AD721" s="16"/>
      <c r="AE721" s="24">
        <f>SUMIFS(инфо!$D$15:$D$28,инфо!$A$15:$A$28,F721)</f>
        <v>0</v>
      </c>
      <c r="AF721" s="35">
        <f t="shared" si="162"/>
        <v>0</v>
      </c>
      <c r="AG721" s="12">
        <f t="shared" si="172"/>
        <v>0</v>
      </c>
      <c r="AH721" s="24">
        <f>SUMIFS(инфо!$E$15:$E$28,инфо!$A$15:$A$28,F721)</f>
        <v>0</v>
      </c>
      <c r="AI721" s="32">
        <f t="shared" si="163"/>
        <v>0</v>
      </c>
      <c r="AJ721" s="12">
        <f t="shared" si="173"/>
        <v>0</v>
      </c>
      <c r="AK721" s="24">
        <f>SUMIFS(инфо!$F$15:$F$28,инфо!$A$15:$A$28,F721)</f>
        <v>0</v>
      </c>
      <c r="AL721" s="32">
        <f t="shared" si="164"/>
        <v>0</v>
      </c>
      <c r="AM721" s="12">
        <f t="shared" si="167"/>
        <v>0</v>
      </c>
      <c r="AN721" s="24">
        <f>SUMIFS(инфо!$G$15:$G$28,инфо!$A$15:$A$28,F721)</f>
        <v>0</v>
      </c>
      <c r="AO721" s="32">
        <f t="shared" si="165"/>
        <v>0</v>
      </c>
      <c r="AP721" s="12">
        <f t="shared" si="168"/>
        <v>0</v>
      </c>
      <c r="AQ721" s="24">
        <f>SUMIFS(инфо!$H$15:$H$28,инфо!$A$15:$A$28,F721)</f>
        <v>0</v>
      </c>
      <c r="AR721" s="35">
        <f t="shared" si="166"/>
        <v>0</v>
      </c>
      <c r="AS721" s="12">
        <f t="shared" si="169"/>
        <v>0</v>
      </c>
      <c r="AT721" s="24">
        <f>SUMIFS(инфо!$I$15:$I$28,инфо!$A$15:$A$28,F721)</f>
        <v>0</v>
      </c>
      <c r="AU721" s="35">
        <f t="shared" si="174"/>
        <v>0</v>
      </c>
      <c r="AV721" s="12">
        <f t="shared" si="170"/>
        <v>0</v>
      </c>
      <c r="AX721" s="68">
        <f>SUMIFS(инфо!$C$15:$C$28,инфо!$A$15:$A$28,F721)*H720</f>
        <v>0</v>
      </c>
    </row>
    <row r="722" spans="1:50" x14ac:dyDescent="0.25">
      <c r="A722" s="70">
        <f t="shared" si="161"/>
        <v>46425</v>
      </c>
      <c r="B722" s="77"/>
      <c r="C722" s="17"/>
      <c r="D722" s="18"/>
      <c r="E722" s="11"/>
      <c r="F722" s="28"/>
      <c r="G722" s="19"/>
      <c r="H722" s="28"/>
      <c r="I722" s="118">
        <f>IFERROR(H722*VLOOKUP(F722,инфо!$A$15:$C$28,3,FALSE)/1000,0)</f>
        <v>0</v>
      </c>
      <c r="J722" s="20"/>
      <c r="K722" s="20"/>
      <c r="L722" s="20"/>
      <c r="M722" s="20"/>
      <c r="N722" s="23"/>
      <c r="O722" s="19"/>
      <c r="P722" s="19"/>
      <c r="Q722" s="19"/>
      <c r="R722" s="19"/>
      <c r="S722" s="69">
        <f t="shared" si="171"/>
        <v>0</v>
      </c>
      <c r="T722" s="17"/>
      <c r="U722" s="18"/>
      <c r="V722" s="19"/>
      <c r="W722" s="81"/>
      <c r="X722" s="19"/>
      <c r="Y722" s="17"/>
      <c r="Z722" s="19"/>
      <c r="AA722" s="19"/>
      <c r="AB722" s="19"/>
      <c r="AC722" s="81"/>
      <c r="AD722" s="18"/>
      <c r="AE722" s="25">
        <f>SUMIFS(инфо!$D$15:$D$28,инфо!$A$15:$A$28,F722)</f>
        <v>0</v>
      </c>
      <c r="AF722" s="35">
        <f t="shared" si="162"/>
        <v>0</v>
      </c>
      <c r="AG722" s="14">
        <f t="shared" si="172"/>
        <v>0</v>
      </c>
      <c r="AH722" s="25">
        <f>SUMIFS(инфо!$E$15:$E$28,инфо!$A$15:$A$28,F722)</f>
        <v>0</v>
      </c>
      <c r="AI722" s="32">
        <f t="shared" si="163"/>
        <v>0</v>
      </c>
      <c r="AJ722" s="14">
        <f t="shared" si="173"/>
        <v>0</v>
      </c>
      <c r="AK722" s="25">
        <f>SUMIFS(инфо!$F$15:$F$28,инфо!$A$15:$A$28,F722)</f>
        <v>0</v>
      </c>
      <c r="AL722" s="32">
        <f t="shared" si="164"/>
        <v>0</v>
      </c>
      <c r="AM722" s="14">
        <f t="shared" si="167"/>
        <v>0</v>
      </c>
      <c r="AN722" s="25">
        <f>SUMIFS(инфо!$G$15:$G$28,инфо!$A$15:$A$28,F722)</f>
        <v>0</v>
      </c>
      <c r="AO722" s="32">
        <f t="shared" si="165"/>
        <v>0</v>
      </c>
      <c r="AP722" s="14">
        <f t="shared" si="168"/>
        <v>0</v>
      </c>
      <c r="AQ722" s="25">
        <f>SUMIFS(инфо!$H$15:$H$28,инфо!$A$15:$A$28,F722)</f>
        <v>0</v>
      </c>
      <c r="AR722" s="26">
        <f t="shared" si="166"/>
        <v>0</v>
      </c>
      <c r="AS722" s="14">
        <f t="shared" si="169"/>
        <v>0</v>
      </c>
      <c r="AT722" s="25">
        <f>SUMIFS(инфо!$I$15:$I$28,инфо!$A$15:$A$28,F722)</f>
        <v>0</v>
      </c>
      <c r="AU722" s="35">
        <f t="shared" si="174"/>
        <v>0</v>
      </c>
      <c r="AV722" s="14">
        <f t="shared" si="170"/>
        <v>0</v>
      </c>
      <c r="AX722" s="69">
        <f>SUMIFS(инфо!$C$15:$C$28,инфо!$A$15:$A$28,F722)*H721</f>
        <v>0</v>
      </c>
    </row>
    <row r="723" spans="1:50" x14ac:dyDescent="0.25">
      <c r="A723" s="70">
        <f t="shared" si="161"/>
        <v>46425</v>
      </c>
      <c r="B723" s="75"/>
      <c r="C723" s="29"/>
      <c r="D723" s="30"/>
      <c r="E723" s="11"/>
      <c r="F723" s="28"/>
      <c r="G723" s="27"/>
      <c r="H723" s="20"/>
      <c r="I723" s="118">
        <f>IFERROR(H723*VLOOKUP(F723,инфо!$A$15:$C$28,3,FALSE)/1000,0)</f>
        <v>0</v>
      </c>
      <c r="J723" s="20"/>
      <c r="K723" s="20"/>
      <c r="L723" s="20"/>
      <c r="M723" s="20"/>
      <c r="N723" s="28"/>
      <c r="O723" s="27"/>
      <c r="P723" s="27"/>
      <c r="Q723" s="27"/>
      <c r="R723" s="27"/>
      <c r="S723" s="67">
        <f t="shared" si="171"/>
        <v>0</v>
      </c>
      <c r="T723" s="29"/>
      <c r="U723" s="30"/>
      <c r="V723" s="27"/>
      <c r="W723" s="81"/>
      <c r="X723" s="27"/>
      <c r="Y723" s="29"/>
      <c r="Z723" s="27"/>
      <c r="AA723" s="27"/>
      <c r="AB723" s="27"/>
      <c r="AC723" s="81"/>
      <c r="AD723" s="30"/>
      <c r="AE723" s="31">
        <f>SUMIFS(инфо!$D$15:$D$28,инфо!$A$15:$A$28,F723)</f>
        <v>0</v>
      </c>
      <c r="AF723" s="35">
        <f t="shared" si="162"/>
        <v>0</v>
      </c>
      <c r="AG723" s="33">
        <f t="shared" si="172"/>
        <v>0</v>
      </c>
      <c r="AH723" s="31">
        <f>SUMIFS(инфо!$E$15:$E$28,инфо!$A$15:$A$28,F723)</f>
        <v>0</v>
      </c>
      <c r="AI723" s="32">
        <f t="shared" si="163"/>
        <v>0</v>
      </c>
      <c r="AJ723" s="33">
        <f t="shared" si="173"/>
        <v>0</v>
      </c>
      <c r="AK723" s="31">
        <f>SUMIFS(инфо!$F$15:$F$28,инфо!$A$15:$A$28,F723)</f>
        <v>0</v>
      </c>
      <c r="AL723" s="32">
        <f t="shared" si="164"/>
        <v>0</v>
      </c>
      <c r="AM723" s="33">
        <f t="shared" si="167"/>
        <v>0</v>
      </c>
      <c r="AN723" s="31">
        <f>SUMIFS(инфо!$G$15:$G$28,инфо!$A$15:$A$28,F723)</f>
        <v>0</v>
      </c>
      <c r="AO723" s="32">
        <f t="shared" si="165"/>
        <v>0</v>
      </c>
      <c r="AP723" s="33">
        <f t="shared" si="168"/>
        <v>0</v>
      </c>
      <c r="AQ723" s="31">
        <f>SUMIFS(инфо!$H$15:$H$28,инфо!$A$15:$A$28,F723)</f>
        <v>0</v>
      </c>
      <c r="AR723" s="32">
        <f t="shared" si="166"/>
        <v>0</v>
      </c>
      <c r="AS723" s="33">
        <f t="shared" si="169"/>
        <v>0</v>
      </c>
      <c r="AT723" s="31">
        <f>SUMIFS(инфо!$I$15:$I$28,инфо!$A$15:$A$28,F723)</f>
        <v>0</v>
      </c>
      <c r="AU723" s="35">
        <f t="shared" si="174"/>
        <v>0</v>
      </c>
      <c r="AV723" s="33">
        <f t="shared" si="170"/>
        <v>0</v>
      </c>
      <c r="AX723" s="67">
        <f>SUMIFS(инфо!$C$15:$C$28,инфо!$A$15:$A$28,F723)*H722</f>
        <v>0</v>
      </c>
    </row>
    <row r="724" spans="1:50" x14ac:dyDescent="0.25">
      <c r="A724" s="70">
        <f t="shared" si="161"/>
        <v>46426</v>
      </c>
      <c r="B724" s="76"/>
      <c r="C724" s="15"/>
      <c r="D724" s="16"/>
      <c r="E724" s="11"/>
      <c r="F724" s="28"/>
      <c r="G724" s="34"/>
      <c r="H724" s="20"/>
      <c r="I724" s="118">
        <f>IFERROR(H724*VLOOKUP(F724,инфо!$A$15:$C$28,3,FALSE)/1000,0)</f>
        <v>0</v>
      </c>
      <c r="J724" s="20"/>
      <c r="K724" s="20"/>
      <c r="L724" s="20"/>
      <c r="M724" s="20"/>
      <c r="N724" s="20"/>
      <c r="O724" s="34"/>
      <c r="P724" s="34"/>
      <c r="Q724" s="34"/>
      <c r="R724" s="34"/>
      <c r="S724" s="68">
        <f t="shared" si="171"/>
        <v>0</v>
      </c>
      <c r="T724" s="15"/>
      <c r="U724" s="16"/>
      <c r="V724" s="34"/>
      <c r="W724" s="81"/>
      <c r="X724" s="34"/>
      <c r="Y724" s="15"/>
      <c r="Z724" s="34"/>
      <c r="AA724" s="34"/>
      <c r="AB724" s="34"/>
      <c r="AC724" s="81"/>
      <c r="AD724" s="16"/>
      <c r="AE724" s="24">
        <f>SUMIFS(инфо!$D$15:$D$28,инфо!$A$15:$A$28,F724)</f>
        <v>0</v>
      </c>
      <c r="AF724" s="35">
        <f t="shared" si="162"/>
        <v>0</v>
      </c>
      <c r="AG724" s="12">
        <f t="shared" si="172"/>
        <v>0</v>
      </c>
      <c r="AH724" s="24">
        <f>SUMIFS(инфо!$E$15:$E$28,инфо!$A$15:$A$28,F724)</f>
        <v>0</v>
      </c>
      <c r="AI724" s="32">
        <f t="shared" si="163"/>
        <v>0</v>
      </c>
      <c r="AJ724" s="12">
        <f t="shared" si="173"/>
        <v>0</v>
      </c>
      <c r="AK724" s="24">
        <f>SUMIFS(инфо!$F$15:$F$28,инфо!$A$15:$A$28,F724)</f>
        <v>0</v>
      </c>
      <c r="AL724" s="32">
        <f t="shared" si="164"/>
        <v>0</v>
      </c>
      <c r="AM724" s="12">
        <f t="shared" si="167"/>
        <v>0</v>
      </c>
      <c r="AN724" s="24">
        <f>SUMIFS(инфо!$G$15:$G$28,инфо!$A$15:$A$28,F724)</f>
        <v>0</v>
      </c>
      <c r="AO724" s="32">
        <f t="shared" si="165"/>
        <v>0</v>
      </c>
      <c r="AP724" s="12">
        <f t="shared" si="168"/>
        <v>0</v>
      </c>
      <c r="AQ724" s="24">
        <f>SUMIFS(инфо!$H$15:$H$28,инфо!$A$15:$A$28,F724)</f>
        <v>0</v>
      </c>
      <c r="AR724" s="35">
        <f t="shared" si="166"/>
        <v>0</v>
      </c>
      <c r="AS724" s="12">
        <f t="shared" si="169"/>
        <v>0</v>
      </c>
      <c r="AT724" s="24">
        <f>SUMIFS(инфо!$I$15:$I$28,инфо!$A$15:$A$28,F724)</f>
        <v>0</v>
      </c>
      <c r="AU724" s="35">
        <f t="shared" si="174"/>
        <v>0</v>
      </c>
      <c r="AV724" s="12">
        <f t="shared" si="170"/>
        <v>0</v>
      </c>
      <c r="AX724" s="68">
        <f>SUMIFS(инфо!$C$15:$C$28,инфо!$A$15:$A$28,F724)*H723</f>
        <v>0</v>
      </c>
    </row>
    <row r="725" spans="1:50" x14ac:dyDescent="0.25">
      <c r="A725" s="70">
        <f t="shared" si="161"/>
        <v>46426</v>
      </c>
      <c r="B725" s="76"/>
      <c r="C725" s="15"/>
      <c r="D725" s="16"/>
      <c r="E725" s="11"/>
      <c r="F725" s="28"/>
      <c r="G725" s="34"/>
      <c r="H725" s="23"/>
      <c r="I725" s="118">
        <f>IFERROR(H725*VLOOKUP(F725,инфо!$A$15:$C$28,3,FALSE)/1000,0)</f>
        <v>0</v>
      </c>
      <c r="J725" s="20"/>
      <c r="K725" s="20"/>
      <c r="L725" s="20"/>
      <c r="M725" s="20"/>
      <c r="N725" s="20"/>
      <c r="O725" s="34"/>
      <c r="P725" s="34"/>
      <c r="Q725" s="34"/>
      <c r="R725" s="34"/>
      <c r="S725" s="68">
        <f t="shared" si="171"/>
        <v>0</v>
      </c>
      <c r="T725" s="15"/>
      <c r="U725" s="16"/>
      <c r="V725" s="34"/>
      <c r="W725" s="81"/>
      <c r="X725" s="34"/>
      <c r="Y725" s="15"/>
      <c r="Z725" s="34"/>
      <c r="AA725" s="34"/>
      <c r="AB725" s="34"/>
      <c r="AC725" s="81"/>
      <c r="AD725" s="16"/>
      <c r="AE725" s="24">
        <f>SUMIFS(инфо!$D$15:$D$28,инфо!$A$15:$A$28,F725)</f>
        <v>0</v>
      </c>
      <c r="AF725" s="35">
        <f t="shared" si="162"/>
        <v>0</v>
      </c>
      <c r="AG725" s="12">
        <f t="shared" si="172"/>
        <v>0</v>
      </c>
      <c r="AH725" s="24">
        <f>SUMIFS(инфо!$E$15:$E$28,инфо!$A$15:$A$28,F725)</f>
        <v>0</v>
      </c>
      <c r="AI725" s="32">
        <f t="shared" si="163"/>
        <v>0</v>
      </c>
      <c r="AJ725" s="12">
        <f t="shared" si="173"/>
        <v>0</v>
      </c>
      <c r="AK725" s="24">
        <f>SUMIFS(инфо!$F$15:$F$28,инфо!$A$15:$A$28,F725)</f>
        <v>0</v>
      </c>
      <c r="AL725" s="32">
        <f t="shared" si="164"/>
        <v>0</v>
      </c>
      <c r="AM725" s="12">
        <f t="shared" si="167"/>
        <v>0</v>
      </c>
      <c r="AN725" s="24">
        <f>SUMIFS(инфо!$G$15:$G$28,инфо!$A$15:$A$28,F725)</f>
        <v>0</v>
      </c>
      <c r="AO725" s="32">
        <f t="shared" si="165"/>
        <v>0</v>
      </c>
      <c r="AP725" s="12">
        <f t="shared" si="168"/>
        <v>0</v>
      </c>
      <c r="AQ725" s="24">
        <f>SUMIFS(инфо!$H$15:$H$28,инфо!$A$15:$A$28,F725)</f>
        <v>0</v>
      </c>
      <c r="AR725" s="35">
        <f t="shared" si="166"/>
        <v>0</v>
      </c>
      <c r="AS725" s="12">
        <f t="shared" si="169"/>
        <v>0</v>
      </c>
      <c r="AT725" s="24">
        <f>SUMIFS(инфо!$I$15:$I$28,инфо!$A$15:$A$28,F725)</f>
        <v>0</v>
      </c>
      <c r="AU725" s="35">
        <f t="shared" si="174"/>
        <v>0</v>
      </c>
      <c r="AV725" s="12">
        <f t="shared" si="170"/>
        <v>0</v>
      </c>
      <c r="AX725" s="68">
        <f>SUMIFS(инфо!$C$15:$C$28,инфо!$A$15:$A$28,F725)*H724</f>
        <v>0</v>
      </c>
    </row>
    <row r="726" spans="1:50" x14ac:dyDescent="0.25">
      <c r="A726" s="70">
        <f t="shared" si="161"/>
        <v>46427</v>
      </c>
      <c r="B726" s="77"/>
      <c r="C726" s="17"/>
      <c r="D726" s="18"/>
      <c r="E726" s="11"/>
      <c r="F726" s="28"/>
      <c r="G726" s="19"/>
      <c r="H726" s="28"/>
      <c r="I726" s="118">
        <f>IFERROR(H726*VLOOKUP(F726,инфо!$A$15:$C$28,3,FALSE)/1000,0)</f>
        <v>0</v>
      </c>
      <c r="J726" s="20"/>
      <c r="K726" s="20"/>
      <c r="L726" s="20"/>
      <c r="M726" s="20"/>
      <c r="N726" s="23"/>
      <c r="O726" s="19"/>
      <c r="P726" s="19"/>
      <c r="Q726" s="19"/>
      <c r="R726" s="19"/>
      <c r="S726" s="69">
        <f t="shared" si="171"/>
        <v>0</v>
      </c>
      <c r="T726" s="17"/>
      <c r="U726" s="18"/>
      <c r="V726" s="19"/>
      <c r="W726" s="81"/>
      <c r="X726" s="19"/>
      <c r="Y726" s="17"/>
      <c r="Z726" s="19"/>
      <c r="AA726" s="19"/>
      <c r="AB726" s="19"/>
      <c r="AC726" s="81"/>
      <c r="AD726" s="18"/>
      <c r="AE726" s="25">
        <f>SUMIFS(инфо!$D$15:$D$28,инфо!$A$15:$A$28,F726)</f>
        <v>0</v>
      </c>
      <c r="AF726" s="35">
        <f t="shared" si="162"/>
        <v>0</v>
      </c>
      <c r="AG726" s="14">
        <f t="shared" si="172"/>
        <v>0</v>
      </c>
      <c r="AH726" s="25">
        <f>SUMIFS(инфо!$E$15:$E$28,инфо!$A$15:$A$28,F726)</f>
        <v>0</v>
      </c>
      <c r="AI726" s="32">
        <f t="shared" si="163"/>
        <v>0</v>
      </c>
      <c r="AJ726" s="14">
        <f t="shared" si="173"/>
        <v>0</v>
      </c>
      <c r="AK726" s="25">
        <f>SUMIFS(инфо!$F$15:$F$28,инфо!$A$15:$A$28,F726)</f>
        <v>0</v>
      </c>
      <c r="AL726" s="32">
        <f t="shared" si="164"/>
        <v>0</v>
      </c>
      <c r="AM726" s="14">
        <f t="shared" si="167"/>
        <v>0</v>
      </c>
      <c r="AN726" s="25">
        <f>SUMIFS(инфо!$G$15:$G$28,инфо!$A$15:$A$28,F726)</f>
        <v>0</v>
      </c>
      <c r="AO726" s="32">
        <f t="shared" si="165"/>
        <v>0</v>
      </c>
      <c r="AP726" s="14">
        <f t="shared" si="168"/>
        <v>0</v>
      </c>
      <c r="AQ726" s="25">
        <f>SUMIFS(инфо!$H$15:$H$28,инфо!$A$15:$A$28,F726)</f>
        <v>0</v>
      </c>
      <c r="AR726" s="26">
        <f t="shared" si="166"/>
        <v>0</v>
      </c>
      <c r="AS726" s="14">
        <f t="shared" si="169"/>
        <v>0</v>
      </c>
      <c r="AT726" s="25">
        <f>SUMIFS(инфо!$I$15:$I$28,инфо!$A$15:$A$28,F726)</f>
        <v>0</v>
      </c>
      <c r="AU726" s="35">
        <f t="shared" si="174"/>
        <v>0</v>
      </c>
      <c r="AV726" s="14">
        <f t="shared" si="170"/>
        <v>0</v>
      </c>
      <c r="AX726" s="69">
        <f>SUMIFS(инфо!$C$15:$C$28,инфо!$A$15:$A$28,F726)*H725</f>
        <v>0</v>
      </c>
    </row>
    <row r="727" spans="1:50" x14ac:dyDescent="0.25">
      <c r="A727" s="70">
        <f t="shared" si="161"/>
        <v>46427</v>
      </c>
      <c r="B727" s="75"/>
      <c r="C727" s="29"/>
      <c r="D727" s="30"/>
      <c r="E727" s="11"/>
      <c r="F727" s="28"/>
      <c r="G727" s="27"/>
      <c r="H727" s="20"/>
      <c r="I727" s="118">
        <f>IFERROR(H727*VLOOKUP(F727,инфо!$A$15:$C$28,3,FALSE)/1000,0)</f>
        <v>0</v>
      </c>
      <c r="J727" s="20"/>
      <c r="K727" s="20"/>
      <c r="L727" s="20"/>
      <c r="M727" s="20"/>
      <c r="N727" s="28"/>
      <c r="O727" s="27"/>
      <c r="P727" s="27"/>
      <c r="Q727" s="27"/>
      <c r="R727" s="27"/>
      <c r="S727" s="67">
        <f t="shared" si="171"/>
        <v>0</v>
      </c>
      <c r="T727" s="29"/>
      <c r="U727" s="30"/>
      <c r="V727" s="27"/>
      <c r="W727" s="81"/>
      <c r="X727" s="27"/>
      <c r="Y727" s="29"/>
      <c r="Z727" s="27"/>
      <c r="AA727" s="27"/>
      <c r="AB727" s="27"/>
      <c r="AC727" s="81"/>
      <c r="AD727" s="30"/>
      <c r="AE727" s="31">
        <f>SUMIFS(инфо!$D$15:$D$28,инфо!$A$15:$A$28,F727)</f>
        <v>0</v>
      </c>
      <c r="AF727" s="35">
        <f t="shared" si="162"/>
        <v>0</v>
      </c>
      <c r="AG727" s="33">
        <f t="shared" si="172"/>
        <v>0</v>
      </c>
      <c r="AH727" s="31">
        <f>SUMIFS(инфо!$E$15:$E$28,инфо!$A$15:$A$28,F727)</f>
        <v>0</v>
      </c>
      <c r="AI727" s="32">
        <f t="shared" si="163"/>
        <v>0</v>
      </c>
      <c r="AJ727" s="33">
        <f t="shared" si="173"/>
        <v>0</v>
      </c>
      <c r="AK727" s="31">
        <f>SUMIFS(инфо!$F$15:$F$28,инфо!$A$15:$A$28,F727)</f>
        <v>0</v>
      </c>
      <c r="AL727" s="32">
        <f t="shared" si="164"/>
        <v>0</v>
      </c>
      <c r="AM727" s="33">
        <f t="shared" si="167"/>
        <v>0</v>
      </c>
      <c r="AN727" s="31">
        <f>SUMIFS(инфо!$G$15:$G$28,инфо!$A$15:$A$28,F727)</f>
        <v>0</v>
      </c>
      <c r="AO727" s="32">
        <f t="shared" si="165"/>
        <v>0</v>
      </c>
      <c r="AP727" s="33">
        <f t="shared" si="168"/>
        <v>0</v>
      </c>
      <c r="AQ727" s="31">
        <f>SUMIFS(инфо!$H$15:$H$28,инфо!$A$15:$A$28,F727)</f>
        <v>0</v>
      </c>
      <c r="AR727" s="32">
        <f t="shared" si="166"/>
        <v>0</v>
      </c>
      <c r="AS727" s="33">
        <f t="shared" si="169"/>
        <v>0</v>
      </c>
      <c r="AT727" s="31">
        <f>SUMIFS(инфо!$I$15:$I$28,инфо!$A$15:$A$28,F727)</f>
        <v>0</v>
      </c>
      <c r="AU727" s="35">
        <f t="shared" si="174"/>
        <v>0</v>
      </c>
      <c r="AV727" s="33">
        <f t="shared" si="170"/>
        <v>0</v>
      </c>
      <c r="AX727" s="67">
        <f>SUMIFS(инфо!$C$15:$C$28,инфо!$A$15:$A$28,F727)*H726</f>
        <v>0</v>
      </c>
    </row>
    <row r="728" spans="1:50" x14ac:dyDescent="0.25">
      <c r="A728" s="70">
        <f t="shared" si="161"/>
        <v>46428</v>
      </c>
      <c r="B728" s="76"/>
      <c r="C728" s="15"/>
      <c r="D728" s="16"/>
      <c r="E728" s="11"/>
      <c r="F728" s="28"/>
      <c r="G728" s="34"/>
      <c r="H728" s="20"/>
      <c r="I728" s="118">
        <f>IFERROR(H728*VLOOKUP(F728,инфо!$A$15:$C$28,3,FALSE)/1000,0)</f>
        <v>0</v>
      </c>
      <c r="J728" s="20"/>
      <c r="K728" s="20"/>
      <c r="L728" s="20"/>
      <c r="M728" s="20"/>
      <c r="N728" s="20"/>
      <c r="O728" s="34"/>
      <c r="P728" s="34"/>
      <c r="Q728" s="34"/>
      <c r="R728" s="34"/>
      <c r="S728" s="68">
        <f t="shared" si="171"/>
        <v>0</v>
      </c>
      <c r="T728" s="15"/>
      <c r="U728" s="16"/>
      <c r="V728" s="34"/>
      <c r="W728" s="81"/>
      <c r="X728" s="34"/>
      <c r="Y728" s="15"/>
      <c r="Z728" s="34"/>
      <c r="AA728" s="34"/>
      <c r="AB728" s="34"/>
      <c r="AC728" s="81"/>
      <c r="AD728" s="16"/>
      <c r="AE728" s="24">
        <f>SUMIFS(инфо!$D$15:$D$28,инфо!$A$15:$A$28,F728)</f>
        <v>0</v>
      </c>
      <c r="AF728" s="35">
        <f t="shared" si="162"/>
        <v>0</v>
      </c>
      <c r="AG728" s="12">
        <f t="shared" si="172"/>
        <v>0</v>
      </c>
      <c r="AH728" s="24">
        <f>SUMIFS(инфо!$E$15:$E$28,инфо!$A$15:$A$28,F728)</f>
        <v>0</v>
      </c>
      <c r="AI728" s="32">
        <f t="shared" si="163"/>
        <v>0</v>
      </c>
      <c r="AJ728" s="12">
        <f t="shared" si="173"/>
        <v>0</v>
      </c>
      <c r="AK728" s="24">
        <f>SUMIFS(инфо!$F$15:$F$28,инфо!$A$15:$A$28,F728)</f>
        <v>0</v>
      </c>
      <c r="AL728" s="32">
        <f t="shared" si="164"/>
        <v>0</v>
      </c>
      <c r="AM728" s="12">
        <f t="shared" si="167"/>
        <v>0</v>
      </c>
      <c r="AN728" s="24">
        <f>SUMIFS(инфо!$G$15:$G$28,инфо!$A$15:$A$28,F728)</f>
        <v>0</v>
      </c>
      <c r="AO728" s="32">
        <f t="shared" si="165"/>
        <v>0</v>
      </c>
      <c r="AP728" s="12">
        <f t="shared" si="168"/>
        <v>0</v>
      </c>
      <c r="AQ728" s="24">
        <f>SUMIFS(инфо!$H$15:$H$28,инфо!$A$15:$A$28,F728)</f>
        <v>0</v>
      </c>
      <c r="AR728" s="35">
        <f t="shared" si="166"/>
        <v>0</v>
      </c>
      <c r="AS728" s="12">
        <f t="shared" si="169"/>
        <v>0</v>
      </c>
      <c r="AT728" s="24">
        <f>SUMIFS(инфо!$I$15:$I$28,инфо!$A$15:$A$28,F728)</f>
        <v>0</v>
      </c>
      <c r="AU728" s="35">
        <f t="shared" si="174"/>
        <v>0</v>
      </c>
      <c r="AV728" s="12">
        <f t="shared" si="170"/>
        <v>0</v>
      </c>
      <c r="AX728" s="68">
        <f>SUMIFS(инфо!$C$15:$C$28,инфо!$A$15:$A$28,F728)*H727</f>
        <v>0</v>
      </c>
    </row>
    <row r="729" spans="1:50" x14ac:dyDescent="0.25">
      <c r="A729" s="70">
        <f t="shared" si="161"/>
        <v>46428</v>
      </c>
      <c r="B729" s="76"/>
      <c r="C729" s="15"/>
      <c r="D729" s="16"/>
      <c r="E729" s="11"/>
      <c r="F729" s="28"/>
      <c r="G729" s="34"/>
      <c r="H729" s="23"/>
      <c r="I729" s="118">
        <f>IFERROR(H729*VLOOKUP(F729,инфо!$A$15:$C$28,3,FALSE)/1000,0)</f>
        <v>0</v>
      </c>
      <c r="J729" s="20"/>
      <c r="K729" s="20"/>
      <c r="L729" s="20"/>
      <c r="M729" s="20"/>
      <c r="N729" s="20"/>
      <c r="O729" s="34"/>
      <c r="P729" s="34"/>
      <c r="Q729" s="34"/>
      <c r="R729" s="34"/>
      <c r="S729" s="68">
        <f t="shared" si="171"/>
        <v>0</v>
      </c>
      <c r="T729" s="15"/>
      <c r="U729" s="16"/>
      <c r="V729" s="34"/>
      <c r="W729" s="81"/>
      <c r="X729" s="34"/>
      <c r="Y729" s="15"/>
      <c r="Z729" s="34"/>
      <c r="AA729" s="34"/>
      <c r="AB729" s="34"/>
      <c r="AC729" s="81"/>
      <c r="AD729" s="16"/>
      <c r="AE729" s="24">
        <f>SUMIFS(инфо!$D$15:$D$28,инфо!$A$15:$A$28,F729)</f>
        <v>0</v>
      </c>
      <c r="AF729" s="35">
        <f t="shared" si="162"/>
        <v>0</v>
      </c>
      <c r="AG729" s="12">
        <f t="shared" si="172"/>
        <v>0</v>
      </c>
      <c r="AH729" s="24">
        <f>SUMIFS(инфо!$E$15:$E$28,инфо!$A$15:$A$28,F729)</f>
        <v>0</v>
      </c>
      <c r="AI729" s="32">
        <f t="shared" si="163"/>
        <v>0</v>
      </c>
      <c r="AJ729" s="12">
        <f t="shared" si="173"/>
        <v>0</v>
      </c>
      <c r="AK729" s="24">
        <f>SUMIFS(инфо!$F$15:$F$28,инфо!$A$15:$A$28,F729)</f>
        <v>0</v>
      </c>
      <c r="AL729" s="32">
        <f t="shared" si="164"/>
        <v>0</v>
      </c>
      <c r="AM729" s="12">
        <f t="shared" si="167"/>
        <v>0</v>
      </c>
      <c r="AN729" s="24">
        <f>SUMIFS(инфо!$G$15:$G$28,инфо!$A$15:$A$28,F729)</f>
        <v>0</v>
      </c>
      <c r="AO729" s="32">
        <f t="shared" si="165"/>
        <v>0</v>
      </c>
      <c r="AP729" s="12">
        <f t="shared" si="168"/>
        <v>0</v>
      </c>
      <c r="AQ729" s="24">
        <f>SUMIFS(инфо!$H$15:$H$28,инфо!$A$15:$A$28,F729)</f>
        <v>0</v>
      </c>
      <c r="AR729" s="35">
        <f t="shared" si="166"/>
        <v>0</v>
      </c>
      <c r="AS729" s="12">
        <f t="shared" si="169"/>
        <v>0</v>
      </c>
      <c r="AT729" s="24">
        <f>SUMIFS(инфо!$I$15:$I$28,инфо!$A$15:$A$28,F729)</f>
        <v>0</v>
      </c>
      <c r="AU729" s="35">
        <f t="shared" si="174"/>
        <v>0</v>
      </c>
      <c r="AV729" s="12">
        <f t="shared" si="170"/>
        <v>0</v>
      </c>
      <c r="AX729" s="68">
        <f>SUMIFS(инфо!$C$15:$C$28,инфо!$A$15:$A$28,F729)*H728</f>
        <v>0</v>
      </c>
    </row>
    <row r="730" spans="1:50" x14ac:dyDescent="0.25">
      <c r="A730" s="70">
        <f t="shared" si="161"/>
        <v>46429</v>
      </c>
      <c r="B730" s="77"/>
      <c r="C730" s="17"/>
      <c r="D730" s="18"/>
      <c r="E730" s="11"/>
      <c r="F730" s="28"/>
      <c r="G730" s="19"/>
      <c r="H730" s="28"/>
      <c r="I730" s="118">
        <f>IFERROR(H730*VLOOKUP(F730,инфо!$A$15:$C$28,3,FALSE)/1000,0)</f>
        <v>0</v>
      </c>
      <c r="J730" s="20"/>
      <c r="K730" s="20"/>
      <c r="L730" s="20"/>
      <c r="M730" s="20"/>
      <c r="N730" s="23"/>
      <c r="O730" s="19"/>
      <c r="P730" s="19"/>
      <c r="Q730" s="19"/>
      <c r="R730" s="19"/>
      <c r="S730" s="69">
        <f t="shared" si="171"/>
        <v>0</v>
      </c>
      <c r="T730" s="17"/>
      <c r="U730" s="18"/>
      <c r="V730" s="19"/>
      <c r="W730" s="81"/>
      <c r="X730" s="19"/>
      <c r="Y730" s="17"/>
      <c r="Z730" s="19"/>
      <c r="AA730" s="19"/>
      <c r="AB730" s="19"/>
      <c r="AC730" s="81"/>
      <c r="AD730" s="18"/>
      <c r="AE730" s="25">
        <f>SUMIFS(инфо!$D$15:$D$28,инфо!$A$15:$A$28,F730)</f>
        <v>0</v>
      </c>
      <c r="AF730" s="35">
        <f t="shared" si="162"/>
        <v>0</v>
      </c>
      <c r="AG730" s="14">
        <f t="shared" si="172"/>
        <v>0</v>
      </c>
      <c r="AH730" s="25">
        <f>SUMIFS(инфо!$E$15:$E$28,инфо!$A$15:$A$28,F730)</f>
        <v>0</v>
      </c>
      <c r="AI730" s="32">
        <f t="shared" si="163"/>
        <v>0</v>
      </c>
      <c r="AJ730" s="14">
        <f t="shared" si="173"/>
        <v>0</v>
      </c>
      <c r="AK730" s="25">
        <f>SUMIFS(инфо!$F$15:$F$28,инфо!$A$15:$A$28,F730)</f>
        <v>0</v>
      </c>
      <c r="AL730" s="32">
        <f t="shared" si="164"/>
        <v>0</v>
      </c>
      <c r="AM730" s="14">
        <f t="shared" si="167"/>
        <v>0</v>
      </c>
      <c r="AN730" s="25">
        <f>SUMIFS(инфо!$G$15:$G$28,инфо!$A$15:$A$28,F730)</f>
        <v>0</v>
      </c>
      <c r="AO730" s="32">
        <f t="shared" si="165"/>
        <v>0</v>
      </c>
      <c r="AP730" s="14">
        <f t="shared" si="168"/>
        <v>0</v>
      </c>
      <c r="AQ730" s="25">
        <f>SUMIFS(инфо!$H$15:$H$28,инфо!$A$15:$A$28,F730)</f>
        <v>0</v>
      </c>
      <c r="AR730" s="26">
        <f t="shared" si="166"/>
        <v>0</v>
      </c>
      <c r="AS730" s="14">
        <f t="shared" si="169"/>
        <v>0</v>
      </c>
      <c r="AT730" s="25">
        <f>SUMIFS(инфо!$I$15:$I$28,инфо!$A$15:$A$28,F730)</f>
        <v>0</v>
      </c>
      <c r="AU730" s="35">
        <f t="shared" si="174"/>
        <v>0</v>
      </c>
      <c r="AV730" s="14">
        <f t="shared" si="170"/>
        <v>0</v>
      </c>
      <c r="AX730" s="69">
        <f>SUMIFS(инфо!$C$15:$C$28,инфо!$A$15:$A$28,F730)*H729</f>
        <v>0</v>
      </c>
    </row>
    <row r="731" spans="1:50" x14ac:dyDescent="0.25">
      <c r="A731" s="70">
        <f t="shared" si="161"/>
        <v>46429</v>
      </c>
      <c r="B731" s="75"/>
      <c r="C731" s="29"/>
      <c r="D731" s="30"/>
      <c r="E731" s="11"/>
      <c r="F731" s="28"/>
      <c r="G731" s="27"/>
      <c r="H731" s="20"/>
      <c r="I731" s="118">
        <f>IFERROR(H731*VLOOKUP(F731,инфо!$A$15:$C$28,3,FALSE)/1000,0)</f>
        <v>0</v>
      </c>
      <c r="J731" s="20"/>
      <c r="K731" s="20"/>
      <c r="L731" s="20"/>
      <c r="M731" s="20"/>
      <c r="N731" s="28"/>
      <c r="O731" s="27"/>
      <c r="P731" s="27"/>
      <c r="Q731" s="27"/>
      <c r="R731" s="27"/>
      <c r="S731" s="67">
        <f t="shared" si="171"/>
        <v>0</v>
      </c>
      <c r="T731" s="29"/>
      <c r="U731" s="30"/>
      <c r="V731" s="27"/>
      <c r="W731" s="81"/>
      <c r="X731" s="27"/>
      <c r="Y731" s="29"/>
      <c r="Z731" s="27"/>
      <c r="AA731" s="27"/>
      <c r="AB731" s="27"/>
      <c r="AC731" s="81"/>
      <c r="AD731" s="30"/>
      <c r="AE731" s="31">
        <f>SUMIFS(инфо!$D$15:$D$28,инфо!$A$15:$A$28,F731)</f>
        <v>0</v>
      </c>
      <c r="AF731" s="35">
        <f t="shared" si="162"/>
        <v>0</v>
      </c>
      <c r="AG731" s="33">
        <f t="shared" si="172"/>
        <v>0</v>
      </c>
      <c r="AH731" s="31">
        <f>SUMIFS(инфо!$E$15:$E$28,инфо!$A$15:$A$28,F731)</f>
        <v>0</v>
      </c>
      <c r="AI731" s="32">
        <f t="shared" si="163"/>
        <v>0</v>
      </c>
      <c r="AJ731" s="33">
        <f t="shared" si="173"/>
        <v>0</v>
      </c>
      <c r="AK731" s="31">
        <f>SUMIFS(инфо!$F$15:$F$28,инфо!$A$15:$A$28,F731)</f>
        <v>0</v>
      </c>
      <c r="AL731" s="32">
        <f t="shared" si="164"/>
        <v>0</v>
      </c>
      <c r="AM731" s="33">
        <f t="shared" si="167"/>
        <v>0</v>
      </c>
      <c r="AN731" s="31">
        <f>SUMIFS(инфо!$G$15:$G$28,инфо!$A$15:$A$28,F731)</f>
        <v>0</v>
      </c>
      <c r="AO731" s="32">
        <f t="shared" si="165"/>
        <v>0</v>
      </c>
      <c r="AP731" s="33">
        <f t="shared" si="168"/>
        <v>0</v>
      </c>
      <c r="AQ731" s="31">
        <f>SUMIFS(инфо!$H$15:$H$28,инфо!$A$15:$A$28,F731)</f>
        <v>0</v>
      </c>
      <c r="AR731" s="32">
        <f t="shared" si="166"/>
        <v>0</v>
      </c>
      <c r="AS731" s="33">
        <f t="shared" si="169"/>
        <v>0</v>
      </c>
      <c r="AT731" s="31">
        <f>SUMIFS(инфо!$I$15:$I$28,инфо!$A$15:$A$28,F731)</f>
        <v>0</v>
      </c>
      <c r="AU731" s="35">
        <f t="shared" si="174"/>
        <v>0</v>
      </c>
      <c r="AV731" s="33">
        <f t="shared" si="170"/>
        <v>0</v>
      </c>
      <c r="AX731" s="67">
        <f>SUMIFS(инфо!$C$15:$C$28,инфо!$A$15:$A$28,F731)*H730</f>
        <v>0</v>
      </c>
    </row>
    <row r="732" spans="1:50" x14ac:dyDescent="0.25">
      <c r="A732" s="70">
        <f t="shared" ref="A732:A795" si="175">A730+1</f>
        <v>46430</v>
      </c>
      <c r="B732" s="76"/>
      <c r="C732" s="15"/>
      <c r="D732" s="16"/>
      <c r="E732" s="11"/>
      <c r="F732" s="28"/>
      <c r="G732" s="34"/>
      <c r="H732" s="20"/>
      <c r="I732" s="118">
        <f>IFERROR(H732*VLOOKUP(F732,инфо!$A$15:$C$28,3,FALSE)/1000,0)</f>
        <v>0</v>
      </c>
      <c r="J732" s="20"/>
      <c r="K732" s="20"/>
      <c r="L732" s="20"/>
      <c r="M732" s="20"/>
      <c r="N732" s="20"/>
      <c r="O732" s="34"/>
      <c r="P732" s="34"/>
      <c r="Q732" s="34"/>
      <c r="R732" s="34"/>
      <c r="S732" s="68">
        <f t="shared" si="171"/>
        <v>0</v>
      </c>
      <c r="T732" s="15"/>
      <c r="U732" s="16"/>
      <c r="V732" s="34"/>
      <c r="W732" s="81"/>
      <c r="X732" s="34"/>
      <c r="Y732" s="15"/>
      <c r="Z732" s="34"/>
      <c r="AA732" s="34"/>
      <c r="AB732" s="34"/>
      <c r="AC732" s="81"/>
      <c r="AD732" s="16"/>
      <c r="AE732" s="24">
        <f>SUMIFS(инфо!$D$15:$D$28,инфо!$A$15:$A$28,F732)</f>
        <v>0</v>
      </c>
      <c r="AF732" s="35">
        <f t="shared" si="162"/>
        <v>0</v>
      </c>
      <c r="AG732" s="12">
        <f t="shared" si="172"/>
        <v>0</v>
      </c>
      <c r="AH732" s="24">
        <f>SUMIFS(инфо!$E$15:$E$28,инфо!$A$15:$A$28,F732)</f>
        <v>0</v>
      </c>
      <c r="AI732" s="32">
        <f t="shared" si="163"/>
        <v>0</v>
      </c>
      <c r="AJ732" s="12">
        <f t="shared" si="173"/>
        <v>0</v>
      </c>
      <c r="AK732" s="24">
        <f>SUMIFS(инфо!$F$15:$F$28,инфо!$A$15:$A$28,F732)</f>
        <v>0</v>
      </c>
      <c r="AL732" s="32">
        <f t="shared" si="164"/>
        <v>0</v>
      </c>
      <c r="AM732" s="12">
        <f t="shared" si="167"/>
        <v>0</v>
      </c>
      <c r="AN732" s="24">
        <f>SUMIFS(инфо!$G$15:$G$28,инфо!$A$15:$A$28,F732)</f>
        <v>0</v>
      </c>
      <c r="AO732" s="32">
        <f t="shared" si="165"/>
        <v>0</v>
      </c>
      <c r="AP732" s="12">
        <f t="shared" si="168"/>
        <v>0</v>
      </c>
      <c r="AQ732" s="24">
        <f>SUMIFS(инфо!$H$15:$H$28,инфо!$A$15:$A$28,F732)</f>
        <v>0</v>
      </c>
      <c r="AR732" s="35">
        <f t="shared" si="166"/>
        <v>0</v>
      </c>
      <c r="AS732" s="12">
        <f t="shared" si="169"/>
        <v>0</v>
      </c>
      <c r="AT732" s="24">
        <f>SUMIFS(инфо!$I$15:$I$28,инфо!$A$15:$A$28,F732)</f>
        <v>0</v>
      </c>
      <c r="AU732" s="35">
        <f t="shared" si="174"/>
        <v>0</v>
      </c>
      <c r="AV732" s="12">
        <f t="shared" si="170"/>
        <v>0</v>
      </c>
      <c r="AX732" s="68">
        <f>SUMIFS(инфо!$C$15:$C$28,инфо!$A$15:$A$28,F732)*H731</f>
        <v>0</v>
      </c>
    </row>
    <row r="733" spans="1:50" x14ac:dyDescent="0.25">
      <c r="A733" s="70">
        <f t="shared" si="175"/>
        <v>46430</v>
      </c>
      <c r="B733" s="76"/>
      <c r="C733" s="15"/>
      <c r="D733" s="16"/>
      <c r="E733" s="11"/>
      <c r="F733" s="28"/>
      <c r="G733" s="34"/>
      <c r="H733" s="23"/>
      <c r="I733" s="118">
        <f>IFERROR(H733*VLOOKUP(F733,инфо!$A$15:$C$28,3,FALSE)/1000,0)</f>
        <v>0</v>
      </c>
      <c r="J733" s="20"/>
      <c r="K733" s="20"/>
      <c r="L733" s="20"/>
      <c r="M733" s="20"/>
      <c r="N733" s="20"/>
      <c r="O733" s="34"/>
      <c r="P733" s="34"/>
      <c r="Q733" s="34"/>
      <c r="R733" s="34"/>
      <c r="S733" s="68">
        <f t="shared" si="171"/>
        <v>0</v>
      </c>
      <c r="T733" s="15"/>
      <c r="U733" s="16"/>
      <c r="V733" s="34"/>
      <c r="W733" s="81"/>
      <c r="X733" s="34"/>
      <c r="Y733" s="15"/>
      <c r="Z733" s="34"/>
      <c r="AA733" s="34"/>
      <c r="AB733" s="34"/>
      <c r="AC733" s="81"/>
      <c r="AD733" s="16"/>
      <c r="AE733" s="24">
        <f>SUMIFS(инфо!$D$15:$D$28,инфо!$A$15:$A$28,F733)</f>
        <v>0</v>
      </c>
      <c r="AF733" s="35">
        <f t="shared" si="162"/>
        <v>0</v>
      </c>
      <c r="AG733" s="12">
        <f t="shared" si="172"/>
        <v>0</v>
      </c>
      <c r="AH733" s="24">
        <f>SUMIFS(инфо!$E$15:$E$28,инфо!$A$15:$A$28,F733)</f>
        <v>0</v>
      </c>
      <c r="AI733" s="32">
        <f t="shared" si="163"/>
        <v>0</v>
      </c>
      <c r="AJ733" s="12">
        <f t="shared" si="173"/>
        <v>0</v>
      </c>
      <c r="AK733" s="24">
        <f>SUMIFS(инфо!$F$15:$F$28,инфо!$A$15:$A$28,F733)</f>
        <v>0</v>
      </c>
      <c r="AL733" s="32">
        <f t="shared" si="164"/>
        <v>0</v>
      </c>
      <c r="AM733" s="12">
        <f t="shared" si="167"/>
        <v>0</v>
      </c>
      <c r="AN733" s="24">
        <f>SUMIFS(инфо!$G$15:$G$28,инфо!$A$15:$A$28,F733)</f>
        <v>0</v>
      </c>
      <c r="AO733" s="32">
        <f t="shared" si="165"/>
        <v>0</v>
      </c>
      <c r="AP733" s="12">
        <f t="shared" si="168"/>
        <v>0</v>
      </c>
      <c r="AQ733" s="24">
        <f>SUMIFS(инфо!$H$15:$H$28,инфо!$A$15:$A$28,F733)</f>
        <v>0</v>
      </c>
      <c r="AR733" s="35">
        <f t="shared" si="166"/>
        <v>0</v>
      </c>
      <c r="AS733" s="12">
        <f t="shared" si="169"/>
        <v>0</v>
      </c>
      <c r="AT733" s="24">
        <f>SUMIFS(инфо!$I$15:$I$28,инфо!$A$15:$A$28,F733)</f>
        <v>0</v>
      </c>
      <c r="AU733" s="35">
        <f t="shared" si="174"/>
        <v>0</v>
      </c>
      <c r="AV733" s="12">
        <f t="shared" si="170"/>
        <v>0</v>
      </c>
      <c r="AX733" s="68">
        <f>SUMIFS(инфо!$C$15:$C$28,инфо!$A$15:$A$28,F733)*H732</f>
        <v>0</v>
      </c>
    </row>
    <row r="734" spans="1:50" x14ac:dyDescent="0.25">
      <c r="A734" s="70">
        <f t="shared" si="175"/>
        <v>46431</v>
      </c>
      <c r="B734" s="77"/>
      <c r="C734" s="17"/>
      <c r="D734" s="18"/>
      <c r="E734" s="11"/>
      <c r="F734" s="28"/>
      <c r="G734" s="19"/>
      <c r="H734" s="28"/>
      <c r="I734" s="118">
        <f>IFERROR(H734*VLOOKUP(F734,инфо!$A$15:$C$28,3,FALSE)/1000,0)</f>
        <v>0</v>
      </c>
      <c r="J734" s="20"/>
      <c r="K734" s="20"/>
      <c r="L734" s="20"/>
      <c r="M734" s="20"/>
      <c r="N734" s="23"/>
      <c r="O734" s="19"/>
      <c r="P734" s="19"/>
      <c r="Q734" s="19"/>
      <c r="R734" s="19"/>
      <c r="S734" s="69">
        <f t="shared" si="171"/>
        <v>0</v>
      </c>
      <c r="T734" s="17"/>
      <c r="U734" s="18"/>
      <c r="V734" s="19"/>
      <c r="W734" s="81"/>
      <c r="X734" s="19"/>
      <c r="Y734" s="17"/>
      <c r="Z734" s="19"/>
      <c r="AA734" s="19"/>
      <c r="AB734" s="19"/>
      <c r="AC734" s="81"/>
      <c r="AD734" s="18"/>
      <c r="AE734" s="25">
        <f>SUMIFS(инфо!$D$15:$D$28,инфо!$A$15:$A$28,F734)</f>
        <v>0</v>
      </c>
      <c r="AF734" s="35">
        <f t="shared" si="162"/>
        <v>0</v>
      </c>
      <c r="AG734" s="14">
        <f t="shared" si="172"/>
        <v>0</v>
      </c>
      <c r="AH734" s="25">
        <f>SUMIFS(инфо!$E$15:$E$28,инфо!$A$15:$A$28,F734)</f>
        <v>0</v>
      </c>
      <c r="AI734" s="32">
        <f t="shared" si="163"/>
        <v>0</v>
      </c>
      <c r="AJ734" s="14">
        <f t="shared" si="173"/>
        <v>0</v>
      </c>
      <c r="AK734" s="25">
        <f>SUMIFS(инфо!$F$15:$F$28,инфо!$A$15:$A$28,F734)</f>
        <v>0</v>
      </c>
      <c r="AL734" s="32">
        <f t="shared" si="164"/>
        <v>0</v>
      </c>
      <c r="AM734" s="14">
        <f t="shared" si="167"/>
        <v>0</v>
      </c>
      <c r="AN734" s="25">
        <f>SUMIFS(инфо!$G$15:$G$28,инфо!$A$15:$A$28,F734)</f>
        <v>0</v>
      </c>
      <c r="AO734" s="32">
        <f t="shared" si="165"/>
        <v>0</v>
      </c>
      <c r="AP734" s="14">
        <f t="shared" si="168"/>
        <v>0</v>
      </c>
      <c r="AQ734" s="25">
        <f>SUMIFS(инфо!$H$15:$H$28,инфо!$A$15:$A$28,F734)</f>
        <v>0</v>
      </c>
      <c r="AR734" s="26">
        <f t="shared" si="166"/>
        <v>0</v>
      </c>
      <c r="AS734" s="14">
        <f t="shared" si="169"/>
        <v>0</v>
      </c>
      <c r="AT734" s="25">
        <f>SUMIFS(инфо!$I$15:$I$28,инфо!$A$15:$A$28,F734)</f>
        <v>0</v>
      </c>
      <c r="AU734" s="35">
        <f t="shared" si="174"/>
        <v>0</v>
      </c>
      <c r="AV734" s="14">
        <f t="shared" si="170"/>
        <v>0</v>
      </c>
      <c r="AX734" s="69">
        <f>SUMIFS(инфо!$C$15:$C$28,инфо!$A$15:$A$28,F734)*H733</f>
        <v>0</v>
      </c>
    </row>
    <row r="735" spans="1:50" x14ac:dyDescent="0.25">
      <c r="A735" s="70">
        <f t="shared" si="175"/>
        <v>46431</v>
      </c>
      <c r="B735" s="75"/>
      <c r="C735" s="29"/>
      <c r="D735" s="30"/>
      <c r="E735" s="11"/>
      <c r="F735" s="28"/>
      <c r="G735" s="27"/>
      <c r="H735" s="20"/>
      <c r="I735" s="118">
        <f>IFERROR(H735*VLOOKUP(F735,инфо!$A$15:$C$28,3,FALSE)/1000,0)</f>
        <v>0</v>
      </c>
      <c r="J735" s="20"/>
      <c r="K735" s="20"/>
      <c r="L735" s="20"/>
      <c r="M735" s="20"/>
      <c r="N735" s="28"/>
      <c r="O735" s="27"/>
      <c r="P735" s="27"/>
      <c r="Q735" s="27"/>
      <c r="R735" s="27"/>
      <c r="S735" s="67">
        <f t="shared" si="171"/>
        <v>0</v>
      </c>
      <c r="T735" s="29"/>
      <c r="U735" s="30"/>
      <c r="V735" s="27"/>
      <c r="W735" s="81"/>
      <c r="X735" s="27"/>
      <c r="Y735" s="29"/>
      <c r="Z735" s="27"/>
      <c r="AA735" s="27"/>
      <c r="AB735" s="27"/>
      <c r="AC735" s="81"/>
      <c r="AD735" s="30"/>
      <c r="AE735" s="31">
        <f>SUMIFS(инфо!$D$15:$D$28,инфо!$A$15:$A$28,F735)</f>
        <v>0</v>
      </c>
      <c r="AF735" s="35">
        <f t="shared" si="162"/>
        <v>0</v>
      </c>
      <c r="AG735" s="33">
        <f t="shared" si="172"/>
        <v>0</v>
      </c>
      <c r="AH735" s="31">
        <f>SUMIFS(инфо!$E$15:$E$28,инфо!$A$15:$A$28,F735)</f>
        <v>0</v>
      </c>
      <c r="AI735" s="32">
        <f t="shared" si="163"/>
        <v>0</v>
      </c>
      <c r="AJ735" s="33">
        <f t="shared" si="173"/>
        <v>0</v>
      </c>
      <c r="AK735" s="31">
        <f>SUMIFS(инфо!$F$15:$F$28,инфо!$A$15:$A$28,F735)</f>
        <v>0</v>
      </c>
      <c r="AL735" s="32">
        <f t="shared" si="164"/>
        <v>0</v>
      </c>
      <c r="AM735" s="33">
        <f t="shared" si="167"/>
        <v>0</v>
      </c>
      <c r="AN735" s="31">
        <f>SUMIFS(инфо!$G$15:$G$28,инфо!$A$15:$A$28,F735)</f>
        <v>0</v>
      </c>
      <c r="AO735" s="32">
        <f t="shared" si="165"/>
        <v>0</v>
      </c>
      <c r="AP735" s="33">
        <f t="shared" si="168"/>
        <v>0</v>
      </c>
      <c r="AQ735" s="31">
        <f>SUMIFS(инфо!$H$15:$H$28,инфо!$A$15:$A$28,F735)</f>
        <v>0</v>
      </c>
      <c r="AR735" s="32">
        <f t="shared" si="166"/>
        <v>0</v>
      </c>
      <c r="AS735" s="33">
        <f t="shared" si="169"/>
        <v>0</v>
      </c>
      <c r="AT735" s="31">
        <f>SUMIFS(инфо!$I$15:$I$28,инфо!$A$15:$A$28,F735)</f>
        <v>0</v>
      </c>
      <c r="AU735" s="35">
        <f t="shared" si="174"/>
        <v>0</v>
      </c>
      <c r="AV735" s="33">
        <f t="shared" si="170"/>
        <v>0</v>
      </c>
      <c r="AX735" s="67">
        <f>SUMIFS(инфо!$C$15:$C$28,инфо!$A$15:$A$28,F735)*H734</f>
        <v>0</v>
      </c>
    </row>
    <row r="736" spans="1:50" x14ac:dyDescent="0.25">
      <c r="A736" s="70">
        <f t="shared" si="175"/>
        <v>46432</v>
      </c>
      <c r="B736" s="76"/>
      <c r="C736" s="15"/>
      <c r="D736" s="16"/>
      <c r="E736" s="11"/>
      <c r="F736" s="28"/>
      <c r="G736" s="34"/>
      <c r="H736" s="20"/>
      <c r="I736" s="118">
        <f>IFERROR(H736*VLOOKUP(F736,инфо!$A$15:$C$28,3,FALSE)/1000,0)</f>
        <v>0</v>
      </c>
      <c r="J736" s="20"/>
      <c r="K736" s="20"/>
      <c r="L736" s="20"/>
      <c r="M736" s="20"/>
      <c r="N736" s="20"/>
      <c r="O736" s="34"/>
      <c r="P736" s="34"/>
      <c r="Q736" s="34"/>
      <c r="R736" s="34"/>
      <c r="S736" s="68">
        <f t="shared" si="171"/>
        <v>0</v>
      </c>
      <c r="T736" s="15"/>
      <c r="U736" s="16"/>
      <c r="V736" s="34"/>
      <c r="W736" s="81"/>
      <c r="X736" s="34"/>
      <c r="Y736" s="15"/>
      <c r="Z736" s="34"/>
      <c r="AA736" s="34"/>
      <c r="AB736" s="34"/>
      <c r="AC736" s="81"/>
      <c r="AD736" s="16"/>
      <c r="AE736" s="24">
        <f>SUMIFS(инфо!$D$15:$D$28,инфо!$A$15:$A$28,F736)</f>
        <v>0</v>
      </c>
      <c r="AF736" s="35">
        <f t="shared" si="162"/>
        <v>0</v>
      </c>
      <c r="AG736" s="12">
        <f t="shared" si="172"/>
        <v>0</v>
      </c>
      <c r="AH736" s="24">
        <f>SUMIFS(инфо!$E$15:$E$28,инфо!$A$15:$A$28,F736)</f>
        <v>0</v>
      </c>
      <c r="AI736" s="32">
        <f t="shared" si="163"/>
        <v>0</v>
      </c>
      <c r="AJ736" s="12">
        <f t="shared" si="173"/>
        <v>0</v>
      </c>
      <c r="AK736" s="24">
        <f>SUMIFS(инфо!$F$15:$F$28,инфо!$A$15:$A$28,F736)</f>
        <v>0</v>
      </c>
      <c r="AL736" s="32">
        <f t="shared" si="164"/>
        <v>0</v>
      </c>
      <c r="AM736" s="12">
        <f t="shared" si="167"/>
        <v>0</v>
      </c>
      <c r="AN736" s="24">
        <f>SUMIFS(инфо!$G$15:$G$28,инфо!$A$15:$A$28,F736)</f>
        <v>0</v>
      </c>
      <c r="AO736" s="32">
        <f t="shared" si="165"/>
        <v>0</v>
      </c>
      <c r="AP736" s="12">
        <f t="shared" si="168"/>
        <v>0</v>
      </c>
      <c r="AQ736" s="24">
        <f>SUMIFS(инфо!$H$15:$H$28,инфо!$A$15:$A$28,F736)</f>
        <v>0</v>
      </c>
      <c r="AR736" s="35">
        <f t="shared" si="166"/>
        <v>0</v>
      </c>
      <c r="AS736" s="12">
        <f t="shared" si="169"/>
        <v>0</v>
      </c>
      <c r="AT736" s="24">
        <f>SUMIFS(инфо!$I$15:$I$28,инфо!$A$15:$A$28,F736)</f>
        <v>0</v>
      </c>
      <c r="AU736" s="35">
        <f t="shared" si="174"/>
        <v>0</v>
      </c>
      <c r="AV736" s="12">
        <f t="shared" si="170"/>
        <v>0</v>
      </c>
      <c r="AX736" s="68">
        <f>SUMIFS(инфо!$C$15:$C$28,инфо!$A$15:$A$28,F736)*H735</f>
        <v>0</v>
      </c>
    </row>
    <row r="737" spans="1:50" x14ac:dyDescent="0.25">
      <c r="A737" s="70">
        <f t="shared" si="175"/>
        <v>46432</v>
      </c>
      <c r="B737" s="76"/>
      <c r="C737" s="15"/>
      <c r="D737" s="16"/>
      <c r="E737" s="11"/>
      <c r="F737" s="28"/>
      <c r="G737" s="34"/>
      <c r="H737" s="23"/>
      <c r="I737" s="118">
        <f>IFERROR(H737*VLOOKUP(F737,инфо!$A$15:$C$28,3,FALSE)/1000,0)</f>
        <v>0</v>
      </c>
      <c r="J737" s="20"/>
      <c r="K737" s="20"/>
      <c r="L737" s="20"/>
      <c r="M737" s="20"/>
      <c r="N737" s="20"/>
      <c r="O737" s="34"/>
      <c r="P737" s="34"/>
      <c r="Q737" s="34"/>
      <c r="R737" s="34"/>
      <c r="S737" s="68">
        <f t="shared" si="171"/>
        <v>0</v>
      </c>
      <c r="T737" s="15"/>
      <c r="U737" s="16"/>
      <c r="V737" s="34"/>
      <c r="W737" s="81"/>
      <c r="X737" s="34"/>
      <c r="Y737" s="15"/>
      <c r="Z737" s="34"/>
      <c r="AA737" s="34"/>
      <c r="AB737" s="34"/>
      <c r="AC737" s="81"/>
      <c r="AD737" s="16"/>
      <c r="AE737" s="24">
        <f>SUMIFS(инфо!$D$15:$D$28,инфо!$A$15:$A$28,F737)</f>
        <v>0</v>
      </c>
      <c r="AF737" s="35">
        <f t="shared" si="162"/>
        <v>0</v>
      </c>
      <c r="AG737" s="12">
        <f t="shared" si="172"/>
        <v>0</v>
      </c>
      <c r="AH737" s="24">
        <f>SUMIFS(инфо!$E$15:$E$28,инфо!$A$15:$A$28,F737)</f>
        <v>0</v>
      </c>
      <c r="AI737" s="32">
        <f t="shared" si="163"/>
        <v>0</v>
      </c>
      <c r="AJ737" s="12">
        <f t="shared" si="173"/>
        <v>0</v>
      </c>
      <c r="AK737" s="24">
        <f>SUMIFS(инфо!$F$15:$F$28,инфо!$A$15:$A$28,F737)</f>
        <v>0</v>
      </c>
      <c r="AL737" s="32">
        <f t="shared" si="164"/>
        <v>0</v>
      </c>
      <c r="AM737" s="12">
        <f t="shared" si="167"/>
        <v>0</v>
      </c>
      <c r="AN737" s="24">
        <f>SUMIFS(инфо!$G$15:$G$28,инфо!$A$15:$A$28,F737)</f>
        <v>0</v>
      </c>
      <c r="AO737" s="32">
        <f t="shared" si="165"/>
        <v>0</v>
      </c>
      <c r="AP737" s="12">
        <f t="shared" si="168"/>
        <v>0</v>
      </c>
      <c r="AQ737" s="24">
        <f>SUMIFS(инфо!$H$15:$H$28,инфо!$A$15:$A$28,F737)</f>
        <v>0</v>
      </c>
      <c r="AR737" s="35">
        <f t="shared" si="166"/>
        <v>0</v>
      </c>
      <c r="AS737" s="12">
        <f t="shared" si="169"/>
        <v>0</v>
      </c>
      <c r="AT737" s="24">
        <f>SUMIFS(инфо!$I$15:$I$28,инфо!$A$15:$A$28,F737)</f>
        <v>0</v>
      </c>
      <c r="AU737" s="35">
        <f t="shared" si="174"/>
        <v>0</v>
      </c>
      <c r="AV737" s="12">
        <f t="shared" si="170"/>
        <v>0</v>
      </c>
      <c r="AX737" s="68">
        <f>SUMIFS(инфо!$C$15:$C$28,инфо!$A$15:$A$28,F737)*H736</f>
        <v>0</v>
      </c>
    </row>
    <row r="738" spans="1:50" x14ac:dyDescent="0.25">
      <c r="A738" s="70">
        <f t="shared" si="175"/>
        <v>46433</v>
      </c>
      <c r="B738" s="77"/>
      <c r="C738" s="17"/>
      <c r="D738" s="18"/>
      <c r="E738" s="11"/>
      <c r="F738" s="28"/>
      <c r="G738" s="19"/>
      <c r="H738" s="28"/>
      <c r="I738" s="118">
        <f>IFERROR(H738*VLOOKUP(F738,инфо!$A$15:$C$28,3,FALSE)/1000,0)</f>
        <v>0</v>
      </c>
      <c r="J738" s="20"/>
      <c r="K738" s="20"/>
      <c r="L738" s="20"/>
      <c r="M738" s="20"/>
      <c r="N738" s="23"/>
      <c r="O738" s="19"/>
      <c r="P738" s="19"/>
      <c r="Q738" s="19"/>
      <c r="R738" s="19"/>
      <c r="S738" s="69">
        <f t="shared" si="171"/>
        <v>0</v>
      </c>
      <c r="T738" s="17"/>
      <c r="U738" s="18"/>
      <c r="V738" s="19"/>
      <c r="W738" s="81"/>
      <c r="X738" s="19"/>
      <c r="Y738" s="17"/>
      <c r="Z738" s="19"/>
      <c r="AA738" s="19"/>
      <c r="AB738" s="19"/>
      <c r="AC738" s="81"/>
      <c r="AD738" s="18"/>
      <c r="AE738" s="25">
        <f>SUMIFS(инфо!$D$15:$D$28,инфо!$A$15:$A$28,F738)</f>
        <v>0</v>
      </c>
      <c r="AF738" s="35">
        <f t="shared" si="162"/>
        <v>0</v>
      </c>
      <c r="AG738" s="14">
        <f t="shared" si="172"/>
        <v>0</v>
      </c>
      <c r="AH738" s="25">
        <f>SUMIFS(инфо!$E$15:$E$28,инфо!$A$15:$A$28,F738)</f>
        <v>0</v>
      </c>
      <c r="AI738" s="32">
        <f t="shared" si="163"/>
        <v>0</v>
      </c>
      <c r="AJ738" s="14">
        <f t="shared" si="173"/>
        <v>0</v>
      </c>
      <c r="AK738" s="25">
        <f>SUMIFS(инфо!$F$15:$F$28,инфо!$A$15:$A$28,F738)</f>
        <v>0</v>
      </c>
      <c r="AL738" s="32">
        <f t="shared" si="164"/>
        <v>0</v>
      </c>
      <c r="AM738" s="14">
        <f t="shared" si="167"/>
        <v>0</v>
      </c>
      <c r="AN738" s="25">
        <f>SUMIFS(инфо!$G$15:$G$28,инфо!$A$15:$A$28,F738)</f>
        <v>0</v>
      </c>
      <c r="AO738" s="32">
        <f t="shared" si="165"/>
        <v>0</v>
      </c>
      <c r="AP738" s="14">
        <f t="shared" si="168"/>
        <v>0</v>
      </c>
      <c r="AQ738" s="25">
        <f>SUMIFS(инфо!$H$15:$H$28,инфо!$A$15:$A$28,F738)</f>
        <v>0</v>
      </c>
      <c r="AR738" s="26">
        <f t="shared" si="166"/>
        <v>0</v>
      </c>
      <c r="AS738" s="14">
        <f t="shared" si="169"/>
        <v>0</v>
      </c>
      <c r="AT738" s="25">
        <f>SUMIFS(инфо!$I$15:$I$28,инфо!$A$15:$A$28,F738)</f>
        <v>0</v>
      </c>
      <c r="AU738" s="35">
        <f t="shared" si="174"/>
        <v>0</v>
      </c>
      <c r="AV738" s="14">
        <f t="shared" si="170"/>
        <v>0</v>
      </c>
      <c r="AX738" s="69">
        <f>SUMIFS(инфо!$C$15:$C$28,инфо!$A$15:$A$28,F738)*H737</f>
        <v>0</v>
      </c>
    </row>
    <row r="739" spans="1:50" x14ac:dyDescent="0.25">
      <c r="A739" s="70">
        <f t="shared" si="175"/>
        <v>46433</v>
      </c>
      <c r="B739" s="75"/>
      <c r="C739" s="29"/>
      <c r="D739" s="30"/>
      <c r="E739" s="11"/>
      <c r="F739" s="28"/>
      <c r="G739" s="27"/>
      <c r="H739" s="20"/>
      <c r="I739" s="118">
        <f>IFERROR(H739*VLOOKUP(F739,инфо!$A$15:$C$28,3,FALSE)/1000,0)</f>
        <v>0</v>
      </c>
      <c r="J739" s="20"/>
      <c r="K739" s="20"/>
      <c r="L739" s="20"/>
      <c r="M739" s="20"/>
      <c r="N739" s="28"/>
      <c r="O739" s="27"/>
      <c r="P739" s="27"/>
      <c r="Q739" s="27"/>
      <c r="R739" s="27"/>
      <c r="S739" s="67">
        <f t="shared" si="171"/>
        <v>0</v>
      </c>
      <c r="T739" s="29"/>
      <c r="U739" s="30"/>
      <c r="V739" s="27"/>
      <c r="W739" s="81"/>
      <c r="X739" s="27"/>
      <c r="Y739" s="29"/>
      <c r="Z739" s="27"/>
      <c r="AA739" s="27"/>
      <c r="AB739" s="27"/>
      <c r="AC739" s="81"/>
      <c r="AD739" s="30"/>
      <c r="AE739" s="31">
        <f>SUMIFS(инфо!$D$15:$D$28,инфо!$A$15:$A$28,F739)</f>
        <v>0</v>
      </c>
      <c r="AF739" s="35">
        <f t="shared" si="162"/>
        <v>0</v>
      </c>
      <c r="AG739" s="33">
        <f t="shared" si="172"/>
        <v>0</v>
      </c>
      <c r="AH739" s="31">
        <f>SUMIFS(инфо!$E$15:$E$28,инфо!$A$15:$A$28,F739)</f>
        <v>0</v>
      </c>
      <c r="AI739" s="32">
        <f t="shared" si="163"/>
        <v>0</v>
      </c>
      <c r="AJ739" s="33">
        <f t="shared" si="173"/>
        <v>0</v>
      </c>
      <c r="AK739" s="31">
        <f>SUMIFS(инфо!$F$15:$F$28,инфо!$A$15:$A$28,F739)</f>
        <v>0</v>
      </c>
      <c r="AL739" s="32">
        <f t="shared" si="164"/>
        <v>0</v>
      </c>
      <c r="AM739" s="33">
        <f t="shared" si="167"/>
        <v>0</v>
      </c>
      <c r="AN739" s="31">
        <f>SUMIFS(инфо!$G$15:$G$28,инфо!$A$15:$A$28,F739)</f>
        <v>0</v>
      </c>
      <c r="AO739" s="32">
        <f t="shared" si="165"/>
        <v>0</v>
      </c>
      <c r="AP739" s="33">
        <f t="shared" si="168"/>
        <v>0</v>
      </c>
      <c r="AQ739" s="31">
        <f>SUMIFS(инфо!$H$15:$H$28,инфо!$A$15:$A$28,F739)</f>
        <v>0</v>
      </c>
      <c r="AR739" s="32">
        <f t="shared" si="166"/>
        <v>0</v>
      </c>
      <c r="AS739" s="33">
        <f t="shared" si="169"/>
        <v>0</v>
      </c>
      <c r="AT739" s="31">
        <f>SUMIFS(инфо!$I$15:$I$28,инфо!$A$15:$A$28,F739)</f>
        <v>0</v>
      </c>
      <c r="AU739" s="35">
        <f t="shared" si="174"/>
        <v>0</v>
      </c>
      <c r="AV739" s="33">
        <f t="shared" si="170"/>
        <v>0</v>
      </c>
      <c r="AX739" s="67">
        <f>SUMIFS(инфо!$C$15:$C$28,инфо!$A$15:$A$28,F739)*H738</f>
        <v>0</v>
      </c>
    </row>
    <row r="740" spans="1:50" x14ac:dyDescent="0.25">
      <c r="A740" s="70">
        <f t="shared" si="175"/>
        <v>46434</v>
      </c>
      <c r="B740" s="76"/>
      <c r="C740" s="15"/>
      <c r="D740" s="16"/>
      <c r="E740" s="11"/>
      <c r="F740" s="28"/>
      <c r="G740" s="34"/>
      <c r="H740" s="20"/>
      <c r="I740" s="118">
        <f>IFERROR(H740*VLOOKUP(F740,инфо!$A$15:$C$28,3,FALSE)/1000,0)</f>
        <v>0</v>
      </c>
      <c r="J740" s="20"/>
      <c r="K740" s="20"/>
      <c r="L740" s="20"/>
      <c r="M740" s="20"/>
      <c r="N740" s="20"/>
      <c r="O740" s="34"/>
      <c r="P740" s="34"/>
      <c r="Q740" s="34"/>
      <c r="R740" s="34"/>
      <c r="S740" s="68">
        <f t="shared" si="171"/>
        <v>0</v>
      </c>
      <c r="T740" s="15"/>
      <c r="U740" s="16"/>
      <c r="V740" s="34"/>
      <c r="W740" s="81"/>
      <c r="X740" s="34"/>
      <c r="Y740" s="15"/>
      <c r="Z740" s="34"/>
      <c r="AA740" s="34"/>
      <c r="AB740" s="34"/>
      <c r="AC740" s="81"/>
      <c r="AD740" s="16"/>
      <c r="AE740" s="24">
        <f>SUMIFS(инфо!$D$15:$D$28,инфо!$A$15:$A$28,F740)</f>
        <v>0</v>
      </c>
      <c r="AF740" s="35">
        <f t="shared" si="162"/>
        <v>0</v>
      </c>
      <c r="AG740" s="12">
        <f t="shared" si="172"/>
        <v>0</v>
      </c>
      <c r="AH740" s="24">
        <f>SUMIFS(инфо!$E$15:$E$28,инфо!$A$15:$A$28,F740)</f>
        <v>0</v>
      </c>
      <c r="AI740" s="32">
        <f t="shared" si="163"/>
        <v>0</v>
      </c>
      <c r="AJ740" s="12">
        <f t="shared" si="173"/>
        <v>0</v>
      </c>
      <c r="AK740" s="24">
        <f>SUMIFS(инфо!$F$15:$F$28,инфо!$A$15:$A$28,F740)</f>
        <v>0</v>
      </c>
      <c r="AL740" s="32">
        <f t="shared" si="164"/>
        <v>0</v>
      </c>
      <c r="AM740" s="12">
        <f t="shared" si="167"/>
        <v>0</v>
      </c>
      <c r="AN740" s="24">
        <f>SUMIFS(инфо!$G$15:$G$28,инфо!$A$15:$A$28,F740)</f>
        <v>0</v>
      </c>
      <c r="AO740" s="32">
        <f t="shared" si="165"/>
        <v>0</v>
      </c>
      <c r="AP740" s="12">
        <f t="shared" si="168"/>
        <v>0</v>
      </c>
      <c r="AQ740" s="24">
        <f>SUMIFS(инфо!$H$15:$H$28,инфо!$A$15:$A$28,F740)</f>
        <v>0</v>
      </c>
      <c r="AR740" s="35">
        <f t="shared" si="166"/>
        <v>0</v>
      </c>
      <c r="AS740" s="12">
        <f t="shared" si="169"/>
        <v>0</v>
      </c>
      <c r="AT740" s="24">
        <f>SUMIFS(инфо!$I$15:$I$28,инфо!$A$15:$A$28,F740)</f>
        <v>0</v>
      </c>
      <c r="AU740" s="35">
        <f t="shared" si="174"/>
        <v>0</v>
      </c>
      <c r="AV740" s="12">
        <f t="shared" si="170"/>
        <v>0</v>
      </c>
      <c r="AX740" s="68">
        <f>SUMIFS(инфо!$C$15:$C$28,инфо!$A$15:$A$28,F740)*H739</f>
        <v>0</v>
      </c>
    </row>
    <row r="741" spans="1:50" x14ac:dyDescent="0.25">
      <c r="A741" s="70">
        <f t="shared" si="175"/>
        <v>46434</v>
      </c>
      <c r="B741" s="76"/>
      <c r="C741" s="15"/>
      <c r="D741" s="16"/>
      <c r="E741" s="11"/>
      <c r="F741" s="28"/>
      <c r="G741" s="34"/>
      <c r="H741" s="23"/>
      <c r="I741" s="118">
        <f>IFERROR(H741*VLOOKUP(F741,инфо!$A$15:$C$28,3,FALSE)/1000,0)</f>
        <v>0</v>
      </c>
      <c r="J741" s="20"/>
      <c r="K741" s="20"/>
      <c r="L741" s="20"/>
      <c r="M741" s="20"/>
      <c r="N741" s="20"/>
      <c r="O741" s="34"/>
      <c r="P741" s="34"/>
      <c r="Q741" s="34"/>
      <c r="R741" s="34"/>
      <c r="S741" s="68">
        <f t="shared" si="171"/>
        <v>0</v>
      </c>
      <c r="T741" s="15"/>
      <c r="U741" s="16"/>
      <c r="V741" s="34"/>
      <c r="W741" s="81"/>
      <c r="X741" s="34"/>
      <c r="Y741" s="15"/>
      <c r="Z741" s="34"/>
      <c r="AA741" s="34"/>
      <c r="AB741" s="34"/>
      <c r="AC741" s="34"/>
      <c r="AD741" s="16"/>
      <c r="AE741" s="24">
        <f>SUMIFS(инфо!$D$15:$D$28,инфо!$A$15:$A$28,F741)</f>
        <v>0</v>
      </c>
      <c r="AF741" s="35">
        <f t="shared" si="162"/>
        <v>0</v>
      </c>
      <c r="AG741" s="12">
        <f t="shared" si="172"/>
        <v>0</v>
      </c>
      <c r="AH741" s="24">
        <f>SUMIFS(инфо!$E$15:$E$28,инфо!$A$15:$A$28,F741)</f>
        <v>0</v>
      </c>
      <c r="AI741" s="32">
        <f t="shared" si="163"/>
        <v>0</v>
      </c>
      <c r="AJ741" s="12">
        <f t="shared" si="173"/>
        <v>0</v>
      </c>
      <c r="AK741" s="24">
        <f>SUMIFS(инфо!$F$15:$F$28,инфо!$A$15:$A$28,F741)</f>
        <v>0</v>
      </c>
      <c r="AL741" s="32">
        <f t="shared" si="164"/>
        <v>0</v>
      </c>
      <c r="AM741" s="12">
        <f t="shared" si="167"/>
        <v>0</v>
      </c>
      <c r="AN741" s="24">
        <f>SUMIFS(инфо!$G$15:$G$28,инфо!$A$15:$A$28,F741)</f>
        <v>0</v>
      </c>
      <c r="AO741" s="32">
        <f t="shared" si="165"/>
        <v>0</v>
      </c>
      <c r="AP741" s="12">
        <f t="shared" si="168"/>
        <v>0</v>
      </c>
      <c r="AQ741" s="24">
        <f>SUMIFS(инфо!$H$15:$H$28,инфо!$A$15:$A$28,F741)</f>
        <v>0</v>
      </c>
      <c r="AR741" s="35">
        <f t="shared" si="166"/>
        <v>0</v>
      </c>
      <c r="AS741" s="12">
        <f t="shared" si="169"/>
        <v>0</v>
      </c>
      <c r="AT741" s="24">
        <f>SUMIFS(инфо!$I$15:$I$28,инфо!$A$15:$A$28,F741)</f>
        <v>0</v>
      </c>
      <c r="AU741" s="35">
        <f t="shared" si="174"/>
        <v>0</v>
      </c>
      <c r="AV741" s="12">
        <f t="shared" si="170"/>
        <v>0</v>
      </c>
      <c r="AX741" s="68">
        <f>SUMIFS(инфо!$C$15:$C$28,инфо!$A$15:$A$28,F741)*H740</f>
        <v>0</v>
      </c>
    </row>
    <row r="742" spans="1:50" x14ac:dyDescent="0.25">
      <c r="A742" s="70">
        <f t="shared" si="175"/>
        <v>46435</v>
      </c>
      <c r="B742" s="77"/>
      <c r="C742" s="17"/>
      <c r="D742" s="18"/>
      <c r="E742" s="11"/>
      <c r="F742" s="28"/>
      <c r="G742" s="19"/>
      <c r="H742" s="28"/>
      <c r="I742" s="118">
        <f>IFERROR(H742*VLOOKUP(F742,инфо!$A$15:$C$28,3,FALSE)/1000,0)</f>
        <v>0</v>
      </c>
      <c r="J742" s="20"/>
      <c r="K742" s="20"/>
      <c r="L742" s="20"/>
      <c r="M742" s="20"/>
      <c r="N742" s="23"/>
      <c r="O742" s="19"/>
      <c r="P742" s="19"/>
      <c r="Q742" s="19"/>
      <c r="R742" s="19"/>
      <c r="S742" s="69">
        <f t="shared" si="171"/>
        <v>0</v>
      </c>
      <c r="T742" s="17"/>
      <c r="U742" s="18"/>
      <c r="V742" s="19"/>
      <c r="W742" s="81"/>
      <c r="X742" s="19"/>
      <c r="Y742" s="17"/>
      <c r="Z742" s="19"/>
      <c r="AA742" s="19"/>
      <c r="AB742" s="19"/>
      <c r="AC742" s="19"/>
      <c r="AD742" s="18"/>
      <c r="AE742" s="25">
        <f>SUMIFS(инфо!$D$15:$D$28,инфо!$A$15:$A$28,F742)</f>
        <v>0</v>
      </c>
      <c r="AF742" s="35">
        <f t="shared" si="162"/>
        <v>0</v>
      </c>
      <c r="AG742" s="14">
        <f t="shared" si="172"/>
        <v>0</v>
      </c>
      <c r="AH742" s="25">
        <f>SUMIFS(инфо!$E$15:$E$28,инфо!$A$15:$A$28,F742)</f>
        <v>0</v>
      </c>
      <c r="AI742" s="32">
        <f t="shared" si="163"/>
        <v>0</v>
      </c>
      <c r="AJ742" s="14">
        <f t="shared" si="173"/>
        <v>0</v>
      </c>
      <c r="AK742" s="25">
        <f>SUMIFS(инфо!$F$15:$F$28,инфо!$A$15:$A$28,F742)</f>
        <v>0</v>
      </c>
      <c r="AL742" s="32">
        <f t="shared" si="164"/>
        <v>0</v>
      </c>
      <c r="AM742" s="14">
        <f t="shared" si="167"/>
        <v>0</v>
      </c>
      <c r="AN742" s="25">
        <f>SUMIFS(инфо!$G$15:$G$28,инфо!$A$15:$A$28,F742)</f>
        <v>0</v>
      </c>
      <c r="AO742" s="32">
        <f t="shared" si="165"/>
        <v>0</v>
      </c>
      <c r="AP742" s="14">
        <f t="shared" si="168"/>
        <v>0</v>
      </c>
      <c r="AQ742" s="25">
        <f>SUMIFS(инфо!$H$15:$H$28,инфо!$A$15:$A$28,F742)</f>
        <v>0</v>
      </c>
      <c r="AR742" s="26">
        <f t="shared" si="166"/>
        <v>0</v>
      </c>
      <c r="AS742" s="14">
        <f t="shared" si="169"/>
        <v>0</v>
      </c>
      <c r="AT742" s="25">
        <f>SUMIFS(инфо!$I$15:$I$28,инфо!$A$15:$A$28,F742)</f>
        <v>0</v>
      </c>
      <c r="AU742" s="35">
        <f t="shared" si="174"/>
        <v>0</v>
      </c>
      <c r="AV742" s="14">
        <f t="shared" si="170"/>
        <v>0</v>
      </c>
      <c r="AX742" s="69">
        <f>SUMIFS(инфо!$C$15:$C$28,инфо!$A$15:$A$28,F742)*H741</f>
        <v>0</v>
      </c>
    </row>
    <row r="743" spans="1:50" x14ac:dyDescent="0.25">
      <c r="A743" s="70">
        <f t="shared" si="175"/>
        <v>46435</v>
      </c>
      <c r="B743" s="75"/>
      <c r="C743" s="29"/>
      <c r="D743" s="30"/>
      <c r="E743" s="11"/>
      <c r="F743" s="28"/>
      <c r="G743" s="27"/>
      <c r="H743" s="20"/>
      <c r="I743" s="118">
        <f>IFERROR(H743*VLOOKUP(F743,инфо!$A$15:$C$28,3,FALSE)/1000,0)</f>
        <v>0</v>
      </c>
      <c r="J743" s="20"/>
      <c r="K743" s="20"/>
      <c r="L743" s="20"/>
      <c r="M743" s="20"/>
      <c r="N743" s="28"/>
      <c r="O743" s="27"/>
      <c r="P743" s="27"/>
      <c r="Q743" s="27"/>
      <c r="R743" s="27"/>
      <c r="S743" s="67">
        <f t="shared" si="171"/>
        <v>0</v>
      </c>
      <c r="T743" s="29"/>
      <c r="U743" s="30"/>
      <c r="V743" s="27"/>
      <c r="W743" s="81"/>
      <c r="X743" s="27"/>
      <c r="Y743" s="29"/>
      <c r="Z743" s="27"/>
      <c r="AA743" s="27"/>
      <c r="AB743" s="27"/>
      <c r="AC743" s="27"/>
      <c r="AD743" s="30"/>
      <c r="AE743" s="31">
        <f>SUMIFS(инфо!$D$15:$D$28,инфо!$A$15:$A$28,F743)</f>
        <v>0</v>
      </c>
      <c r="AF743" s="35">
        <f t="shared" si="162"/>
        <v>0</v>
      </c>
      <c r="AG743" s="33">
        <f t="shared" si="172"/>
        <v>0</v>
      </c>
      <c r="AH743" s="31">
        <f>SUMIFS(инфо!$E$15:$E$28,инфо!$A$15:$A$28,F743)</f>
        <v>0</v>
      </c>
      <c r="AI743" s="32">
        <f t="shared" si="163"/>
        <v>0</v>
      </c>
      <c r="AJ743" s="33">
        <f t="shared" si="173"/>
        <v>0</v>
      </c>
      <c r="AK743" s="31">
        <f>SUMIFS(инфо!$F$15:$F$28,инфо!$A$15:$A$28,F743)</f>
        <v>0</v>
      </c>
      <c r="AL743" s="32">
        <f t="shared" si="164"/>
        <v>0</v>
      </c>
      <c r="AM743" s="33">
        <f t="shared" si="167"/>
        <v>0</v>
      </c>
      <c r="AN743" s="31">
        <f>SUMIFS(инфо!$G$15:$G$28,инфо!$A$15:$A$28,F743)</f>
        <v>0</v>
      </c>
      <c r="AO743" s="32">
        <f t="shared" si="165"/>
        <v>0</v>
      </c>
      <c r="AP743" s="33">
        <f t="shared" si="168"/>
        <v>0</v>
      </c>
      <c r="AQ743" s="31">
        <f>SUMIFS(инфо!$H$15:$H$28,инфо!$A$15:$A$28,F743)</f>
        <v>0</v>
      </c>
      <c r="AR743" s="32">
        <f t="shared" si="166"/>
        <v>0</v>
      </c>
      <c r="AS743" s="33">
        <f t="shared" si="169"/>
        <v>0</v>
      </c>
      <c r="AT743" s="31">
        <f>SUMIFS(инфо!$I$15:$I$28,инфо!$A$15:$A$28,F743)</f>
        <v>0</v>
      </c>
      <c r="AU743" s="35">
        <f t="shared" si="174"/>
        <v>0</v>
      </c>
      <c r="AV743" s="33">
        <f t="shared" si="170"/>
        <v>0</v>
      </c>
      <c r="AX743" s="67">
        <f>SUMIFS(инфо!$C$15:$C$28,инфо!$A$15:$A$28,F743)*H742</f>
        <v>0</v>
      </c>
    </row>
    <row r="744" spans="1:50" x14ac:dyDescent="0.25">
      <c r="A744" s="70">
        <f t="shared" si="175"/>
        <v>46436</v>
      </c>
      <c r="B744" s="76"/>
      <c r="C744" s="15"/>
      <c r="D744" s="16"/>
      <c r="E744" s="11"/>
      <c r="F744" s="28"/>
      <c r="G744" s="34"/>
      <c r="H744" s="20"/>
      <c r="I744" s="118">
        <f>IFERROR(H744*VLOOKUP(F744,инфо!$A$15:$C$28,3,FALSE)/1000,0)</f>
        <v>0</v>
      </c>
      <c r="J744" s="20"/>
      <c r="K744" s="20"/>
      <c r="L744" s="20"/>
      <c r="M744" s="20"/>
      <c r="N744" s="20"/>
      <c r="O744" s="34"/>
      <c r="P744" s="34"/>
      <c r="Q744" s="34"/>
      <c r="R744" s="34"/>
      <c r="S744" s="68">
        <f t="shared" si="171"/>
        <v>0</v>
      </c>
      <c r="T744" s="15"/>
      <c r="U744" s="16"/>
      <c r="V744" s="34"/>
      <c r="W744" s="81"/>
      <c r="X744" s="34"/>
      <c r="Y744" s="15"/>
      <c r="Z744" s="34"/>
      <c r="AA744" s="34"/>
      <c r="AB744" s="34"/>
      <c r="AC744" s="34"/>
      <c r="AD744" s="16"/>
      <c r="AE744" s="24">
        <f>SUMIFS(инфо!$D$15:$D$28,инфо!$A$15:$A$28,F744)</f>
        <v>0</v>
      </c>
      <c r="AF744" s="35">
        <f t="shared" si="162"/>
        <v>0</v>
      </c>
      <c r="AG744" s="12">
        <f t="shared" si="172"/>
        <v>0</v>
      </c>
      <c r="AH744" s="24">
        <f>SUMIFS(инфо!$E$15:$E$28,инфо!$A$15:$A$28,F744)</f>
        <v>0</v>
      </c>
      <c r="AI744" s="32">
        <f t="shared" si="163"/>
        <v>0</v>
      </c>
      <c r="AJ744" s="12">
        <f t="shared" si="173"/>
        <v>0</v>
      </c>
      <c r="AK744" s="24">
        <f>SUMIFS(инфо!$F$15:$F$28,инфо!$A$15:$A$28,F744)</f>
        <v>0</v>
      </c>
      <c r="AL744" s="32">
        <f t="shared" si="164"/>
        <v>0</v>
      </c>
      <c r="AM744" s="12">
        <f t="shared" si="167"/>
        <v>0</v>
      </c>
      <c r="AN744" s="24">
        <f>SUMIFS(инфо!$G$15:$G$28,инфо!$A$15:$A$28,F744)</f>
        <v>0</v>
      </c>
      <c r="AO744" s="32">
        <f t="shared" si="165"/>
        <v>0</v>
      </c>
      <c r="AP744" s="12">
        <f t="shared" si="168"/>
        <v>0</v>
      </c>
      <c r="AQ744" s="24">
        <f>SUMIFS(инфо!$H$15:$H$28,инфо!$A$15:$A$28,F744)</f>
        <v>0</v>
      </c>
      <c r="AR744" s="35">
        <f t="shared" si="166"/>
        <v>0</v>
      </c>
      <c r="AS744" s="12">
        <f t="shared" si="169"/>
        <v>0</v>
      </c>
      <c r="AT744" s="24">
        <f>SUMIFS(инфо!$I$15:$I$28,инфо!$A$15:$A$28,F744)</f>
        <v>0</v>
      </c>
      <c r="AU744" s="35">
        <f t="shared" si="174"/>
        <v>0</v>
      </c>
      <c r="AV744" s="12">
        <f t="shared" si="170"/>
        <v>0</v>
      </c>
      <c r="AX744" s="68">
        <f>SUMIFS(инфо!$C$15:$C$28,инфо!$A$15:$A$28,F744)*H743</f>
        <v>0</v>
      </c>
    </row>
    <row r="745" spans="1:50" x14ac:dyDescent="0.25">
      <c r="A745" s="70">
        <f t="shared" si="175"/>
        <v>46436</v>
      </c>
      <c r="B745" s="76"/>
      <c r="C745" s="15"/>
      <c r="D745" s="16"/>
      <c r="E745" s="11"/>
      <c r="F745" s="28"/>
      <c r="G745" s="34"/>
      <c r="H745" s="23"/>
      <c r="I745" s="118">
        <f>IFERROR(H745*VLOOKUP(F745,инфо!$A$15:$C$28,3,FALSE)/1000,0)</f>
        <v>0</v>
      </c>
      <c r="J745" s="20"/>
      <c r="K745" s="20"/>
      <c r="L745" s="20"/>
      <c r="M745" s="20"/>
      <c r="N745" s="20"/>
      <c r="O745" s="34"/>
      <c r="P745" s="34"/>
      <c r="Q745" s="34"/>
      <c r="R745" s="34"/>
      <c r="S745" s="68">
        <f t="shared" si="171"/>
        <v>0</v>
      </c>
      <c r="T745" s="15"/>
      <c r="U745" s="16"/>
      <c r="V745" s="34"/>
      <c r="W745" s="81"/>
      <c r="X745" s="34"/>
      <c r="Y745" s="15"/>
      <c r="Z745" s="34"/>
      <c r="AA745" s="34"/>
      <c r="AB745" s="34"/>
      <c r="AC745" s="34"/>
      <c r="AD745" s="16"/>
      <c r="AE745" s="24">
        <f>SUMIFS(инфо!$D$15:$D$28,инфо!$A$15:$A$28,F745)</f>
        <v>0</v>
      </c>
      <c r="AF745" s="35">
        <f t="shared" si="162"/>
        <v>0</v>
      </c>
      <c r="AG745" s="12">
        <f t="shared" si="172"/>
        <v>0</v>
      </c>
      <c r="AH745" s="24">
        <f>SUMIFS(инфо!$E$15:$E$28,инфо!$A$15:$A$28,F745)</f>
        <v>0</v>
      </c>
      <c r="AI745" s="32">
        <f t="shared" si="163"/>
        <v>0</v>
      </c>
      <c r="AJ745" s="12">
        <f t="shared" si="173"/>
        <v>0</v>
      </c>
      <c r="AK745" s="24">
        <f>SUMIFS(инфо!$F$15:$F$28,инфо!$A$15:$A$28,F745)</f>
        <v>0</v>
      </c>
      <c r="AL745" s="32">
        <f t="shared" si="164"/>
        <v>0</v>
      </c>
      <c r="AM745" s="12">
        <f t="shared" si="167"/>
        <v>0</v>
      </c>
      <c r="AN745" s="24">
        <f>SUMIFS(инфо!$G$15:$G$28,инфо!$A$15:$A$28,F745)</f>
        <v>0</v>
      </c>
      <c r="AO745" s="32">
        <f t="shared" si="165"/>
        <v>0</v>
      </c>
      <c r="AP745" s="12">
        <f t="shared" si="168"/>
        <v>0</v>
      </c>
      <c r="AQ745" s="24">
        <f>SUMIFS(инфо!$H$15:$H$28,инфо!$A$15:$A$28,F745)</f>
        <v>0</v>
      </c>
      <c r="AR745" s="35">
        <f t="shared" si="166"/>
        <v>0</v>
      </c>
      <c r="AS745" s="12">
        <f t="shared" si="169"/>
        <v>0</v>
      </c>
      <c r="AT745" s="24">
        <f>SUMIFS(инфо!$I$15:$I$28,инфо!$A$15:$A$28,F745)</f>
        <v>0</v>
      </c>
      <c r="AU745" s="35">
        <f t="shared" si="174"/>
        <v>0</v>
      </c>
      <c r="AV745" s="12">
        <f t="shared" si="170"/>
        <v>0</v>
      </c>
      <c r="AX745" s="68">
        <f>SUMIFS(инфо!$C$15:$C$28,инфо!$A$15:$A$28,F745)*H744</f>
        <v>0</v>
      </c>
    </row>
    <row r="746" spans="1:50" x14ac:dyDescent="0.25">
      <c r="A746" s="70">
        <f t="shared" si="175"/>
        <v>46437</v>
      </c>
      <c r="B746" s="77"/>
      <c r="C746" s="17"/>
      <c r="D746" s="18"/>
      <c r="E746" s="11"/>
      <c r="F746" s="28"/>
      <c r="G746" s="19"/>
      <c r="H746" s="28"/>
      <c r="I746" s="118">
        <f>IFERROR(H746*VLOOKUP(F746,инфо!$A$15:$C$28,3,FALSE)/1000,0)</f>
        <v>0</v>
      </c>
      <c r="J746" s="20"/>
      <c r="K746" s="20"/>
      <c r="L746" s="20"/>
      <c r="M746" s="20"/>
      <c r="N746" s="23"/>
      <c r="O746" s="19"/>
      <c r="P746" s="19"/>
      <c r="Q746" s="19"/>
      <c r="R746" s="19"/>
      <c r="S746" s="69">
        <f t="shared" si="171"/>
        <v>0</v>
      </c>
      <c r="T746" s="17"/>
      <c r="U746" s="18"/>
      <c r="V746" s="19"/>
      <c r="W746" s="81"/>
      <c r="X746" s="19"/>
      <c r="Y746" s="17"/>
      <c r="Z746" s="19"/>
      <c r="AA746" s="19"/>
      <c r="AB746" s="19"/>
      <c r="AC746" s="19"/>
      <c r="AD746" s="18"/>
      <c r="AE746" s="25">
        <f>SUMIFS(инфо!$D$15:$D$28,инфо!$A$15:$A$28,F746)</f>
        <v>0</v>
      </c>
      <c r="AF746" s="35">
        <f t="shared" si="162"/>
        <v>0</v>
      </c>
      <c r="AG746" s="14">
        <f t="shared" si="172"/>
        <v>0</v>
      </c>
      <c r="AH746" s="25">
        <f>SUMIFS(инфо!$E$15:$E$28,инфо!$A$15:$A$28,F746)</f>
        <v>0</v>
      </c>
      <c r="AI746" s="32">
        <f t="shared" si="163"/>
        <v>0</v>
      </c>
      <c r="AJ746" s="14">
        <f t="shared" si="173"/>
        <v>0</v>
      </c>
      <c r="AK746" s="25">
        <f>SUMIFS(инфо!$F$15:$F$28,инфо!$A$15:$A$28,F746)</f>
        <v>0</v>
      </c>
      <c r="AL746" s="32">
        <f t="shared" si="164"/>
        <v>0</v>
      </c>
      <c r="AM746" s="14">
        <f t="shared" si="167"/>
        <v>0</v>
      </c>
      <c r="AN746" s="25">
        <f>SUMIFS(инфо!$G$15:$G$28,инфо!$A$15:$A$28,F746)</f>
        <v>0</v>
      </c>
      <c r="AO746" s="32">
        <f t="shared" si="165"/>
        <v>0</v>
      </c>
      <c r="AP746" s="14">
        <f t="shared" si="168"/>
        <v>0</v>
      </c>
      <c r="AQ746" s="25">
        <f>SUMIFS(инфо!$H$15:$H$28,инфо!$A$15:$A$28,F746)</f>
        <v>0</v>
      </c>
      <c r="AR746" s="26">
        <f t="shared" si="166"/>
        <v>0</v>
      </c>
      <c r="AS746" s="14">
        <f t="shared" si="169"/>
        <v>0</v>
      </c>
      <c r="AT746" s="25">
        <f>SUMIFS(инфо!$I$15:$I$28,инфо!$A$15:$A$28,F746)</f>
        <v>0</v>
      </c>
      <c r="AU746" s="35">
        <f t="shared" si="174"/>
        <v>0</v>
      </c>
      <c r="AV746" s="14">
        <f t="shared" si="170"/>
        <v>0</v>
      </c>
      <c r="AX746" s="69">
        <f>SUMIFS(инфо!$C$15:$C$28,инфо!$A$15:$A$28,F746)*H745</f>
        <v>0</v>
      </c>
    </row>
    <row r="747" spans="1:50" x14ac:dyDescent="0.25">
      <c r="A747" s="70">
        <f t="shared" si="175"/>
        <v>46437</v>
      </c>
      <c r="B747" s="75"/>
      <c r="C747" s="29"/>
      <c r="D747" s="30"/>
      <c r="E747" s="11"/>
      <c r="F747" s="28"/>
      <c r="G747" s="27"/>
      <c r="H747" s="20"/>
      <c r="I747" s="118">
        <f>IFERROR(H747*VLOOKUP(F747,инфо!$A$15:$C$28,3,FALSE)/1000,0)</f>
        <v>0</v>
      </c>
      <c r="J747" s="20"/>
      <c r="K747" s="20"/>
      <c r="L747" s="20"/>
      <c r="M747" s="20"/>
      <c r="N747" s="28"/>
      <c r="O747" s="27"/>
      <c r="P747" s="27"/>
      <c r="Q747" s="27"/>
      <c r="R747" s="27"/>
      <c r="S747" s="67">
        <f t="shared" si="171"/>
        <v>0</v>
      </c>
      <c r="T747" s="29"/>
      <c r="U747" s="30"/>
      <c r="V747" s="27"/>
      <c r="W747" s="81"/>
      <c r="X747" s="27"/>
      <c r="Y747" s="29"/>
      <c r="Z747" s="27"/>
      <c r="AA747" s="27"/>
      <c r="AB747" s="27"/>
      <c r="AC747" s="27"/>
      <c r="AD747" s="30"/>
      <c r="AE747" s="31">
        <f>SUMIFS(инфо!$D$15:$D$28,инфо!$A$15:$A$28,F747)</f>
        <v>0</v>
      </c>
      <c r="AF747" s="35">
        <f t="shared" si="162"/>
        <v>0</v>
      </c>
      <c r="AG747" s="33">
        <f t="shared" si="172"/>
        <v>0</v>
      </c>
      <c r="AH747" s="31">
        <f>SUMIFS(инфо!$E$15:$E$28,инфо!$A$15:$A$28,F747)</f>
        <v>0</v>
      </c>
      <c r="AI747" s="32">
        <f t="shared" si="163"/>
        <v>0</v>
      </c>
      <c r="AJ747" s="33">
        <f t="shared" si="173"/>
        <v>0</v>
      </c>
      <c r="AK747" s="31">
        <f>SUMIFS(инфо!$F$15:$F$28,инфо!$A$15:$A$28,F747)</f>
        <v>0</v>
      </c>
      <c r="AL747" s="32">
        <f t="shared" si="164"/>
        <v>0</v>
      </c>
      <c r="AM747" s="33">
        <f t="shared" si="167"/>
        <v>0</v>
      </c>
      <c r="AN747" s="31">
        <f>SUMIFS(инфо!$G$15:$G$28,инфо!$A$15:$A$28,F747)</f>
        <v>0</v>
      </c>
      <c r="AO747" s="32">
        <f t="shared" si="165"/>
        <v>0</v>
      </c>
      <c r="AP747" s="33">
        <f t="shared" si="168"/>
        <v>0</v>
      </c>
      <c r="AQ747" s="31">
        <f>SUMIFS(инфо!$H$15:$H$28,инфо!$A$15:$A$28,F747)</f>
        <v>0</v>
      </c>
      <c r="AR747" s="32">
        <f t="shared" si="166"/>
        <v>0</v>
      </c>
      <c r="AS747" s="33">
        <f t="shared" si="169"/>
        <v>0</v>
      </c>
      <c r="AT747" s="31">
        <f>SUMIFS(инфо!$I$15:$I$28,инфо!$A$15:$A$28,F747)</f>
        <v>0</v>
      </c>
      <c r="AU747" s="35">
        <f t="shared" si="174"/>
        <v>0</v>
      </c>
      <c r="AV747" s="33">
        <f t="shared" si="170"/>
        <v>0</v>
      </c>
      <c r="AX747" s="67">
        <f>SUMIFS(инфо!$C$15:$C$28,инфо!$A$15:$A$28,F747)*H746</f>
        <v>0</v>
      </c>
    </row>
    <row r="748" spans="1:50" x14ac:dyDescent="0.25">
      <c r="A748" s="70">
        <f t="shared" si="175"/>
        <v>46438</v>
      </c>
      <c r="B748" s="76"/>
      <c r="C748" s="15"/>
      <c r="D748" s="16"/>
      <c r="E748" s="11"/>
      <c r="F748" s="28"/>
      <c r="G748" s="34"/>
      <c r="H748" s="20"/>
      <c r="I748" s="118">
        <f>IFERROR(H748*VLOOKUP(F748,инфо!$A$15:$C$28,3,FALSE)/1000,0)</f>
        <v>0</v>
      </c>
      <c r="J748" s="20"/>
      <c r="K748" s="20"/>
      <c r="L748" s="20"/>
      <c r="M748" s="20"/>
      <c r="N748" s="20"/>
      <c r="O748" s="34"/>
      <c r="P748" s="34"/>
      <c r="Q748" s="34"/>
      <c r="R748" s="34"/>
      <c r="S748" s="68">
        <f t="shared" si="171"/>
        <v>0</v>
      </c>
      <c r="T748" s="15"/>
      <c r="U748" s="16"/>
      <c r="V748" s="34"/>
      <c r="W748" s="81"/>
      <c r="X748" s="34"/>
      <c r="Y748" s="15"/>
      <c r="Z748" s="34"/>
      <c r="AA748" s="34"/>
      <c r="AB748" s="34"/>
      <c r="AC748" s="34"/>
      <c r="AD748" s="16"/>
      <c r="AE748" s="24">
        <f>SUMIFS(инфо!$D$15:$D$28,инфо!$A$15:$A$28,F748)</f>
        <v>0</v>
      </c>
      <c r="AF748" s="35">
        <f t="shared" si="162"/>
        <v>0</v>
      </c>
      <c r="AG748" s="12">
        <f t="shared" si="172"/>
        <v>0</v>
      </c>
      <c r="AH748" s="24">
        <f>SUMIFS(инфо!$E$15:$E$28,инфо!$A$15:$A$28,F748)</f>
        <v>0</v>
      </c>
      <c r="AI748" s="32">
        <f t="shared" si="163"/>
        <v>0</v>
      </c>
      <c r="AJ748" s="12">
        <f t="shared" si="173"/>
        <v>0</v>
      </c>
      <c r="AK748" s="24">
        <f>SUMIFS(инфо!$F$15:$F$28,инфо!$A$15:$A$28,F748)</f>
        <v>0</v>
      </c>
      <c r="AL748" s="32">
        <f t="shared" si="164"/>
        <v>0</v>
      </c>
      <c r="AM748" s="12">
        <f t="shared" si="167"/>
        <v>0</v>
      </c>
      <c r="AN748" s="24">
        <f>SUMIFS(инфо!$G$15:$G$28,инфо!$A$15:$A$28,F748)</f>
        <v>0</v>
      </c>
      <c r="AO748" s="32">
        <f t="shared" si="165"/>
        <v>0</v>
      </c>
      <c r="AP748" s="12">
        <f t="shared" si="168"/>
        <v>0</v>
      </c>
      <c r="AQ748" s="24">
        <f>SUMIFS(инфо!$H$15:$H$28,инфо!$A$15:$A$28,F748)</f>
        <v>0</v>
      </c>
      <c r="AR748" s="35">
        <f t="shared" si="166"/>
        <v>0</v>
      </c>
      <c r="AS748" s="12">
        <f t="shared" si="169"/>
        <v>0</v>
      </c>
      <c r="AT748" s="24">
        <f>SUMIFS(инфо!$I$15:$I$28,инфо!$A$15:$A$28,F748)</f>
        <v>0</v>
      </c>
      <c r="AU748" s="35">
        <f t="shared" si="174"/>
        <v>0</v>
      </c>
      <c r="AV748" s="12">
        <f t="shared" si="170"/>
        <v>0</v>
      </c>
      <c r="AX748" s="68">
        <f>SUMIFS(инфо!$C$15:$C$28,инфо!$A$15:$A$28,F748)*H747</f>
        <v>0</v>
      </c>
    </row>
    <row r="749" spans="1:50" x14ac:dyDescent="0.25">
      <c r="A749" s="70">
        <f t="shared" si="175"/>
        <v>46438</v>
      </c>
      <c r="B749" s="76"/>
      <c r="C749" s="15"/>
      <c r="D749" s="16"/>
      <c r="E749" s="11"/>
      <c r="F749" s="28"/>
      <c r="G749" s="34"/>
      <c r="H749" s="23"/>
      <c r="I749" s="118">
        <f>IFERROR(H749*VLOOKUP(F749,инфо!$A$15:$C$28,3,FALSE)/1000,0)</f>
        <v>0</v>
      </c>
      <c r="J749" s="20"/>
      <c r="K749" s="20"/>
      <c r="L749" s="20"/>
      <c r="M749" s="20"/>
      <c r="N749" s="20"/>
      <c r="O749" s="34"/>
      <c r="P749" s="34"/>
      <c r="Q749" s="34"/>
      <c r="R749" s="34"/>
      <c r="S749" s="68">
        <f t="shared" si="171"/>
        <v>0</v>
      </c>
      <c r="T749" s="15"/>
      <c r="U749" s="16"/>
      <c r="V749" s="34"/>
      <c r="W749" s="81"/>
      <c r="X749" s="34"/>
      <c r="Y749" s="15"/>
      <c r="Z749" s="34"/>
      <c r="AA749" s="34"/>
      <c r="AB749" s="34"/>
      <c r="AC749" s="34"/>
      <c r="AD749" s="16"/>
      <c r="AE749" s="24">
        <f>SUMIFS(инфо!$D$15:$D$28,инфо!$A$15:$A$28,F749)</f>
        <v>0</v>
      </c>
      <c r="AF749" s="35">
        <f t="shared" ref="AF749:AF812" si="176">IF(H749=0,0,N749/H749)</f>
        <v>0</v>
      </c>
      <c r="AG749" s="12">
        <f t="shared" si="172"/>
        <v>0</v>
      </c>
      <c r="AH749" s="24">
        <f>SUMIFS(инфо!$E$15:$E$28,инфо!$A$15:$A$28,F749)</f>
        <v>0</v>
      </c>
      <c r="AI749" s="32">
        <f t="shared" ref="AI749:AI812" si="177">IF(H749=0,0,S749/H749)</f>
        <v>0</v>
      </c>
      <c r="AJ749" s="12">
        <f t="shared" si="173"/>
        <v>0</v>
      </c>
      <c r="AK749" s="24">
        <f>SUMIFS(инфо!$F$15:$F$28,инфо!$A$15:$A$28,F749)</f>
        <v>0</v>
      </c>
      <c r="AL749" s="32">
        <f t="shared" ref="AL749:AL812" si="178">IF(H749=0,0,Y749/H749)</f>
        <v>0</v>
      </c>
      <c r="AM749" s="12">
        <f t="shared" si="167"/>
        <v>0</v>
      </c>
      <c r="AN749" s="24">
        <f>SUMIFS(инфо!$G$15:$G$28,инфо!$A$15:$A$28,F749)</f>
        <v>0</v>
      </c>
      <c r="AO749" s="32">
        <f t="shared" ref="AO749:AO812" si="179">IF(H749=0,0,AA749/H749)</f>
        <v>0</v>
      </c>
      <c r="AP749" s="12">
        <f t="shared" si="168"/>
        <v>0</v>
      </c>
      <c r="AQ749" s="24">
        <f>SUMIFS(инфо!$H$15:$H$28,инфо!$A$15:$A$28,F749)</f>
        <v>0</v>
      </c>
      <c r="AR749" s="35">
        <f t="shared" si="166"/>
        <v>0</v>
      </c>
      <c r="AS749" s="12">
        <f t="shared" si="169"/>
        <v>0</v>
      </c>
      <c r="AT749" s="24">
        <f>SUMIFS(инфо!$I$15:$I$28,инфо!$A$15:$A$28,F749)</f>
        <v>0</v>
      </c>
      <c r="AU749" s="35">
        <f t="shared" si="174"/>
        <v>0</v>
      </c>
      <c r="AV749" s="12">
        <f t="shared" si="170"/>
        <v>0</v>
      </c>
      <c r="AX749" s="68">
        <f>SUMIFS(инфо!$C$15:$C$28,инфо!$A$15:$A$28,F749)*H748</f>
        <v>0</v>
      </c>
    </row>
    <row r="750" spans="1:50" x14ac:dyDescent="0.25">
      <c r="A750" s="70">
        <f t="shared" si="175"/>
        <v>46439</v>
      </c>
      <c r="B750" s="77"/>
      <c r="C750" s="17"/>
      <c r="D750" s="18"/>
      <c r="E750" s="11"/>
      <c r="F750" s="28"/>
      <c r="G750" s="19"/>
      <c r="H750" s="28"/>
      <c r="I750" s="118">
        <f>IFERROR(H750*VLOOKUP(F750,инфо!$A$15:$C$28,3,FALSE)/1000,0)</f>
        <v>0</v>
      </c>
      <c r="J750" s="20"/>
      <c r="K750" s="20"/>
      <c r="L750" s="20"/>
      <c r="M750" s="20"/>
      <c r="N750" s="23"/>
      <c r="O750" s="19"/>
      <c r="P750" s="19"/>
      <c r="Q750" s="19"/>
      <c r="R750" s="19"/>
      <c r="S750" s="69">
        <f t="shared" si="171"/>
        <v>0</v>
      </c>
      <c r="T750" s="17"/>
      <c r="U750" s="18"/>
      <c r="V750" s="19"/>
      <c r="W750" s="81"/>
      <c r="X750" s="19"/>
      <c r="Y750" s="17"/>
      <c r="Z750" s="19"/>
      <c r="AA750" s="19"/>
      <c r="AB750" s="19"/>
      <c r="AC750" s="19"/>
      <c r="AD750" s="18"/>
      <c r="AE750" s="25">
        <f>SUMIFS(инфо!$D$15:$D$28,инфо!$A$15:$A$28,F750)</f>
        <v>0</v>
      </c>
      <c r="AF750" s="35">
        <f t="shared" si="176"/>
        <v>0</v>
      </c>
      <c r="AG750" s="14">
        <f t="shared" si="172"/>
        <v>0</v>
      </c>
      <c r="AH750" s="25">
        <f>SUMIFS(инфо!$E$15:$E$28,инфо!$A$15:$A$28,F750)</f>
        <v>0</v>
      </c>
      <c r="AI750" s="32">
        <f t="shared" si="177"/>
        <v>0</v>
      </c>
      <c r="AJ750" s="14">
        <f t="shared" si="173"/>
        <v>0</v>
      </c>
      <c r="AK750" s="25">
        <f>SUMIFS(инфо!$F$15:$F$28,инфо!$A$15:$A$28,F750)</f>
        <v>0</v>
      </c>
      <c r="AL750" s="32">
        <f t="shared" si="178"/>
        <v>0</v>
      </c>
      <c r="AM750" s="14">
        <f t="shared" si="167"/>
        <v>0</v>
      </c>
      <c r="AN750" s="25">
        <f>SUMIFS(инфо!$G$15:$G$28,инфо!$A$15:$A$28,F750)</f>
        <v>0</v>
      </c>
      <c r="AO750" s="32">
        <f t="shared" si="179"/>
        <v>0</v>
      </c>
      <c r="AP750" s="14">
        <f t="shared" si="168"/>
        <v>0</v>
      </c>
      <c r="AQ750" s="25">
        <f>SUMIFS(инфо!$H$15:$H$28,инфо!$A$15:$A$28,F750)</f>
        <v>0</v>
      </c>
      <c r="AR750" s="26">
        <f t="shared" ref="AR750:AR813" si="180">IF(H749=0,0,AC750/H749)</f>
        <v>0</v>
      </c>
      <c r="AS750" s="14">
        <f t="shared" si="169"/>
        <v>0</v>
      </c>
      <c r="AT750" s="25">
        <f>SUMIFS(инфо!$I$15:$I$28,инфо!$A$15:$A$28,F750)</f>
        <v>0</v>
      </c>
      <c r="AU750" s="35">
        <f t="shared" si="174"/>
        <v>0</v>
      </c>
      <c r="AV750" s="14">
        <f t="shared" si="170"/>
        <v>0</v>
      </c>
      <c r="AX750" s="69">
        <f>SUMIFS(инфо!$C$15:$C$28,инфо!$A$15:$A$28,F750)*H749</f>
        <v>0</v>
      </c>
    </row>
    <row r="751" spans="1:50" x14ac:dyDescent="0.25">
      <c r="A751" s="70">
        <f t="shared" si="175"/>
        <v>46439</v>
      </c>
      <c r="B751" s="75"/>
      <c r="C751" s="29"/>
      <c r="D751" s="30"/>
      <c r="E751" s="11"/>
      <c r="F751" s="28"/>
      <c r="G751" s="27"/>
      <c r="H751" s="20"/>
      <c r="I751" s="118">
        <f>IFERROR(H751*VLOOKUP(F751,инфо!$A$15:$C$28,3,FALSE)/1000,0)</f>
        <v>0</v>
      </c>
      <c r="J751" s="20"/>
      <c r="K751" s="20"/>
      <c r="L751" s="20"/>
      <c r="M751" s="20"/>
      <c r="N751" s="28"/>
      <c r="O751" s="27"/>
      <c r="P751" s="27"/>
      <c r="Q751" s="27"/>
      <c r="R751" s="27"/>
      <c r="S751" s="67">
        <f t="shared" si="171"/>
        <v>0</v>
      </c>
      <c r="T751" s="29"/>
      <c r="U751" s="30"/>
      <c r="V751" s="27"/>
      <c r="W751" s="81"/>
      <c r="X751" s="27"/>
      <c r="Y751" s="29"/>
      <c r="Z751" s="27"/>
      <c r="AA751" s="27"/>
      <c r="AB751" s="27"/>
      <c r="AC751" s="27"/>
      <c r="AD751" s="30"/>
      <c r="AE751" s="31">
        <f>SUMIFS(инфо!$D$15:$D$28,инфо!$A$15:$A$28,F751)</f>
        <v>0</v>
      </c>
      <c r="AF751" s="35">
        <f t="shared" si="176"/>
        <v>0</v>
      </c>
      <c r="AG751" s="33">
        <f t="shared" si="172"/>
        <v>0</v>
      </c>
      <c r="AH751" s="31">
        <f>SUMIFS(инфо!$E$15:$E$28,инфо!$A$15:$A$28,F751)</f>
        <v>0</v>
      </c>
      <c r="AI751" s="32">
        <f t="shared" si="177"/>
        <v>0</v>
      </c>
      <c r="AJ751" s="33">
        <f t="shared" si="173"/>
        <v>0</v>
      </c>
      <c r="AK751" s="31">
        <f>SUMIFS(инфо!$F$15:$F$28,инфо!$A$15:$A$28,F751)</f>
        <v>0</v>
      </c>
      <c r="AL751" s="32">
        <f t="shared" si="178"/>
        <v>0</v>
      </c>
      <c r="AM751" s="33">
        <f t="shared" ref="AM751:AM814" si="181">AL751-AK751</f>
        <v>0</v>
      </c>
      <c r="AN751" s="31">
        <f>SUMIFS(инфо!$G$15:$G$28,инфо!$A$15:$A$28,F751)</f>
        <v>0</v>
      </c>
      <c r="AO751" s="32">
        <f t="shared" si="179"/>
        <v>0</v>
      </c>
      <c r="AP751" s="33">
        <f t="shared" ref="AP751:AP814" si="182">AO751-AN751</f>
        <v>0</v>
      </c>
      <c r="AQ751" s="31">
        <f>SUMIFS(инфо!$H$15:$H$28,инфо!$A$15:$A$28,F751)</f>
        <v>0</v>
      </c>
      <c r="AR751" s="32">
        <f t="shared" si="180"/>
        <v>0</v>
      </c>
      <c r="AS751" s="33">
        <f t="shared" ref="AS751:AS814" si="183">AR751-AQ751</f>
        <v>0</v>
      </c>
      <c r="AT751" s="31">
        <f>SUMIFS(инфо!$I$15:$I$28,инфо!$A$15:$A$28,F751)</f>
        <v>0</v>
      </c>
      <c r="AU751" s="35">
        <f t="shared" si="174"/>
        <v>0</v>
      </c>
      <c r="AV751" s="33">
        <f t="shared" ref="AV751:AV814" si="184">AU751-AT751</f>
        <v>0</v>
      </c>
      <c r="AX751" s="67">
        <f>SUMIFS(инфо!$C$15:$C$28,инфо!$A$15:$A$28,F751)*H750</f>
        <v>0</v>
      </c>
    </row>
    <row r="752" spans="1:50" x14ac:dyDescent="0.25">
      <c r="A752" s="70">
        <f t="shared" si="175"/>
        <v>46440</v>
      </c>
      <c r="B752" s="76"/>
      <c r="C752" s="15"/>
      <c r="D752" s="16"/>
      <c r="E752" s="11"/>
      <c r="F752" s="28"/>
      <c r="G752" s="34"/>
      <c r="H752" s="20"/>
      <c r="I752" s="118">
        <f>IFERROR(H752*VLOOKUP(F752,инфо!$A$15:$C$28,3,FALSE)/1000,0)</f>
        <v>0</v>
      </c>
      <c r="J752" s="20"/>
      <c r="K752" s="20"/>
      <c r="L752" s="20"/>
      <c r="M752" s="20"/>
      <c r="N752" s="20"/>
      <c r="O752" s="34"/>
      <c r="P752" s="34"/>
      <c r="Q752" s="34"/>
      <c r="R752" s="34"/>
      <c r="S752" s="68">
        <f t="shared" ref="S752:S815" si="185">SUM(O752:R752)</f>
        <v>0</v>
      </c>
      <c r="T752" s="15"/>
      <c r="U752" s="16"/>
      <c r="V752" s="34"/>
      <c r="W752" s="81"/>
      <c r="X752" s="34"/>
      <c r="Y752" s="15"/>
      <c r="Z752" s="34"/>
      <c r="AA752" s="34"/>
      <c r="AB752" s="34"/>
      <c r="AC752" s="34"/>
      <c r="AD752" s="16"/>
      <c r="AE752" s="24">
        <f>SUMIFS(инфо!$D$15:$D$28,инфо!$A$15:$A$28,F752)</f>
        <v>0</v>
      </c>
      <c r="AF752" s="35">
        <f t="shared" si="176"/>
        <v>0</v>
      </c>
      <c r="AG752" s="12">
        <f t="shared" si="172"/>
        <v>0</v>
      </c>
      <c r="AH752" s="24">
        <f>SUMIFS(инфо!$E$15:$E$28,инфо!$A$15:$A$28,F752)</f>
        <v>0</v>
      </c>
      <c r="AI752" s="32">
        <f t="shared" si="177"/>
        <v>0</v>
      </c>
      <c r="AJ752" s="12">
        <f t="shared" si="173"/>
        <v>0</v>
      </c>
      <c r="AK752" s="24">
        <f>SUMIFS(инфо!$F$15:$F$28,инфо!$A$15:$A$28,F752)</f>
        <v>0</v>
      </c>
      <c r="AL752" s="32">
        <f t="shared" si="178"/>
        <v>0</v>
      </c>
      <c r="AM752" s="12">
        <f t="shared" si="181"/>
        <v>0</v>
      </c>
      <c r="AN752" s="24">
        <f>SUMIFS(инфо!$G$15:$G$28,инфо!$A$15:$A$28,F752)</f>
        <v>0</v>
      </c>
      <c r="AO752" s="32">
        <f t="shared" si="179"/>
        <v>0</v>
      </c>
      <c r="AP752" s="12">
        <f t="shared" si="182"/>
        <v>0</v>
      </c>
      <c r="AQ752" s="24">
        <f>SUMIFS(инфо!$H$15:$H$28,инфо!$A$15:$A$28,F752)</f>
        <v>0</v>
      </c>
      <c r="AR752" s="35">
        <f t="shared" si="180"/>
        <v>0</v>
      </c>
      <c r="AS752" s="12">
        <f t="shared" si="183"/>
        <v>0</v>
      </c>
      <c r="AT752" s="24">
        <f>SUMIFS(инфо!$I$15:$I$28,инфо!$A$15:$A$28,F752)</f>
        <v>0</v>
      </c>
      <c r="AU752" s="35">
        <f t="shared" si="174"/>
        <v>0</v>
      </c>
      <c r="AV752" s="12">
        <f t="shared" si="184"/>
        <v>0</v>
      </c>
      <c r="AX752" s="68">
        <f>SUMIFS(инфо!$C$15:$C$28,инфо!$A$15:$A$28,F752)*H751</f>
        <v>0</v>
      </c>
    </row>
    <row r="753" spans="1:50" x14ac:dyDescent="0.25">
      <c r="A753" s="70">
        <f t="shared" si="175"/>
        <v>46440</v>
      </c>
      <c r="B753" s="76"/>
      <c r="C753" s="15"/>
      <c r="D753" s="16"/>
      <c r="E753" s="11"/>
      <c r="F753" s="28"/>
      <c r="G753" s="34"/>
      <c r="H753" s="23"/>
      <c r="I753" s="118">
        <f>IFERROR(H753*VLOOKUP(F753,инфо!$A$15:$C$28,3,FALSE)/1000,0)</f>
        <v>0</v>
      </c>
      <c r="J753" s="20"/>
      <c r="K753" s="20"/>
      <c r="L753" s="20"/>
      <c r="M753" s="20"/>
      <c r="N753" s="20"/>
      <c r="O753" s="34"/>
      <c r="P753" s="34"/>
      <c r="Q753" s="34"/>
      <c r="R753" s="34"/>
      <c r="S753" s="68">
        <f t="shared" si="185"/>
        <v>0</v>
      </c>
      <c r="T753" s="15"/>
      <c r="U753" s="16"/>
      <c r="V753" s="34"/>
      <c r="W753" s="81"/>
      <c r="X753" s="34"/>
      <c r="Y753" s="15"/>
      <c r="Z753" s="34"/>
      <c r="AA753" s="34"/>
      <c r="AB753" s="34"/>
      <c r="AC753" s="34"/>
      <c r="AD753" s="16"/>
      <c r="AE753" s="24">
        <f>SUMIFS(инфо!$D$15:$D$28,инфо!$A$15:$A$28,F753)</f>
        <v>0</v>
      </c>
      <c r="AF753" s="35">
        <f t="shared" si="176"/>
        <v>0</v>
      </c>
      <c r="AG753" s="12">
        <f t="shared" si="172"/>
        <v>0</v>
      </c>
      <c r="AH753" s="24">
        <f>SUMIFS(инфо!$E$15:$E$28,инфо!$A$15:$A$28,F753)</f>
        <v>0</v>
      </c>
      <c r="AI753" s="32">
        <f t="shared" si="177"/>
        <v>0</v>
      </c>
      <c r="AJ753" s="12">
        <f t="shared" si="173"/>
        <v>0</v>
      </c>
      <c r="AK753" s="24">
        <f>SUMIFS(инфо!$F$15:$F$28,инфо!$A$15:$A$28,F753)</f>
        <v>0</v>
      </c>
      <c r="AL753" s="32">
        <f t="shared" si="178"/>
        <v>0</v>
      </c>
      <c r="AM753" s="12">
        <f t="shared" si="181"/>
        <v>0</v>
      </c>
      <c r="AN753" s="24">
        <f>SUMIFS(инфо!$G$15:$G$28,инфо!$A$15:$A$28,F753)</f>
        <v>0</v>
      </c>
      <c r="AO753" s="32">
        <f t="shared" si="179"/>
        <v>0</v>
      </c>
      <c r="AP753" s="12">
        <f t="shared" si="182"/>
        <v>0</v>
      </c>
      <c r="AQ753" s="24">
        <f>SUMIFS(инфо!$H$15:$H$28,инфо!$A$15:$A$28,F753)</f>
        <v>0</v>
      </c>
      <c r="AR753" s="35">
        <f t="shared" si="180"/>
        <v>0</v>
      </c>
      <c r="AS753" s="12">
        <f t="shared" si="183"/>
        <v>0</v>
      </c>
      <c r="AT753" s="24">
        <f>SUMIFS(инфо!$I$15:$I$28,инфо!$A$15:$A$28,F753)</f>
        <v>0</v>
      </c>
      <c r="AU753" s="35">
        <f t="shared" si="174"/>
        <v>0</v>
      </c>
      <c r="AV753" s="12">
        <f t="shared" si="184"/>
        <v>0</v>
      </c>
      <c r="AX753" s="68">
        <f>SUMIFS(инфо!$C$15:$C$28,инфо!$A$15:$A$28,F753)*H752</f>
        <v>0</v>
      </c>
    </row>
    <row r="754" spans="1:50" x14ac:dyDescent="0.25">
      <c r="A754" s="70">
        <f t="shared" si="175"/>
        <v>46441</v>
      </c>
      <c r="B754" s="77"/>
      <c r="C754" s="17"/>
      <c r="D754" s="18"/>
      <c r="E754" s="11"/>
      <c r="F754" s="28"/>
      <c r="G754" s="19"/>
      <c r="H754" s="28"/>
      <c r="I754" s="118">
        <f>IFERROR(H754*VLOOKUP(F754,инфо!$A$15:$C$28,3,FALSE)/1000,0)</f>
        <v>0</v>
      </c>
      <c r="J754" s="20"/>
      <c r="K754" s="20"/>
      <c r="L754" s="20"/>
      <c r="M754" s="20"/>
      <c r="N754" s="23"/>
      <c r="O754" s="19"/>
      <c r="P754" s="19"/>
      <c r="Q754" s="19"/>
      <c r="R754" s="19"/>
      <c r="S754" s="69">
        <f t="shared" si="185"/>
        <v>0</v>
      </c>
      <c r="T754" s="17"/>
      <c r="U754" s="18"/>
      <c r="V754" s="19"/>
      <c r="W754" s="81"/>
      <c r="X754" s="19"/>
      <c r="Y754" s="17"/>
      <c r="Z754" s="19"/>
      <c r="AA754" s="19"/>
      <c r="AB754" s="19"/>
      <c r="AC754" s="19"/>
      <c r="AD754" s="18"/>
      <c r="AE754" s="25">
        <f>SUMIFS(инфо!$D$15:$D$28,инфо!$A$15:$A$28,F754)</f>
        <v>0</v>
      </c>
      <c r="AF754" s="35">
        <f t="shared" si="176"/>
        <v>0</v>
      </c>
      <c r="AG754" s="14">
        <f t="shared" si="172"/>
        <v>0</v>
      </c>
      <c r="AH754" s="25">
        <f>SUMIFS(инфо!$E$15:$E$28,инфо!$A$15:$A$28,F754)</f>
        <v>0</v>
      </c>
      <c r="AI754" s="32">
        <f t="shared" si="177"/>
        <v>0</v>
      </c>
      <c r="AJ754" s="14">
        <f t="shared" si="173"/>
        <v>0</v>
      </c>
      <c r="AK754" s="25">
        <f>SUMIFS(инфо!$F$15:$F$28,инфо!$A$15:$A$28,F754)</f>
        <v>0</v>
      </c>
      <c r="AL754" s="32">
        <f t="shared" si="178"/>
        <v>0</v>
      </c>
      <c r="AM754" s="14">
        <f t="shared" si="181"/>
        <v>0</v>
      </c>
      <c r="AN754" s="25">
        <f>SUMIFS(инфо!$G$15:$G$28,инфо!$A$15:$A$28,F754)</f>
        <v>0</v>
      </c>
      <c r="AO754" s="32">
        <f t="shared" si="179"/>
        <v>0</v>
      </c>
      <c r="AP754" s="14">
        <f t="shared" si="182"/>
        <v>0</v>
      </c>
      <c r="AQ754" s="25">
        <f>SUMIFS(инфо!$H$15:$H$28,инфо!$A$15:$A$28,F754)</f>
        <v>0</v>
      </c>
      <c r="AR754" s="26">
        <f t="shared" si="180"/>
        <v>0</v>
      </c>
      <c r="AS754" s="14">
        <f t="shared" si="183"/>
        <v>0</v>
      </c>
      <c r="AT754" s="25">
        <f>SUMIFS(инфо!$I$15:$I$28,инфо!$A$15:$A$28,F754)</f>
        <v>0</v>
      </c>
      <c r="AU754" s="35">
        <f t="shared" si="174"/>
        <v>0</v>
      </c>
      <c r="AV754" s="14">
        <f t="shared" si="184"/>
        <v>0</v>
      </c>
      <c r="AX754" s="69">
        <f>SUMIFS(инфо!$C$15:$C$28,инфо!$A$15:$A$28,F754)*H753</f>
        <v>0</v>
      </c>
    </row>
    <row r="755" spans="1:50" x14ac:dyDescent="0.25">
      <c r="A755" s="70">
        <f t="shared" si="175"/>
        <v>46441</v>
      </c>
      <c r="B755" s="75"/>
      <c r="C755" s="29"/>
      <c r="D755" s="30"/>
      <c r="E755" s="11"/>
      <c r="F755" s="28"/>
      <c r="G755" s="27"/>
      <c r="H755" s="20"/>
      <c r="I755" s="118">
        <f>IFERROR(H755*VLOOKUP(F755,инфо!$A$15:$C$28,3,FALSE)/1000,0)</f>
        <v>0</v>
      </c>
      <c r="J755" s="20"/>
      <c r="K755" s="20"/>
      <c r="L755" s="20"/>
      <c r="M755" s="20"/>
      <c r="N755" s="28"/>
      <c r="O755" s="27"/>
      <c r="P755" s="27"/>
      <c r="Q755" s="27"/>
      <c r="R755" s="27"/>
      <c r="S755" s="67">
        <f t="shared" si="185"/>
        <v>0</v>
      </c>
      <c r="T755" s="29"/>
      <c r="U755" s="30"/>
      <c r="V755" s="27"/>
      <c r="W755" s="81"/>
      <c r="X755" s="27"/>
      <c r="Y755" s="29"/>
      <c r="Z755" s="27"/>
      <c r="AA755" s="27"/>
      <c r="AB755" s="27"/>
      <c r="AC755" s="27"/>
      <c r="AD755" s="30"/>
      <c r="AE755" s="31">
        <f>SUMIFS(инфо!$D$15:$D$28,инфо!$A$15:$A$28,F755)</f>
        <v>0</v>
      </c>
      <c r="AF755" s="35">
        <f t="shared" si="176"/>
        <v>0</v>
      </c>
      <c r="AG755" s="33">
        <f t="shared" si="172"/>
        <v>0</v>
      </c>
      <c r="AH755" s="31">
        <f>SUMIFS(инфо!$E$15:$E$28,инфо!$A$15:$A$28,F755)</f>
        <v>0</v>
      </c>
      <c r="AI755" s="32">
        <f t="shared" si="177"/>
        <v>0</v>
      </c>
      <c r="AJ755" s="33">
        <f t="shared" si="173"/>
        <v>0</v>
      </c>
      <c r="AK755" s="31">
        <f>SUMIFS(инфо!$F$15:$F$28,инфо!$A$15:$A$28,F755)</f>
        <v>0</v>
      </c>
      <c r="AL755" s="32">
        <f t="shared" si="178"/>
        <v>0</v>
      </c>
      <c r="AM755" s="33">
        <f t="shared" si="181"/>
        <v>0</v>
      </c>
      <c r="AN755" s="31">
        <f>SUMIFS(инфо!$G$15:$G$28,инфо!$A$15:$A$28,F755)</f>
        <v>0</v>
      </c>
      <c r="AO755" s="32">
        <f t="shared" si="179"/>
        <v>0</v>
      </c>
      <c r="AP755" s="33">
        <f t="shared" si="182"/>
        <v>0</v>
      </c>
      <c r="AQ755" s="31">
        <f>SUMIFS(инфо!$H$15:$H$28,инфо!$A$15:$A$28,F755)</f>
        <v>0</v>
      </c>
      <c r="AR755" s="32">
        <f t="shared" si="180"/>
        <v>0</v>
      </c>
      <c r="AS755" s="33">
        <f t="shared" si="183"/>
        <v>0</v>
      </c>
      <c r="AT755" s="31">
        <f>SUMIFS(инфо!$I$15:$I$28,инфо!$A$15:$A$28,F755)</f>
        <v>0</v>
      </c>
      <c r="AU755" s="35">
        <f t="shared" si="174"/>
        <v>0</v>
      </c>
      <c r="AV755" s="33">
        <f t="shared" si="184"/>
        <v>0</v>
      </c>
      <c r="AX755" s="67">
        <f>SUMIFS(инфо!$C$15:$C$28,инфо!$A$15:$A$28,F755)*H754</f>
        <v>0</v>
      </c>
    </row>
    <row r="756" spans="1:50" x14ac:dyDescent="0.25">
      <c r="A756" s="70">
        <f t="shared" si="175"/>
        <v>46442</v>
      </c>
      <c r="B756" s="76"/>
      <c r="C756" s="15"/>
      <c r="D756" s="16"/>
      <c r="E756" s="11"/>
      <c r="F756" s="28"/>
      <c r="G756" s="34"/>
      <c r="H756" s="20"/>
      <c r="I756" s="118">
        <f>IFERROR(H756*VLOOKUP(F756,инфо!$A$15:$C$28,3,FALSE)/1000,0)</f>
        <v>0</v>
      </c>
      <c r="J756" s="20"/>
      <c r="K756" s="20"/>
      <c r="L756" s="20"/>
      <c r="M756" s="20"/>
      <c r="N756" s="20"/>
      <c r="O756" s="34"/>
      <c r="P756" s="34"/>
      <c r="Q756" s="34"/>
      <c r="R756" s="34"/>
      <c r="S756" s="68">
        <f t="shared" si="185"/>
        <v>0</v>
      </c>
      <c r="T756" s="15"/>
      <c r="U756" s="16"/>
      <c r="V756" s="34"/>
      <c r="W756" s="81"/>
      <c r="X756" s="34"/>
      <c r="Y756" s="15"/>
      <c r="Z756" s="34"/>
      <c r="AA756" s="34"/>
      <c r="AB756" s="34"/>
      <c r="AC756" s="34"/>
      <c r="AD756" s="16"/>
      <c r="AE756" s="24">
        <f>SUMIFS(инфо!$D$15:$D$28,инфо!$A$15:$A$28,F756)</f>
        <v>0</v>
      </c>
      <c r="AF756" s="35">
        <f t="shared" si="176"/>
        <v>0</v>
      </c>
      <c r="AG756" s="12">
        <f t="shared" si="172"/>
        <v>0</v>
      </c>
      <c r="AH756" s="24">
        <f>SUMIFS(инфо!$E$15:$E$28,инфо!$A$15:$A$28,F756)</f>
        <v>0</v>
      </c>
      <c r="AI756" s="32">
        <f t="shared" si="177"/>
        <v>0</v>
      </c>
      <c r="AJ756" s="12">
        <f t="shared" si="173"/>
        <v>0</v>
      </c>
      <c r="AK756" s="24">
        <f>SUMIFS(инфо!$F$15:$F$28,инфо!$A$15:$A$28,F756)</f>
        <v>0</v>
      </c>
      <c r="AL756" s="32">
        <f t="shared" si="178"/>
        <v>0</v>
      </c>
      <c r="AM756" s="12">
        <f t="shared" si="181"/>
        <v>0</v>
      </c>
      <c r="AN756" s="24">
        <f>SUMIFS(инфо!$G$15:$G$28,инфо!$A$15:$A$28,F756)</f>
        <v>0</v>
      </c>
      <c r="AO756" s="32">
        <f t="shared" si="179"/>
        <v>0</v>
      </c>
      <c r="AP756" s="12">
        <f t="shared" si="182"/>
        <v>0</v>
      </c>
      <c r="AQ756" s="24">
        <f>SUMIFS(инфо!$H$15:$H$28,инфо!$A$15:$A$28,F756)</f>
        <v>0</v>
      </c>
      <c r="AR756" s="35">
        <f t="shared" si="180"/>
        <v>0</v>
      </c>
      <c r="AS756" s="12">
        <f t="shared" si="183"/>
        <v>0</v>
      </c>
      <c r="AT756" s="24">
        <f>SUMIFS(инфо!$I$15:$I$28,инфо!$A$15:$A$28,F756)</f>
        <v>0</v>
      </c>
      <c r="AU756" s="35">
        <f t="shared" si="174"/>
        <v>0</v>
      </c>
      <c r="AV756" s="12">
        <f t="shared" si="184"/>
        <v>0</v>
      </c>
      <c r="AX756" s="68">
        <f>SUMIFS(инфо!$C$15:$C$28,инфо!$A$15:$A$28,F756)*H755</f>
        <v>0</v>
      </c>
    </row>
    <row r="757" spans="1:50" x14ac:dyDescent="0.25">
      <c r="A757" s="70">
        <f t="shared" si="175"/>
        <v>46442</v>
      </c>
      <c r="B757" s="76"/>
      <c r="C757" s="15"/>
      <c r="D757" s="16"/>
      <c r="E757" s="11"/>
      <c r="F757" s="28"/>
      <c r="G757" s="34"/>
      <c r="H757" s="23"/>
      <c r="I757" s="118">
        <f>IFERROR(H757*VLOOKUP(F757,инфо!$A$15:$C$28,3,FALSE)/1000,0)</f>
        <v>0</v>
      </c>
      <c r="J757" s="20"/>
      <c r="K757" s="20"/>
      <c r="L757" s="20"/>
      <c r="M757" s="20"/>
      <c r="N757" s="20"/>
      <c r="O757" s="34"/>
      <c r="P757" s="34"/>
      <c r="Q757" s="34"/>
      <c r="R757" s="34"/>
      <c r="S757" s="68">
        <f t="shared" si="185"/>
        <v>0</v>
      </c>
      <c r="T757" s="15"/>
      <c r="U757" s="16"/>
      <c r="V757" s="34"/>
      <c r="W757" s="81"/>
      <c r="X757" s="34"/>
      <c r="Y757" s="15"/>
      <c r="Z757" s="34"/>
      <c r="AA757" s="34"/>
      <c r="AB757" s="34"/>
      <c r="AC757" s="34"/>
      <c r="AD757" s="16"/>
      <c r="AE757" s="24">
        <f>SUMIFS(инфо!$D$15:$D$28,инфо!$A$15:$A$28,F757)</f>
        <v>0</v>
      </c>
      <c r="AF757" s="35">
        <f t="shared" si="176"/>
        <v>0</v>
      </c>
      <c r="AG757" s="12">
        <f t="shared" si="172"/>
        <v>0</v>
      </c>
      <c r="AH757" s="24">
        <f>SUMIFS(инфо!$E$15:$E$28,инфо!$A$15:$A$28,F757)</f>
        <v>0</v>
      </c>
      <c r="AI757" s="32">
        <f t="shared" si="177"/>
        <v>0</v>
      </c>
      <c r="AJ757" s="12">
        <f t="shared" si="173"/>
        <v>0</v>
      </c>
      <c r="AK757" s="24">
        <f>SUMIFS(инфо!$F$15:$F$28,инфо!$A$15:$A$28,F757)</f>
        <v>0</v>
      </c>
      <c r="AL757" s="32">
        <f t="shared" si="178"/>
        <v>0</v>
      </c>
      <c r="AM757" s="12">
        <f t="shared" si="181"/>
        <v>0</v>
      </c>
      <c r="AN757" s="24">
        <f>SUMIFS(инфо!$G$15:$G$28,инфо!$A$15:$A$28,F757)</f>
        <v>0</v>
      </c>
      <c r="AO757" s="32">
        <f t="shared" si="179"/>
        <v>0</v>
      </c>
      <c r="AP757" s="12">
        <f t="shared" si="182"/>
        <v>0</v>
      </c>
      <c r="AQ757" s="24">
        <f>SUMIFS(инфо!$H$15:$H$28,инфо!$A$15:$A$28,F757)</f>
        <v>0</v>
      </c>
      <c r="AR757" s="35">
        <f t="shared" si="180"/>
        <v>0</v>
      </c>
      <c r="AS757" s="12">
        <f t="shared" si="183"/>
        <v>0</v>
      </c>
      <c r="AT757" s="24">
        <f>SUMIFS(инфо!$I$15:$I$28,инфо!$A$15:$A$28,F757)</f>
        <v>0</v>
      </c>
      <c r="AU757" s="35">
        <f t="shared" si="174"/>
        <v>0</v>
      </c>
      <c r="AV757" s="12">
        <f t="shared" si="184"/>
        <v>0</v>
      </c>
      <c r="AX757" s="68">
        <f>SUMIFS(инфо!$C$15:$C$28,инфо!$A$15:$A$28,F757)*H756</f>
        <v>0</v>
      </c>
    </row>
    <row r="758" spans="1:50" x14ac:dyDescent="0.25">
      <c r="A758" s="70">
        <f t="shared" si="175"/>
        <v>46443</v>
      </c>
      <c r="B758" s="77"/>
      <c r="C758" s="17"/>
      <c r="D758" s="18"/>
      <c r="E758" s="11"/>
      <c r="F758" s="28"/>
      <c r="G758" s="19"/>
      <c r="H758" s="28"/>
      <c r="I758" s="118">
        <f>IFERROR(H758*VLOOKUP(F758,инфо!$A$15:$C$28,3,FALSE)/1000,0)</f>
        <v>0</v>
      </c>
      <c r="J758" s="20"/>
      <c r="K758" s="20"/>
      <c r="L758" s="20"/>
      <c r="M758" s="20"/>
      <c r="N758" s="23"/>
      <c r="O758" s="19"/>
      <c r="P758" s="19"/>
      <c r="Q758" s="19"/>
      <c r="R758" s="19"/>
      <c r="S758" s="69">
        <f t="shared" si="185"/>
        <v>0</v>
      </c>
      <c r="T758" s="17"/>
      <c r="U758" s="18"/>
      <c r="V758" s="19"/>
      <c r="W758" s="81"/>
      <c r="X758" s="19"/>
      <c r="Y758" s="17"/>
      <c r="Z758" s="19"/>
      <c r="AA758" s="19"/>
      <c r="AB758" s="19"/>
      <c r="AC758" s="19"/>
      <c r="AD758" s="18"/>
      <c r="AE758" s="25">
        <f>SUMIFS(инфо!$D$15:$D$28,инфо!$A$15:$A$28,F758)</f>
        <v>0</v>
      </c>
      <c r="AF758" s="35">
        <f t="shared" si="176"/>
        <v>0</v>
      </c>
      <c r="AG758" s="14">
        <f t="shared" si="172"/>
        <v>0</v>
      </c>
      <c r="AH758" s="25">
        <f>SUMIFS(инфо!$E$15:$E$28,инфо!$A$15:$A$28,F758)</f>
        <v>0</v>
      </c>
      <c r="AI758" s="32">
        <f t="shared" si="177"/>
        <v>0</v>
      </c>
      <c r="AJ758" s="14">
        <f t="shared" si="173"/>
        <v>0</v>
      </c>
      <c r="AK758" s="25">
        <f>SUMIFS(инфо!$F$15:$F$28,инфо!$A$15:$A$28,F758)</f>
        <v>0</v>
      </c>
      <c r="AL758" s="32">
        <f t="shared" si="178"/>
        <v>0</v>
      </c>
      <c r="AM758" s="14">
        <f t="shared" si="181"/>
        <v>0</v>
      </c>
      <c r="AN758" s="25">
        <f>SUMIFS(инфо!$G$15:$G$28,инфо!$A$15:$A$28,F758)</f>
        <v>0</v>
      </c>
      <c r="AO758" s="32">
        <f t="shared" si="179"/>
        <v>0</v>
      </c>
      <c r="AP758" s="14">
        <f t="shared" si="182"/>
        <v>0</v>
      </c>
      <c r="AQ758" s="25">
        <f>SUMIFS(инфо!$H$15:$H$28,инфо!$A$15:$A$28,F758)</f>
        <v>0</v>
      </c>
      <c r="AR758" s="26">
        <f t="shared" si="180"/>
        <v>0</v>
      </c>
      <c r="AS758" s="14">
        <f t="shared" si="183"/>
        <v>0</v>
      </c>
      <c r="AT758" s="25">
        <f>SUMIFS(инфо!$I$15:$I$28,инфо!$A$15:$A$28,F758)</f>
        <v>0</v>
      </c>
      <c r="AU758" s="35">
        <f t="shared" si="174"/>
        <v>0</v>
      </c>
      <c r="AV758" s="14">
        <f t="shared" si="184"/>
        <v>0</v>
      </c>
      <c r="AX758" s="69">
        <f>SUMIFS(инфо!$C$15:$C$28,инфо!$A$15:$A$28,F758)*H757</f>
        <v>0</v>
      </c>
    </row>
    <row r="759" spans="1:50" x14ac:dyDescent="0.25">
      <c r="A759" s="70">
        <f t="shared" si="175"/>
        <v>46443</v>
      </c>
      <c r="B759" s="75"/>
      <c r="C759" s="29"/>
      <c r="D759" s="30"/>
      <c r="E759" s="11"/>
      <c r="F759" s="28"/>
      <c r="G759" s="27"/>
      <c r="H759" s="20"/>
      <c r="I759" s="118">
        <f>IFERROR(H759*VLOOKUP(F759,инфо!$A$15:$C$28,3,FALSE)/1000,0)</f>
        <v>0</v>
      </c>
      <c r="J759" s="20"/>
      <c r="K759" s="20"/>
      <c r="L759" s="20"/>
      <c r="M759" s="20"/>
      <c r="N759" s="28"/>
      <c r="O759" s="27"/>
      <c r="P759" s="27"/>
      <c r="Q759" s="27"/>
      <c r="R759" s="27"/>
      <c r="S759" s="67">
        <f t="shared" si="185"/>
        <v>0</v>
      </c>
      <c r="T759" s="29"/>
      <c r="U759" s="30"/>
      <c r="V759" s="27"/>
      <c r="W759" s="81"/>
      <c r="X759" s="27"/>
      <c r="Y759" s="29"/>
      <c r="Z759" s="27"/>
      <c r="AA759" s="27"/>
      <c r="AB759" s="27"/>
      <c r="AC759" s="27"/>
      <c r="AD759" s="30"/>
      <c r="AE759" s="31">
        <f>SUMIFS(инфо!$D$15:$D$28,инфо!$A$15:$A$28,F759)</f>
        <v>0</v>
      </c>
      <c r="AF759" s="35">
        <f t="shared" si="176"/>
        <v>0</v>
      </c>
      <c r="AG759" s="33">
        <f t="shared" si="172"/>
        <v>0</v>
      </c>
      <c r="AH759" s="31">
        <f>SUMIFS(инфо!$E$15:$E$28,инфо!$A$15:$A$28,F759)</f>
        <v>0</v>
      </c>
      <c r="AI759" s="32">
        <f t="shared" si="177"/>
        <v>0</v>
      </c>
      <c r="AJ759" s="33">
        <f t="shared" si="173"/>
        <v>0</v>
      </c>
      <c r="AK759" s="31">
        <f>SUMIFS(инфо!$F$15:$F$28,инфо!$A$15:$A$28,F759)</f>
        <v>0</v>
      </c>
      <c r="AL759" s="32">
        <f t="shared" si="178"/>
        <v>0</v>
      </c>
      <c r="AM759" s="33">
        <f t="shared" si="181"/>
        <v>0</v>
      </c>
      <c r="AN759" s="31">
        <f>SUMIFS(инфо!$G$15:$G$28,инфо!$A$15:$A$28,F759)</f>
        <v>0</v>
      </c>
      <c r="AO759" s="32">
        <f t="shared" si="179"/>
        <v>0</v>
      </c>
      <c r="AP759" s="33">
        <f t="shared" si="182"/>
        <v>0</v>
      </c>
      <c r="AQ759" s="31">
        <f>SUMIFS(инфо!$H$15:$H$28,инфо!$A$15:$A$28,F759)</f>
        <v>0</v>
      </c>
      <c r="AR759" s="32">
        <f t="shared" si="180"/>
        <v>0</v>
      </c>
      <c r="AS759" s="33">
        <f t="shared" si="183"/>
        <v>0</v>
      </c>
      <c r="AT759" s="31">
        <f>SUMIFS(инфо!$I$15:$I$28,инфо!$A$15:$A$28,F759)</f>
        <v>0</v>
      </c>
      <c r="AU759" s="35">
        <f t="shared" si="174"/>
        <v>0</v>
      </c>
      <c r="AV759" s="33">
        <f t="shared" si="184"/>
        <v>0</v>
      </c>
      <c r="AX759" s="67">
        <f>SUMIFS(инфо!$C$15:$C$28,инфо!$A$15:$A$28,F759)*H758</f>
        <v>0</v>
      </c>
    </row>
    <row r="760" spans="1:50" x14ac:dyDescent="0.25">
      <c r="A760" s="70">
        <f t="shared" si="175"/>
        <v>46444</v>
      </c>
      <c r="B760" s="76"/>
      <c r="C760" s="15"/>
      <c r="D760" s="16"/>
      <c r="E760" s="11"/>
      <c r="F760" s="28"/>
      <c r="G760" s="34"/>
      <c r="H760" s="20"/>
      <c r="I760" s="118">
        <f>IFERROR(H760*VLOOKUP(F760,инфо!$A$15:$C$28,3,FALSE)/1000,0)</f>
        <v>0</v>
      </c>
      <c r="J760" s="20"/>
      <c r="K760" s="20"/>
      <c r="L760" s="20"/>
      <c r="M760" s="20"/>
      <c r="N760" s="20"/>
      <c r="O760" s="34"/>
      <c r="P760" s="34"/>
      <c r="Q760" s="34"/>
      <c r="R760" s="34"/>
      <c r="S760" s="68">
        <f t="shared" si="185"/>
        <v>0</v>
      </c>
      <c r="T760" s="15"/>
      <c r="U760" s="16"/>
      <c r="V760" s="34"/>
      <c r="W760" s="81"/>
      <c r="X760" s="34"/>
      <c r="Y760" s="15"/>
      <c r="Z760" s="34"/>
      <c r="AA760" s="34"/>
      <c r="AB760" s="34"/>
      <c r="AC760" s="34"/>
      <c r="AD760" s="16"/>
      <c r="AE760" s="24">
        <f>SUMIFS(инфо!$D$15:$D$28,инфо!$A$15:$A$28,F760)</f>
        <v>0</v>
      </c>
      <c r="AF760" s="35">
        <f t="shared" si="176"/>
        <v>0</v>
      </c>
      <c r="AG760" s="12">
        <f t="shared" si="172"/>
        <v>0</v>
      </c>
      <c r="AH760" s="24">
        <f>SUMIFS(инфо!$E$15:$E$28,инфо!$A$15:$A$28,F760)</f>
        <v>0</v>
      </c>
      <c r="AI760" s="32">
        <f t="shared" si="177"/>
        <v>0</v>
      </c>
      <c r="AJ760" s="12">
        <f t="shared" si="173"/>
        <v>0</v>
      </c>
      <c r="AK760" s="24">
        <f>SUMIFS(инфо!$F$15:$F$28,инфо!$A$15:$A$28,F760)</f>
        <v>0</v>
      </c>
      <c r="AL760" s="32">
        <f t="shared" si="178"/>
        <v>0</v>
      </c>
      <c r="AM760" s="12">
        <f t="shared" si="181"/>
        <v>0</v>
      </c>
      <c r="AN760" s="24">
        <f>SUMIFS(инфо!$G$15:$G$28,инфо!$A$15:$A$28,F760)</f>
        <v>0</v>
      </c>
      <c r="AO760" s="32">
        <f t="shared" si="179"/>
        <v>0</v>
      </c>
      <c r="AP760" s="12">
        <f t="shared" si="182"/>
        <v>0</v>
      </c>
      <c r="AQ760" s="24">
        <f>SUMIFS(инфо!$H$15:$H$28,инфо!$A$15:$A$28,F760)</f>
        <v>0</v>
      </c>
      <c r="AR760" s="35">
        <f t="shared" si="180"/>
        <v>0</v>
      </c>
      <c r="AS760" s="12">
        <f t="shared" si="183"/>
        <v>0</v>
      </c>
      <c r="AT760" s="24">
        <f>SUMIFS(инфо!$I$15:$I$28,инфо!$A$15:$A$28,F760)</f>
        <v>0</v>
      </c>
      <c r="AU760" s="35">
        <f t="shared" si="174"/>
        <v>0</v>
      </c>
      <c r="AV760" s="12">
        <f t="shared" si="184"/>
        <v>0</v>
      </c>
      <c r="AX760" s="68">
        <f>SUMIFS(инфо!$C$15:$C$28,инфо!$A$15:$A$28,F760)*H759</f>
        <v>0</v>
      </c>
    </row>
    <row r="761" spans="1:50" x14ac:dyDescent="0.25">
      <c r="A761" s="70">
        <f t="shared" si="175"/>
        <v>46444</v>
      </c>
      <c r="B761" s="76"/>
      <c r="C761" s="15"/>
      <c r="D761" s="16"/>
      <c r="E761" s="11"/>
      <c r="F761" s="28"/>
      <c r="G761" s="34"/>
      <c r="H761" s="23"/>
      <c r="I761" s="118">
        <f>IFERROR(H761*VLOOKUP(F761,инфо!$A$15:$C$28,3,FALSE)/1000,0)</f>
        <v>0</v>
      </c>
      <c r="J761" s="20"/>
      <c r="K761" s="20"/>
      <c r="L761" s="20"/>
      <c r="M761" s="20"/>
      <c r="N761" s="20"/>
      <c r="O761" s="34"/>
      <c r="P761" s="34"/>
      <c r="Q761" s="34"/>
      <c r="R761" s="34"/>
      <c r="S761" s="68">
        <f t="shared" si="185"/>
        <v>0</v>
      </c>
      <c r="T761" s="15"/>
      <c r="U761" s="16"/>
      <c r="V761" s="34"/>
      <c r="W761" s="81"/>
      <c r="X761" s="34"/>
      <c r="Y761" s="15"/>
      <c r="Z761" s="34"/>
      <c r="AA761" s="34"/>
      <c r="AB761" s="34"/>
      <c r="AC761" s="34"/>
      <c r="AD761" s="16"/>
      <c r="AE761" s="24">
        <f>SUMIFS(инфо!$D$15:$D$28,инфо!$A$15:$A$28,F761)</f>
        <v>0</v>
      </c>
      <c r="AF761" s="35">
        <f t="shared" si="176"/>
        <v>0</v>
      </c>
      <c r="AG761" s="12">
        <f t="shared" si="172"/>
        <v>0</v>
      </c>
      <c r="AH761" s="24">
        <f>SUMIFS(инфо!$E$15:$E$28,инфо!$A$15:$A$28,F761)</f>
        <v>0</v>
      </c>
      <c r="AI761" s="32">
        <f t="shared" si="177"/>
        <v>0</v>
      </c>
      <c r="AJ761" s="12">
        <f t="shared" si="173"/>
        <v>0</v>
      </c>
      <c r="AK761" s="24">
        <f>SUMIFS(инфо!$F$15:$F$28,инфо!$A$15:$A$28,F761)</f>
        <v>0</v>
      </c>
      <c r="AL761" s="32">
        <f t="shared" si="178"/>
        <v>0</v>
      </c>
      <c r="AM761" s="12">
        <f t="shared" si="181"/>
        <v>0</v>
      </c>
      <c r="AN761" s="24">
        <f>SUMIFS(инфо!$G$15:$G$28,инфо!$A$15:$A$28,F761)</f>
        <v>0</v>
      </c>
      <c r="AO761" s="32">
        <f t="shared" si="179"/>
        <v>0</v>
      </c>
      <c r="AP761" s="12">
        <f t="shared" si="182"/>
        <v>0</v>
      </c>
      <c r="AQ761" s="24">
        <f>SUMIFS(инфо!$H$15:$H$28,инфо!$A$15:$A$28,F761)</f>
        <v>0</v>
      </c>
      <c r="AR761" s="35">
        <f t="shared" si="180"/>
        <v>0</v>
      </c>
      <c r="AS761" s="12">
        <f t="shared" si="183"/>
        <v>0</v>
      </c>
      <c r="AT761" s="24">
        <f>SUMIFS(инфо!$I$15:$I$28,инфо!$A$15:$A$28,F761)</f>
        <v>0</v>
      </c>
      <c r="AU761" s="35">
        <f t="shared" si="174"/>
        <v>0</v>
      </c>
      <c r="AV761" s="12">
        <f t="shared" si="184"/>
        <v>0</v>
      </c>
      <c r="AX761" s="68">
        <f>SUMIFS(инфо!$C$15:$C$28,инфо!$A$15:$A$28,F761)*H760</f>
        <v>0</v>
      </c>
    </row>
    <row r="762" spans="1:50" x14ac:dyDescent="0.25">
      <c r="A762" s="70">
        <f t="shared" si="175"/>
        <v>46445</v>
      </c>
      <c r="B762" s="77"/>
      <c r="C762" s="17"/>
      <c r="D762" s="18"/>
      <c r="E762" s="11"/>
      <c r="F762" s="28"/>
      <c r="G762" s="19"/>
      <c r="H762" s="28"/>
      <c r="I762" s="118">
        <f>IFERROR(H762*VLOOKUP(F762,инфо!$A$15:$C$28,3,FALSE)/1000,0)</f>
        <v>0</v>
      </c>
      <c r="J762" s="20"/>
      <c r="K762" s="20"/>
      <c r="L762" s="20"/>
      <c r="M762" s="20"/>
      <c r="N762" s="23"/>
      <c r="O762" s="19"/>
      <c r="P762" s="19"/>
      <c r="Q762" s="19"/>
      <c r="R762" s="19"/>
      <c r="S762" s="69">
        <f t="shared" si="185"/>
        <v>0</v>
      </c>
      <c r="T762" s="17"/>
      <c r="U762" s="18"/>
      <c r="V762" s="19"/>
      <c r="W762" s="81"/>
      <c r="X762" s="19"/>
      <c r="Y762" s="17"/>
      <c r="Z762" s="19"/>
      <c r="AA762" s="19"/>
      <c r="AB762" s="19"/>
      <c r="AC762" s="19"/>
      <c r="AD762" s="18"/>
      <c r="AE762" s="25">
        <f>SUMIFS(инфо!$D$15:$D$28,инфо!$A$15:$A$28,F762)</f>
        <v>0</v>
      </c>
      <c r="AF762" s="35">
        <f t="shared" si="176"/>
        <v>0</v>
      </c>
      <c r="AG762" s="14">
        <f t="shared" si="172"/>
        <v>0</v>
      </c>
      <c r="AH762" s="25">
        <f>SUMIFS(инфо!$E$15:$E$28,инфо!$A$15:$A$28,F762)</f>
        <v>0</v>
      </c>
      <c r="AI762" s="32">
        <f t="shared" si="177"/>
        <v>0</v>
      </c>
      <c r="AJ762" s="14">
        <f t="shared" si="173"/>
        <v>0</v>
      </c>
      <c r="AK762" s="25">
        <f>SUMIFS(инфо!$F$15:$F$28,инфо!$A$15:$A$28,F762)</f>
        <v>0</v>
      </c>
      <c r="AL762" s="32">
        <f t="shared" si="178"/>
        <v>0</v>
      </c>
      <c r="AM762" s="14">
        <f t="shared" si="181"/>
        <v>0</v>
      </c>
      <c r="AN762" s="25">
        <f>SUMIFS(инфо!$G$15:$G$28,инфо!$A$15:$A$28,F762)</f>
        <v>0</v>
      </c>
      <c r="AO762" s="32">
        <f t="shared" si="179"/>
        <v>0</v>
      </c>
      <c r="AP762" s="14">
        <f t="shared" si="182"/>
        <v>0</v>
      </c>
      <c r="AQ762" s="25">
        <f>SUMIFS(инфо!$H$15:$H$28,инфо!$A$15:$A$28,F762)</f>
        <v>0</v>
      </c>
      <c r="AR762" s="26">
        <f t="shared" si="180"/>
        <v>0</v>
      </c>
      <c r="AS762" s="14">
        <f t="shared" si="183"/>
        <v>0</v>
      </c>
      <c r="AT762" s="25">
        <f>SUMIFS(инфо!$I$15:$I$28,инфо!$A$15:$A$28,F762)</f>
        <v>0</v>
      </c>
      <c r="AU762" s="35">
        <f t="shared" si="174"/>
        <v>0</v>
      </c>
      <c r="AV762" s="14">
        <f t="shared" si="184"/>
        <v>0</v>
      </c>
      <c r="AX762" s="69">
        <f>SUMIFS(инфо!$C$15:$C$28,инфо!$A$15:$A$28,F762)*H761</f>
        <v>0</v>
      </c>
    </row>
    <row r="763" spans="1:50" x14ac:dyDescent="0.25">
      <c r="A763" s="70">
        <f t="shared" si="175"/>
        <v>46445</v>
      </c>
      <c r="B763" s="75"/>
      <c r="C763" s="29"/>
      <c r="D763" s="30"/>
      <c r="E763" s="11"/>
      <c r="F763" s="28"/>
      <c r="G763" s="27"/>
      <c r="H763" s="20"/>
      <c r="I763" s="118">
        <f>IFERROR(H763*VLOOKUP(F763,инфо!$A$15:$C$28,3,FALSE)/1000,0)</f>
        <v>0</v>
      </c>
      <c r="J763" s="20"/>
      <c r="K763" s="20"/>
      <c r="L763" s="20"/>
      <c r="M763" s="20"/>
      <c r="N763" s="28"/>
      <c r="O763" s="27"/>
      <c r="P763" s="27"/>
      <c r="Q763" s="27"/>
      <c r="R763" s="27"/>
      <c r="S763" s="67">
        <f t="shared" si="185"/>
        <v>0</v>
      </c>
      <c r="T763" s="29"/>
      <c r="U763" s="30"/>
      <c r="V763" s="27"/>
      <c r="W763" s="81"/>
      <c r="X763" s="27"/>
      <c r="Y763" s="29"/>
      <c r="Z763" s="27"/>
      <c r="AA763" s="27"/>
      <c r="AB763" s="27"/>
      <c r="AC763" s="27"/>
      <c r="AD763" s="30"/>
      <c r="AE763" s="31">
        <f>SUMIFS(инфо!$D$15:$D$28,инфо!$A$15:$A$28,F763)</f>
        <v>0</v>
      </c>
      <c r="AF763" s="35">
        <f t="shared" si="176"/>
        <v>0</v>
      </c>
      <c r="AG763" s="33">
        <f t="shared" si="172"/>
        <v>0</v>
      </c>
      <c r="AH763" s="31">
        <f>SUMIFS(инфо!$E$15:$E$28,инфо!$A$15:$A$28,F763)</f>
        <v>0</v>
      </c>
      <c r="AI763" s="32">
        <f t="shared" si="177"/>
        <v>0</v>
      </c>
      <c r="AJ763" s="33">
        <f t="shared" si="173"/>
        <v>0</v>
      </c>
      <c r="AK763" s="31">
        <f>SUMIFS(инфо!$F$15:$F$28,инфо!$A$15:$A$28,F763)</f>
        <v>0</v>
      </c>
      <c r="AL763" s="32">
        <f t="shared" si="178"/>
        <v>0</v>
      </c>
      <c r="AM763" s="33">
        <f t="shared" si="181"/>
        <v>0</v>
      </c>
      <c r="AN763" s="31">
        <f>SUMIFS(инфо!$G$15:$G$28,инфо!$A$15:$A$28,F763)</f>
        <v>0</v>
      </c>
      <c r="AO763" s="32">
        <f t="shared" si="179"/>
        <v>0</v>
      </c>
      <c r="AP763" s="33">
        <f t="shared" si="182"/>
        <v>0</v>
      </c>
      <c r="AQ763" s="31">
        <f>SUMIFS(инфо!$H$15:$H$28,инфо!$A$15:$A$28,F763)</f>
        <v>0</v>
      </c>
      <c r="AR763" s="32">
        <f t="shared" si="180"/>
        <v>0</v>
      </c>
      <c r="AS763" s="33">
        <f t="shared" si="183"/>
        <v>0</v>
      </c>
      <c r="AT763" s="31">
        <f>SUMIFS(инфо!$I$15:$I$28,инфо!$A$15:$A$28,F763)</f>
        <v>0</v>
      </c>
      <c r="AU763" s="35">
        <f t="shared" si="174"/>
        <v>0</v>
      </c>
      <c r="AV763" s="33">
        <f t="shared" si="184"/>
        <v>0</v>
      </c>
      <c r="AX763" s="67">
        <f>SUMIFS(инфо!$C$15:$C$28,инфо!$A$15:$A$28,F763)*H762</f>
        <v>0</v>
      </c>
    </row>
    <row r="764" spans="1:50" x14ac:dyDescent="0.25">
      <c r="A764" s="70">
        <f t="shared" si="175"/>
        <v>46446</v>
      </c>
      <c r="B764" s="76"/>
      <c r="C764" s="15"/>
      <c r="D764" s="16"/>
      <c r="E764" s="11"/>
      <c r="F764" s="28"/>
      <c r="G764" s="34"/>
      <c r="H764" s="20"/>
      <c r="I764" s="118">
        <f>IFERROR(H764*VLOOKUP(F764,инфо!$A$15:$C$28,3,FALSE)/1000,0)</f>
        <v>0</v>
      </c>
      <c r="J764" s="20"/>
      <c r="K764" s="20"/>
      <c r="L764" s="20"/>
      <c r="M764" s="20"/>
      <c r="N764" s="20"/>
      <c r="O764" s="34"/>
      <c r="P764" s="34"/>
      <c r="Q764" s="34"/>
      <c r="R764" s="34"/>
      <c r="S764" s="68">
        <f t="shared" si="185"/>
        <v>0</v>
      </c>
      <c r="T764" s="15"/>
      <c r="U764" s="16"/>
      <c r="V764" s="34"/>
      <c r="W764" s="81"/>
      <c r="X764" s="34"/>
      <c r="Y764" s="15"/>
      <c r="Z764" s="34"/>
      <c r="AA764" s="34"/>
      <c r="AB764" s="34"/>
      <c r="AC764" s="34"/>
      <c r="AD764" s="16"/>
      <c r="AE764" s="24">
        <f>SUMIFS(инфо!$D$15:$D$28,инфо!$A$15:$A$28,F764)</f>
        <v>0</v>
      </c>
      <c r="AF764" s="35">
        <f t="shared" si="176"/>
        <v>0</v>
      </c>
      <c r="AG764" s="12">
        <f t="shared" si="172"/>
        <v>0</v>
      </c>
      <c r="AH764" s="24">
        <f>SUMIFS(инфо!$E$15:$E$28,инфо!$A$15:$A$28,F764)</f>
        <v>0</v>
      </c>
      <c r="AI764" s="32">
        <f t="shared" si="177"/>
        <v>0</v>
      </c>
      <c r="AJ764" s="12">
        <f t="shared" si="173"/>
        <v>0</v>
      </c>
      <c r="AK764" s="24">
        <f>SUMIFS(инфо!$F$15:$F$28,инфо!$A$15:$A$28,F764)</f>
        <v>0</v>
      </c>
      <c r="AL764" s="32">
        <f t="shared" si="178"/>
        <v>0</v>
      </c>
      <c r="AM764" s="12">
        <f t="shared" si="181"/>
        <v>0</v>
      </c>
      <c r="AN764" s="24">
        <f>SUMIFS(инфо!$G$15:$G$28,инфо!$A$15:$A$28,F764)</f>
        <v>0</v>
      </c>
      <c r="AO764" s="32">
        <f t="shared" si="179"/>
        <v>0</v>
      </c>
      <c r="AP764" s="12">
        <f t="shared" si="182"/>
        <v>0</v>
      </c>
      <c r="AQ764" s="24">
        <f>SUMIFS(инфо!$H$15:$H$28,инфо!$A$15:$A$28,F764)</f>
        <v>0</v>
      </c>
      <c r="AR764" s="35">
        <f t="shared" si="180"/>
        <v>0</v>
      </c>
      <c r="AS764" s="12">
        <f t="shared" si="183"/>
        <v>0</v>
      </c>
      <c r="AT764" s="24">
        <f>SUMIFS(инфо!$I$15:$I$28,инфо!$A$15:$A$28,F764)</f>
        <v>0</v>
      </c>
      <c r="AU764" s="35">
        <f t="shared" si="174"/>
        <v>0</v>
      </c>
      <c r="AV764" s="12">
        <f t="shared" si="184"/>
        <v>0</v>
      </c>
      <c r="AX764" s="68">
        <f>SUMIFS(инфо!$C$15:$C$28,инфо!$A$15:$A$28,F764)*H763</f>
        <v>0</v>
      </c>
    </row>
    <row r="765" spans="1:50" x14ac:dyDescent="0.25">
      <c r="A765" s="70">
        <f t="shared" si="175"/>
        <v>46446</v>
      </c>
      <c r="B765" s="76"/>
      <c r="C765" s="15"/>
      <c r="D765" s="16"/>
      <c r="E765" s="11"/>
      <c r="F765" s="28"/>
      <c r="G765" s="34"/>
      <c r="H765" s="23"/>
      <c r="I765" s="118">
        <f>IFERROR(H765*VLOOKUP(F765,инфо!$A$15:$C$28,3,FALSE)/1000,0)</f>
        <v>0</v>
      </c>
      <c r="J765" s="20"/>
      <c r="K765" s="20"/>
      <c r="L765" s="20"/>
      <c r="M765" s="20"/>
      <c r="N765" s="20"/>
      <c r="O765" s="34"/>
      <c r="P765" s="34"/>
      <c r="Q765" s="34"/>
      <c r="R765" s="34"/>
      <c r="S765" s="68">
        <f t="shared" si="185"/>
        <v>0</v>
      </c>
      <c r="T765" s="15"/>
      <c r="U765" s="16"/>
      <c r="V765" s="34"/>
      <c r="W765" s="81"/>
      <c r="X765" s="34"/>
      <c r="Y765" s="15"/>
      <c r="Z765" s="34"/>
      <c r="AA765" s="34"/>
      <c r="AB765" s="34"/>
      <c r="AC765" s="34"/>
      <c r="AD765" s="16"/>
      <c r="AE765" s="24">
        <f>SUMIFS(инфо!$D$15:$D$28,инфо!$A$15:$A$28,F765)</f>
        <v>0</v>
      </c>
      <c r="AF765" s="35">
        <f t="shared" si="176"/>
        <v>0</v>
      </c>
      <c r="AG765" s="12">
        <f t="shared" ref="AG765:AG828" si="186">AF765-AE765</f>
        <v>0</v>
      </c>
      <c r="AH765" s="24">
        <f>SUMIFS(инфо!$E$15:$E$28,инфо!$A$15:$A$28,F765)</f>
        <v>0</v>
      </c>
      <c r="AI765" s="32">
        <f t="shared" si="177"/>
        <v>0</v>
      </c>
      <c r="AJ765" s="12">
        <f t="shared" ref="AJ765:AJ828" si="187">AI765-AH765</f>
        <v>0</v>
      </c>
      <c r="AK765" s="24">
        <f>SUMIFS(инфо!$F$15:$F$28,инфо!$A$15:$A$28,F765)</f>
        <v>0</v>
      </c>
      <c r="AL765" s="32">
        <f t="shared" si="178"/>
        <v>0</v>
      </c>
      <c r="AM765" s="12">
        <f t="shared" si="181"/>
        <v>0</v>
      </c>
      <c r="AN765" s="24">
        <f>SUMIFS(инфо!$G$15:$G$28,инфо!$A$15:$A$28,F765)</f>
        <v>0</v>
      </c>
      <c r="AO765" s="32">
        <f t="shared" si="179"/>
        <v>0</v>
      </c>
      <c r="AP765" s="12">
        <f t="shared" si="182"/>
        <v>0</v>
      </c>
      <c r="AQ765" s="24">
        <f>SUMIFS(инфо!$H$15:$H$28,инфо!$A$15:$A$28,F765)</f>
        <v>0</v>
      </c>
      <c r="AR765" s="35">
        <f t="shared" si="180"/>
        <v>0</v>
      </c>
      <c r="AS765" s="12">
        <f t="shared" si="183"/>
        <v>0</v>
      </c>
      <c r="AT765" s="24">
        <f>SUMIFS(инфо!$I$15:$I$28,инфо!$A$15:$A$28,F765)</f>
        <v>0</v>
      </c>
      <c r="AU765" s="35">
        <f t="shared" si="174"/>
        <v>0</v>
      </c>
      <c r="AV765" s="12">
        <f t="shared" si="184"/>
        <v>0</v>
      </c>
      <c r="AX765" s="68">
        <f>SUMIFS(инфо!$C$15:$C$28,инфо!$A$15:$A$28,F765)*H764</f>
        <v>0</v>
      </c>
    </row>
    <row r="766" spans="1:50" x14ac:dyDescent="0.25">
      <c r="A766" s="70">
        <f t="shared" si="175"/>
        <v>46447</v>
      </c>
      <c r="B766" s="77"/>
      <c r="C766" s="17"/>
      <c r="D766" s="18"/>
      <c r="E766" s="11"/>
      <c r="F766" s="28"/>
      <c r="G766" s="19"/>
      <c r="H766" s="28"/>
      <c r="I766" s="118">
        <f>IFERROR(H766*VLOOKUP(F766,инфо!$A$15:$C$28,3,FALSE)/1000,0)</f>
        <v>0</v>
      </c>
      <c r="J766" s="20"/>
      <c r="K766" s="20"/>
      <c r="L766" s="20"/>
      <c r="M766" s="20"/>
      <c r="N766" s="23"/>
      <c r="O766" s="19"/>
      <c r="P766" s="19"/>
      <c r="Q766" s="19"/>
      <c r="R766" s="19"/>
      <c r="S766" s="69">
        <f t="shared" si="185"/>
        <v>0</v>
      </c>
      <c r="T766" s="17"/>
      <c r="U766" s="18"/>
      <c r="V766" s="19"/>
      <c r="W766" s="81"/>
      <c r="X766" s="19"/>
      <c r="Y766" s="17"/>
      <c r="Z766" s="19"/>
      <c r="AA766" s="19"/>
      <c r="AB766" s="19"/>
      <c r="AC766" s="19"/>
      <c r="AD766" s="18"/>
      <c r="AE766" s="25">
        <f>SUMIFS(инфо!$D$15:$D$28,инфо!$A$15:$A$28,F766)</f>
        <v>0</v>
      </c>
      <c r="AF766" s="35">
        <f t="shared" si="176"/>
        <v>0</v>
      </c>
      <c r="AG766" s="14">
        <f t="shared" si="186"/>
        <v>0</v>
      </c>
      <c r="AH766" s="25">
        <f>SUMIFS(инфо!$E$15:$E$28,инфо!$A$15:$A$28,F766)</f>
        <v>0</v>
      </c>
      <c r="AI766" s="32">
        <f t="shared" si="177"/>
        <v>0</v>
      </c>
      <c r="AJ766" s="14">
        <f t="shared" si="187"/>
        <v>0</v>
      </c>
      <c r="AK766" s="25">
        <f>SUMIFS(инфо!$F$15:$F$28,инфо!$A$15:$A$28,F766)</f>
        <v>0</v>
      </c>
      <c r="AL766" s="32">
        <f t="shared" si="178"/>
        <v>0</v>
      </c>
      <c r="AM766" s="14">
        <f t="shared" si="181"/>
        <v>0</v>
      </c>
      <c r="AN766" s="25">
        <f>SUMIFS(инфо!$G$15:$G$28,инфо!$A$15:$A$28,F766)</f>
        <v>0</v>
      </c>
      <c r="AO766" s="32">
        <f t="shared" si="179"/>
        <v>0</v>
      </c>
      <c r="AP766" s="14">
        <f t="shared" si="182"/>
        <v>0</v>
      </c>
      <c r="AQ766" s="25">
        <f>SUMIFS(инфо!$H$15:$H$28,инфо!$A$15:$A$28,F766)</f>
        <v>0</v>
      </c>
      <c r="AR766" s="26">
        <f t="shared" si="180"/>
        <v>0</v>
      </c>
      <c r="AS766" s="14">
        <f t="shared" si="183"/>
        <v>0</v>
      </c>
      <c r="AT766" s="25">
        <f>SUMIFS(инфо!$I$15:$I$28,инфо!$A$15:$A$28,F766)</f>
        <v>0</v>
      </c>
      <c r="AU766" s="35">
        <f t="shared" si="174"/>
        <v>0</v>
      </c>
      <c r="AV766" s="14">
        <f t="shared" si="184"/>
        <v>0</v>
      </c>
      <c r="AX766" s="69">
        <f>SUMIFS(инфо!$C$15:$C$28,инфо!$A$15:$A$28,F766)*H765</f>
        <v>0</v>
      </c>
    </row>
    <row r="767" spans="1:50" x14ac:dyDescent="0.25">
      <c r="A767" s="70">
        <f t="shared" si="175"/>
        <v>46447</v>
      </c>
      <c r="B767" s="75"/>
      <c r="C767" s="29"/>
      <c r="D767" s="30"/>
      <c r="E767" s="11"/>
      <c r="F767" s="28"/>
      <c r="G767" s="27"/>
      <c r="H767" s="20"/>
      <c r="I767" s="118">
        <f>IFERROR(H767*VLOOKUP(F767,инфо!$A$15:$C$28,3,FALSE)/1000,0)</f>
        <v>0</v>
      </c>
      <c r="J767" s="20"/>
      <c r="K767" s="20"/>
      <c r="L767" s="20"/>
      <c r="M767" s="20"/>
      <c r="N767" s="28"/>
      <c r="O767" s="27"/>
      <c r="P767" s="27"/>
      <c r="Q767" s="27"/>
      <c r="R767" s="27"/>
      <c r="S767" s="67">
        <f t="shared" si="185"/>
        <v>0</v>
      </c>
      <c r="T767" s="29"/>
      <c r="U767" s="30"/>
      <c r="V767" s="27"/>
      <c r="W767" s="81"/>
      <c r="X767" s="27"/>
      <c r="Y767" s="29"/>
      <c r="Z767" s="27"/>
      <c r="AA767" s="27"/>
      <c r="AB767" s="27"/>
      <c r="AC767" s="27"/>
      <c r="AD767" s="30"/>
      <c r="AE767" s="31">
        <f>SUMIFS(инфо!$D$15:$D$28,инфо!$A$15:$A$28,F767)</f>
        <v>0</v>
      </c>
      <c r="AF767" s="35">
        <f t="shared" si="176"/>
        <v>0</v>
      </c>
      <c r="AG767" s="33">
        <f t="shared" si="186"/>
        <v>0</v>
      </c>
      <c r="AH767" s="31">
        <f>SUMIFS(инфо!$E$15:$E$28,инфо!$A$15:$A$28,F767)</f>
        <v>0</v>
      </c>
      <c r="AI767" s="32">
        <f t="shared" si="177"/>
        <v>0</v>
      </c>
      <c r="AJ767" s="33">
        <f t="shared" si="187"/>
        <v>0</v>
      </c>
      <c r="AK767" s="31">
        <f>SUMIFS(инфо!$F$15:$F$28,инфо!$A$15:$A$28,F767)</f>
        <v>0</v>
      </c>
      <c r="AL767" s="32">
        <f t="shared" si="178"/>
        <v>0</v>
      </c>
      <c r="AM767" s="33">
        <f t="shared" si="181"/>
        <v>0</v>
      </c>
      <c r="AN767" s="31">
        <f>SUMIFS(инфо!$G$15:$G$28,инфо!$A$15:$A$28,F767)</f>
        <v>0</v>
      </c>
      <c r="AO767" s="32">
        <f t="shared" si="179"/>
        <v>0</v>
      </c>
      <c r="AP767" s="33">
        <f t="shared" si="182"/>
        <v>0</v>
      </c>
      <c r="AQ767" s="31">
        <f>SUMIFS(инфо!$H$15:$H$28,инфо!$A$15:$A$28,F767)</f>
        <v>0</v>
      </c>
      <c r="AR767" s="32">
        <f t="shared" si="180"/>
        <v>0</v>
      </c>
      <c r="AS767" s="33">
        <f t="shared" si="183"/>
        <v>0</v>
      </c>
      <c r="AT767" s="31">
        <f>SUMIFS(инфо!$I$15:$I$28,инфо!$A$15:$A$28,F767)</f>
        <v>0</v>
      </c>
      <c r="AU767" s="35">
        <f t="shared" si="174"/>
        <v>0</v>
      </c>
      <c r="AV767" s="33">
        <f t="shared" si="184"/>
        <v>0</v>
      </c>
      <c r="AX767" s="67">
        <f>SUMIFS(инфо!$C$15:$C$28,инфо!$A$15:$A$28,F767)*H766</f>
        <v>0</v>
      </c>
    </row>
    <row r="768" spans="1:50" x14ac:dyDescent="0.25">
      <c r="A768" s="70">
        <f t="shared" si="175"/>
        <v>46448</v>
      </c>
      <c r="B768" s="76"/>
      <c r="C768" s="15"/>
      <c r="D768" s="16"/>
      <c r="E768" s="11"/>
      <c r="F768" s="28"/>
      <c r="G768" s="34"/>
      <c r="H768" s="20"/>
      <c r="I768" s="118">
        <f>IFERROR(H768*VLOOKUP(F768,инфо!$A$15:$C$28,3,FALSE)/1000,0)</f>
        <v>0</v>
      </c>
      <c r="J768" s="20"/>
      <c r="K768" s="20"/>
      <c r="L768" s="20"/>
      <c r="M768" s="20"/>
      <c r="N768" s="20"/>
      <c r="O768" s="34"/>
      <c r="P768" s="34"/>
      <c r="Q768" s="34"/>
      <c r="R768" s="34"/>
      <c r="S768" s="68">
        <f t="shared" si="185"/>
        <v>0</v>
      </c>
      <c r="T768" s="15"/>
      <c r="U768" s="16"/>
      <c r="V768" s="34"/>
      <c r="W768" s="81"/>
      <c r="X768" s="34"/>
      <c r="Y768" s="15"/>
      <c r="Z768" s="34"/>
      <c r="AA768" s="34"/>
      <c r="AB768" s="34"/>
      <c r="AC768" s="34"/>
      <c r="AD768" s="16"/>
      <c r="AE768" s="24">
        <f>SUMIFS(инфо!$D$15:$D$28,инфо!$A$15:$A$28,F768)</f>
        <v>0</v>
      </c>
      <c r="AF768" s="35">
        <f t="shared" si="176"/>
        <v>0</v>
      </c>
      <c r="AG768" s="12">
        <f t="shared" si="186"/>
        <v>0</v>
      </c>
      <c r="AH768" s="24">
        <f>SUMIFS(инфо!$E$15:$E$28,инфо!$A$15:$A$28,F768)</f>
        <v>0</v>
      </c>
      <c r="AI768" s="32">
        <f t="shared" si="177"/>
        <v>0</v>
      </c>
      <c r="AJ768" s="12">
        <f t="shared" si="187"/>
        <v>0</v>
      </c>
      <c r="AK768" s="24">
        <f>SUMIFS(инфо!$F$15:$F$28,инфо!$A$15:$A$28,F768)</f>
        <v>0</v>
      </c>
      <c r="AL768" s="32">
        <f t="shared" si="178"/>
        <v>0</v>
      </c>
      <c r="AM768" s="12">
        <f t="shared" si="181"/>
        <v>0</v>
      </c>
      <c r="AN768" s="24">
        <f>SUMIFS(инфо!$G$15:$G$28,инфо!$A$15:$A$28,F768)</f>
        <v>0</v>
      </c>
      <c r="AO768" s="32">
        <f t="shared" si="179"/>
        <v>0</v>
      </c>
      <c r="AP768" s="12">
        <f t="shared" si="182"/>
        <v>0</v>
      </c>
      <c r="AQ768" s="24">
        <f>SUMIFS(инфо!$H$15:$H$28,инфо!$A$15:$A$28,F768)</f>
        <v>0</v>
      </c>
      <c r="AR768" s="35">
        <f t="shared" si="180"/>
        <v>0</v>
      </c>
      <c r="AS768" s="12">
        <f t="shared" si="183"/>
        <v>0</v>
      </c>
      <c r="AT768" s="24">
        <f>SUMIFS(инфо!$I$15:$I$28,инфо!$A$15:$A$28,F768)</f>
        <v>0</v>
      </c>
      <c r="AU768" s="35">
        <f t="shared" si="174"/>
        <v>0</v>
      </c>
      <c r="AV768" s="12">
        <f t="shared" si="184"/>
        <v>0</v>
      </c>
      <c r="AX768" s="68">
        <f>SUMIFS(инфо!$C$15:$C$28,инфо!$A$15:$A$28,F768)*H767</f>
        <v>0</v>
      </c>
    </row>
    <row r="769" spans="1:50" x14ac:dyDescent="0.25">
      <c r="A769" s="70">
        <f t="shared" si="175"/>
        <v>46448</v>
      </c>
      <c r="B769" s="76"/>
      <c r="C769" s="15"/>
      <c r="D769" s="16"/>
      <c r="E769" s="11"/>
      <c r="F769" s="28"/>
      <c r="G769" s="34"/>
      <c r="H769" s="23"/>
      <c r="I769" s="118">
        <f>IFERROR(H769*VLOOKUP(F769,инфо!$A$15:$C$28,3,FALSE)/1000,0)</f>
        <v>0</v>
      </c>
      <c r="J769" s="20"/>
      <c r="K769" s="20"/>
      <c r="L769" s="20"/>
      <c r="M769" s="20"/>
      <c r="N769" s="20"/>
      <c r="O769" s="34"/>
      <c r="P769" s="34"/>
      <c r="Q769" s="34"/>
      <c r="R769" s="34"/>
      <c r="S769" s="68">
        <f t="shared" si="185"/>
        <v>0</v>
      </c>
      <c r="T769" s="15"/>
      <c r="U769" s="16"/>
      <c r="V769" s="34"/>
      <c r="W769" s="81"/>
      <c r="X769" s="34"/>
      <c r="Y769" s="15"/>
      <c r="Z769" s="34"/>
      <c r="AA769" s="34"/>
      <c r="AB769" s="34"/>
      <c r="AC769" s="34"/>
      <c r="AD769" s="16"/>
      <c r="AE769" s="24">
        <f>SUMIFS(инфо!$D$15:$D$28,инфо!$A$15:$A$28,F769)</f>
        <v>0</v>
      </c>
      <c r="AF769" s="35">
        <f t="shared" si="176"/>
        <v>0</v>
      </c>
      <c r="AG769" s="12">
        <f t="shared" si="186"/>
        <v>0</v>
      </c>
      <c r="AH769" s="24">
        <f>SUMIFS(инфо!$E$15:$E$28,инфо!$A$15:$A$28,F769)</f>
        <v>0</v>
      </c>
      <c r="AI769" s="32">
        <f t="shared" si="177"/>
        <v>0</v>
      </c>
      <c r="AJ769" s="12">
        <f t="shared" si="187"/>
        <v>0</v>
      </c>
      <c r="AK769" s="24">
        <f>SUMIFS(инфо!$F$15:$F$28,инфо!$A$15:$A$28,F769)</f>
        <v>0</v>
      </c>
      <c r="AL769" s="32">
        <f t="shared" si="178"/>
        <v>0</v>
      </c>
      <c r="AM769" s="12">
        <f t="shared" si="181"/>
        <v>0</v>
      </c>
      <c r="AN769" s="24">
        <f>SUMIFS(инфо!$G$15:$G$28,инфо!$A$15:$A$28,F769)</f>
        <v>0</v>
      </c>
      <c r="AO769" s="32">
        <f t="shared" si="179"/>
        <v>0</v>
      </c>
      <c r="AP769" s="12">
        <f t="shared" si="182"/>
        <v>0</v>
      </c>
      <c r="AQ769" s="24">
        <f>SUMIFS(инфо!$H$15:$H$28,инфо!$A$15:$A$28,F769)</f>
        <v>0</v>
      </c>
      <c r="AR769" s="35">
        <f t="shared" si="180"/>
        <v>0</v>
      </c>
      <c r="AS769" s="12">
        <f t="shared" si="183"/>
        <v>0</v>
      </c>
      <c r="AT769" s="24">
        <f>SUMIFS(инфо!$I$15:$I$28,инфо!$A$15:$A$28,F769)</f>
        <v>0</v>
      </c>
      <c r="AU769" s="35">
        <f t="shared" si="174"/>
        <v>0</v>
      </c>
      <c r="AV769" s="12">
        <f t="shared" si="184"/>
        <v>0</v>
      </c>
      <c r="AX769" s="68">
        <f>SUMIFS(инфо!$C$15:$C$28,инфо!$A$15:$A$28,F769)*H768</f>
        <v>0</v>
      </c>
    </row>
    <row r="770" spans="1:50" x14ac:dyDescent="0.25">
      <c r="A770" s="70">
        <f t="shared" si="175"/>
        <v>46449</v>
      </c>
      <c r="B770" s="77"/>
      <c r="C770" s="17"/>
      <c r="D770" s="18"/>
      <c r="E770" s="11"/>
      <c r="F770" s="28"/>
      <c r="G770" s="19"/>
      <c r="H770" s="28"/>
      <c r="I770" s="118">
        <f>IFERROR(H770*VLOOKUP(F770,инфо!$A$15:$C$28,3,FALSE)/1000,0)</f>
        <v>0</v>
      </c>
      <c r="J770" s="20"/>
      <c r="K770" s="20"/>
      <c r="L770" s="20"/>
      <c r="M770" s="20"/>
      <c r="N770" s="23"/>
      <c r="O770" s="19"/>
      <c r="P770" s="19"/>
      <c r="Q770" s="19"/>
      <c r="R770" s="19"/>
      <c r="S770" s="69">
        <f t="shared" si="185"/>
        <v>0</v>
      </c>
      <c r="T770" s="17"/>
      <c r="U770" s="18"/>
      <c r="V770" s="19"/>
      <c r="W770" s="81"/>
      <c r="X770" s="19"/>
      <c r="Y770" s="17"/>
      <c r="Z770" s="19"/>
      <c r="AA770" s="19"/>
      <c r="AB770" s="19"/>
      <c r="AC770" s="19"/>
      <c r="AD770" s="18"/>
      <c r="AE770" s="25">
        <f>SUMIFS(инфо!$D$15:$D$28,инфо!$A$15:$A$28,F770)</f>
        <v>0</v>
      </c>
      <c r="AF770" s="35">
        <f t="shared" si="176"/>
        <v>0</v>
      </c>
      <c r="AG770" s="14">
        <f t="shared" si="186"/>
        <v>0</v>
      </c>
      <c r="AH770" s="25">
        <f>SUMIFS(инфо!$E$15:$E$28,инфо!$A$15:$A$28,F770)</f>
        <v>0</v>
      </c>
      <c r="AI770" s="32">
        <f t="shared" si="177"/>
        <v>0</v>
      </c>
      <c r="AJ770" s="14">
        <f t="shared" si="187"/>
        <v>0</v>
      </c>
      <c r="AK770" s="25">
        <f>SUMIFS(инфо!$F$15:$F$28,инфо!$A$15:$A$28,F770)</f>
        <v>0</v>
      </c>
      <c r="AL770" s="32">
        <f t="shared" si="178"/>
        <v>0</v>
      </c>
      <c r="AM770" s="14">
        <f t="shared" si="181"/>
        <v>0</v>
      </c>
      <c r="AN770" s="25">
        <f>SUMIFS(инфо!$G$15:$G$28,инфо!$A$15:$A$28,F770)</f>
        <v>0</v>
      </c>
      <c r="AO770" s="32">
        <f t="shared" si="179"/>
        <v>0</v>
      </c>
      <c r="AP770" s="14">
        <f t="shared" si="182"/>
        <v>0</v>
      </c>
      <c r="AQ770" s="25">
        <f>SUMIFS(инфо!$H$15:$H$28,инфо!$A$15:$A$28,F770)</f>
        <v>0</v>
      </c>
      <c r="AR770" s="26">
        <f t="shared" si="180"/>
        <v>0</v>
      </c>
      <c r="AS770" s="14">
        <f t="shared" si="183"/>
        <v>0</v>
      </c>
      <c r="AT770" s="25">
        <f>SUMIFS(инфо!$I$15:$I$28,инфо!$A$15:$A$28,F770)</f>
        <v>0</v>
      </c>
      <c r="AU770" s="35">
        <f t="shared" si="174"/>
        <v>0</v>
      </c>
      <c r="AV770" s="14">
        <f t="shared" si="184"/>
        <v>0</v>
      </c>
      <c r="AX770" s="69">
        <f>SUMIFS(инфо!$C$15:$C$28,инфо!$A$15:$A$28,F770)*H769</f>
        <v>0</v>
      </c>
    </row>
    <row r="771" spans="1:50" x14ac:dyDescent="0.25">
      <c r="A771" s="70">
        <f t="shared" si="175"/>
        <v>46449</v>
      </c>
      <c r="B771" s="75"/>
      <c r="C771" s="29"/>
      <c r="D771" s="30"/>
      <c r="E771" s="11"/>
      <c r="F771" s="28"/>
      <c r="G771" s="27"/>
      <c r="H771" s="20"/>
      <c r="I771" s="118">
        <f>IFERROR(H771*VLOOKUP(F771,инфо!$A$15:$C$28,3,FALSE)/1000,0)</f>
        <v>0</v>
      </c>
      <c r="J771" s="20"/>
      <c r="K771" s="20"/>
      <c r="L771" s="20"/>
      <c r="M771" s="20"/>
      <c r="N771" s="28"/>
      <c r="O771" s="27"/>
      <c r="P771" s="27"/>
      <c r="Q771" s="27"/>
      <c r="R771" s="27"/>
      <c r="S771" s="67">
        <f t="shared" si="185"/>
        <v>0</v>
      </c>
      <c r="T771" s="29"/>
      <c r="U771" s="30"/>
      <c r="V771" s="27"/>
      <c r="W771" s="81"/>
      <c r="X771" s="27"/>
      <c r="Y771" s="29"/>
      <c r="Z771" s="27"/>
      <c r="AA771" s="27"/>
      <c r="AB771" s="27"/>
      <c r="AC771" s="27"/>
      <c r="AD771" s="30"/>
      <c r="AE771" s="31">
        <f>SUMIFS(инфо!$D$15:$D$28,инфо!$A$15:$A$28,F771)</f>
        <v>0</v>
      </c>
      <c r="AF771" s="35">
        <f t="shared" si="176"/>
        <v>0</v>
      </c>
      <c r="AG771" s="33">
        <f t="shared" si="186"/>
        <v>0</v>
      </c>
      <c r="AH771" s="31">
        <f>SUMIFS(инфо!$E$15:$E$28,инфо!$A$15:$A$28,F771)</f>
        <v>0</v>
      </c>
      <c r="AI771" s="32">
        <f t="shared" si="177"/>
        <v>0</v>
      </c>
      <c r="AJ771" s="33">
        <f t="shared" si="187"/>
        <v>0</v>
      </c>
      <c r="AK771" s="31">
        <f>SUMIFS(инфо!$F$15:$F$28,инфо!$A$15:$A$28,F771)</f>
        <v>0</v>
      </c>
      <c r="AL771" s="32">
        <f t="shared" si="178"/>
        <v>0</v>
      </c>
      <c r="AM771" s="33">
        <f t="shared" si="181"/>
        <v>0</v>
      </c>
      <c r="AN771" s="31">
        <f>SUMIFS(инфо!$G$15:$G$28,инфо!$A$15:$A$28,F771)</f>
        <v>0</v>
      </c>
      <c r="AO771" s="32">
        <f t="shared" si="179"/>
        <v>0</v>
      </c>
      <c r="AP771" s="33">
        <f t="shared" si="182"/>
        <v>0</v>
      </c>
      <c r="AQ771" s="31">
        <f>SUMIFS(инфо!$H$15:$H$28,инфо!$A$15:$A$28,F771)</f>
        <v>0</v>
      </c>
      <c r="AR771" s="32">
        <f t="shared" si="180"/>
        <v>0</v>
      </c>
      <c r="AS771" s="33">
        <f t="shared" si="183"/>
        <v>0</v>
      </c>
      <c r="AT771" s="31">
        <f>SUMIFS(инфо!$I$15:$I$28,инфо!$A$15:$A$28,F771)</f>
        <v>0</v>
      </c>
      <c r="AU771" s="35">
        <f t="shared" si="174"/>
        <v>0</v>
      </c>
      <c r="AV771" s="33">
        <f t="shared" si="184"/>
        <v>0</v>
      </c>
      <c r="AX771" s="67">
        <f>SUMIFS(инфо!$C$15:$C$28,инфо!$A$15:$A$28,F771)*H770</f>
        <v>0</v>
      </c>
    </row>
    <row r="772" spans="1:50" x14ac:dyDescent="0.25">
      <c r="A772" s="70">
        <f t="shared" si="175"/>
        <v>46450</v>
      </c>
      <c r="B772" s="76"/>
      <c r="C772" s="15"/>
      <c r="D772" s="16"/>
      <c r="E772" s="11"/>
      <c r="F772" s="28"/>
      <c r="G772" s="34"/>
      <c r="H772" s="20"/>
      <c r="I772" s="118">
        <f>IFERROR(H772*VLOOKUP(F772,инфо!$A$15:$C$28,3,FALSE)/1000,0)</f>
        <v>0</v>
      </c>
      <c r="J772" s="20"/>
      <c r="K772" s="20"/>
      <c r="L772" s="20"/>
      <c r="M772" s="20"/>
      <c r="N772" s="20"/>
      <c r="O772" s="34"/>
      <c r="P772" s="34"/>
      <c r="Q772" s="34"/>
      <c r="R772" s="34"/>
      <c r="S772" s="68">
        <f t="shared" si="185"/>
        <v>0</v>
      </c>
      <c r="T772" s="15"/>
      <c r="U772" s="16"/>
      <c r="V772" s="34"/>
      <c r="W772" s="81"/>
      <c r="X772" s="34"/>
      <c r="Y772" s="15"/>
      <c r="Z772" s="34"/>
      <c r="AA772" s="34"/>
      <c r="AB772" s="34"/>
      <c r="AC772" s="34"/>
      <c r="AD772" s="16"/>
      <c r="AE772" s="24">
        <f>SUMIFS(инфо!$D$15:$D$28,инфо!$A$15:$A$28,F772)</f>
        <v>0</v>
      </c>
      <c r="AF772" s="35">
        <f t="shared" si="176"/>
        <v>0</v>
      </c>
      <c r="AG772" s="12">
        <f t="shared" si="186"/>
        <v>0</v>
      </c>
      <c r="AH772" s="24">
        <f>SUMIFS(инфо!$E$15:$E$28,инфо!$A$15:$A$28,F772)</f>
        <v>0</v>
      </c>
      <c r="AI772" s="32">
        <f t="shared" si="177"/>
        <v>0</v>
      </c>
      <c r="AJ772" s="12">
        <f t="shared" si="187"/>
        <v>0</v>
      </c>
      <c r="AK772" s="24">
        <f>SUMIFS(инфо!$F$15:$F$28,инфо!$A$15:$A$28,F772)</f>
        <v>0</v>
      </c>
      <c r="AL772" s="32">
        <f t="shared" si="178"/>
        <v>0</v>
      </c>
      <c r="AM772" s="12">
        <f t="shared" si="181"/>
        <v>0</v>
      </c>
      <c r="AN772" s="24">
        <f>SUMIFS(инфо!$G$15:$G$28,инфо!$A$15:$A$28,F772)</f>
        <v>0</v>
      </c>
      <c r="AO772" s="32">
        <f t="shared" si="179"/>
        <v>0</v>
      </c>
      <c r="AP772" s="12">
        <f t="shared" si="182"/>
        <v>0</v>
      </c>
      <c r="AQ772" s="24">
        <f>SUMIFS(инфо!$H$15:$H$28,инфо!$A$15:$A$28,F772)</f>
        <v>0</v>
      </c>
      <c r="AR772" s="35">
        <f t="shared" si="180"/>
        <v>0</v>
      </c>
      <c r="AS772" s="12">
        <f t="shared" si="183"/>
        <v>0</v>
      </c>
      <c r="AT772" s="24">
        <f>SUMIFS(инфо!$I$15:$I$28,инфо!$A$15:$A$28,F772)</f>
        <v>0</v>
      </c>
      <c r="AU772" s="35">
        <f t="shared" si="174"/>
        <v>0</v>
      </c>
      <c r="AV772" s="12">
        <f t="shared" si="184"/>
        <v>0</v>
      </c>
      <c r="AX772" s="68">
        <f>SUMIFS(инфо!$C$15:$C$28,инфо!$A$15:$A$28,F772)*H771</f>
        <v>0</v>
      </c>
    </row>
    <row r="773" spans="1:50" x14ac:dyDescent="0.25">
      <c r="A773" s="70">
        <f t="shared" si="175"/>
        <v>46450</v>
      </c>
      <c r="B773" s="76"/>
      <c r="C773" s="15"/>
      <c r="D773" s="16"/>
      <c r="E773" s="11"/>
      <c r="F773" s="28"/>
      <c r="G773" s="34"/>
      <c r="H773" s="23"/>
      <c r="I773" s="118">
        <f>IFERROR(H773*VLOOKUP(F773,инфо!$A$15:$C$28,3,FALSE)/1000,0)</f>
        <v>0</v>
      </c>
      <c r="J773" s="20"/>
      <c r="K773" s="20"/>
      <c r="L773" s="20"/>
      <c r="M773" s="20"/>
      <c r="N773" s="20"/>
      <c r="O773" s="34"/>
      <c r="P773" s="34"/>
      <c r="Q773" s="34"/>
      <c r="R773" s="34"/>
      <c r="S773" s="68">
        <f t="shared" si="185"/>
        <v>0</v>
      </c>
      <c r="T773" s="15"/>
      <c r="U773" s="16"/>
      <c r="V773" s="34"/>
      <c r="W773" s="81"/>
      <c r="X773" s="34"/>
      <c r="Y773" s="15"/>
      <c r="Z773" s="34"/>
      <c r="AA773" s="34"/>
      <c r="AB773" s="34"/>
      <c r="AC773" s="34"/>
      <c r="AD773" s="16"/>
      <c r="AE773" s="24">
        <f>SUMIFS(инфо!$D$15:$D$28,инфо!$A$15:$A$28,F773)</f>
        <v>0</v>
      </c>
      <c r="AF773" s="35">
        <f t="shared" si="176"/>
        <v>0</v>
      </c>
      <c r="AG773" s="12">
        <f t="shared" si="186"/>
        <v>0</v>
      </c>
      <c r="AH773" s="24">
        <f>SUMIFS(инфо!$E$15:$E$28,инфо!$A$15:$A$28,F773)</f>
        <v>0</v>
      </c>
      <c r="AI773" s="32">
        <f t="shared" si="177"/>
        <v>0</v>
      </c>
      <c r="AJ773" s="12">
        <f t="shared" si="187"/>
        <v>0</v>
      </c>
      <c r="AK773" s="24">
        <f>SUMIFS(инфо!$F$15:$F$28,инфо!$A$15:$A$28,F773)</f>
        <v>0</v>
      </c>
      <c r="AL773" s="32">
        <f t="shared" si="178"/>
        <v>0</v>
      </c>
      <c r="AM773" s="12">
        <f t="shared" si="181"/>
        <v>0</v>
      </c>
      <c r="AN773" s="24">
        <f>SUMIFS(инфо!$G$15:$G$28,инфо!$A$15:$A$28,F773)</f>
        <v>0</v>
      </c>
      <c r="AO773" s="32">
        <f t="shared" si="179"/>
        <v>0</v>
      </c>
      <c r="AP773" s="12">
        <f t="shared" si="182"/>
        <v>0</v>
      </c>
      <c r="AQ773" s="24">
        <f>SUMIFS(инфо!$H$15:$H$28,инфо!$A$15:$A$28,F773)</f>
        <v>0</v>
      </c>
      <c r="AR773" s="35">
        <f t="shared" si="180"/>
        <v>0</v>
      </c>
      <c r="AS773" s="12">
        <f t="shared" si="183"/>
        <v>0</v>
      </c>
      <c r="AT773" s="24">
        <f>SUMIFS(инфо!$I$15:$I$28,инфо!$A$15:$A$28,F773)</f>
        <v>0</v>
      </c>
      <c r="AU773" s="35">
        <f t="shared" si="174"/>
        <v>0</v>
      </c>
      <c r="AV773" s="12">
        <f t="shared" si="184"/>
        <v>0</v>
      </c>
      <c r="AX773" s="68">
        <f>SUMIFS(инфо!$C$15:$C$28,инфо!$A$15:$A$28,F773)*H772</f>
        <v>0</v>
      </c>
    </row>
    <row r="774" spans="1:50" x14ac:dyDescent="0.25">
      <c r="A774" s="70">
        <f t="shared" si="175"/>
        <v>46451</v>
      </c>
      <c r="B774" s="77"/>
      <c r="C774" s="17"/>
      <c r="D774" s="18"/>
      <c r="E774" s="11"/>
      <c r="F774" s="28"/>
      <c r="G774" s="19"/>
      <c r="H774" s="28"/>
      <c r="I774" s="118">
        <f>IFERROR(H774*VLOOKUP(F774,инфо!$A$15:$C$28,3,FALSE)/1000,0)</f>
        <v>0</v>
      </c>
      <c r="J774" s="20"/>
      <c r="K774" s="20"/>
      <c r="L774" s="20"/>
      <c r="M774" s="20"/>
      <c r="N774" s="23"/>
      <c r="O774" s="19"/>
      <c r="P774" s="19"/>
      <c r="Q774" s="19"/>
      <c r="R774" s="19"/>
      <c r="S774" s="69">
        <f t="shared" si="185"/>
        <v>0</v>
      </c>
      <c r="T774" s="17"/>
      <c r="U774" s="18"/>
      <c r="V774" s="19"/>
      <c r="W774" s="81"/>
      <c r="X774" s="19"/>
      <c r="Y774" s="17"/>
      <c r="Z774" s="19"/>
      <c r="AA774" s="19"/>
      <c r="AB774" s="19"/>
      <c r="AC774" s="19"/>
      <c r="AD774" s="18"/>
      <c r="AE774" s="25">
        <f>SUMIFS(инфо!$D$15:$D$28,инфо!$A$15:$A$28,F774)</f>
        <v>0</v>
      </c>
      <c r="AF774" s="35">
        <f t="shared" si="176"/>
        <v>0</v>
      </c>
      <c r="AG774" s="14">
        <f t="shared" si="186"/>
        <v>0</v>
      </c>
      <c r="AH774" s="25">
        <f>SUMIFS(инфо!$E$15:$E$28,инфо!$A$15:$A$28,F774)</f>
        <v>0</v>
      </c>
      <c r="AI774" s="32">
        <f t="shared" si="177"/>
        <v>0</v>
      </c>
      <c r="AJ774" s="14">
        <f t="shared" si="187"/>
        <v>0</v>
      </c>
      <c r="AK774" s="25">
        <f>SUMIFS(инфо!$F$15:$F$28,инфо!$A$15:$A$28,F774)</f>
        <v>0</v>
      </c>
      <c r="AL774" s="32">
        <f t="shared" si="178"/>
        <v>0</v>
      </c>
      <c r="AM774" s="14">
        <f t="shared" si="181"/>
        <v>0</v>
      </c>
      <c r="AN774" s="25">
        <f>SUMIFS(инфо!$G$15:$G$28,инфо!$A$15:$A$28,F774)</f>
        <v>0</v>
      </c>
      <c r="AO774" s="32">
        <f t="shared" si="179"/>
        <v>0</v>
      </c>
      <c r="AP774" s="14">
        <f t="shared" si="182"/>
        <v>0</v>
      </c>
      <c r="AQ774" s="25">
        <f>SUMIFS(инфо!$H$15:$H$28,инфо!$A$15:$A$28,F774)</f>
        <v>0</v>
      </c>
      <c r="AR774" s="26">
        <f t="shared" si="180"/>
        <v>0</v>
      </c>
      <c r="AS774" s="14">
        <f t="shared" si="183"/>
        <v>0</v>
      </c>
      <c r="AT774" s="25">
        <f>SUMIFS(инфо!$I$15:$I$28,инфо!$A$15:$A$28,F774)</f>
        <v>0</v>
      </c>
      <c r="AU774" s="35">
        <f t="shared" si="174"/>
        <v>0</v>
      </c>
      <c r="AV774" s="14">
        <f t="shared" si="184"/>
        <v>0</v>
      </c>
      <c r="AX774" s="69">
        <f>SUMIFS(инфо!$C$15:$C$28,инфо!$A$15:$A$28,F774)*H773</f>
        <v>0</v>
      </c>
    </row>
    <row r="775" spans="1:50" x14ac:dyDescent="0.25">
      <c r="A775" s="70">
        <f t="shared" si="175"/>
        <v>46451</v>
      </c>
      <c r="B775" s="75"/>
      <c r="C775" s="29"/>
      <c r="D775" s="30"/>
      <c r="E775" s="11"/>
      <c r="F775" s="28"/>
      <c r="G775" s="27"/>
      <c r="H775" s="20"/>
      <c r="I775" s="118">
        <f>IFERROR(H775*VLOOKUP(F775,инфо!$A$15:$C$28,3,FALSE)/1000,0)</f>
        <v>0</v>
      </c>
      <c r="J775" s="20"/>
      <c r="K775" s="20"/>
      <c r="L775" s="20"/>
      <c r="M775" s="20"/>
      <c r="N775" s="28"/>
      <c r="O775" s="27"/>
      <c r="P775" s="27"/>
      <c r="Q775" s="27"/>
      <c r="R775" s="27"/>
      <c r="S775" s="67">
        <f t="shared" si="185"/>
        <v>0</v>
      </c>
      <c r="T775" s="29"/>
      <c r="U775" s="30"/>
      <c r="V775" s="27"/>
      <c r="W775" s="81"/>
      <c r="X775" s="27"/>
      <c r="Y775" s="29"/>
      <c r="Z775" s="27"/>
      <c r="AA775" s="27"/>
      <c r="AB775" s="27"/>
      <c r="AC775" s="27"/>
      <c r="AD775" s="30"/>
      <c r="AE775" s="31">
        <f>SUMIFS(инфо!$D$15:$D$28,инфо!$A$15:$A$28,F775)</f>
        <v>0</v>
      </c>
      <c r="AF775" s="35">
        <f t="shared" si="176"/>
        <v>0</v>
      </c>
      <c r="AG775" s="33">
        <f t="shared" si="186"/>
        <v>0</v>
      </c>
      <c r="AH775" s="31">
        <f>SUMIFS(инфо!$E$15:$E$28,инфо!$A$15:$A$28,F775)</f>
        <v>0</v>
      </c>
      <c r="AI775" s="32">
        <f t="shared" si="177"/>
        <v>0</v>
      </c>
      <c r="AJ775" s="33">
        <f t="shared" si="187"/>
        <v>0</v>
      </c>
      <c r="AK775" s="31">
        <f>SUMIFS(инфо!$F$15:$F$28,инфо!$A$15:$A$28,F775)</f>
        <v>0</v>
      </c>
      <c r="AL775" s="32">
        <f t="shared" si="178"/>
        <v>0</v>
      </c>
      <c r="AM775" s="33">
        <f t="shared" si="181"/>
        <v>0</v>
      </c>
      <c r="AN775" s="31">
        <f>SUMIFS(инфо!$G$15:$G$28,инфо!$A$15:$A$28,F775)</f>
        <v>0</v>
      </c>
      <c r="AO775" s="32">
        <f t="shared" si="179"/>
        <v>0</v>
      </c>
      <c r="AP775" s="33">
        <f t="shared" si="182"/>
        <v>0</v>
      </c>
      <c r="AQ775" s="31">
        <f>SUMIFS(инфо!$H$15:$H$28,инфо!$A$15:$A$28,F775)</f>
        <v>0</v>
      </c>
      <c r="AR775" s="32">
        <f t="shared" si="180"/>
        <v>0</v>
      </c>
      <c r="AS775" s="33">
        <f t="shared" si="183"/>
        <v>0</v>
      </c>
      <c r="AT775" s="31">
        <f>SUMIFS(инфо!$I$15:$I$28,инфо!$A$15:$A$28,F775)</f>
        <v>0</v>
      </c>
      <c r="AU775" s="35">
        <f t="shared" si="174"/>
        <v>0</v>
      </c>
      <c r="AV775" s="33">
        <f t="shared" si="184"/>
        <v>0</v>
      </c>
      <c r="AX775" s="67">
        <f>SUMIFS(инфо!$C$15:$C$28,инфо!$A$15:$A$28,F775)*H774</f>
        <v>0</v>
      </c>
    </row>
    <row r="776" spans="1:50" x14ac:dyDescent="0.25">
      <c r="A776" s="70">
        <f t="shared" si="175"/>
        <v>46452</v>
      </c>
      <c r="B776" s="76"/>
      <c r="C776" s="15"/>
      <c r="D776" s="16"/>
      <c r="E776" s="11"/>
      <c r="F776" s="28"/>
      <c r="G776" s="34"/>
      <c r="H776" s="20"/>
      <c r="I776" s="118">
        <f>IFERROR(H776*VLOOKUP(F776,инфо!$A$15:$C$28,3,FALSE)/1000,0)</f>
        <v>0</v>
      </c>
      <c r="J776" s="20"/>
      <c r="K776" s="20"/>
      <c r="L776" s="20"/>
      <c r="M776" s="20"/>
      <c r="N776" s="20"/>
      <c r="O776" s="34"/>
      <c r="P776" s="34"/>
      <c r="Q776" s="34"/>
      <c r="R776" s="34"/>
      <c r="S776" s="68">
        <f t="shared" si="185"/>
        <v>0</v>
      </c>
      <c r="T776" s="15"/>
      <c r="U776" s="16"/>
      <c r="V776" s="34"/>
      <c r="W776" s="81"/>
      <c r="X776" s="34"/>
      <c r="Y776" s="15"/>
      <c r="Z776" s="34"/>
      <c r="AA776" s="34"/>
      <c r="AB776" s="34"/>
      <c r="AC776" s="34"/>
      <c r="AD776" s="16"/>
      <c r="AE776" s="24">
        <f>SUMIFS(инфо!$D$15:$D$28,инфо!$A$15:$A$28,F776)</f>
        <v>0</v>
      </c>
      <c r="AF776" s="35">
        <f t="shared" si="176"/>
        <v>0</v>
      </c>
      <c r="AG776" s="12">
        <f t="shared" si="186"/>
        <v>0</v>
      </c>
      <c r="AH776" s="24">
        <f>SUMIFS(инфо!$E$15:$E$28,инфо!$A$15:$A$28,F776)</f>
        <v>0</v>
      </c>
      <c r="AI776" s="32">
        <f t="shared" si="177"/>
        <v>0</v>
      </c>
      <c r="AJ776" s="12">
        <f t="shared" si="187"/>
        <v>0</v>
      </c>
      <c r="AK776" s="24">
        <f>SUMIFS(инфо!$F$15:$F$28,инфо!$A$15:$A$28,F776)</f>
        <v>0</v>
      </c>
      <c r="AL776" s="32">
        <f t="shared" si="178"/>
        <v>0</v>
      </c>
      <c r="AM776" s="12">
        <f t="shared" si="181"/>
        <v>0</v>
      </c>
      <c r="AN776" s="24">
        <f>SUMIFS(инфо!$G$15:$G$28,инфо!$A$15:$A$28,F776)</f>
        <v>0</v>
      </c>
      <c r="AO776" s="32">
        <f t="shared" si="179"/>
        <v>0</v>
      </c>
      <c r="AP776" s="12">
        <f t="shared" si="182"/>
        <v>0</v>
      </c>
      <c r="AQ776" s="24">
        <f>SUMIFS(инфо!$H$15:$H$28,инфо!$A$15:$A$28,F776)</f>
        <v>0</v>
      </c>
      <c r="AR776" s="35">
        <f t="shared" si="180"/>
        <v>0</v>
      </c>
      <c r="AS776" s="12">
        <f t="shared" si="183"/>
        <v>0</v>
      </c>
      <c r="AT776" s="24">
        <f>SUMIFS(инфо!$I$15:$I$28,инфо!$A$15:$A$28,F776)</f>
        <v>0</v>
      </c>
      <c r="AU776" s="35">
        <f t="shared" si="174"/>
        <v>0</v>
      </c>
      <c r="AV776" s="12">
        <f t="shared" si="184"/>
        <v>0</v>
      </c>
      <c r="AX776" s="68">
        <f>SUMIFS(инфо!$C$15:$C$28,инфо!$A$15:$A$28,F776)*H775</f>
        <v>0</v>
      </c>
    </row>
    <row r="777" spans="1:50" x14ac:dyDescent="0.25">
      <c r="A777" s="70">
        <f t="shared" si="175"/>
        <v>46452</v>
      </c>
      <c r="B777" s="76"/>
      <c r="C777" s="15"/>
      <c r="D777" s="16"/>
      <c r="E777" s="11"/>
      <c r="F777" s="28"/>
      <c r="G777" s="34"/>
      <c r="H777" s="23"/>
      <c r="I777" s="118">
        <f>IFERROR(H777*VLOOKUP(F777,инфо!$A$15:$C$28,3,FALSE)/1000,0)</f>
        <v>0</v>
      </c>
      <c r="J777" s="20"/>
      <c r="K777" s="20"/>
      <c r="L777" s="20"/>
      <c r="M777" s="20"/>
      <c r="N777" s="20"/>
      <c r="O777" s="34"/>
      <c r="P777" s="34"/>
      <c r="Q777" s="34"/>
      <c r="R777" s="34"/>
      <c r="S777" s="68">
        <f t="shared" si="185"/>
        <v>0</v>
      </c>
      <c r="T777" s="15"/>
      <c r="U777" s="16"/>
      <c r="V777" s="34"/>
      <c r="W777" s="81"/>
      <c r="X777" s="34"/>
      <c r="Y777" s="15"/>
      <c r="Z777" s="34"/>
      <c r="AA777" s="34"/>
      <c r="AB777" s="34"/>
      <c r="AC777" s="34"/>
      <c r="AD777" s="16"/>
      <c r="AE777" s="24">
        <f>SUMIFS(инфо!$D$15:$D$28,инфо!$A$15:$A$28,F777)</f>
        <v>0</v>
      </c>
      <c r="AF777" s="35">
        <f t="shared" si="176"/>
        <v>0</v>
      </c>
      <c r="AG777" s="12">
        <f t="shared" si="186"/>
        <v>0</v>
      </c>
      <c r="AH777" s="24">
        <f>SUMIFS(инфо!$E$15:$E$28,инфо!$A$15:$A$28,F777)</f>
        <v>0</v>
      </c>
      <c r="AI777" s="32">
        <f t="shared" si="177"/>
        <v>0</v>
      </c>
      <c r="AJ777" s="12">
        <f t="shared" si="187"/>
        <v>0</v>
      </c>
      <c r="AK777" s="24">
        <f>SUMIFS(инфо!$F$15:$F$28,инфо!$A$15:$A$28,F777)</f>
        <v>0</v>
      </c>
      <c r="AL777" s="32">
        <f t="shared" si="178"/>
        <v>0</v>
      </c>
      <c r="AM777" s="12">
        <f t="shared" si="181"/>
        <v>0</v>
      </c>
      <c r="AN777" s="24">
        <f>SUMIFS(инфо!$G$15:$G$28,инфо!$A$15:$A$28,F777)</f>
        <v>0</v>
      </c>
      <c r="AO777" s="32">
        <f t="shared" si="179"/>
        <v>0</v>
      </c>
      <c r="AP777" s="12">
        <f t="shared" si="182"/>
        <v>0</v>
      </c>
      <c r="AQ777" s="24">
        <f>SUMIFS(инфо!$H$15:$H$28,инфо!$A$15:$A$28,F777)</f>
        <v>0</v>
      </c>
      <c r="AR777" s="35">
        <f t="shared" si="180"/>
        <v>0</v>
      </c>
      <c r="AS777" s="12">
        <f t="shared" si="183"/>
        <v>0</v>
      </c>
      <c r="AT777" s="24">
        <f>SUMIFS(инфо!$I$15:$I$28,инфо!$A$15:$A$28,F777)</f>
        <v>0</v>
      </c>
      <c r="AU777" s="35">
        <f t="shared" ref="AU777:AU840" si="188">IF(H777=0,0,AD777/H777)</f>
        <v>0</v>
      </c>
      <c r="AV777" s="12">
        <f t="shared" si="184"/>
        <v>0</v>
      </c>
      <c r="AX777" s="68">
        <f>SUMIFS(инфо!$C$15:$C$28,инфо!$A$15:$A$28,F777)*H776</f>
        <v>0</v>
      </c>
    </row>
    <row r="778" spans="1:50" x14ac:dyDescent="0.25">
      <c r="A778" s="70">
        <f t="shared" si="175"/>
        <v>46453</v>
      </c>
      <c r="B778" s="77"/>
      <c r="C778" s="17"/>
      <c r="D778" s="18"/>
      <c r="E778" s="11"/>
      <c r="F778" s="28"/>
      <c r="G778" s="19"/>
      <c r="H778" s="28"/>
      <c r="I778" s="118">
        <f>IFERROR(H778*VLOOKUP(F778,инфо!$A$15:$C$28,3,FALSE)/1000,0)</f>
        <v>0</v>
      </c>
      <c r="J778" s="20"/>
      <c r="K778" s="20"/>
      <c r="L778" s="20"/>
      <c r="M778" s="20"/>
      <c r="N778" s="23"/>
      <c r="O778" s="19"/>
      <c r="P778" s="19"/>
      <c r="Q778" s="19"/>
      <c r="R778" s="19"/>
      <c r="S778" s="69">
        <f t="shared" si="185"/>
        <v>0</v>
      </c>
      <c r="T778" s="17"/>
      <c r="U778" s="18"/>
      <c r="V778" s="19"/>
      <c r="W778" s="81"/>
      <c r="X778" s="19"/>
      <c r="Y778" s="17"/>
      <c r="Z778" s="19"/>
      <c r="AA778" s="19"/>
      <c r="AB778" s="19"/>
      <c r="AC778" s="19"/>
      <c r="AD778" s="18"/>
      <c r="AE778" s="25">
        <f>SUMIFS(инфо!$D$15:$D$28,инфо!$A$15:$A$28,F778)</f>
        <v>0</v>
      </c>
      <c r="AF778" s="35">
        <f t="shared" si="176"/>
        <v>0</v>
      </c>
      <c r="AG778" s="14">
        <f t="shared" si="186"/>
        <v>0</v>
      </c>
      <c r="AH778" s="25">
        <f>SUMIFS(инфо!$E$15:$E$28,инфо!$A$15:$A$28,F778)</f>
        <v>0</v>
      </c>
      <c r="AI778" s="32">
        <f t="shared" si="177"/>
        <v>0</v>
      </c>
      <c r="AJ778" s="14">
        <f t="shared" si="187"/>
        <v>0</v>
      </c>
      <c r="AK778" s="25">
        <f>SUMIFS(инфо!$F$15:$F$28,инфо!$A$15:$A$28,F778)</f>
        <v>0</v>
      </c>
      <c r="AL778" s="32">
        <f t="shared" si="178"/>
        <v>0</v>
      </c>
      <c r="AM778" s="14">
        <f t="shared" si="181"/>
        <v>0</v>
      </c>
      <c r="AN778" s="25">
        <f>SUMIFS(инфо!$G$15:$G$28,инфо!$A$15:$A$28,F778)</f>
        <v>0</v>
      </c>
      <c r="AO778" s="32">
        <f t="shared" si="179"/>
        <v>0</v>
      </c>
      <c r="AP778" s="14">
        <f t="shared" si="182"/>
        <v>0</v>
      </c>
      <c r="AQ778" s="25">
        <f>SUMIFS(инфо!$H$15:$H$28,инфо!$A$15:$A$28,F778)</f>
        <v>0</v>
      </c>
      <c r="AR778" s="26">
        <f t="shared" si="180"/>
        <v>0</v>
      </c>
      <c r="AS778" s="14">
        <f t="shared" si="183"/>
        <v>0</v>
      </c>
      <c r="AT778" s="25">
        <f>SUMIFS(инфо!$I$15:$I$28,инфо!$A$15:$A$28,F778)</f>
        <v>0</v>
      </c>
      <c r="AU778" s="35">
        <f t="shared" si="188"/>
        <v>0</v>
      </c>
      <c r="AV778" s="14">
        <f t="shared" si="184"/>
        <v>0</v>
      </c>
      <c r="AX778" s="69">
        <f>SUMIFS(инфо!$C$15:$C$28,инфо!$A$15:$A$28,F778)*H777</f>
        <v>0</v>
      </c>
    </row>
    <row r="779" spans="1:50" x14ac:dyDescent="0.25">
      <c r="A779" s="70">
        <f t="shared" si="175"/>
        <v>46453</v>
      </c>
      <c r="B779" s="75"/>
      <c r="C779" s="29"/>
      <c r="D779" s="30"/>
      <c r="E779" s="11"/>
      <c r="F779" s="28"/>
      <c r="G779" s="27"/>
      <c r="H779" s="20"/>
      <c r="I779" s="118">
        <f>IFERROR(H779*VLOOKUP(F779,инфо!$A$15:$C$28,3,FALSE)/1000,0)</f>
        <v>0</v>
      </c>
      <c r="J779" s="20"/>
      <c r="K779" s="20"/>
      <c r="L779" s="20"/>
      <c r="M779" s="20"/>
      <c r="N779" s="28"/>
      <c r="O779" s="27"/>
      <c r="P779" s="27"/>
      <c r="Q779" s="27"/>
      <c r="R779" s="27"/>
      <c r="S779" s="67">
        <f t="shared" si="185"/>
        <v>0</v>
      </c>
      <c r="T779" s="29"/>
      <c r="U779" s="30"/>
      <c r="V779" s="27"/>
      <c r="W779" s="81"/>
      <c r="X779" s="27"/>
      <c r="Y779" s="29"/>
      <c r="Z779" s="27"/>
      <c r="AA779" s="27"/>
      <c r="AB779" s="27"/>
      <c r="AC779" s="27"/>
      <c r="AD779" s="30"/>
      <c r="AE779" s="31">
        <f>SUMIFS(инфо!$D$15:$D$28,инфо!$A$15:$A$28,F779)</f>
        <v>0</v>
      </c>
      <c r="AF779" s="35">
        <f t="shared" si="176"/>
        <v>0</v>
      </c>
      <c r="AG779" s="33">
        <f t="shared" si="186"/>
        <v>0</v>
      </c>
      <c r="AH779" s="31">
        <f>SUMIFS(инфо!$E$15:$E$28,инфо!$A$15:$A$28,F779)</f>
        <v>0</v>
      </c>
      <c r="AI779" s="32">
        <f t="shared" si="177"/>
        <v>0</v>
      </c>
      <c r="AJ779" s="33">
        <f t="shared" si="187"/>
        <v>0</v>
      </c>
      <c r="AK779" s="31">
        <f>SUMIFS(инфо!$F$15:$F$28,инфо!$A$15:$A$28,F779)</f>
        <v>0</v>
      </c>
      <c r="AL779" s="32">
        <f t="shared" si="178"/>
        <v>0</v>
      </c>
      <c r="AM779" s="33">
        <f t="shared" si="181"/>
        <v>0</v>
      </c>
      <c r="AN779" s="31">
        <f>SUMIFS(инфо!$G$15:$G$28,инфо!$A$15:$A$28,F779)</f>
        <v>0</v>
      </c>
      <c r="AO779" s="32">
        <f t="shared" si="179"/>
        <v>0</v>
      </c>
      <c r="AP779" s="33">
        <f t="shared" si="182"/>
        <v>0</v>
      </c>
      <c r="AQ779" s="31">
        <f>SUMIFS(инфо!$H$15:$H$28,инфо!$A$15:$A$28,F779)</f>
        <v>0</v>
      </c>
      <c r="AR779" s="32">
        <f t="shared" si="180"/>
        <v>0</v>
      </c>
      <c r="AS779" s="33">
        <f t="shared" si="183"/>
        <v>0</v>
      </c>
      <c r="AT779" s="31">
        <f>SUMIFS(инфо!$I$15:$I$28,инфо!$A$15:$A$28,F779)</f>
        <v>0</v>
      </c>
      <c r="AU779" s="35">
        <f t="shared" si="188"/>
        <v>0</v>
      </c>
      <c r="AV779" s="33">
        <f t="shared" si="184"/>
        <v>0</v>
      </c>
      <c r="AX779" s="67">
        <f>SUMIFS(инфо!$C$15:$C$28,инфо!$A$15:$A$28,F779)*H778</f>
        <v>0</v>
      </c>
    </row>
    <row r="780" spans="1:50" x14ac:dyDescent="0.25">
      <c r="A780" s="70">
        <f t="shared" si="175"/>
        <v>46454</v>
      </c>
      <c r="B780" s="76"/>
      <c r="C780" s="15"/>
      <c r="D780" s="16"/>
      <c r="E780" s="11"/>
      <c r="F780" s="28"/>
      <c r="G780" s="34"/>
      <c r="H780" s="20"/>
      <c r="I780" s="118">
        <f>IFERROR(H780*VLOOKUP(F780,инфо!$A$15:$C$28,3,FALSE)/1000,0)</f>
        <v>0</v>
      </c>
      <c r="J780" s="20"/>
      <c r="K780" s="20"/>
      <c r="L780" s="20"/>
      <c r="M780" s="20"/>
      <c r="N780" s="20"/>
      <c r="O780" s="34"/>
      <c r="P780" s="34"/>
      <c r="Q780" s="34"/>
      <c r="R780" s="34"/>
      <c r="S780" s="68">
        <f t="shared" si="185"/>
        <v>0</v>
      </c>
      <c r="T780" s="15"/>
      <c r="U780" s="16"/>
      <c r="V780" s="34"/>
      <c r="W780" s="81"/>
      <c r="X780" s="34"/>
      <c r="Y780" s="15"/>
      <c r="Z780" s="34"/>
      <c r="AA780" s="34"/>
      <c r="AB780" s="34"/>
      <c r="AC780" s="34"/>
      <c r="AD780" s="16"/>
      <c r="AE780" s="24">
        <f>SUMIFS(инфо!$D$15:$D$28,инфо!$A$15:$A$28,F780)</f>
        <v>0</v>
      </c>
      <c r="AF780" s="35">
        <f t="shared" si="176"/>
        <v>0</v>
      </c>
      <c r="AG780" s="12">
        <f t="shared" si="186"/>
        <v>0</v>
      </c>
      <c r="AH780" s="24">
        <f>SUMIFS(инфо!$E$15:$E$28,инфо!$A$15:$A$28,F780)</f>
        <v>0</v>
      </c>
      <c r="AI780" s="32">
        <f t="shared" si="177"/>
        <v>0</v>
      </c>
      <c r="AJ780" s="12">
        <f t="shared" si="187"/>
        <v>0</v>
      </c>
      <c r="AK780" s="24">
        <f>SUMIFS(инфо!$F$15:$F$28,инфо!$A$15:$A$28,F780)</f>
        <v>0</v>
      </c>
      <c r="AL780" s="32">
        <f t="shared" si="178"/>
        <v>0</v>
      </c>
      <c r="AM780" s="12">
        <f t="shared" si="181"/>
        <v>0</v>
      </c>
      <c r="AN780" s="24">
        <f>SUMIFS(инфо!$G$15:$G$28,инфо!$A$15:$A$28,F780)</f>
        <v>0</v>
      </c>
      <c r="AO780" s="32">
        <f t="shared" si="179"/>
        <v>0</v>
      </c>
      <c r="AP780" s="12">
        <f t="shared" si="182"/>
        <v>0</v>
      </c>
      <c r="AQ780" s="24">
        <f>SUMIFS(инфо!$H$15:$H$28,инфо!$A$15:$A$28,F780)</f>
        <v>0</v>
      </c>
      <c r="AR780" s="35">
        <f t="shared" si="180"/>
        <v>0</v>
      </c>
      <c r="AS780" s="12">
        <f t="shared" si="183"/>
        <v>0</v>
      </c>
      <c r="AT780" s="24">
        <f>SUMIFS(инфо!$I$15:$I$28,инфо!$A$15:$A$28,F780)</f>
        <v>0</v>
      </c>
      <c r="AU780" s="35">
        <f t="shared" si="188"/>
        <v>0</v>
      </c>
      <c r="AV780" s="12">
        <f t="shared" si="184"/>
        <v>0</v>
      </c>
      <c r="AX780" s="68">
        <f>SUMIFS(инфо!$C$15:$C$28,инфо!$A$15:$A$28,F780)*H779</f>
        <v>0</v>
      </c>
    </row>
    <row r="781" spans="1:50" x14ac:dyDescent="0.25">
      <c r="A781" s="70">
        <f t="shared" si="175"/>
        <v>46454</v>
      </c>
      <c r="B781" s="76"/>
      <c r="C781" s="15"/>
      <c r="D781" s="16"/>
      <c r="E781" s="11"/>
      <c r="F781" s="28"/>
      <c r="G781" s="34"/>
      <c r="H781" s="23"/>
      <c r="I781" s="118">
        <f>IFERROR(H781*VLOOKUP(F781,инфо!$A$15:$C$28,3,FALSE)/1000,0)</f>
        <v>0</v>
      </c>
      <c r="J781" s="20"/>
      <c r="K781" s="20"/>
      <c r="L781" s="20"/>
      <c r="M781" s="20"/>
      <c r="N781" s="20"/>
      <c r="O781" s="34"/>
      <c r="P781" s="34"/>
      <c r="Q781" s="34"/>
      <c r="R781" s="34"/>
      <c r="S781" s="68">
        <f t="shared" si="185"/>
        <v>0</v>
      </c>
      <c r="T781" s="15"/>
      <c r="U781" s="16"/>
      <c r="V781" s="34"/>
      <c r="W781" s="81"/>
      <c r="X781" s="34"/>
      <c r="Y781" s="15"/>
      <c r="Z781" s="34"/>
      <c r="AA781" s="34"/>
      <c r="AB781" s="34"/>
      <c r="AC781" s="34"/>
      <c r="AD781" s="16"/>
      <c r="AE781" s="24">
        <f>SUMIFS(инфо!$D$15:$D$28,инфо!$A$15:$A$28,F781)</f>
        <v>0</v>
      </c>
      <c r="AF781" s="35">
        <f t="shared" si="176"/>
        <v>0</v>
      </c>
      <c r="AG781" s="12">
        <f t="shared" si="186"/>
        <v>0</v>
      </c>
      <c r="AH781" s="24">
        <f>SUMIFS(инфо!$E$15:$E$28,инфо!$A$15:$A$28,F781)</f>
        <v>0</v>
      </c>
      <c r="AI781" s="32">
        <f t="shared" si="177"/>
        <v>0</v>
      </c>
      <c r="AJ781" s="12">
        <f t="shared" si="187"/>
        <v>0</v>
      </c>
      <c r="AK781" s="24">
        <f>SUMIFS(инфо!$F$15:$F$28,инфо!$A$15:$A$28,F781)</f>
        <v>0</v>
      </c>
      <c r="AL781" s="32">
        <f t="shared" si="178"/>
        <v>0</v>
      </c>
      <c r="AM781" s="12">
        <f t="shared" si="181"/>
        <v>0</v>
      </c>
      <c r="AN781" s="24">
        <f>SUMIFS(инфо!$G$15:$G$28,инфо!$A$15:$A$28,F781)</f>
        <v>0</v>
      </c>
      <c r="AO781" s="32">
        <f t="shared" si="179"/>
        <v>0</v>
      </c>
      <c r="AP781" s="12">
        <f t="shared" si="182"/>
        <v>0</v>
      </c>
      <c r="AQ781" s="24">
        <f>SUMIFS(инфо!$H$15:$H$28,инфо!$A$15:$A$28,F781)</f>
        <v>0</v>
      </c>
      <c r="AR781" s="35">
        <f t="shared" si="180"/>
        <v>0</v>
      </c>
      <c r="AS781" s="12">
        <f t="shared" si="183"/>
        <v>0</v>
      </c>
      <c r="AT781" s="24">
        <f>SUMIFS(инфо!$I$15:$I$28,инфо!$A$15:$A$28,F781)</f>
        <v>0</v>
      </c>
      <c r="AU781" s="35">
        <f t="shared" si="188"/>
        <v>0</v>
      </c>
      <c r="AV781" s="12">
        <f t="shared" si="184"/>
        <v>0</v>
      </c>
      <c r="AX781" s="68">
        <f>SUMIFS(инфо!$C$15:$C$28,инфо!$A$15:$A$28,F781)*H780</f>
        <v>0</v>
      </c>
    </row>
    <row r="782" spans="1:50" x14ac:dyDescent="0.25">
      <c r="A782" s="70">
        <f t="shared" si="175"/>
        <v>46455</v>
      </c>
      <c r="B782" s="77"/>
      <c r="C782" s="17"/>
      <c r="D782" s="18"/>
      <c r="E782" s="11"/>
      <c r="F782" s="28"/>
      <c r="G782" s="19"/>
      <c r="H782" s="28"/>
      <c r="I782" s="118">
        <f>IFERROR(H782*VLOOKUP(F782,инфо!$A$15:$C$28,3,FALSE)/1000,0)</f>
        <v>0</v>
      </c>
      <c r="J782" s="20"/>
      <c r="K782" s="20"/>
      <c r="L782" s="20"/>
      <c r="M782" s="20"/>
      <c r="N782" s="23"/>
      <c r="O782" s="19"/>
      <c r="P782" s="19"/>
      <c r="Q782" s="19"/>
      <c r="R782" s="19"/>
      <c r="S782" s="69">
        <f t="shared" si="185"/>
        <v>0</v>
      </c>
      <c r="T782" s="17"/>
      <c r="U782" s="18"/>
      <c r="V782" s="19"/>
      <c r="W782" s="81"/>
      <c r="X782" s="19"/>
      <c r="Y782" s="17"/>
      <c r="Z782" s="19"/>
      <c r="AA782" s="19"/>
      <c r="AB782" s="19"/>
      <c r="AC782" s="19"/>
      <c r="AD782" s="18"/>
      <c r="AE782" s="25">
        <f>SUMIFS(инфо!$D$15:$D$28,инфо!$A$15:$A$28,F782)</f>
        <v>0</v>
      </c>
      <c r="AF782" s="35">
        <f t="shared" si="176"/>
        <v>0</v>
      </c>
      <c r="AG782" s="14">
        <f t="shared" si="186"/>
        <v>0</v>
      </c>
      <c r="AH782" s="25">
        <f>SUMIFS(инфо!$E$15:$E$28,инфо!$A$15:$A$28,F782)</f>
        <v>0</v>
      </c>
      <c r="AI782" s="32">
        <f t="shared" si="177"/>
        <v>0</v>
      </c>
      <c r="AJ782" s="14">
        <f t="shared" si="187"/>
        <v>0</v>
      </c>
      <c r="AK782" s="25">
        <f>SUMIFS(инфо!$F$15:$F$28,инфо!$A$15:$A$28,F782)</f>
        <v>0</v>
      </c>
      <c r="AL782" s="32">
        <f t="shared" si="178"/>
        <v>0</v>
      </c>
      <c r="AM782" s="14">
        <f t="shared" si="181"/>
        <v>0</v>
      </c>
      <c r="AN782" s="25">
        <f>SUMIFS(инфо!$G$15:$G$28,инфо!$A$15:$A$28,F782)</f>
        <v>0</v>
      </c>
      <c r="AO782" s="32">
        <f t="shared" si="179"/>
        <v>0</v>
      </c>
      <c r="AP782" s="14">
        <f t="shared" si="182"/>
        <v>0</v>
      </c>
      <c r="AQ782" s="25">
        <f>SUMIFS(инфо!$H$15:$H$28,инфо!$A$15:$A$28,F782)</f>
        <v>0</v>
      </c>
      <c r="AR782" s="26">
        <f t="shared" si="180"/>
        <v>0</v>
      </c>
      <c r="AS782" s="14">
        <f t="shared" si="183"/>
        <v>0</v>
      </c>
      <c r="AT782" s="25">
        <f>SUMIFS(инфо!$I$15:$I$28,инфо!$A$15:$A$28,F782)</f>
        <v>0</v>
      </c>
      <c r="AU782" s="35">
        <f t="shared" si="188"/>
        <v>0</v>
      </c>
      <c r="AV782" s="14">
        <f t="shared" si="184"/>
        <v>0</v>
      </c>
      <c r="AX782" s="69">
        <f>SUMIFS(инфо!$C$15:$C$28,инфо!$A$15:$A$28,F782)*H781</f>
        <v>0</v>
      </c>
    </row>
    <row r="783" spans="1:50" x14ac:dyDescent="0.25">
      <c r="A783" s="70">
        <f t="shared" si="175"/>
        <v>46455</v>
      </c>
      <c r="B783" s="75"/>
      <c r="C783" s="29"/>
      <c r="D783" s="30"/>
      <c r="E783" s="11"/>
      <c r="F783" s="28"/>
      <c r="G783" s="27"/>
      <c r="H783" s="20"/>
      <c r="I783" s="118">
        <f>IFERROR(H783*VLOOKUP(F783,инфо!$A$15:$C$28,3,FALSE)/1000,0)</f>
        <v>0</v>
      </c>
      <c r="J783" s="20"/>
      <c r="K783" s="20"/>
      <c r="L783" s="20"/>
      <c r="M783" s="20"/>
      <c r="N783" s="28"/>
      <c r="O783" s="27"/>
      <c r="P783" s="27"/>
      <c r="Q783" s="27"/>
      <c r="R783" s="27"/>
      <c r="S783" s="67">
        <f t="shared" si="185"/>
        <v>0</v>
      </c>
      <c r="T783" s="29"/>
      <c r="U783" s="30"/>
      <c r="V783" s="27"/>
      <c r="W783" s="81"/>
      <c r="X783" s="27"/>
      <c r="Y783" s="29"/>
      <c r="Z783" s="27"/>
      <c r="AA783" s="27"/>
      <c r="AB783" s="27"/>
      <c r="AC783" s="27"/>
      <c r="AD783" s="30"/>
      <c r="AE783" s="31">
        <f>SUMIFS(инфо!$D$15:$D$28,инфо!$A$15:$A$28,F783)</f>
        <v>0</v>
      </c>
      <c r="AF783" s="35">
        <f t="shared" si="176"/>
        <v>0</v>
      </c>
      <c r="AG783" s="33">
        <f t="shared" si="186"/>
        <v>0</v>
      </c>
      <c r="AH783" s="31">
        <f>SUMIFS(инфо!$E$15:$E$28,инфо!$A$15:$A$28,F783)</f>
        <v>0</v>
      </c>
      <c r="AI783" s="32">
        <f t="shared" si="177"/>
        <v>0</v>
      </c>
      <c r="AJ783" s="33">
        <f t="shared" si="187"/>
        <v>0</v>
      </c>
      <c r="AK783" s="31">
        <f>SUMIFS(инфо!$F$15:$F$28,инфо!$A$15:$A$28,F783)</f>
        <v>0</v>
      </c>
      <c r="AL783" s="32">
        <f t="shared" si="178"/>
        <v>0</v>
      </c>
      <c r="AM783" s="33">
        <f t="shared" si="181"/>
        <v>0</v>
      </c>
      <c r="AN783" s="31">
        <f>SUMIFS(инфо!$G$15:$G$28,инфо!$A$15:$A$28,F783)</f>
        <v>0</v>
      </c>
      <c r="AO783" s="32">
        <f t="shared" si="179"/>
        <v>0</v>
      </c>
      <c r="AP783" s="33">
        <f t="shared" si="182"/>
        <v>0</v>
      </c>
      <c r="AQ783" s="31">
        <f>SUMIFS(инфо!$H$15:$H$28,инфо!$A$15:$A$28,F783)</f>
        <v>0</v>
      </c>
      <c r="AR783" s="32">
        <f t="shared" si="180"/>
        <v>0</v>
      </c>
      <c r="AS783" s="33">
        <f t="shared" si="183"/>
        <v>0</v>
      </c>
      <c r="AT783" s="31">
        <f>SUMIFS(инфо!$I$15:$I$28,инфо!$A$15:$A$28,F783)</f>
        <v>0</v>
      </c>
      <c r="AU783" s="35">
        <f t="shared" si="188"/>
        <v>0</v>
      </c>
      <c r="AV783" s="33">
        <f t="shared" si="184"/>
        <v>0</v>
      </c>
      <c r="AX783" s="67">
        <f>SUMIFS(инфо!$C$15:$C$28,инфо!$A$15:$A$28,F783)*H782</f>
        <v>0</v>
      </c>
    </row>
    <row r="784" spans="1:50" x14ac:dyDescent="0.25">
      <c r="A784" s="70">
        <f t="shared" si="175"/>
        <v>46456</v>
      </c>
      <c r="B784" s="76"/>
      <c r="C784" s="15"/>
      <c r="D784" s="16"/>
      <c r="E784" s="11"/>
      <c r="F784" s="28"/>
      <c r="G784" s="34"/>
      <c r="H784" s="20"/>
      <c r="I784" s="118">
        <f>IFERROR(H784*VLOOKUP(F784,инфо!$A$15:$C$28,3,FALSE)/1000,0)</f>
        <v>0</v>
      </c>
      <c r="J784" s="20"/>
      <c r="K784" s="20"/>
      <c r="L784" s="20"/>
      <c r="M784" s="20"/>
      <c r="N784" s="20"/>
      <c r="O784" s="34"/>
      <c r="P784" s="34"/>
      <c r="Q784" s="34"/>
      <c r="R784" s="34"/>
      <c r="S784" s="68">
        <f t="shared" si="185"/>
        <v>0</v>
      </c>
      <c r="T784" s="15"/>
      <c r="U784" s="16"/>
      <c r="V784" s="34"/>
      <c r="W784" s="81"/>
      <c r="X784" s="34"/>
      <c r="Y784" s="15"/>
      <c r="Z784" s="34"/>
      <c r="AA784" s="34"/>
      <c r="AB784" s="34"/>
      <c r="AC784" s="34"/>
      <c r="AD784" s="16"/>
      <c r="AE784" s="24">
        <f>SUMIFS(инфо!$D$15:$D$28,инфо!$A$15:$A$28,F784)</f>
        <v>0</v>
      </c>
      <c r="AF784" s="35">
        <f t="shared" si="176"/>
        <v>0</v>
      </c>
      <c r="AG784" s="12">
        <f t="shared" si="186"/>
        <v>0</v>
      </c>
      <c r="AH784" s="24">
        <f>SUMIFS(инфо!$E$15:$E$28,инфо!$A$15:$A$28,F784)</f>
        <v>0</v>
      </c>
      <c r="AI784" s="32">
        <f t="shared" si="177"/>
        <v>0</v>
      </c>
      <c r="AJ784" s="12">
        <f t="shared" si="187"/>
        <v>0</v>
      </c>
      <c r="AK784" s="24">
        <f>SUMIFS(инфо!$F$15:$F$28,инфо!$A$15:$A$28,F784)</f>
        <v>0</v>
      </c>
      <c r="AL784" s="32">
        <f t="shared" si="178"/>
        <v>0</v>
      </c>
      <c r="AM784" s="12">
        <f t="shared" si="181"/>
        <v>0</v>
      </c>
      <c r="AN784" s="24">
        <f>SUMIFS(инфо!$G$15:$G$28,инфо!$A$15:$A$28,F784)</f>
        <v>0</v>
      </c>
      <c r="AO784" s="32">
        <f t="shared" si="179"/>
        <v>0</v>
      </c>
      <c r="AP784" s="12">
        <f t="shared" si="182"/>
        <v>0</v>
      </c>
      <c r="AQ784" s="24">
        <f>SUMIFS(инфо!$H$15:$H$28,инфо!$A$15:$A$28,F784)</f>
        <v>0</v>
      </c>
      <c r="AR784" s="35">
        <f t="shared" si="180"/>
        <v>0</v>
      </c>
      <c r="AS784" s="12">
        <f t="shared" si="183"/>
        <v>0</v>
      </c>
      <c r="AT784" s="24">
        <f>SUMIFS(инфо!$I$15:$I$28,инфо!$A$15:$A$28,F784)</f>
        <v>0</v>
      </c>
      <c r="AU784" s="35">
        <f t="shared" si="188"/>
        <v>0</v>
      </c>
      <c r="AV784" s="12">
        <f t="shared" si="184"/>
        <v>0</v>
      </c>
      <c r="AX784" s="68">
        <f>SUMIFS(инфо!$C$15:$C$28,инфо!$A$15:$A$28,F784)*H783</f>
        <v>0</v>
      </c>
    </row>
    <row r="785" spans="1:50" x14ac:dyDescent="0.25">
      <c r="A785" s="70">
        <f t="shared" si="175"/>
        <v>46456</v>
      </c>
      <c r="B785" s="76"/>
      <c r="C785" s="15"/>
      <c r="D785" s="16"/>
      <c r="E785" s="11"/>
      <c r="F785" s="28"/>
      <c r="G785" s="34"/>
      <c r="H785" s="23"/>
      <c r="I785" s="118">
        <f>IFERROR(H785*VLOOKUP(F785,инфо!$A$15:$C$28,3,FALSE)/1000,0)</f>
        <v>0</v>
      </c>
      <c r="J785" s="20"/>
      <c r="K785" s="20"/>
      <c r="L785" s="20"/>
      <c r="M785" s="20"/>
      <c r="N785" s="20"/>
      <c r="O785" s="34"/>
      <c r="P785" s="34"/>
      <c r="Q785" s="34"/>
      <c r="R785" s="34"/>
      <c r="S785" s="68">
        <f t="shared" si="185"/>
        <v>0</v>
      </c>
      <c r="T785" s="15"/>
      <c r="U785" s="16"/>
      <c r="V785" s="34"/>
      <c r="W785" s="81"/>
      <c r="X785" s="34"/>
      <c r="Y785" s="15"/>
      <c r="Z785" s="34"/>
      <c r="AA785" s="34"/>
      <c r="AB785" s="34"/>
      <c r="AC785" s="34"/>
      <c r="AD785" s="16"/>
      <c r="AE785" s="24">
        <f>SUMIFS(инфо!$D$15:$D$28,инфо!$A$15:$A$28,F785)</f>
        <v>0</v>
      </c>
      <c r="AF785" s="35">
        <f t="shared" si="176"/>
        <v>0</v>
      </c>
      <c r="AG785" s="12">
        <f t="shared" si="186"/>
        <v>0</v>
      </c>
      <c r="AH785" s="24">
        <f>SUMIFS(инфо!$E$15:$E$28,инфо!$A$15:$A$28,F785)</f>
        <v>0</v>
      </c>
      <c r="AI785" s="32">
        <f t="shared" si="177"/>
        <v>0</v>
      </c>
      <c r="AJ785" s="12">
        <f t="shared" si="187"/>
        <v>0</v>
      </c>
      <c r="AK785" s="24">
        <f>SUMIFS(инфо!$F$15:$F$28,инфо!$A$15:$A$28,F785)</f>
        <v>0</v>
      </c>
      <c r="AL785" s="32">
        <f t="shared" si="178"/>
        <v>0</v>
      </c>
      <c r="AM785" s="12">
        <f t="shared" si="181"/>
        <v>0</v>
      </c>
      <c r="AN785" s="24">
        <f>SUMIFS(инфо!$G$15:$G$28,инфо!$A$15:$A$28,F785)</f>
        <v>0</v>
      </c>
      <c r="AO785" s="32">
        <f t="shared" si="179"/>
        <v>0</v>
      </c>
      <c r="AP785" s="12">
        <f t="shared" si="182"/>
        <v>0</v>
      </c>
      <c r="AQ785" s="24">
        <f>SUMIFS(инфо!$H$15:$H$28,инфо!$A$15:$A$28,F785)</f>
        <v>0</v>
      </c>
      <c r="AR785" s="35">
        <f t="shared" si="180"/>
        <v>0</v>
      </c>
      <c r="AS785" s="12">
        <f t="shared" si="183"/>
        <v>0</v>
      </c>
      <c r="AT785" s="24">
        <f>SUMIFS(инфо!$I$15:$I$28,инфо!$A$15:$A$28,F785)</f>
        <v>0</v>
      </c>
      <c r="AU785" s="35">
        <f t="shared" si="188"/>
        <v>0</v>
      </c>
      <c r="AV785" s="12">
        <f t="shared" si="184"/>
        <v>0</v>
      </c>
      <c r="AX785" s="68">
        <f>SUMIFS(инфо!$C$15:$C$28,инфо!$A$15:$A$28,F785)*H784</f>
        <v>0</v>
      </c>
    </row>
    <row r="786" spans="1:50" x14ac:dyDescent="0.25">
      <c r="A786" s="70">
        <f t="shared" si="175"/>
        <v>46457</v>
      </c>
      <c r="B786" s="77"/>
      <c r="C786" s="17"/>
      <c r="D786" s="18"/>
      <c r="E786" s="11"/>
      <c r="F786" s="28"/>
      <c r="G786" s="19"/>
      <c r="H786" s="28"/>
      <c r="I786" s="118">
        <f>IFERROR(H786*VLOOKUP(F786,инфо!$A$15:$C$28,3,FALSE)/1000,0)</f>
        <v>0</v>
      </c>
      <c r="J786" s="20"/>
      <c r="K786" s="20"/>
      <c r="L786" s="20"/>
      <c r="M786" s="20"/>
      <c r="N786" s="23"/>
      <c r="O786" s="19"/>
      <c r="P786" s="19"/>
      <c r="Q786" s="19"/>
      <c r="R786" s="19"/>
      <c r="S786" s="69">
        <f t="shared" si="185"/>
        <v>0</v>
      </c>
      <c r="T786" s="17"/>
      <c r="U786" s="18"/>
      <c r="V786" s="19"/>
      <c r="W786" s="81"/>
      <c r="X786" s="19"/>
      <c r="Y786" s="17"/>
      <c r="Z786" s="19"/>
      <c r="AA786" s="19"/>
      <c r="AB786" s="19"/>
      <c r="AC786" s="19"/>
      <c r="AD786" s="18"/>
      <c r="AE786" s="25">
        <f>SUMIFS(инфо!$D$15:$D$28,инфо!$A$15:$A$28,F786)</f>
        <v>0</v>
      </c>
      <c r="AF786" s="35">
        <f t="shared" si="176"/>
        <v>0</v>
      </c>
      <c r="AG786" s="14">
        <f t="shared" si="186"/>
        <v>0</v>
      </c>
      <c r="AH786" s="25">
        <f>SUMIFS(инфо!$E$15:$E$28,инфо!$A$15:$A$28,F786)</f>
        <v>0</v>
      </c>
      <c r="AI786" s="32">
        <f t="shared" si="177"/>
        <v>0</v>
      </c>
      <c r="AJ786" s="14">
        <f t="shared" si="187"/>
        <v>0</v>
      </c>
      <c r="AK786" s="25">
        <f>SUMIFS(инфо!$F$15:$F$28,инфо!$A$15:$A$28,F786)</f>
        <v>0</v>
      </c>
      <c r="AL786" s="32">
        <f t="shared" si="178"/>
        <v>0</v>
      </c>
      <c r="AM786" s="14">
        <f t="shared" si="181"/>
        <v>0</v>
      </c>
      <c r="AN786" s="25">
        <f>SUMIFS(инфо!$G$15:$G$28,инфо!$A$15:$A$28,F786)</f>
        <v>0</v>
      </c>
      <c r="AO786" s="32">
        <f t="shared" si="179"/>
        <v>0</v>
      </c>
      <c r="AP786" s="14">
        <f t="shared" si="182"/>
        <v>0</v>
      </c>
      <c r="AQ786" s="25">
        <f>SUMIFS(инфо!$H$15:$H$28,инфо!$A$15:$A$28,F786)</f>
        <v>0</v>
      </c>
      <c r="AR786" s="26">
        <f t="shared" si="180"/>
        <v>0</v>
      </c>
      <c r="AS786" s="14">
        <f t="shared" si="183"/>
        <v>0</v>
      </c>
      <c r="AT786" s="25">
        <f>SUMIFS(инфо!$I$15:$I$28,инфо!$A$15:$A$28,F786)</f>
        <v>0</v>
      </c>
      <c r="AU786" s="35">
        <f t="shared" si="188"/>
        <v>0</v>
      </c>
      <c r="AV786" s="14">
        <f t="shared" si="184"/>
        <v>0</v>
      </c>
      <c r="AX786" s="69">
        <f>SUMIFS(инфо!$C$15:$C$28,инфо!$A$15:$A$28,F786)*H785</f>
        <v>0</v>
      </c>
    </row>
    <row r="787" spans="1:50" x14ac:dyDescent="0.25">
      <c r="A787" s="70">
        <f t="shared" si="175"/>
        <v>46457</v>
      </c>
      <c r="B787" s="75"/>
      <c r="C787" s="29"/>
      <c r="D787" s="30"/>
      <c r="E787" s="11"/>
      <c r="F787" s="28"/>
      <c r="G787" s="27"/>
      <c r="H787" s="20"/>
      <c r="I787" s="20"/>
      <c r="J787" s="20"/>
      <c r="K787" s="20"/>
      <c r="L787" s="20"/>
      <c r="M787" s="20"/>
      <c r="N787" s="28"/>
      <c r="O787" s="27"/>
      <c r="P787" s="27"/>
      <c r="Q787" s="27"/>
      <c r="R787" s="27"/>
      <c r="S787" s="67">
        <f t="shared" si="185"/>
        <v>0</v>
      </c>
      <c r="T787" s="29"/>
      <c r="U787" s="30"/>
      <c r="V787" s="27"/>
      <c r="W787" s="81"/>
      <c r="X787" s="27"/>
      <c r="Y787" s="29"/>
      <c r="Z787" s="27"/>
      <c r="AA787" s="27"/>
      <c r="AB787" s="27"/>
      <c r="AC787" s="27"/>
      <c r="AD787" s="30"/>
      <c r="AE787" s="31">
        <f>SUMIFS(инфо!$D$15:$D$28,инфо!$A$15:$A$28,F787)</f>
        <v>0</v>
      </c>
      <c r="AF787" s="35">
        <f t="shared" si="176"/>
        <v>0</v>
      </c>
      <c r="AG787" s="33">
        <f t="shared" si="186"/>
        <v>0</v>
      </c>
      <c r="AH787" s="31">
        <f>SUMIFS(инфо!$E$15:$E$28,инфо!$A$15:$A$28,F787)</f>
        <v>0</v>
      </c>
      <c r="AI787" s="32">
        <f t="shared" si="177"/>
        <v>0</v>
      </c>
      <c r="AJ787" s="33">
        <f t="shared" si="187"/>
        <v>0</v>
      </c>
      <c r="AK787" s="31">
        <f>SUMIFS(инфо!$F$15:$F$28,инфо!$A$15:$A$28,F787)</f>
        <v>0</v>
      </c>
      <c r="AL787" s="32">
        <f t="shared" si="178"/>
        <v>0</v>
      </c>
      <c r="AM787" s="33">
        <f t="shared" si="181"/>
        <v>0</v>
      </c>
      <c r="AN787" s="31">
        <f>SUMIFS(инфо!$G$15:$G$28,инфо!$A$15:$A$28,F787)</f>
        <v>0</v>
      </c>
      <c r="AO787" s="32">
        <f t="shared" si="179"/>
        <v>0</v>
      </c>
      <c r="AP787" s="33">
        <f t="shared" si="182"/>
        <v>0</v>
      </c>
      <c r="AQ787" s="31">
        <f>SUMIFS(инфо!$H$15:$H$28,инфо!$A$15:$A$28,F787)</f>
        <v>0</v>
      </c>
      <c r="AR787" s="32">
        <f t="shared" si="180"/>
        <v>0</v>
      </c>
      <c r="AS787" s="33">
        <f t="shared" si="183"/>
        <v>0</v>
      </c>
      <c r="AT787" s="31">
        <f>SUMIFS(инфо!$I$15:$I$28,инфо!$A$15:$A$28,F787)</f>
        <v>0</v>
      </c>
      <c r="AU787" s="35">
        <f t="shared" si="188"/>
        <v>0</v>
      </c>
      <c r="AV787" s="33">
        <f t="shared" si="184"/>
        <v>0</v>
      </c>
      <c r="AX787" s="67">
        <f>SUMIFS(инфо!$C$15:$C$28,инфо!$A$15:$A$28,F787)*H786</f>
        <v>0</v>
      </c>
    </row>
    <row r="788" spans="1:50" x14ac:dyDescent="0.25">
      <c r="A788" s="70">
        <f t="shared" si="175"/>
        <v>46458</v>
      </c>
      <c r="B788" s="76"/>
      <c r="C788" s="15"/>
      <c r="D788" s="16"/>
      <c r="E788" s="11"/>
      <c r="F788" s="28"/>
      <c r="G788" s="34"/>
      <c r="H788" s="20"/>
      <c r="I788" s="20"/>
      <c r="J788" s="20"/>
      <c r="K788" s="20"/>
      <c r="L788" s="20"/>
      <c r="M788" s="20"/>
      <c r="N788" s="20"/>
      <c r="O788" s="34"/>
      <c r="P788" s="34"/>
      <c r="Q788" s="34"/>
      <c r="R788" s="34"/>
      <c r="S788" s="68">
        <f t="shared" si="185"/>
        <v>0</v>
      </c>
      <c r="T788" s="15"/>
      <c r="U788" s="16"/>
      <c r="V788" s="34"/>
      <c r="W788" s="81"/>
      <c r="X788" s="34"/>
      <c r="Y788" s="15"/>
      <c r="Z788" s="34"/>
      <c r="AA788" s="34"/>
      <c r="AB788" s="34"/>
      <c r="AC788" s="34"/>
      <c r="AD788" s="16"/>
      <c r="AE788" s="24">
        <f>SUMIFS(инфо!$D$15:$D$28,инфо!$A$15:$A$28,F788)</f>
        <v>0</v>
      </c>
      <c r="AF788" s="35">
        <f t="shared" si="176"/>
        <v>0</v>
      </c>
      <c r="AG788" s="12">
        <f t="shared" si="186"/>
        <v>0</v>
      </c>
      <c r="AH788" s="24">
        <f>SUMIFS(инфо!$E$15:$E$28,инфо!$A$15:$A$28,F788)</f>
        <v>0</v>
      </c>
      <c r="AI788" s="32">
        <f t="shared" si="177"/>
        <v>0</v>
      </c>
      <c r="AJ788" s="12">
        <f t="shared" si="187"/>
        <v>0</v>
      </c>
      <c r="AK788" s="24">
        <f>SUMIFS(инфо!$F$15:$F$28,инфо!$A$15:$A$28,F788)</f>
        <v>0</v>
      </c>
      <c r="AL788" s="32">
        <f t="shared" si="178"/>
        <v>0</v>
      </c>
      <c r="AM788" s="12">
        <f t="shared" si="181"/>
        <v>0</v>
      </c>
      <c r="AN788" s="24">
        <f>SUMIFS(инфо!$G$15:$G$28,инфо!$A$15:$A$28,F788)</f>
        <v>0</v>
      </c>
      <c r="AO788" s="32">
        <f t="shared" si="179"/>
        <v>0</v>
      </c>
      <c r="AP788" s="12">
        <f t="shared" si="182"/>
        <v>0</v>
      </c>
      <c r="AQ788" s="24">
        <f>SUMIFS(инфо!$H$15:$H$28,инфо!$A$15:$A$28,F788)</f>
        <v>0</v>
      </c>
      <c r="AR788" s="35">
        <f t="shared" si="180"/>
        <v>0</v>
      </c>
      <c r="AS788" s="12">
        <f t="shared" si="183"/>
        <v>0</v>
      </c>
      <c r="AT788" s="24">
        <f>SUMIFS(инфо!$I$15:$I$28,инфо!$A$15:$A$28,F788)</f>
        <v>0</v>
      </c>
      <c r="AU788" s="35">
        <f t="shared" si="188"/>
        <v>0</v>
      </c>
      <c r="AV788" s="12">
        <f t="shared" si="184"/>
        <v>0</v>
      </c>
      <c r="AX788" s="68">
        <f>SUMIFS(инфо!$C$15:$C$28,инфо!$A$15:$A$28,F788)*H787</f>
        <v>0</v>
      </c>
    </row>
    <row r="789" spans="1:50" x14ac:dyDescent="0.25">
      <c r="A789" s="70">
        <f t="shared" si="175"/>
        <v>46458</v>
      </c>
      <c r="B789" s="76"/>
      <c r="C789" s="15"/>
      <c r="D789" s="16"/>
      <c r="E789" s="11"/>
      <c r="F789" s="28"/>
      <c r="G789" s="34"/>
      <c r="H789" s="23"/>
      <c r="I789" s="20"/>
      <c r="J789" s="20"/>
      <c r="K789" s="20"/>
      <c r="L789" s="20"/>
      <c r="M789" s="20"/>
      <c r="N789" s="20"/>
      <c r="O789" s="34"/>
      <c r="P789" s="34"/>
      <c r="Q789" s="34"/>
      <c r="R789" s="34"/>
      <c r="S789" s="68">
        <f t="shared" si="185"/>
        <v>0</v>
      </c>
      <c r="T789" s="15"/>
      <c r="U789" s="16"/>
      <c r="V789" s="34"/>
      <c r="W789" s="81"/>
      <c r="X789" s="34"/>
      <c r="Y789" s="15"/>
      <c r="Z789" s="34"/>
      <c r="AA789" s="34"/>
      <c r="AB789" s="34"/>
      <c r="AC789" s="34"/>
      <c r="AD789" s="16"/>
      <c r="AE789" s="24">
        <f>SUMIFS(инфо!$D$15:$D$28,инфо!$A$15:$A$28,F789)</f>
        <v>0</v>
      </c>
      <c r="AF789" s="35">
        <f t="shared" si="176"/>
        <v>0</v>
      </c>
      <c r="AG789" s="12">
        <f t="shared" si="186"/>
        <v>0</v>
      </c>
      <c r="AH789" s="24">
        <f>SUMIFS(инфо!$E$15:$E$28,инфо!$A$15:$A$28,F789)</f>
        <v>0</v>
      </c>
      <c r="AI789" s="32">
        <f t="shared" si="177"/>
        <v>0</v>
      </c>
      <c r="AJ789" s="12">
        <f t="shared" si="187"/>
        <v>0</v>
      </c>
      <c r="AK789" s="24">
        <f>SUMIFS(инфо!$F$15:$F$28,инфо!$A$15:$A$28,F789)</f>
        <v>0</v>
      </c>
      <c r="AL789" s="32">
        <f t="shared" si="178"/>
        <v>0</v>
      </c>
      <c r="AM789" s="12">
        <f t="shared" si="181"/>
        <v>0</v>
      </c>
      <c r="AN789" s="24">
        <f>SUMIFS(инфо!$G$15:$G$28,инфо!$A$15:$A$28,F789)</f>
        <v>0</v>
      </c>
      <c r="AO789" s="32">
        <f t="shared" si="179"/>
        <v>0</v>
      </c>
      <c r="AP789" s="12">
        <f t="shared" si="182"/>
        <v>0</v>
      </c>
      <c r="AQ789" s="24">
        <f>SUMIFS(инфо!$H$15:$H$28,инфо!$A$15:$A$28,F789)</f>
        <v>0</v>
      </c>
      <c r="AR789" s="35">
        <f t="shared" si="180"/>
        <v>0</v>
      </c>
      <c r="AS789" s="12">
        <f t="shared" si="183"/>
        <v>0</v>
      </c>
      <c r="AT789" s="24">
        <f>SUMIFS(инфо!$I$15:$I$28,инфо!$A$15:$A$28,F789)</f>
        <v>0</v>
      </c>
      <c r="AU789" s="35">
        <f t="shared" si="188"/>
        <v>0</v>
      </c>
      <c r="AV789" s="12">
        <f t="shared" si="184"/>
        <v>0</v>
      </c>
      <c r="AX789" s="68">
        <f>SUMIFS(инфо!$C$15:$C$28,инфо!$A$15:$A$28,F789)*H788</f>
        <v>0</v>
      </c>
    </row>
    <row r="790" spans="1:50" x14ac:dyDescent="0.25">
      <c r="A790" s="70">
        <f t="shared" si="175"/>
        <v>46459</v>
      </c>
      <c r="B790" s="77"/>
      <c r="C790" s="17"/>
      <c r="D790" s="18"/>
      <c r="E790" s="11"/>
      <c r="F790" s="28"/>
      <c r="G790" s="19"/>
      <c r="H790" s="28"/>
      <c r="I790" s="20"/>
      <c r="J790" s="20"/>
      <c r="K790" s="20"/>
      <c r="L790" s="20"/>
      <c r="M790" s="20"/>
      <c r="N790" s="23"/>
      <c r="O790" s="19"/>
      <c r="P790" s="19"/>
      <c r="Q790" s="19"/>
      <c r="R790" s="19"/>
      <c r="S790" s="69">
        <f t="shared" si="185"/>
        <v>0</v>
      </c>
      <c r="T790" s="17"/>
      <c r="U790" s="18"/>
      <c r="V790" s="19"/>
      <c r="W790" s="81"/>
      <c r="X790" s="19"/>
      <c r="Y790" s="17"/>
      <c r="Z790" s="19"/>
      <c r="AA790" s="19"/>
      <c r="AB790" s="19"/>
      <c r="AC790" s="19"/>
      <c r="AD790" s="18"/>
      <c r="AE790" s="25">
        <f>SUMIFS(инфо!$D$15:$D$28,инфо!$A$15:$A$28,F790)</f>
        <v>0</v>
      </c>
      <c r="AF790" s="35">
        <f t="shared" si="176"/>
        <v>0</v>
      </c>
      <c r="AG790" s="14">
        <f t="shared" si="186"/>
        <v>0</v>
      </c>
      <c r="AH790" s="25">
        <f>SUMIFS(инфо!$E$15:$E$28,инфо!$A$15:$A$28,F790)</f>
        <v>0</v>
      </c>
      <c r="AI790" s="32">
        <f t="shared" si="177"/>
        <v>0</v>
      </c>
      <c r="AJ790" s="14">
        <f t="shared" si="187"/>
        <v>0</v>
      </c>
      <c r="AK790" s="25">
        <f>SUMIFS(инфо!$F$15:$F$28,инфо!$A$15:$A$28,F790)</f>
        <v>0</v>
      </c>
      <c r="AL790" s="32">
        <f t="shared" si="178"/>
        <v>0</v>
      </c>
      <c r="AM790" s="14">
        <f t="shared" si="181"/>
        <v>0</v>
      </c>
      <c r="AN790" s="25">
        <f>SUMIFS(инфо!$G$15:$G$28,инфо!$A$15:$A$28,F790)</f>
        <v>0</v>
      </c>
      <c r="AO790" s="32">
        <f t="shared" si="179"/>
        <v>0</v>
      </c>
      <c r="AP790" s="14">
        <f t="shared" si="182"/>
        <v>0</v>
      </c>
      <c r="AQ790" s="25">
        <f>SUMIFS(инфо!$H$15:$H$28,инфо!$A$15:$A$28,F790)</f>
        <v>0</v>
      </c>
      <c r="AR790" s="26">
        <f t="shared" si="180"/>
        <v>0</v>
      </c>
      <c r="AS790" s="14">
        <f t="shared" si="183"/>
        <v>0</v>
      </c>
      <c r="AT790" s="25">
        <f>SUMIFS(инфо!$I$15:$I$28,инфо!$A$15:$A$28,F790)</f>
        <v>0</v>
      </c>
      <c r="AU790" s="35">
        <f t="shared" si="188"/>
        <v>0</v>
      </c>
      <c r="AV790" s="14">
        <f t="shared" si="184"/>
        <v>0</v>
      </c>
      <c r="AX790" s="69">
        <f>SUMIFS(инфо!$C$15:$C$28,инфо!$A$15:$A$28,F790)*H789</f>
        <v>0</v>
      </c>
    </row>
    <row r="791" spans="1:50" x14ac:dyDescent="0.25">
      <c r="A791" s="70">
        <f t="shared" si="175"/>
        <v>46459</v>
      </c>
      <c r="B791" s="75"/>
      <c r="C791" s="29"/>
      <c r="D791" s="30"/>
      <c r="E791" s="11"/>
      <c r="F791" s="28"/>
      <c r="G791" s="27"/>
      <c r="H791" s="20"/>
      <c r="I791" s="20"/>
      <c r="J791" s="20"/>
      <c r="K791" s="20"/>
      <c r="L791" s="20"/>
      <c r="M791" s="20"/>
      <c r="N791" s="28"/>
      <c r="O791" s="27"/>
      <c r="P791" s="27"/>
      <c r="Q791" s="27"/>
      <c r="R791" s="27"/>
      <c r="S791" s="67">
        <f t="shared" si="185"/>
        <v>0</v>
      </c>
      <c r="T791" s="29"/>
      <c r="U791" s="30"/>
      <c r="V791" s="27"/>
      <c r="W791" s="81"/>
      <c r="X791" s="27"/>
      <c r="Y791" s="29"/>
      <c r="Z791" s="27"/>
      <c r="AA791" s="27"/>
      <c r="AB791" s="27"/>
      <c r="AC791" s="27"/>
      <c r="AD791" s="30"/>
      <c r="AE791" s="31">
        <f>SUMIFS(инфо!$D$15:$D$28,инфо!$A$15:$A$28,F791)</f>
        <v>0</v>
      </c>
      <c r="AF791" s="35">
        <f t="shared" si="176"/>
        <v>0</v>
      </c>
      <c r="AG791" s="33">
        <f t="shared" si="186"/>
        <v>0</v>
      </c>
      <c r="AH791" s="31">
        <f>SUMIFS(инфо!$E$15:$E$28,инфо!$A$15:$A$28,F791)</f>
        <v>0</v>
      </c>
      <c r="AI791" s="32">
        <f t="shared" si="177"/>
        <v>0</v>
      </c>
      <c r="AJ791" s="33">
        <f t="shared" si="187"/>
        <v>0</v>
      </c>
      <c r="AK791" s="31">
        <f>SUMIFS(инфо!$F$15:$F$28,инфо!$A$15:$A$28,F791)</f>
        <v>0</v>
      </c>
      <c r="AL791" s="32">
        <f t="shared" si="178"/>
        <v>0</v>
      </c>
      <c r="AM791" s="33">
        <f t="shared" si="181"/>
        <v>0</v>
      </c>
      <c r="AN791" s="31">
        <f>SUMIFS(инфо!$G$15:$G$28,инфо!$A$15:$A$28,F791)</f>
        <v>0</v>
      </c>
      <c r="AO791" s="32">
        <f t="shared" si="179"/>
        <v>0</v>
      </c>
      <c r="AP791" s="33">
        <f t="shared" si="182"/>
        <v>0</v>
      </c>
      <c r="AQ791" s="31">
        <f>SUMIFS(инфо!$H$15:$H$28,инфо!$A$15:$A$28,F791)</f>
        <v>0</v>
      </c>
      <c r="AR791" s="32">
        <f t="shared" si="180"/>
        <v>0</v>
      </c>
      <c r="AS791" s="33">
        <f t="shared" si="183"/>
        <v>0</v>
      </c>
      <c r="AT791" s="31">
        <f>SUMIFS(инфо!$I$15:$I$28,инфо!$A$15:$A$28,F791)</f>
        <v>0</v>
      </c>
      <c r="AU791" s="35">
        <f t="shared" si="188"/>
        <v>0</v>
      </c>
      <c r="AV791" s="33">
        <f t="shared" si="184"/>
        <v>0</v>
      </c>
      <c r="AX791" s="67">
        <f>SUMIFS(инфо!$C$15:$C$28,инфо!$A$15:$A$28,F791)*H790</f>
        <v>0</v>
      </c>
    </row>
    <row r="792" spans="1:50" x14ac:dyDescent="0.25">
      <c r="A792" s="70">
        <f t="shared" si="175"/>
        <v>46460</v>
      </c>
      <c r="B792" s="76"/>
      <c r="C792" s="15"/>
      <c r="D792" s="16"/>
      <c r="E792" s="11"/>
      <c r="F792" s="28"/>
      <c r="G792" s="34"/>
      <c r="H792" s="20"/>
      <c r="I792" s="20"/>
      <c r="J792" s="20"/>
      <c r="K792" s="20"/>
      <c r="L792" s="20"/>
      <c r="M792" s="20"/>
      <c r="N792" s="20"/>
      <c r="O792" s="34"/>
      <c r="P792" s="34"/>
      <c r="Q792" s="34"/>
      <c r="R792" s="34"/>
      <c r="S792" s="68">
        <f t="shared" si="185"/>
        <v>0</v>
      </c>
      <c r="T792" s="15"/>
      <c r="U792" s="16"/>
      <c r="V792" s="34"/>
      <c r="W792" s="81"/>
      <c r="X792" s="34"/>
      <c r="Y792" s="15"/>
      <c r="Z792" s="34"/>
      <c r="AA792" s="34"/>
      <c r="AB792" s="34"/>
      <c r="AC792" s="34"/>
      <c r="AD792" s="16"/>
      <c r="AE792" s="24">
        <f>SUMIFS(инфо!$D$15:$D$28,инфо!$A$15:$A$28,F792)</f>
        <v>0</v>
      </c>
      <c r="AF792" s="35">
        <f t="shared" si="176"/>
        <v>0</v>
      </c>
      <c r="AG792" s="12">
        <f t="shared" si="186"/>
        <v>0</v>
      </c>
      <c r="AH792" s="24">
        <f>SUMIFS(инфо!$E$15:$E$28,инфо!$A$15:$A$28,F792)</f>
        <v>0</v>
      </c>
      <c r="AI792" s="32">
        <f t="shared" si="177"/>
        <v>0</v>
      </c>
      <c r="AJ792" s="12">
        <f t="shared" si="187"/>
        <v>0</v>
      </c>
      <c r="AK792" s="24">
        <f>SUMIFS(инфо!$F$15:$F$28,инфо!$A$15:$A$28,F792)</f>
        <v>0</v>
      </c>
      <c r="AL792" s="32">
        <f t="shared" si="178"/>
        <v>0</v>
      </c>
      <c r="AM792" s="12">
        <f t="shared" si="181"/>
        <v>0</v>
      </c>
      <c r="AN792" s="24">
        <f>SUMIFS(инфо!$G$15:$G$28,инфо!$A$15:$A$28,F792)</f>
        <v>0</v>
      </c>
      <c r="AO792" s="32">
        <f t="shared" si="179"/>
        <v>0</v>
      </c>
      <c r="AP792" s="12">
        <f t="shared" si="182"/>
        <v>0</v>
      </c>
      <c r="AQ792" s="24">
        <f>SUMIFS(инфо!$H$15:$H$28,инфо!$A$15:$A$28,F792)</f>
        <v>0</v>
      </c>
      <c r="AR792" s="35">
        <f t="shared" si="180"/>
        <v>0</v>
      </c>
      <c r="AS792" s="12">
        <f t="shared" si="183"/>
        <v>0</v>
      </c>
      <c r="AT792" s="24">
        <f>SUMIFS(инфо!$I$15:$I$28,инфо!$A$15:$A$28,F792)</f>
        <v>0</v>
      </c>
      <c r="AU792" s="35">
        <f t="shared" si="188"/>
        <v>0</v>
      </c>
      <c r="AV792" s="12">
        <f t="shared" si="184"/>
        <v>0</v>
      </c>
      <c r="AX792" s="68">
        <f>SUMIFS(инфо!$C$15:$C$28,инфо!$A$15:$A$28,F792)*H791</f>
        <v>0</v>
      </c>
    </row>
    <row r="793" spans="1:50" x14ac:dyDescent="0.25">
      <c r="A793" s="70">
        <f t="shared" si="175"/>
        <v>46460</v>
      </c>
      <c r="B793" s="76"/>
      <c r="C793" s="15"/>
      <c r="D793" s="16"/>
      <c r="E793" s="11"/>
      <c r="F793" s="28"/>
      <c r="G793" s="34"/>
      <c r="H793" s="23"/>
      <c r="I793" s="20"/>
      <c r="J793" s="20"/>
      <c r="K793" s="20"/>
      <c r="L793" s="20"/>
      <c r="M793" s="20"/>
      <c r="N793" s="20"/>
      <c r="O793" s="34"/>
      <c r="P793" s="34"/>
      <c r="Q793" s="34"/>
      <c r="R793" s="34"/>
      <c r="S793" s="68">
        <f t="shared" si="185"/>
        <v>0</v>
      </c>
      <c r="T793" s="15"/>
      <c r="U793" s="16"/>
      <c r="V793" s="34"/>
      <c r="W793" s="81"/>
      <c r="X793" s="34"/>
      <c r="Y793" s="15"/>
      <c r="Z793" s="34"/>
      <c r="AA793" s="34"/>
      <c r="AB793" s="34"/>
      <c r="AC793" s="34"/>
      <c r="AD793" s="16"/>
      <c r="AE793" s="24">
        <f>SUMIFS(инфо!$D$15:$D$28,инфо!$A$15:$A$28,F793)</f>
        <v>0</v>
      </c>
      <c r="AF793" s="35">
        <f t="shared" si="176"/>
        <v>0</v>
      </c>
      <c r="AG793" s="12">
        <f t="shared" si="186"/>
        <v>0</v>
      </c>
      <c r="AH793" s="24">
        <f>SUMIFS(инфо!$E$15:$E$28,инфо!$A$15:$A$28,F793)</f>
        <v>0</v>
      </c>
      <c r="AI793" s="32">
        <f t="shared" si="177"/>
        <v>0</v>
      </c>
      <c r="AJ793" s="12">
        <f t="shared" si="187"/>
        <v>0</v>
      </c>
      <c r="AK793" s="24">
        <f>SUMIFS(инфо!$F$15:$F$28,инфо!$A$15:$A$28,F793)</f>
        <v>0</v>
      </c>
      <c r="AL793" s="32">
        <f t="shared" si="178"/>
        <v>0</v>
      </c>
      <c r="AM793" s="12">
        <f t="shared" si="181"/>
        <v>0</v>
      </c>
      <c r="AN793" s="24">
        <f>SUMIFS(инфо!$G$15:$G$28,инфо!$A$15:$A$28,F793)</f>
        <v>0</v>
      </c>
      <c r="AO793" s="32">
        <f t="shared" si="179"/>
        <v>0</v>
      </c>
      <c r="AP793" s="12">
        <f t="shared" si="182"/>
        <v>0</v>
      </c>
      <c r="AQ793" s="24">
        <f>SUMIFS(инфо!$H$15:$H$28,инфо!$A$15:$A$28,F793)</f>
        <v>0</v>
      </c>
      <c r="AR793" s="35">
        <f t="shared" si="180"/>
        <v>0</v>
      </c>
      <c r="AS793" s="12">
        <f t="shared" si="183"/>
        <v>0</v>
      </c>
      <c r="AT793" s="24">
        <f>SUMIFS(инфо!$I$15:$I$28,инфо!$A$15:$A$28,F793)</f>
        <v>0</v>
      </c>
      <c r="AU793" s="35">
        <f t="shared" si="188"/>
        <v>0</v>
      </c>
      <c r="AV793" s="12">
        <f t="shared" si="184"/>
        <v>0</v>
      </c>
      <c r="AX793" s="68">
        <f>SUMIFS(инфо!$C$15:$C$28,инфо!$A$15:$A$28,F793)*H792</f>
        <v>0</v>
      </c>
    </row>
    <row r="794" spans="1:50" x14ac:dyDescent="0.25">
      <c r="A794" s="70">
        <f t="shared" si="175"/>
        <v>46461</v>
      </c>
      <c r="B794" s="77"/>
      <c r="C794" s="17"/>
      <c r="D794" s="18"/>
      <c r="E794" s="11"/>
      <c r="F794" s="28"/>
      <c r="G794" s="19"/>
      <c r="H794" s="28"/>
      <c r="I794" s="20"/>
      <c r="J794" s="20"/>
      <c r="K794" s="20"/>
      <c r="L794" s="20"/>
      <c r="M794" s="20"/>
      <c r="N794" s="23"/>
      <c r="O794" s="19"/>
      <c r="P794" s="19"/>
      <c r="Q794" s="19"/>
      <c r="R794" s="19"/>
      <c r="S794" s="69">
        <f t="shared" si="185"/>
        <v>0</v>
      </c>
      <c r="T794" s="17"/>
      <c r="U794" s="18"/>
      <c r="V794" s="19"/>
      <c r="W794" s="81"/>
      <c r="X794" s="19"/>
      <c r="Y794" s="17"/>
      <c r="Z794" s="19"/>
      <c r="AA794" s="19"/>
      <c r="AB794" s="19"/>
      <c r="AC794" s="19"/>
      <c r="AD794" s="18"/>
      <c r="AE794" s="25">
        <f>SUMIFS(инфо!$D$15:$D$28,инфо!$A$15:$A$28,F794)</f>
        <v>0</v>
      </c>
      <c r="AF794" s="35">
        <f t="shared" si="176"/>
        <v>0</v>
      </c>
      <c r="AG794" s="14">
        <f t="shared" si="186"/>
        <v>0</v>
      </c>
      <c r="AH794" s="25">
        <f>SUMIFS(инфо!$E$15:$E$28,инфо!$A$15:$A$28,F794)</f>
        <v>0</v>
      </c>
      <c r="AI794" s="32">
        <f t="shared" si="177"/>
        <v>0</v>
      </c>
      <c r="AJ794" s="14">
        <f t="shared" si="187"/>
        <v>0</v>
      </c>
      <c r="AK794" s="25">
        <f>SUMIFS(инфо!$F$15:$F$28,инфо!$A$15:$A$28,F794)</f>
        <v>0</v>
      </c>
      <c r="AL794" s="32">
        <f t="shared" si="178"/>
        <v>0</v>
      </c>
      <c r="AM794" s="14">
        <f t="shared" si="181"/>
        <v>0</v>
      </c>
      <c r="AN794" s="25">
        <f>SUMIFS(инфо!$G$15:$G$28,инфо!$A$15:$A$28,F794)</f>
        <v>0</v>
      </c>
      <c r="AO794" s="32">
        <f t="shared" si="179"/>
        <v>0</v>
      </c>
      <c r="AP794" s="14">
        <f t="shared" si="182"/>
        <v>0</v>
      </c>
      <c r="AQ794" s="25">
        <f>SUMIFS(инфо!$H$15:$H$28,инфо!$A$15:$A$28,F794)</f>
        <v>0</v>
      </c>
      <c r="AR794" s="26">
        <f t="shared" si="180"/>
        <v>0</v>
      </c>
      <c r="AS794" s="14">
        <f t="shared" si="183"/>
        <v>0</v>
      </c>
      <c r="AT794" s="25">
        <f>SUMIFS(инфо!$I$15:$I$28,инфо!$A$15:$A$28,F794)</f>
        <v>0</v>
      </c>
      <c r="AU794" s="35">
        <f t="shared" si="188"/>
        <v>0</v>
      </c>
      <c r="AV794" s="14">
        <f t="shared" si="184"/>
        <v>0</v>
      </c>
      <c r="AX794" s="69">
        <f>SUMIFS(инфо!$C$15:$C$28,инфо!$A$15:$A$28,F794)*H793</f>
        <v>0</v>
      </c>
    </row>
    <row r="795" spans="1:50" x14ac:dyDescent="0.25">
      <c r="A795" s="70">
        <f t="shared" si="175"/>
        <v>46461</v>
      </c>
      <c r="B795" s="75"/>
      <c r="C795" s="29"/>
      <c r="D795" s="30"/>
      <c r="E795" s="11"/>
      <c r="F795" s="28"/>
      <c r="G795" s="27"/>
      <c r="H795" s="20"/>
      <c r="I795" s="20"/>
      <c r="J795" s="20"/>
      <c r="K795" s="20"/>
      <c r="L795" s="20"/>
      <c r="M795" s="20"/>
      <c r="N795" s="28"/>
      <c r="O795" s="27"/>
      <c r="P795" s="27"/>
      <c r="Q795" s="27"/>
      <c r="R795" s="27"/>
      <c r="S795" s="67">
        <f t="shared" si="185"/>
        <v>0</v>
      </c>
      <c r="T795" s="29"/>
      <c r="U795" s="30"/>
      <c r="V795" s="27"/>
      <c r="W795" s="81"/>
      <c r="X795" s="27"/>
      <c r="Y795" s="29"/>
      <c r="Z795" s="27"/>
      <c r="AA795" s="27"/>
      <c r="AB795" s="27"/>
      <c r="AC795" s="27"/>
      <c r="AD795" s="30"/>
      <c r="AE795" s="31">
        <f>SUMIFS(инфо!$D$15:$D$28,инфо!$A$15:$A$28,F795)</f>
        <v>0</v>
      </c>
      <c r="AF795" s="35">
        <f t="shared" si="176"/>
        <v>0</v>
      </c>
      <c r="AG795" s="33">
        <f t="shared" si="186"/>
        <v>0</v>
      </c>
      <c r="AH795" s="31">
        <f>SUMIFS(инфо!$E$15:$E$28,инфо!$A$15:$A$28,F795)</f>
        <v>0</v>
      </c>
      <c r="AI795" s="32">
        <f t="shared" si="177"/>
        <v>0</v>
      </c>
      <c r="AJ795" s="33">
        <f t="shared" si="187"/>
        <v>0</v>
      </c>
      <c r="AK795" s="31">
        <f>SUMIFS(инфо!$F$15:$F$28,инфо!$A$15:$A$28,F795)</f>
        <v>0</v>
      </c>
      <c r="AL795" s="32">
        <f t="shared" si="178"/>
        <v>0</v>
      </c>
      <c r="AM795" s="33">
        <f t="shared" si="181"/>
        <v>0</v>
      </c>
      <c r="AN795" s="31">
        <f>SUMIFS(инфо!$G$15:$G$28,инфо!$A$15:$A$28,F795)</f>
        <v>0</v>
      </c>
      <c r="AO795" s="32">
        <f t="shared" si="179"/>
        <v>0</v>
      </c>
      <c r="AP795" s="33">
        <f t="shared" si="182"/>
        <v>0</v>
      </c>
      <c r="AQ795" s="31">
        <f>SUMIFS(инфо!$H$15:$H$28,инфо!$A$15:$A$28,F795)</f>
        <v>0</v>
      </c>
      <c r="AR795" s="32">
        <f t="shared" si="180"/>
        <v>0</v>
      </c>
      <c r="AS795" s="33">
        <f t="shared" si="183"/>
        <v>0</v>
      </c>
      <c r="AT795" s="31">
        <f>SUMIFS(инфо!$I$15:$I$28,инфо!$A$15:$A$28,F795)</f>
        <v>0</v>
      </c>
      <c r="AU795" s="35">
        <f t="shared" si="188"/>
        <v>0</v>
      </c>
      <c r="AV795" s="33">
        <f t="shared" si="184"/>
        <v>0</v>
      </c>
      <c r="AX795" s="67">
        <f>SUMIFS(инфо!$C$15:$C$28,инфо!$A$15:$A$28,F795)*H794</f>
        <v>0</v>
      </c>
    </row>
    <row r="796" spans="1:50" x14ac:dyDescent="0.25">
      <c r="A796" s="70">
        <f t="shared" ref="A796:A859" si="189">A794+1</f>
        <v>46462</v>
      </c>
      <c r="B796" s="76"/>
      <c r="C796" s="15"/>
      <c r="D796" s="16"/>
      <c r="E796" s="11"/>
      <c r="F796" s="28"/>
      <c r="G796" s="34"/>
      <c r="H796" s="20"/>
      <c r="I796" s="20"/>
      <c r="J796" s="20"/>
      <c r="K796" s="20"/>
      <c r="L796" s="20"/>
      <c r="M796" s="20"/>
      <c r="N796" s="20"/>
      <c r="O796" s="34"/>
      <c r="P796" s="34"/>
      <c r="Q796" s="34"/>
      <c r="R796" s="34"/>
      <c r="S796" s="68">
        <f t="shared" si="185"/>
        <v>0</v>
      </c>
      <c r="T796" s="15"/>
      <c r="U796" s="16"/>
      <c r="V796" s="34"/>
      <c r="W796" s="81"/>
      <c r="X796" s="34"/>
      <c r="Y796" s="15"/>
      <c r="Z796" s="34"/>
      <c r="AA796" s="34"/>
      <c r="AB796" s="34"/>
      <c r="AC796" s="34"/>
      <c r="AD796" s="16"/>
      <c r="AE796" s="24">
        <f>SUMIFS(инфо!$D$15:$D$28,инфо!$A$15:$A$28,F796)</f>
        <v>0</v>
      </c>
      <c r="AF796" s="35">
        <f t="shared" si="176"/>
        <v>0</v>
      </c>
      <c r="AG796" s="12">
        <f t="shared" si="186"/>
        <v>0</v>
      </c>
      <c r="AH796" s="24">
        <f>SUMIFS(инфо!$E$15:$E$28,инфо!$A$15:$A$28,F796)</f>
        <v>0</v>
      </c>
      <c r="AI796" s="32">
        <f t="shared" si="177"/>
        <v>0</v>
      </c>
      <c r="AJ796" s="12">
        <f t="shared" si="187"/>
        <v>0</v>
      </c>
      <c r="AK796" s="24">
        <f>SUMIFS(инфо!$F$15:$F$28,инфо!$A$15:$A$28,F796)</f>
        <v>0</v>
      </c>
      <c r="AL796" s="32">
        <f t="shared" si="178"/>
        <v>0</v>
      </c>
      <c r="AM796" s="12">
        <f t="shared" si="181"/>
        <v>0</v>
      </c>
      <c r="AN796" s="24">
        <f>SUMIFS(инфо!$G$15:$G$28,инфо!$A$15:$A$28,F796)</f>
        <v>0</v>
      </c>
      <c r="AO796" s="32">
        <f t="shared" si="179"/>
        <v>0</v>
      </c>
      <c r="AP796" s="12">
        <f t="shared" si="182"/>
        <v>0</v>
      </c>
      <c r="AQ796" s="24">
        <f>SUMIFS(инфо!$H$15:$H$28,инфо!$A$15:$A$28,F796)</f>
        <v>0</v>
      </c>
      <c r="AR796" s="35">
        <f t="shared" si="180"/>
        <v>0</v>
      </c>
      <c r="AS796" s="12">
        <f t="shared" si="183"/>
        <v>0</v>
      </c>
      <c r="AT796" s="24">
        <f>SUMIFS(инфо!$I$15:$I$28,инфо!$A$15:$A$28,F796)</f>
        <v>0</v>
      </c>
      <c r="AU796" s="35">
        <f t="shared" si="188"/>
        <v>0</v>
      </c>
      <c r="AV796" s="12">
        <f t="shared" si="184"/>
        <v>0</v>
      </c>
      <c r="AX796" s="68">
        <f>SUMIFS(инфо!$C$15:$C$28,инфо!$A$15:$A$28,F796)*H795</f>
        <v>0</v>
      </c>
    </row>
    <row r="797" spans="1:50" x14ac:dyDescent="0.25">
      <c r="A797" s="70">
        <f t="shared" si="189"/>
        <v>46462</v>
      </c>
      <c r="B797" s="76"/>
      <c r="C797" s="15"/>
      <c r="D797" s="16"/>
      <c r="E797" s="11"/>
      <c r="F797" s="28"/>
      <c r="G797" s="34"/>
      <c r="H797" s="23"/>
      <c r="I797" s="20"/>
      <c r="J797" s="20"/>
      <c r="K797" s="20"/>
      <c r="L797" s="20"/>
      <c r="M797" s="20"/>
      <c r="N797" s="20"/>
      <c r="O797" s="34"/>
      <c r="P797" s="34"/>
      <c r="Q797" s="34"/>
      <c r="R797" s="34"/>
      <c r="S797" s="68">
        <f t="shared" si="185"/>
        <v>0</v>
      </c>
      <c r="T797" s="15"/>
      <c r="U797" s="16"/>
      <c r="V797" s="34"/>
      <c r="W797" s="81"/>
      <c r="X797" s="34"/>
      <c r="Y797" s="15"/>
      <c r="Z797" s="34"/>
      <c r="AA797" s="34"/>
      <c r="AB797" s="34"/>
      <c r="AC797" s="34"/>
      <c r="AD797" s="16"/>
      <c r="AE797" s="24">
        <f>SUMIFS(инфо!$D$15:$D$28,инфо!$A$15:$A$28,F797)</f>
        <v>0</v>
      </c>
      <c r="AF797" s="35">
        <f t="shared" si="176"/>
        <v>0</v>
      </c>
      <c r="AG797" s="12">
        <f t="shared" si="186"/>
        <v>0</v>
      </c>
      <c r="AH797" s="24">
        <f>SUMIFS(инфо!$E$15:$E$28,инфо!$A$15:$A$28,F797)</f>
        <v>0</v>
      </c>
      <c r="AI797" s="32">
        <f t="shared" si="177"/>
        <v>0</v>
      </c>
      <c r="AJ797" s="12">
        <f t="shared" si="187"/>
        <v>0</v>
      </c>
      <c r="AK797" s="24">
        <f>SUMIFS(инфо!$F$15:$F$28,инфо!$A$15:$A$28,F797)</f>
        <v>0</v>
      </c>
      <c r="AL797" s="32">
        <f t="shared" si="178"/>
        <v>0</v>
      </c>
      <c r="AM797" s="12">
        <f t="shared" si="181"/>
        <v>0</v>
      </c>
      <c r="AN797" s="24">
        <f>SUMIFS(инфо!$G$15:$G$28,инфо!$A$15:$A$28,F797)</f>
        <v>0</v>
      </c>
      <c r="AO797" s="32">
        <f t="shared" si="179"/>
        <v>0</v>
      </c>
      <c r="AP797" s="12">
        <f t="shared" si="182"/>
        <v>0</v>
      </c>
      <c r="AQ797" s="24">
        <f>SUMIFS(инфо!$H$15:$H$28,инфо!$A$15:$A$28,F797)</f>
        <v>0</v>
      </c>
      <c r="AR797" s="35">
        <f t="shared" si="180"/>
        <v>0</v>
      </c>
      <c r="AS797" s="12">
        <f t="shared" si="183"/>
        <v>0</v>
      </c>
      <c r="AT797" s="24">
        <f>SUMIFS(инфо!$I$15:$I$28,инфо!$A$15:$A$28,F797)</f>
        <v>0</v>
      </c>
      <c r="AU797" s="35">
        <f t="shared" si="188"/>
        <v>0</v>
      </c>
      <c r="AV797" s="12">
        <f t="shared" si="184"/>
        <v>0</v>
      </c>
      <c r="AX797" s="68">
        <f>SUMIFS(инфо!$C$15:$C$28,инфо!$A$15:$A$28,F797)*H796</f>
        <v>0</v>
      </c>
    </row>
    <row r="798" spans="1:50" x14ac:dyDescent="0.25">
      <c r="A798" s="70">
        <f t="shared" si="189"/>
        <v>46463</v>
      </c>
      <c r="B798" s="77"/>
      <c r="C798" s="17"/>
      <c r="D798" s="18"/>
      <c r="E798" s="11"/>
      <c r="F798" s="28"/>
      <c r="G798" s="19"/>
      <c r="H798" s="28"/>
      <c r="I798" s="20"/>
      <c r="J798" s="20"/>
      <c r="K798" s="20"/>
      <c r="L798" s="20"/>
      <c r="M798" s="20"/>
      <c r="N798" s="23"/>
      <c r="O798" s="19"/>
      <c r="P798" s="19"/>
      <c r="Q798" s="19"/>
      <c r="R798" s="19"/>
      <c r="S798" s="69">
        <f t="shared" si="185"/>
        <v>0</v>
      </c>
      <c r="T798" s="17"/>
      <c r="U798" s="18"/>
      <c r="V798" s="19"/>
      <c r="W798" s="81"/>
      <c r="X798" s="19"/>
      <c r="Y798" s="17"/>
      <c r="Z798" s="19"/>
      <c r="AA798" s="19"/>
      <c r="AB798" s="19"/>
      <c r="AC798" s="19"/>
      <c r="AD798" s="18"/>
      <c r="AE798" s="25">
        <f>SUMIFS(инфо!$D$15:$D$28,инфо!$A$15:$A$28,F798)</f>
        <v>0</v>
      </c>
      <c r="AF798" s="35">
        <f t="shared" si="176"/>
        <v>0</v>
      </c>
      <c r="AG798" s="14">
        <f t="shared" si="186"/>
        <v>0</v>
      </c>
      <c r="AH798" s="25">
        <f>SUMIFS(инфо!$E$15:$E$28,инфо!$A$15:$A$28,F798)</f>
        <v>0</v>
      </c>
      <c r="AI798" s="32">
        <f t="shared" si="177"/>
        <v>0</v>
      </c>
      <c r="AJ798" s="14">
        <f t="shared" si="187"/>
        <v>0</v>
      </c>
      <c r="AK798" s="25">
        <f>SUMIFS(инфо!$F$15:$F$28,инфо!$A$15:$A$28,F798)</f>
        <v>0</v>
      </c>
      <c r="AL798" s="32">
        <f t="shared" si="178"/>
        <v>0</v>
      </c>
      <c r="AM798" s="14">
        <f t="shared" si="181"/>
        <v>0</v>
      </c>
      <c r="AN798" s="25">
        <f>SUMIFS(инфо!$G$15:$G$28,инфо!$A$15:$A$28,F798)</f>
        <v>0</v>
      </c>
      <c r="AO798" s="32">
        <f t="shared" si="179"/>
        <v>0</v>
      </c>
      <c r="AP798" s="14">
        <f t="shared" si="182"/>
        <v>0</v>
      </c>
      <c r="AQ798" s="25">
        <f>SUMIFS(инфо!$H$15:$H$28,инфо!$A$15:$A$28,F798)</f>
        <v>0</v>
      </c>
      <c r="AR798" s="26">
        <f t="shared" si="180"/>
        <v>0</v>
      </c>
      <c r="AS798" s="14">
        <f t="shared" si="183"/>
        <v>0</v>
      </c>
      <c r="AT798" s="25">
        <f>SUMIFS(инфо!$I$15:$I$28,инфо!$A$15:$A$28,F798)</f>
        <v>0</v>
      </c>
      <c r="AU798" s="35">
        <f t="shared" si="188"/>
        <v>0</v>
      </c>
      <c r="AV798" s="14">
        <f t="shared" si="184"/>
        <v>0</v>
      </c>
      <c r="AX798" s="69">
        <f>SUMIFS(инфо!$C$15:$C$28,инфо!$A$15:$A$28,F798)*H797</f>
        <v>0</v>
      </c>
    </row>
    <row r="799" spans="1:50" x14ac:dyDescent="0.25">
      <c r="A799" s="70">
        <f t="shared" si="189"/>
        <v>46463</v>
      </c>
      <c r="B799" s="75"/>
      <c r="C799" s="29"/>
      <c r="D799" s="30"/>
      <c r="E799" s="11"/>
      <c r="F799" s="28"/>
      <c r="G799" s="27"/>
      <c r="H799" s="20"/>
      <c r="I799" s="20"/>
      <c r="J799" s="20"/>
      <c r="K799" s="20"/>
      <c r="L799" s="20"/>
      <c r="M799" s="20"/>
      <c r="N799" s="28"/>
      <c r="O799" s="27"/>
      <c r="P799" s="27"/>
      <c r="Q799" s="27"/>
      <c r="R799" s="27"/>
      <c r="S799" s="67">
        <f t="shared" si="185"/>
        <v>0</v>
      </c>
      <c r="T799" s="29"/>
      <c r="U799" s="30"/>
      <c r="V799" s="27"/>
      <c r="W799" s="81"/>
      <c r="X799" s="27"/>
      <c r="Y799" s="29"/>
      <c r="Z799" s="27"/>
      <c r="AA799" s="27"/>
      <c r="AB799" s="27"/>
      <c r="AC799" s="27"/>
      <c r="AD799" s="30"/>
      <c r="AE799" s="31">
        <f>SUMIFS(инфо!$D$15:$D$28,инфо!$A$15:$A$28,F799)</f>
        <v>0</v>
      </c>
      <c r="AF799" s="35">
        <f t="shared" si="176"/>
        <v>0</v>
      </c>
      <c r="AG799" s="33">
        <f t="shared" si="186"/>
        <v>0</v>
      </c>
      <c r="AH799" s="31">
        <f>SUMIFS(инфо!$E$15:$E$28,инфо!$A$15:$A$28,F799)</f>
        <v>0</v>
      </c>
      <c r="AI799" s="32">
        <f t="shared" si="177"/>
        <v>0</v>
      </c>
      <c r="AJ799" s="33">
        <f t="shared" si="187"/>
        <v>0</v>
      </c>
      <c r="AK799" s="31">
        <f>SUMIFS(инфо!$F$15:$F$28,инфо!$A$15:$A$28,F799)</f>
        <v>0</v>
      </c>
      <c r="AL799" s="32">
        <f t="shared" si="178"/>
        <v>0</v>
      </c>
      <c r="AM799" s="33">
        <f t="shared" si="181"/>
        <v>0</v>
      </c>
      <c r="AN799" s="31">
        <f>SUMIFS(инфо!$G$15:$G$28,инфо!$A$15:$A$28,F799)</f>
        <v>0</v>
      </c>
      <c r="AO799" s="32">
        <f t="shared" si="179"/>
        <v>0</v>
      </c>
      <c r="AP799" s="33">
        <f t="shared" si="182"/>
        <v>0</v>
      </c>
      <c r="AQ799" s="31">
        <f>SUMIFS(инфо!$H$15:$H$28,инфо!$A$15:$A$28,F799)</f>
        <v>0</v>
      </c>
      <c r="AR799" s="32">
        <f t="shared" si="180"/>
        <v>0</v>
      </c>
      <c r="AS799" s="33">
        <f t="shared" si="183"/>
        <v>0</v>
      </c>
      <c r="AT799" s="31">
        <f>SUMIFS(инфо!$I$15:$I$28,инфо!$A$15:$A$28,F799)</f>
        <v>0</v>
      </c>
      <c r="AU799" s="35">
        <f t="shared" si="188"/>
        <v>0</v>
      </c>
      <c r="AV799" s="33">
        <f t="shared" si="184"/>
        <v>0</v>
      </c>
      <c r="AX799" s="67">
        <f>SUMIFS(инфо!$C$15:$C$28,инфо!$A$15:$A$28,F799)*H798</f>
        <v>0</v>
      </c>
    </row>
    <row r="800" spans="1:50" x14ac:dyDescent="0.25">
      <c r="A800" s="70">
        <f t="shared" si="189"/>
        <v>46464</v>
      </c>
      <c r="B800" s="76"/>
      <c r="C800" s="15"/>
      <c r="D800" s="16"/>
      <c r="E800" s="11"/>
      <c r="F800" s="28"/>
      <c r="G800" s="34"/>
      <c r="H800" s="20"/>
      <c r="I800" s="20"/>
      <c r="J800" s="20"/>
      <c r="K800" s="20"/>
      <c r="L800" s="20"/>
      <c r="M800" s="20"/>
      <c r="N800" s="20"/>
      <c r="O800" s="34"/>
      <c r="P800" s="34"/>
      <c r="Q800" s="34"/>
      <c r="R800" s="34"/>
      <c r="S800" s="68">
        <f t="shared" si="185"/>
        <v>0</v>
      </c>
      <c r="T800" s="15"/>
      <c r="U800" s="16"/>
      <c r="V800" s="34"/>
      <c r="W800" s="81"/>
      <c r="X800" s="34"/>
      <c r="Y800" s="15"/>
      <c r="Z800" s="34"/>
      <c r="AA800" s="34"/>
      <c r="AB800" s="34"/>
      <c r="AC800" s="34"/>
      <c r="AD800" s="16"/>
      <c r="AE800" s="24">
        <f>SUMIFS(инфо!$D$15:$D$28,инфо!$A$15:$A$28,F800)</f>
        <v>0</v>
      </c>
      <c r="AF800" s="35">
        <f t="shared" si="176"/>
        <v>0</v>
      </c>
      <c r="AG800" s="12">
        <f t="shared" si="186"/>
        <v>0</v>
      </c>
      <c r="AH800" s="24">
        <f>SUMIFS(инфо!$E$15:$E$28,инфо!$A$15:$A$28,F800)</f>
        <v>0</v>
      </c>
      <c r="AI800" s="32">
        <f t="shared" si="177"/>
        <v>0</v>
      </c>
      <c r="AJ800" s="12">
        <f t="shared" si="187"/>
        <v>0</v>
      </c>
      <c r="AK800" s="24">
        <f>SUMIFS(инфо!$F$15:$F$28,инфо!$A$15:$A$28,F800)</f>
        <v>0</v>
      </c>
      <c r="AL800" s="32">
        <f t="shared" si="178"/>
        <v>0</v>
      </c>
      <c r="AM800" s="12">
        <f t="shared" si="181"/>
        <v>0</v>
      </c>
      <c r="AN800" s="24">
        <f>SUMIFS(инфо!$G$15:$G$28,инфо!$A$15:$A$28,F800)</f>
        <v>0</v>
      </c>
      <c r="AO800" s="32">
        <f t="shared" si="179"/>
        <v>0</v>
      </c>
      <c r="AP800" s="12">
        <f t="shared" si="182"/>
        <v>0</v>
      </c>
      <c r="AQ800" s="24">
        <f>SUMIFS(инфо!$H$15:$H$28,инфо!$A$15:$A$28,F800)</f>
        <v>0</v>
      </c>
      <c r="AR800" s="35">
        <f t="shared" si="180"/>
        <v>0</v>
      </c>
      <c r="AS800" s="12">
        <f t="shared" si="183"/>
        <v>0</v>
      </c>
      <c r="AT800" s="24">
        <f>SUMIFS(инфо!$I$15:$I$28,инфо!$A$15:$A$28,F800)</f>
        <v>0</v>
      </c>
      <c r="AU800" s="35">
        <f t="shared" si="188"/>
        <v>0</v>
      </c>
      <c r="AV800" s="12">
        <f t="shared" si="184"/>
        <v>0</v>
      </c>
      <c r="AX800" s="68">
        <f>SUMIFS(инфо!$C$15:$C$28,инфо!$A$15:$A$28,F800)*H799</f>
        <v>0</v>
      </c>
    </row>
    <row r="801" spans="1:50" x14ac:dyDescent="0.25">
      <c r="A801" s="70">
        <f t="shared" si="189"/>
        <v>46464</v>
      </c>
      <c r="B801" s="76"/>
      <c r="C801" s="15"/>
      <c r="D801" s="16"/>
      <c r="E801" s="11"/>
      <c r="F801" s="28"/>
      <c r="G801" s="34"/>
      <c r="H801" s="23"/>
      <c r="I801" s="20"/>
      <c r="J801" s="20"/>
      <c r="K801" s="20"/>
      <c r="L801" s="20"/>
      <c r="M801" s="20"/>
      <c r="N801" s="20"/>
      <c r="O801" s="34"/>
      <c r="P801" s="34"/>
      <c r="Q801" s="34"/>
      <c r="R801" s="34"/>
      <c r="S801" s="68">
        <f t="shared" si="185"/>
        <v>0</v>
      </c>
      <c r="T801" s="15"/>
      <c r="U801" s="16"/>
      <c r="V801" s="34"/>
      <c r="W801" s="81"/>
      <c r="X801" s="34"/>
      <c r="Y801" s="15"/>
      <c r="Z801" s="34"/>
      <c r="AA801" s="34"/>
      <c r="AB801" s="34"/>
      <c r="AC801" s="34"/>
      <c r="AD801" s="16"/>
      <c r="AE801" s="24">
        <f>SUMIFS(инфо!$D$15:$D$28,инфо!$A$15:$A$28,F801)</f>
        <v>0</v>
      </c>
      <c r="AF801" s="35">
        <f t="shared" si="176"/>
        <v>0</v>
      </c>
      <c r="AG801" s="12">
        <f t="shared" si="186"/>
        <v>0</v>
      </c>
      <c r="AH801" s="24">
        <f>SUMIFS(инфо!$E$15:$E$28,инфо!$A$15:$A$28,F801)</f>
        <v>0</v>
      </c>
      <c r="AI801" s="32">
        <f t="shared" si="177"/>
        <v>0</v>
      </c>
      <c r="AJ801" s="12">
        <f t="shared" si="187"/>
        <v>0</v>
      </c>
      <c r="AK801" s="24">
        <f>SUMIFS(инфо!$F$15:$F$28,инфо!$A$15:$A$28,F801)</f>
        <v>0</v>
      </c>
      <c r="AL801" s="32">
        <f t="shared" si="178"/>
        <v>0</v>
      </c>
      <c r="AM801" s="12">
        <f t="shared" si="181"/>
        <v>0</v>
      </c>
      <c r="AN801" s="24">
        <f>SUMIFS(инфо!$G$15:$G$28,инфо!$A$15:$A$28,F801)</f>
        <v>0</v>
      </c>
      <c r="AO801" s="32">
        <f t="shared" si="179"/>
        <v>0</v>
      </c>
      <c r="AP801" s="12">
        <f t="shared" si="182"/>
        <v>0</v>
      </c>
      <c r="AQ801" s="24">
        <f>SUMIFS(инфо!$H$15:$H$28,инфо!$A$15:$A$28,F801)</f>
        <v>0</v>
      </c>
      <c r="AR801" s="35">
        <f t="shared" si="180"/>
        <v>0</v>
      </c>
      <c r="AS801" s="12">
        <f t="shared" si="183"/>
        <v>0</v>
      </c>
      <c r="AT801" s="24">
        <f>SUMIFS(инфо!$I$15:$I$28,инфо!$A$15:$A$28,F801)</f>
        <v>0</v>
      </c>
      <c r="AU801" s="35">
        <f t="shared" si="188"/>
        <v>0</v>
      </c>
      <c r="AV801" s="12">
        <f t="shared" si="184"/>
        <v>0</v>
      </c>
      <c r="AX801" s="68">
        <f>SUMIFS(инфо!$C$15:$C$28,инфо!$A$15:$A$28,F801)*H800</f>
        <v>0</v>
      </c>
    </row>
    <row r="802" spans="1:50" x14ac:dyDescent="0.25">
      <c r="A802" s="70">
        <f t="shared" si="189"/>
        <v>46465</v>
      </c>
      <c r="B802" s="77"/>
      <c r="C802" s="17"/>
      <c r="D802" s="18"/>
      <c r="E802" s="11"/>
      <c r="F802" s="28"/>
      <c r="G802" s="19"/>
      <c r="H802" s="28"/>
      <c r="I802" s="20"/>
      <c r="J802" s="20"/>
      <c r="K802" s="20"/>
      <c r="L802" s="20"/>
      <c r="M802" s="20"/>
      <c r="N802" s="23"/>
      <c r="O802" s="19"/>
      <c r="P802" s="19"/>
      <c r="Q802" s="19"/>
      <c r="R802" s="19"/>
      <c r="S802" s="69">
        <f t="shared" si="185"/>
        <v>0</v>
      </c>
      <c r="T802" s="17"/>
      <c r="U802" s="18"/>
      <c r="V802" s="19"/>
      <c r="W802" s="81"/>
      <c r="X802" s="19"/>
      <c r="Y802" s="17"/>
      <c r="Z802" s="19"/>
      <c r="AA802" s="19"/>
      <c r="AB802" s="19"/>
      <c r="AC802" s="19"/>
      <c r="AD802" s="18"/>
      <c r="AE802" s="25">
        <f>SUMIFS(инфо!$D$15:$D$28,инфо!$A$15:$A$28,F802)</f>
        <v>0</v>
      </c>
      <c r="AF802" s="35">
        <f t="shared" si="176"/>
        <v>0</v>
      </c>
      <c r="AG802" s="14">
        <f t="shared" si="186"/>
        <v>0</v>
      </c>
      <c r="AH802" s="25">
        <f>SUMIFS(инфо!$E$15:$E$28,инфо!$A$15:$A$28,F802)</f>
        <v>0</v>
      </c>
      <c r="AI802" s="32">
        <f t="shared" si="177"/>
        <v>0</v>
      </c>
      <c r="AJ802" s="14">
        <f t="shared" si="187"/>
        <v>0</v>
      </c>
      <c r="AK802" s="25">
        <f>SUMIFS(инфо!$F$15:$F$28,инфо!$A$15:$A$28,F802)</f>
        <v>0</v>
      </c>
      <c r="AL802" s="32">
        <f t="shared" si="178"/>
        <v>0</v>
      </c>
      <c r="AM802" s="14">
        <f t="shared" si="181"/>
        <v>0</v>
      </c>
      <c r="AN802" s="25">
        <f>SUMIFS(инфо!$G$15:$G$28,инфо!$A$15:$A$28,F802)</f>
        <v>0</v>
      </c>
      <c r="AO802" s="32">
        <f t="shared" si="179"/>
        <v>0</v>
      </c>
      <c r="AP802" s="14">
        <f t="shared" si="182"/>
        <v>0</v>
      </c>
      <c r="AQ802" s="25">
        <f>SUMIFS(инфо!$H$15:$H$28,инфо!$A$15:$A$28,F802)</f>
        <v>0</v>
      </c>
      <c r="AR802" s="26">
        <f t="shared" si="180"/>
        <v>0</v>
      </c>
      <c r="AS802" s="14">
        <f t="shared" si="183"/>
        <v>0</v>
      </c>
      <c r="AT802" s="25">
        <f>SUMIFS(инфо!$I$15:$I$28,инфо!$A$15:$A$28,F802)</f>
        <v>0</v>
      </c>
      <c r="AU802" s="35">
        <f t="shared" si="188"/>
        <v>0</v>
      </c>
      <c r="AV802" s="14">
        <f t="shared" si="184"/>
        <v>0</v>
      </c>
      <c r="AX802" s="69">
        <f>SUMIFS(инфо!$C$15:$C$28,инфо!$A$15:$A$28,F802)*H801</f>
        <v>0</v>
      </c>
    </row>
    <row r="803" spans="1:50" x14ac:dyDescent="0.25">
      <c r="A803" s="70">
        <f t="shared" si="189"/>
        <v>46465</v>
      </c>
      <c r="B803" s="75"/>
      <c r="C803" s="29"/>
      <c r="D803" s="30"/>
      <c r="E803" s="11"/>
      <c r="F803" s="28"/>
      <c r="G803" s="27"/>
      <c r="H803" s="20"/>
      <c r="I803" s="20"/>
      <c r="J803" s="20"/>
      <c r="K803" s="20"/>
      <c r="L803" s="20"/>
      <c r="M803" s="20"/>
      <c r="N803" s="28"/>
      <c r="O803" s="27"/>
      <c r="P803" s="27"/>
      <c r="Q803" s="27"/>
      <c r="R803" s="27"/>
      <c r="S803" s="67">
        <f t="shared" si="185"/>
        <v>0</v>
      </c>
      <c r="T803" s="29"/>
      <c r="U803" s="30"/>
      <c r="V803" s="27"/>
      <c r="W803" s="81"/>
      <c r="X803" s="27"/>
      <c r="Y803" s="29"/>
      <c r="Z803" s="27"/>
      <c r="AA803" s="27"/>
      <c r="AB803" s="27"/>
      <c r="AC803" s="27"/>
      <c r="AD803" s="30"/>
      <c r="AE803" s="31">
        <f>SUMIFS(инфо!$D$15:$D$28,инфо!$A$15:$A$28,F803)</f>
        <v>0</v>
      </c>
      <c r="AF803" s="35">
        <f t="shared" si="176"/>
        <v>0</v>
      </c>
      <c r="AG803" s="33">
        <f t="shared" si="186"/>
        <v>0</v>
      </c>
      <c r="AH803" s="31">
        <f>SUMIFS(инфо!$E$15:$E$28,инфо!$A$15:$A$28,F803)</f>
        <v>0</v>
      </c>
      <c r="AI803" s="32">
        <f t="shared" si="177"/>
        <v>0</v>
      </c>
      <c r="AJ803" s="33">
        <f t="shared" si="187"/>
        <v>0</v>
      </c>
      <c r="AK803" s="31">
        <f>SUMIFS(инфо!$F$15:$F$28,инфо!$A$15:$A$28,F803)</f>
        <v>0</v>
      </c>
      <c r="AL803" s="32">
        <f t="shared" si="178"/>
        <v>0</v>
      </c>
      <c r="AM803" s="33">
        <f t="shared" si="181"/>
        <v>0</v>
      </c>
      <c r="AN803" s="31">
        <f>SUMIFS(инфо!$G$15:$G$28,инфо!$A$15:$A$28,F803)</f>
        <v>0</v>
      </c>
      <c r="AO803" s="32">
        <f t="shared" si="179"/>
        <v>0</v>
      </c>
      <c r="AP803" s="33">
        <f t="shared" si="182"/>
        <v>0</v>
      </c>
      <c r="AQ803" s="31">
        <f>SUMIFS(инфо!$H$15:$H$28,инфо!$A$15:$A$28,F803)</f>
        <v>0</v>
      </c>
      <c r="AR803" s="32">
        <f t="shared" si="180"/>
        <v>0</v>
      </c>
      <c r="AS803" s="33">
        <f t="shared" si="183"/>
        <v>0</v>
      </c>
      <c r="AT803" s="31">
        <f>SUMIFS(инфо!$I$15:$I$28,инфо!$A$15:$A$28,F803)</f>
        <v>0</v>
      </c>
      <c r="AU803" s="35">
        <f t="shared" si="188"/>
        <v>0</v>
      </c>
      <c r="AV803" s="33">
        <f t="shared" si="184"/>
        <v>0</v>
      </c>
      <c r="AX803" s="67">
        <f>SUMIFS(инфо!$C$15:$C$28,инфо!$A$15:$A$28,F803)*H802</f>
        <v>0</v>
      </c>
    </row>
    <row r="804" spans="1:50" x14ac:dyDescent="0.25">
      <c r="A804" s="70">
        <f t="shared" si="189"/>
        <v>46466</v>
      </c>
      <c r="B804" s="76"/>
      <c r="C804" s="15"/>
      <c r="D804" s="16"/>
      <c r="E804" s="11"/>
      <c r="F804" s="28"/>
      <c r="G804" s="34"/>
      <c r="H804" s="20"/>
      <c r="I804" s="20"/>
      <c r="J804" s="20"/>
      <c r="K804" s="20"/>
      <c r="L804" s="20"/>
      <c r="M804" s="20"/>
      <c r="N804" s="20"/>
      <c r="O804" s="34"/>
      <c r="P804" s="34"/>
      <c r="Q804" s="34"/>
      <c r="R804" s="34"/>
      <c r="S804" s="68">
        <f t="shared" si="185"/>
        <v>0</v>
      </c>
      <c r="T804" s="15"/>
      <c r="U804" s="16"/>
      <c r="V804" s="34"/>
      <c r="W804" s="81"/>
      <c r="X804" s="34"/>
      <c r="Y804" s="15"/>
      <c r="Z804" s="34"/>
      <c r="AA804" s="34"/>
      <c r="AB804" s="34"/>
      <c r="AC804" s="34"/>
      <c r="AD804" s="16"/>
      <c r="AE804" s="24">
        <f>SUMIFS(инфо!$D$15:$D$28,инфо!$A$15:$A$28,F804)</f>
        <v>0</v>
      </c>
      <c r="AF804" s="35">
        <f t="shared" si="176"/>
        <v>0</v>
      </c>
      <c r="AG804" s="12">
        <f t="shared" si="186"/>
        <v>0</v>
      </c>
      <c r="AH804" s="24">
        <f>SUMIFS(инфо!$E$15:$E$28,инфо!$A$15:$A$28,F804)</f>
        <v>0</v>
      </c>
      <c r="AI804" s="32">
        <f t="shared" si="177"/>
        <v>0</v>
      </c>
      <c r="AJ804" s="12">
        <f t="shared" si="187"/>
        <v>0</v>
      </c>
      <c r="AK804" s="24">
        <f>SUMIFS(инфо!$F$15:$F$28,инфо!$A$15:$A$28,F804)</f>
        <v>0</v>
      </c>
      <c r="AL804" s="32">
        <f t="shared" si="178"/>
        <v>0</v>
      </c>
      <c r="AM804" s="12">
        <f t="shared" si="181"/>
        <v>0</v>
      </c>
      <c r="AN804" s="24">
        <f>SUMIFS(инфо!$G$15:$G$28,инфо!$A$15:$A$28,F804)</f>
        <v>0</v>
      </c>
      <c r="AO804" s="32">
        <f t="shared" si="179"/>
        <v>0</v>
      </c>
      <c r="AP804" s="12">
        <f t="shared" si="182"/>
        <v>0</v>
      </c>
      <c r="AQ804" s="24">
        <f>SUMIFS(инфо!$H$15:$H$28,инфо!$A$15:$A$28,F804)</f>
        <v>0</v>
      </c>
      <c r="AR804" s="35">
        <f t="shared" si="180"/>
        <v>0</v>
      </c>
      <c r="AS804" s="12">
        <f t="shared" si="183"/>
        <v>0</v>
      </c>
      <c r="AT804" s="24">
        <f>SUMIFS(инфо!$I$15:$I$28,инфо!$A$15:$A$28,F804)</f>
        <v>0</v>
      </c>
      <c r="AU804" s="35">
        <f t="shared" si="188"/>
        <v>0</v>
      </c>
      <c r="AV804" s="12">
        <f t="shared" si="184"/>
        <v>0</v>
      </c>
      <c r="AX804" s="68">
        <f>SUMIFS(инфо!$C$15:$C$28,инфо!$A$15:$A$28,F804)*H803</f>
        <v>0</v>
      </c>
    </row>
    <row r="805" spans="1:50" x14ac:dyDescent="0.25">
      <c r="A805" s="70">
        <f t="shared" si="189"/>
        <v>46466</v>
      </c>
      <c r="B805" s="76"/>
      <c r="C805" s="15"/>
      <c r="D805" s="16"/>
      <c r="E805" s="11"/>
      <c r="F805" s="28"/>
      <c r="G805" s="34"/>
      <c r="H805" s="23"/>
      <c r="I805" s="20"/>
      <c r="J805" s="20"/>
      <c r="K805" s="20"/>
      <c r="L805" s="20"/>
      <c r="M805" s="20"/>
      <c r="N805" s="20"/>
      <c r="O805" s="34"/>
      <c r="P805" s="34"/>
      <c r="Q805" s="34"/>
      <c r="R805" s="34"/>
      <c r="S805" s="68">
        <f t="shared" si="185"/>
        <v>0</v>
      </c>
      <c r="T805" s="15"/>
      <c r="U805" s="16"/>
      <c r="V805" s="34"/>
      <c r="W805" s="81"/>
      <c r="X805" s="34"/>
      <c r="Y805" s="15"/>
      <c r="Z805" s="34"/>
      <c r="AA805" s="34"/>
      <c r="AB805" s="34"/>
      <c r="AC805" s="34"/>
      <c r="AD805" s="16"/>
      <c r="AE805" s="24">
        <f>SUMIFS(инфо!$D$15:$D$28,инфо!$A$15:$A$28,F805)</f>
        <v>0</v>
      </c>
      <c r="AF805" s="35">
        <f t="shared" si="176"/>
        <v>0</v>
      </c>
      <c r="AG805" s="12">
        <f t="shared" si="186"/>
        <v>0</v>
      </c>
      <c r="AH805" s="24">
        <f>SUMIFS(инфо!$E$15:$E$28,инфо!$A$15:$A$28,F805)</f>
        <v>0</v>
      </c>
      <c r="AI805" s="32">
        <f t="shared" si="177"/>
        <v>0</v>
      </c>
      <c r="AJ805" s="12">
        <f t="shared" si="187"/>
        <v>0</v>
      </c>
      <c r="AK805" s="24">
        <f>SUMIFS(инфо!$F$15:$F$28,инфо!$A$15:$A$28,F805)</f>
        <v>0</v>
      </c>
      <c r="AL805" s="32">
        <f t="shared" si="178"/>
        <v>0</v>
      </c>
      <c r="AM805" s="12">
        <f t="shared" si="181"/>
        <v>0</v>
      </c>
      <c r="AN805" s="24">
        <f>SUMIFS(инфо!$G$15:$G$28,инфо!$A$15:$A$28,F805)</f>
        <v>0</v>
      </c>
      <c r="AO805" s="32">
        <f t="shared" si="179"/>
        <v>0</v>
      </c>
      <c r="AP805" s="12">
        <f t="shared" si="182"/>
        <v>0</v>
      </c>
      <c r="AQ805" s="24">
        <f>SUMIFS(инфо!$H$15:$H$28,инфо!$A$15:$A$28,F805)</f>
        <v>0</v>
      </c>
      <c r="AR805" s="35">
        <f t="shared" si="180"/>
        <v>0</v>
      </c>
      <c r="AS805" s="12">
        <f t="shared" si="183"/>
        <v>0</v>
      </c>
      <c r="AT805" s="24">
        <f>SUMIFS(инфо!$I$15:$I$28,инфо!$A$15:$A$28,F805)</f>
        <v>0</v>
      </c>
      <c r="AU805" s="35">
        <f t="shared" si="188"/>
        <v>0</v>
      </c>
      <c r="AV805" s="12">
        <f t="shared" si="184"/>
        <v>0</v>
      </c>
      <c r="AX805" s="68">
        <f>SUMIFS(инфо!$C$15:$C$28,инфо!$A$15:$A$28,F805)*H804</f>
        <v>0</v>
      </c>
    </row>
    <row r="806" spans="1:50" x14ac:dyDescent="0.25">
      <c r="A806" s="70">
        <f t="shared" si="189"/>
        <v>46467</v>
      </c>
      <c r="B806" s="77"/>
      <c r="C806" s="17"/>
      <c r="D806" s="18"/>
      <c r="E806" s="11"/>
      <c r="F806" s="28"/>
      <c r="G806" s="19"/>
      <c r="H806" s="28"/>
      <c r="I806" s="20"/>
      <c r="J806" s="20"/>
      <c r="K806" s="20"/>
      <c r="L806" s="20"/>
      <c r="M806" s="20"/>
      <c r="N806" s="23"/>
      <c r="O806" s="19"/>
      <c r="P806" s="19"/>
      <c r="Q806" s="19"/>
      <c r="R806" s="19"/>
      <c r="S806" s="69">
        <f t="shared" si="185"/>
        <v>0</v>
      </c>
      <c r="T806" s="17"/>
      <c r="U806" s="18"/>
      <c r="V806" s="19"/>
      <c r="W806" s="81"/>
      <c r="X806" s="19"/>
      <c r="Y806" s="17"/>
      <c r="Z806" s="19"/>
      <c r="AA806" s="19"/>
      <c r="AB806" s="19"/>
      <c r="AC806" s="19"/>
      <c r="AD806" s="18"/>
      <c r="AE806" s="25">
        <f>SUMIFS(инфо!$D$15:$D$28,инфо!$A$15:$A$28,F806)</f>
        <v>0</v>
      </c>
      <c r="AF806" s="35">
        <f t="shared" si="176"/>
        <v>0</v>
      </c>
      <c r="AG806" s="14">
        <f t="shared" si="186"/>
        <v>0</v>
      </c>
      <c r="AH806" s="25">
        <f>SUMIFS(инфо!$E$15:$E$28,инфо!$A$15:$A$28,F806)</f>
        <v>0</v>
      </c>
      <c r="AI806" s="32">
        <f t="shared" si="177"/>
        <v>0</v>
      </c>
      <c r="AJ806" s="14">
        <f t="shared" si="187"/>
        <v>0</v>
      </c>
      <c r="AK806" s="25">
        <f>SUMIFS(инфо!$F$15:$F$28,инфо!$A$15:$A$28,F806)</f>
        <v>0</v>
      </c>
      <c r="AL806" s="32">
        <f t="shared" si="178"/>
        <v>0</v>
      </c>
      <c r="AM806" s="14">
        <f t="shared" si="181"/>
        <v>0</v>
      </c>
      <c r="AN806" s="25">
        <f>SUMIFS(инфо!$G$15:$G$28,инфо!$A$15:$A$28,F806)</f>
        <v>0</v>
      </c>
      <c r="AO806" s="32">
        <f t="shared" si="179"/>
        <v>0</v>
      </c>
      <c r="AP806" s="14">
        <f t="shared" si="182"/>
        <v>0</v>
      </c>
      <c r="AQ806" s="25">
        <f>SUMIFS(инфо!$H$15:$H$28,инфо!$A$15:$A$28,F806)</f>
        <v>0</v>
      </c>
      <c r="AR806" s="26">
        <f t="shared" si="180"/>
        <v>0</v>
      </c>
      <c r="AS806" s="14">
        <f t="shared" si="183"/>
        <v>0</v>
      </c>
      <c r="AT806" s="25">
        <f>SUMIFS(инфо!$I$15:$I$28,инфо!$A$15:$A$28,F806)</f>
        <v>0</v>
      </c>
      <c r="AU806" s="35">
        <f t="shared" si="188"/>
        <v>0</v>
      </c>
      <c r="AV806" s="14">
        <f t="shared" si="184"/>
        <v>0</v>
      </c>
      <c r="AX806" s="69">
        <f>SUMIFS(инфо!$C$15:$C$28,инфо!$A$15:$A$28,F806)*H805</f>
        <v>0</v>
      </c>
    </row>
    <row r="807" spans="1:50" x14ac:dyDescent="0.25">
      <c r="A807" s="70">
        <f t="shared" si="189"/>
        <v>46467</v>
      </c>
      <c r="B807" s="75"/>
      <c r="C807" s="29"/>
      <c r="D807" s="30"/>
      <c r="E807" s="11"/>
      <c r="F807" s="28"/>
      <c r="G807" s="27"/>
      <c r="H807" s="20"/>
      <c r="I807" s="20"/>
      <c r="J807" s="20"/>
      <c r="K807" s="20"/>
      <c r="L807" s="20"/>
      <c r="M807" s="20"/>
      <c r="N807" s="28"/>
      <c r="O807" s="27"/>
      <c r="P807" s="27"/>
      <c r="Q807" s="27"/>
      <c r="R807" s="27"/>
      <c r="S807" s="67">
        <f t="shared" si="185"/>
        <v>0</v>
      </c>
      <c r="T807" s="29"/>
      <c r="U807" s="30"/>
      <c r="V807" s="27"/>
      <c r="W807" s="81"/>
      <c r="X807" s="27"/>
      <c r="Y807" s="29"/>
      <c r="Z807" s="27"/>
      <c r="AA807" s="27"/>
      <c r="AB807" s="27"/>
      <c r="AC807" s="27"/>
      <c r="AD807" s="30"/>
      <c r="AE807" s="31">
        <f>SUMIFS(инфо!$D$15:$D$28,инфо!$A$15:$A$28,F807)</f>
        <v>0</v>
      </c>
      <c r="AF807" s="35">
        <f t="shared" si="176"/>
        <v>0</v>
      </c>
      <c r="AG807" s="33">
        <f t="shared" si="186"/>
        <v>0</v>
      </c>
      <c r="AH807" s="31">
        <f>SUMIFS(инфо!$E$15:$E$28,инфо!$A$15:$A$28,F807)</f>
        <v>0</v>
      </c>
      <c r="AI807" s="32">
        <f t="shared" si="177"/>
        <v>0</v>
      </c>
      <c r="AJ807" s="33">
        <f t="shared" si="187"/>
        <v>0</v>
      </c>
      <c r="AK807" s="31">
        <f>SUMIFS(инфо!$F$15:$F$28,инфо!$A$15:$A$28,F807)</f>
        <v>0</v>
      </c>
      <c r="AL807" s="32">
        <f t="shared" si="178"/>
        <v>0</v>
      </c>
      <c r="AM807" s="33">
        <f t="shared" si="181"/>
        <v>0</v>
      </c>
      <c r="AN807" s="31">
        <f>SUMIFS(инфо!$G$15:$G$28,инфо!$A$15:$A$28,F807)</f>
        <v>0</v>
      </c>
      <c r="AO807" s="32">
        <f t="shared" si="179"/>
        <v>0</v>
      </c>
      <c r="AP807" s="33">
        <f t="shared" si="182"/>
        <v>0</v>
      </c>
      <c r="AQ807" s="31">
        <f>SUMIFS(инфо!$H$15:$H$28,инфо!$A$15:$A$28,F807)</f>
        <v>0</v>
      </c>
      <c r="AR807" s="32">
        <f t="shared" si="180"/>
        <v>0</v>
      </c>
      <c r="AS807" s="33">
        <f t="shared" si="183"/>
        <v>0</v>
      </c>
      <c r="AT807" s="31">
        <f>SUMIFS(инфо!$I$15:$I$28,инфо!$A$15:$A$28,F807)</f>
        <v>0</v>
      </c>
      <c r="AU807" s="35">
        <f t="shared" si="188"/>
        <v>0</v>
      </c>
      <c r="AV807" s="33">
        <f t="shared" si="184"/>
        <v>0</v>
      </c>
      <c r="AX807" s="67">
        <f>SUMIFS(инфо!$C$15:$C$28,инфо!$A$15:$A$28,F807)*H806</f>
        <v>0</v>
      </c>
    </row>
    <row r="808" spans="1:50" x14ac:dyDescent="0.25">
      <c r="A808" s="70">
        <f t="shared" si="189"/>
        <v>46468</v>
      </c>
      <c r="B808" s="76"/>
      <c r="C808" s="15"/>
      <c r="D808" s="16"/>
      <c r="E808" s="11"/>
      <c r="F808" s="28"/>
      <c r="G808" s="34"/>
      <c r="H808" s="20"/>
      <c r="I808" s="20"/>
      <c r="J808" s="20"/>
      <c r="K808" s="20"/>
      <c r="L808" s="20"/>
      <c r="M808" s="20"/>
      <c r="N808" s="20"/>
      <c r="O808" s="34"/>
      <c r="P808" s="34"/>
      <c r="Q808" s="34"/>
      <c r="R808" s="34"/>
      <c r="S808" s="68">
        <f t="shared" si="185"/>
        <v>0</v>
      </c>
      <c r="T808" s="15"/>
      <c r="U808" s="16"/>
      <c r="V808" s="34"/>
      <c r="W808" s="81"/>
      <c r="X808" s="34"/>
      <c r="Y808" s="15"/>
      <c r="Z808" s="34"/>
      <c r="AA808" s="34"/>
      <c r="AB808" s="34"/>
      <c r="AC808" s="34"/>
      <c r="AD808" s="16"/>
      <c r="AE808" s="24">
        <f>SUMIFS(инфо!$D$15:$D$28,инфо!$A$15:$A$28,F808)</f>
        <v>0</v>
      </c>
      <c r="AF808" s="35">
        <f t="shared" si="176"/>
        <v>0</v>
      </c>
      <c r="AG808" s="12">
        <f t="shared" si="186"/>
        <v>0</v>
      </c>
      <c r="AH808" s="24">
        <f>SUMIFS(инфо!$E$15:$E$28,инфо!$A$15:$A$28,F808)</f>
        <v>0</v>
      </c>
      <c r="AI808" s="32">
        <f t="shared" si="177"/>
        <v>0</v>
      </c>
      <c r="AJ808" s="12">
        <f t="shared" si="187"/>
        <v>0</v>
      </c>
      <c r="AK808" s="24">
        <f>SUMIFS(инфо!$F$15:$F$28,инфо!$A$15:$A$28,F808)</f>
        <v>0</v>
      </c>
      <c r="AL808" s="32">
        <f t="shared" si="178"/>
        <v>0</v>
      </c>
      <c r="AM808" s="12">
        <f t="shared" si="181"/>
        <v>0</v>
      </c>
      <c r="AN808" s="24">
        <f>SUMIFS(инфо!$G$15:$G$28,инфо!$A$15:$A$28,F808)</f>
        <v>0</v>
      </c>
      <c r="AO808" s="32">
        <f t="shared" si="179"/>
        <v>0</v>
      </c>
      <c r="AP808" s="12">
        <f t="shared" si="182"/>
        <v>0</v>
      </c>
      <c r="AQ808" s="24">
        <f>SUMIFS(инфо!$H$15:$H$28,инфо!$A$15:$A$28,F808)</f>
        <v>0</v>
      </c>
      <c r="AR808" s="35">
        <f t="shared" si="180"/>
        <v>0</v>
      </c>
      <c r="AS808" s="12">
        <f t="shared" si="183"/>
        <v>0</v>
      </c>
      <c r="AT808" s="24">
        <f>SUMIFS(инфо!$I$15:$I$28,инфо!$A$15:$A$28,F808)</f>
        <v>0</v>
      </c>
      <c r="AU808" s="35">
        <f t="shared" si="188"/>
        <v>0</v>
      </c>
      <c r="AV808" s="12">
        <f t="shared" si="184"/>
        <v>0</v>
      </c>
      <c r="AX808" s="68">
        <f>SUMIFS(инфо!$C$15:$C$28,инфо!$A$15:$A$28,F808)*H807</f>
        <v>0</v>
      </c>
    </row>
    <row r="809" spans="1:50" x14ac:dyDescent="0.25">
      <c r="A809" s="70">
        <f t="shared" si="189"/>
        <v>46468</v>
      </c>
      <c r="B809" s="76"/>
      <c r="C809" s="15"/>
      <c r="D809" s="16"/>
      <c r="E809" s="11"/>
      <c r="F809" s="28"/>
      <c r="G809" s="34"/>
      <c r="H809" s="23"/>
      <c r="I809" s="20"/>
      <c r="J809" s="20"/>
      <c r="K809" s="20"/>
      <c r="L809" s="20"/>
      <c r="M809" s="20"/>
      <c r="N809" s="20"/>
      <c r="O809" s="34"/>
      <c r="P809" s="34"/>
      <c r="Q809" s="34"/>
      <c r="R809" s="34"/>
      <c r="S809" s="68">
        <f t="shared" si="185"/>
        <v>0</v>
      </c>
      <c r="T809" s="15"/>
      <c r="U809" s="16"/>
      <c r="V809" s="34"/>
      <c r="W809" s="81"/>
      <c r="X809" s="34"/>
      <c r="Y809" s="15"/>
      <c r="Z809" s="34"/>
      <c r="AA809" s="34"/>
      <c r="AB809" s="34"/>
      <c r="AC809" s="34"/>
      <c r="AD809" s="16"/>
      <c r="AE809" s="24">
        <f>SUMIFS(инфо!$D$15:$D$28,инфо!$A$15:$A$28,F809)</f>
        <v>0</v>
      </c>
      <c r="AF809" s="35">
        <f t="shared" si="176"/>
        <v>0</v>
      </c>
      <c r="AG809" s="12">
        <f t="shared" si="186"/>
        <v>0</v>
      </c>
      <c r="AH809" s="24">
        <f>SUMIFS(инфо!$E$15:$E$28,инфо!$A$15:$A$28,F809)</f>
        <v>0</v>
      </c>
      <c r="AI809" s="32">
        <f t="shared" si="177"/>
        <v>0</v>
      </c>
      <c r="AJ809" s="12">
        <f t="shared" si="187"/>
        <v>0</v>
      </c>
      <c r="AK809" s="24">
        <f>SUMIFS(инфо!$F$15:$F$28,инфо!$A$15:$A$28,F809)</f>
        <v>0</v>
      </c>
      <c r="AL809" s="32">
        <f t="shared" si="178"/>
        <v>0</v>
      </c>
      <c r="AM809" s="12">
        <f t="shared" si="181"/>
        <v>0</v>
      </c>
      <c r="AN809" s="24">
        <f>SUMIFS(инфо!$G$15:$G$28,инфо!$A$15:$A$28,F809)</f>
        <v>0</v>
      </c>
      <c r="AO809" s="32">
        <f t="shared" si="179"/>
        <v>0</v>
      </c>
      <c r="AP809" s="12">
        <f t="shared" si="182"/>
        <v>0</v>
      </c>
      <c r="AQ809" s="24">
        <f>SUMIFS(инфо!$H$15:$H$28,инфо!$A$15:$A$28,F809)</f>
        <v>0</v>
      </c>
      <c r="AR809" s="35">
        <f t="shared" si="180"/>
        <v>0</v>
      </c>
      <c r="AS809" s="12">
        <f t="shared" si="183"/>
        <v>0</v>
      </c>
      <c r="AT809" s="24">
        <f>SUMIFS(инфо!$I$15:$I$28,инфо!$A$15:$A$28,F809)</f>
        <v>0</v>
      </c>
      <c r="AU809" s="35">
        <f t="shared" si="188"/>
        <v>0</v>
      </c>
      <c r="AV809" s="12">
        <f t="shared" si="184"/>
        <v>0</v>
      </c>
      <c r="AX809" s="68">
        <f>SUMIFS(инфо!$C$15:$C$28,инфо!$A$15:$A$28,F809)*H808</f>
        <v>0</v>
      </c>
    </row>
    <row r="810" spans="1:50" x14ac:dyDescent="0.25">
      <c r="A810" s="70">
        <f t="shared" si="189"/>
        <v>46469</v>
      </c>
      <c r="B810" s="77"/>
      <c r="C810" s="17"/>
      <c r="D810" s="18"/>
      <c r="E810" s="11"/>
      <c r="F810" s="28"/>
      <c r="G810" s="19"/>
      <c r="H810" s="28"/>
      <c r="I810" s="20"/>
      <c r="J810" s="20"/>
      <c r="K810" s="20"/>
      <c r="L810" s="20"/>
      <c r="M810" s="20"/>
      <c r="N810" s="23"/>
      <c r="O810" s="19"/>
      <c r="P810" s="19"/>
      <c r="Q810" s="19"/>
      <c r="R810" s="19"/>
      <c r="S810" s="69">
        <f t="shared" si="185"/>
        <v>0</v>
      </c>
      <c r="T810" s="17"/>
      <c r="U810" s="18"/>
      <c r="V810" s="19"/>
      <c r="W810" s="81"/>
      <c r="X810" s="19"/>
      <c r="Y810" s="17"/>
      <c r="Z810" s="19"/>
      <c r="AA810" s="19"/>
      <c r="AB810" s="19"/>
      <c r="AC810" s="19"/>
      <c r="AD810" s="18"/>
      <c r="AE810" s="25">
        <f>SUMIFS(инфо!$D$15:$D$28,инфо!$A$15:$A$28,F810)</f>
        <v>0</v>
      </c>
      <c r="AF810" s="35">
        <f t="shared" si="176"/>
        <v>0</v>
      </c>
      <c r="AG810" s="14">
        <f t="shared" si="186"/>
        <v>0</v>
      </c>
      <c r="AH810" s="25">
        <f>SUMIFS(инфо!$E$15:$E$28,инфо!$A$15:$A$28,F810)</f>
        <v>0</v>
      </c>
      <c r="AI810" s="32">
        <f t="shared" si="177"/>
        <v>0</v>
      </c>
      <c r="AJ810" s="14">
        <f t="shared" si="187"/>
        <v>0</v>
      </c>
      <c r="AK810" s="25">
        <f>SUMIFS(инфо!$F$15:$F$28,инфо!$A$15:$A$28,F810)</f>
        <v>0</v>
      </c>
      <c r="AL810" s="32">
        <f t="shared" si="178"/>
        <v>0</v>
      </c>
      <c r="AM810" s="14">
        <f t="shared" si="181"/>
        <v>0</v>
      </c>
      <c r="AN810" s="25">
        <f>SUMIFS(инфо!$G$15:$G$28,инфо!$A$15:$A$28,F810)</f>
        <v>0</v>
      </c>
      <c r="AO810" s="32">
        <f t="shared" si="179"/>
        <v>0</v>
      </c>
      <c r="AP810" s="14">
        <f t="shared" si="182"/>
        <v>0</v>
      </c>
      <c r="AQ810" s="25">
        <f>SUMIFS(инфо!$H$15:$H$28,инфо!$A$15:$A$28,F810)</f>
        <v>0</v>
      </c>
      <c r="AR810" s="26">
        <f t="shared" si="180"/>
        <v>0</v>
      </c>
      <c r="AS810" s="14">
        <f t="shared" si="183"/>
        <v>0</v>
      </c>
      <c r="AT810" s="25">
        <f>SUMIFS(инфо!$I$15:$I$28,инфо!$A$15:$A$28,F810)</f>
        <v>0</v>
      </c>
      <c r="AU810" s="35">
        <f t="shared" si="188"/>
        <v>0</v>
      </c>
      <c r="AV810" s="14">
        <f t="shared" si="184"/>
        <v>0</v>
      </c>
      <c r="AX810" s="69">
        <f>SUMIFS(инфо!$C$15:$C$28,инфо!$A$15:$A$28,F810)*H809</f>
        <v>0</v>
      </c>
    </row>
    <row r="811" spans="1:50" x14ac:dyDescent="0.25">
      <c r="A811" s="70">
        <f t="shared" si="189"/>
        <v>46469</v>
      </c>
      <c r="B811" s="75"/>
      <c r="C811" s="29"/>
      <c r="D811" s="30"/>
      <c r="E811" s="11"/>
      <c r="F811" s="28"/>
      <c r="G811" s="27"/>
      <c r="H811" s="20"/>
      <c r="I811" s="20"/>
      <c r="J811" s="20"/>
      <c r="K811" s="20"/>
      <c r="L811" s="20"/>
      <c r="M811" s="20"/>
      <c r="N811" s="28"/>
      <c r="O811" s="27"/>
      <c r="P811" s="27"/>
      <c r="Q811" s="27"/>
      <c r="R811" s="27"/>
      <c r="S811" s="67">
        <f t="shared" si="185"/>
        <v>0</v>
      </c>
      <c r="T811" s="29"/>
      <c r="U811" s="30"/>
      <c r="V811" s="27"/>
      <c r="W811" s="81"/>
      <c r="X811" s="27"/>
      <c r="Y811" s="29"/>
      <c r="Z811" s="27"/>
      <c r="AA811" s="27"/>
      <c r="AB811" s="27"/>
      <c r="AC811" s="27"/>
      <c r="AD811" s="30"/>
      <c r="AE811" s="31">
        <f>SUMIFS(инфо!$D$15:$D$28,инфо!$A$15:$A$28,F811)</f>
        <v>0</v>
      </c>
      <c r="AF811" s="35">
        <f t="shared" si="176"/>
        <v>0</v>
      </c>
      <c r="AG811" s="33">
        <f t="shared" si="186"/>
        <v>0</v>
      </c>
      <c r="AH811" s="31">
        <f>SUMIFS(инфо!$E$15:$E$28,инфо!$A$15:$A$28,F811)</f>
        <v>0</v>
      </c>
      <c r="AI811" s="32">
        <f t="shared" si="177"/>
        <v>0</v>
      </c>
      <c r="AJ811" s="33">
        <f t="shared" si="187"/>
        <v>0</v>
      </c>
      <c r="AK811" s="31">
        <f>SUMIFS(инфо!$F$15:$F$28,инфо!$A$15:$A$28,F811)</f>
        <v>0</v>
      </c>
      <c r="AL811" s="32">
        <f t="shared" si="178"/>
        <v>0</v>
      </c>
      <c r="AM811" s="33">
        <f t="shared" si="181"/>
        <v>0</v>
      </c>
      <c r="AN811" s="31">
        <f>SUMIFS(инфо!$G$15:$G$28,инфо!$A$15:$A$28,F811)</f>
        <v>0</v>
      </c>
      <c r="AO811" s="32">
        <f t="shared" si="179"/>
        <v>0</v>
      </c>
      <c r="AP811" s="33">
        <f t="shared" si="182"/>
        <v>0</v>
      </c>
      <c r="AQ811" s="31">
        <f>SUMIFS(инфо!$H$15:$H$28,инфо!$A$15:$A$28,F811)</f>
        <v>0</v>
      </c>
      <c r="AR811" s="32">
        <f t="shared" si="180"/>
        <v>0</v>
      </c>
      <c r="AS811" s="33">
        <f t="shared" si="183"/>
        <v>0</v>
      </c>
      <c r="AT811" s="31">
        <f>SUMIFS(инфо!$I$15:$I$28,инфо!$A$15:$A$28,F811)</f>
        <v>0</v>
      </c>
      <c r="AU811" s="35">
        <f t="shared" si="188"/>
        <v>0</v>
      </c>
      <c r="AV811" s="33">
        <f t="shared" si="184"/>
        <v>0</v>
      </c>
      <c r="AX811" s="67">
        <f>SUMIFS(инфо!$C$15:$C$28,инфо!$A$15:$A$28,F811)*H810</f>
        <v>0</v>
      </c>
    </row>
    <row r="812" spans="1:50" x14ac:dyDescent="0.25">
      <c r="A812" s="70">
        <f t="shared" si="189"/>
        <v>46470</v>
      </c>
      <c r="B812" s="76"/>
      <c r="C812" s="15"/>
      <c r="D812" s="16"/>
      <c r="E812" s="11"/>
      <c r="F812" s="28"/>
      <c r="G812" s="34"/>
      <c r="H812" s="20"/>
      <c r="I812" s="20"/>
      <c r="J812" s="20"/>
      <c r="K812" s="20"/>
      <c r="L812" s="20"/>
      <c r="M812" s="20"/>
      <c r="N812" s="20"/>
      <c r="O812" s="34"/>
      <c r="P812" s="34"/>
      <c r="Q812" s="34"/>
      <c r="R812" s="34"/>
      <c r="S812" s="68">
        <f t="shared" si="185"/>
        <v>0</v>
      </c>
      <c r="T812" s="15"/>
      <c r="U812" s="16"/>
      <c r="V812" s="34"/>
      <c r="W812" s="81"/>
      <c r="X812" s="34"/>
      <c r="Y812" s="15"/>
      <c r="Z812" s="34"/>
      <c r="AA812" s="34"/>
      <c r="AB812" s="34"/>
      <c r="AC812" s="34"/>
      <c r="AD812" s="16"/>
      <c r="AE812" s="24">
        <f>SUMIFS(инфо!$D$15:$D$28,инфо!$A$15:$A$28,F812)</f>
        <v>0</v>
      </c>
      <c r="AF812" s="35">
        <f t="shared" si="176"/>
        <v>0</v>
      </c>
      <c r="AG812" s="12">
        <f t="shared" si="186"/>
        <v>0</v>
      </c>
      <c r="AH812" s="24">
        <f>SUMIFS(инфо!$E$15:$E$28,инфо!$A$15:$A$28,F812)</f>
        <v>0</v>
      </c>
      <c r="AI812" s="32">
        <f t="shared" si="177"/>
        <v>0</v>
      </c>
      <c r="AJ812" s="12">
        <f t="shared" si="187"/>
        <v>0</v>
      </c>
      <c r="AK812" s="24">
        <f>SUMIFS(инфо!$F$15:$F$28,инфо!$A$15:$A$28,F812)</f>
        <v>0</v>
      </c>
      <c r="AL812" s="32">
        <f t="shared" si="178"/>
        <v>0</v>
      </c>
      <c r="AM812" s="12">
        <f t="shared" si="181"/>
        <v>0</v>
      </c>
      <c r="AN812" s="24">
        <f>SUMIFS(инфо!$G$15:$G$28,инфо!$A$15:$A$28,F812)</f>
        <v>0</v>
      </c>
      <c r="AO812" s="32">
        <f t="shared" si="179"/>
        <v>0</v>
      </c>
      <c r="AP812" s="12">
        <f t="shared" si="182"/>
        <v>0</v>
      </c>
      <c r="AQ812" s="24">
        <f>SUMIFS(инфо!$H$15:$H$28,инфо!$A$15:$A$28,F812)</f>
        <v>0</v>
      </c>
      <c r="AR812" s="35">
        <f t="shared" si="180"/>
        <v>0</v>
      </c>
      <c r="AS812" s="12">
        <f t="shared" si="183"/>
        <v>0</v>
      </c>
      <c r="AT812" s="24">
        <f>SUMIFS(инфо!$I$15:$I$28,инфо!$A$15:$A$28,F812)</f>
        <v>0</v>
      </c>
      <c r="AU812" s="35">
        <f t="shared" si="188"/>
        <v>0</v>
      </c>
      <c r="AV812" s="12">
        <f t="shared" si="184"/>
        <v>0</v>
      </c>
      <c r="AX812" s="68">
        <f>SUMIFS(инфо!$C$15:$C$28,инфо!$A$15:$A$28,F812)*H811</f>
        <v>0</v>
      </c>
    </row>
    <row r="813" spans="1:50" x14ac:dyDescent="0.25">
      <c r="A813" s="70">
        <f t="shared" si="189"/>
        <v>46470</v>
      </c>
      <c r="B813" s="76"/>
      <c r="C813" s="15"/>
      <c r="D813" s="16"/>
      <c r="E813" s="11"/>
      <c r="F813" s="28"/>
      <c r="G813" s="34"/>
      <c r="H813" s="23"/>
      <c r="I813" s="20"/>
      <c r="J813" s="20"/>
      <c r="K813" s="20"/>
      <c r="L813" s="20"/>
      <c r="M813" s="20"/>
      <c r="N813" s="20"/>
      <c r="O813" s="34"/>
      <c r="P813" s="34"/>
      <c r="Q813" s="34"/>
      <c r="R813" s="34"/>
      <c r="S813" s="68">
        <f t="shared" si="185"/>
        <v>0</v>
      </c>
      <c r="T813" s="15"/>
      <c r="U813" s="16"/>
      <c r="V813" s="34"/>
      <c r="W813" s="81"/>
      <c r="X813" s="34"/>
      <c r="Y813" s="15"/>
      <c r="Z813" s="34"/>
      <c r="AA813" s="34"/>
      <c r="AB813" s="34"/>
      <c r="AC813" s="34"/>
      <c r="AD813" s="16"/>
      <c r="AE813" s="24">
        <f>SUMIFS(инфо!$D$15:$D$28,инфо!$A$15:$A$28,F813)</f>
        <v>0</v>
      </c>
      <c r="AF813" s="35">
        <f t="shared" ref="AF813:AF876" si="190">IF(H813=0,0,N813/H813)</f>
        <v>0</v>
      </c>
      <c r="AG813" s="12">
        <f t="shared" si="186"/>
        <v>0</v>
      </c>
      <c r="AH813" s="24">
        <f>SUMIFS(инфо!$E$15:$E$28,инфо!$A$15:$A$28,F813)</f>
        <v>0</v>
      </c>
      <c r="AI813" s="32">
        <f t="shared" ref="AI813:AI876" si="191">IF(H813=0,0,S813/H813)</f>
        <v>0</v>
      </c>
      <c r="AJ813" s="12">
        <f t="shared" si="187"/>
        <v>0</v>
      </c>
      <c r="AK813" s="24">
        <f>SUMIFS(инфо!$F$15:$F$28,инфо!$A$15:$A$28,F813)</f>
        <v>0</v>
      </c>
      <c r="AL813" s="32">
        <f t="shared" ref="AL813:AL876" si="192">IF(H813=0,0,Y813/H813)</f>
        <v>0</v>
      </c>
      <c r="AM813" s="12">
        <f t="shared" si="181"/>
        <v>0</v>
      </c>
      <c r="AN813" s="24">
        <f>SUMIFS(инфо!$G$15:$G$28,инфо!$A$15:$A$28,F813)</f>
        <v>0</v>
      </c>
      <c r="AO813" s="32">
        <f t="shared" ref="AO813:AO876" si="193">IF(H813=0,0,AA813/H813)</f>
        <v>0</v>
      </c>
      <c r="AP813" s="12">
        <f t="shared" si="182"/>
        <v>0</v>
      </c>
      <c r="AQ813" s="24">
        <f>SUMIFS(инфо!$H$15:$H$28,инфо!$A$15:$A$28,F813)</f>
        <v>0</v>
      </c>
      <c r="AR813" s="35">
        <f t="shared" si="180"/>
        <v>0</v>
      </c>
      <c r="AS813" s="12">
        <f t="shared" si="183"/>
        <v>0</v>
      </c>
      <c r="AT813" s="24">
        <f>SUMIFS(инфо!$I$15:$I$28,инфо!$A$15:$A$28,F813)</f>
        <v>0</v>
      </c>
      <c r="AU813" s="35">
        <f t="shared" si="188"/>
        <v>0</v>
      </c>
      <c r="AV813" s="12">
        <f t="shared" si="184"/>
        <v>0</v>
      </c>
      <c r="AX813" s="68">
        <f>SUMIFS(инфо!$C$15:$C$28,инфо!$A$15:$A$28,F813)*H812</f>
        <v>0</v>
      </c>
    </row>
    <row r="814" spans="1:50" x14ac:dyDescent="0.25">
      <c r="A814" s="70">
        <f t="shared" si="189"/>
        <v>46471</v>
      </c>
      <c r="B814" s="77"/>
      <c r="C814" s="17"/>
      <c r="D814" s="18"/>
      <c r="E814" s="11"/>
      <c r="F814" s="28"/>
      <c r="G814" s="19"/>
      <c r="H814" s="28"/>
      <c r="I814" s="20"/>
      <c r="J814" s="20"/>
      <c r="K814" s="20"/>
      <c r="L814" s="20"/>
      <c r="M814" s="20"/>
      <c r="N814" s="23"/>
      <c r="O814" s="19"/>
      <c r="P814" s="19"/>
      <c r="Q814" s="19"/>
      <c r="R814" s="19"/>
      <c r="S814" s="69">
        <f t="shared" si="185"/>
        <v>0</v>
      </c>
      <c r="T814" s="17"/>
      <c r="U814" s="18"/>
      <c r="V814" s="19"/>
      <c r="W814" s="81"/>
      <c r="X814" s="19"/>
      <c r="Y814" s="17"/>
      <c r="Z814" s="19"/>
      <c r="AA814" s="19"/>
      <c r="AB814" s="19"/>
      <c r="AC814" s="19"/>
      <c r="AD814" s="18"/>
      <c r="AE814" s="25">
        <f>SUMIFS(инфо!$D$15:$D$28,инфо!$A$15:$A$28,F814)</f>
        <v>0</v>
      </c>
      <c r="AF814" s="35">
        <f t="shared" si="190"/>
        <v>0</v>
      </c>
      <c r="AG814" s="14">
        <f t="shared" si="186"/>
        <v>0</v>
      </c>
      <c r="AH814" s="25">
        <f>SUMIFS(инфо!$E$15:$E$28,инфо!$A$15:$A$28,F814)</f>
        <v>0</v>
      </c>
      <c r="AI814" s="32">
        <f t="shared" si="191"/>
        <v>0</v>
      </c>
      <c r="AJ814" s="14">
        <f t="shared" si="187"/>
        <v>0</v>
      </c>
      <c r="AK814" s="25">
        <f>SUMIFS(инфо!$F$15:$F$28,инфо!$A$15:$A$28,F814)</f>
        <v>0</v>
      </c>
      <c r="AL814" s="32">
        <f t="shared" si="192"/>
        <v>0</v>
      </c>
      <c r="AM814" s="14">
        <f t="shared" si="181"/>
        <v>0</v>
      </c>
      <c r="AN814" s="25">
        <f>SUMIFS(инфо!$G$15:$G$28,инфо!$A$15:$A$28,F814)</f>
        <v>0</v>
      </c>
      <c r="AO814" s="32">
        <f t="shared" si="193"/>
        <v>0</v>
      </c>
      <c r="AP814" s="14">
        <f t="shared" si="182"/>
        <v>0</v>
      </c>
      <c r="AQ814" s="25">
        <f>SUMIFS(инфо!$H$15:$H$28,инфо!$A$15:$A$28,F814)</f>
        <v>0</v>
      </c>
      <c r="AR814" s="26">
        <f t="shared" ref="AR814:AR877" si="194">IF(H813=0,0,AC814/H813)</f>
        <v>0</v>
      </c>
      <c r="AS814" s="14">
        <f t="shared" si="183"/>
        <v>0</v>
      </c>
      <c r="AT814" s="25">
        <f>SUMIFS(инфо!$I$15:$I$28,инфо!$A$15:$A$28,F814)</f>
        <v>0</v>
      </c>
      <c r="AU814" s="35">
        <f t="shared" si="188"/>
        <v>0</v>
      </c>
      <c r="AV814" s="14">
        <f t="shared" si="184"/>
        <v>0</v>
      </c>
      <c r="AX814" s="69">
        <f>SUMIFS(инфо!$C$15:$C$28,инфо!$A$15:$A$28,F814)*H813</f>
        <v>0</v>
      </c>
    </row>
    <row r="815" spans="1:50" x14ac:dyDescent="0.25">
      <c r="A815" s="70">
        <f t="shared" si="189"/>
        <v>46471</v>
      </c>
      <c r="B815" s="75"/>
      <c r="C815" s="29"/>
      <c r="D815" s="30"/>
      <c r="E815" s="11"/>
      <c r="F815" s="28"/>
      <c r="G815" s="27"/>
      <c r="H815" s="20"/>
      <c r="I815" s="20"/>
      <c r="J815" s="20"/>
      <c r="K815" s="20"/>
      <c r="L815" s="20"/>
      <c r="M815" s="20"/>
      <c r="N815" s="28"/>
      <c r="O815" s="27"/>
      <c r="P815" s="27"/>
      <c r="Q815" s="27"/>
      <c r="R815" s="27"/>
      <c r="S815" s="67">
        <f t="shared" si="185"/>
        <v>0</v>
      </c>
      <c r="T815" s="29"/>
      <c r="U815" s="30"/>
      <c r="V815" s="27"/>
      <c r="W815" s="81"/>
      <c r="X815" s="27"/>
      <c r="Y815" s="29"/>
      <c r="Z815" s="27"/>
      <c r="AA815" s="27"/>
      <c r="AB815" s="27"/>
      <c r="AC815" s="27"/>
      <c r="AD815" s="30"/>
      <c r="AE815" s="31">
        <f>SUMIFS(инфо!$D$15:$D$28,инфо!$A$15:$A$28,F815)</f>
        <v>0</v>
      </c>
      <c r="AF815" s="35">
        <f t="shared" si="190"/>
        <v>0</v>
      </c>
      <c r="AG815" s="33">
        <f t="shared" si="186"/>
        <v>0</v>
      </c>
      <c r="AH815" s="31">
        <f>SUMIFS(инфо!$E$15:$E$28,инфо!$A$15:$A$28,F815)</f>
        <v>0</v>
      </c>
      <c r="AI815" s="32">
        <f t="shared" si="191"/>
        <v>0</v>
      </c>
      <c r="AJ815" s="33">
        <f t="shared" si="187"/>
        <v>0</v>
      </c>
      <c r="AK815" s="31">
        <f>SUMIFS(инфо!$F$15:$F$28,инфо!$A$15:$A$28,F815)</f>
        <v>0</v>
      </c>
      <c r="AL815" s="32">
        <f t="shared" si="192"/>
        <v>0</v>
      </c>
      <c r="AM815" s="33">
        <f t="shared" ref="AM815:AM878" si="195">AL815-AK815</f>
        <v>0</v>
      </c>
      <c r="AN815" s="31">
        <f>SUMIFS(инфо!$G$15:$G$28,инфо!$A$15:$A$28,F815)</f>
        <v>0</v>
      </c>
      <c r="AO815" s="32">
        <f t="shared" si="193"/>
        <v>0</v>
      </c>
      <c r="AP815" s="33">
        <f t="shared" ref="AP815:AP878" si="196">AO815-AN815</f>
        <v>0</v>
      </c>
      <c r="AQ815" s="31">
        <f>SUMIFS(инфо!$H$15:$H$28,инфо!$A$15:$A$28,F815)</f>
        <v>0</v>
      </c>
      <c r="AR815" s="32">
        <f t="shared" si="194"/>
        <v>0</v>
      </c>
      <c r="AS815" s="33">
        <f t="shared" ref="AS815:AS878" si="197">AR815-AQ815</f>
        <v>0</v>
      </c>
      <c r="AT815" s="31">
        <f>SUMIFS(инфо!$I$15:$I$28,инфо!$A$15:$A$28,F815)</f>
        <v>0</v>
      </c>
      <c r="AU815" s="35">
        <f t="shared" si="188"/>
        <v>0</v>
      </c>
      <c r="AV815" s="33">
        <f t="shared" ref="AV815:AV878" si="198">AU815-AT815</f>
        <v>0</v>
      </c>
      <c r="AX815" s="67">
        <f>SUMIFS(инфо!$C$15:$C$28,инфо!$A$15:$A$28,F815)*H814</f>
        <v>0</v>
      </c>
    </row>
    <row r="816" spans="1:50" x14ac:dyDescent="0.25">
      <c r="A816" s="70">
        <f t="shared" si="189"/>
        <v>46472</v>
      </c>
      <c r="B816" s="76"/>
      <c r="C816" s="15"/>
      <c r="D816" s="16"/>
      <c r="E816" s="11"/>
      <c r="F816" s="28"/>
      <c r="G816" s="34"/>
      <c r="H816" s="20"/>
      <c r="I816" s="20"/>
      <c r="J816" s="20"/>
      <c r="K816" s="20"/>
      <c r="L816" s="20"/>
      <c r="M816" s="20"/>
      <c r="N816" s="20"/>
      <c r="O816" s="34"/>
      <c r="P816" s="34"/>
      <c r="Q816" s="34"/>
      <c r="R816" s="34"/>
      <c r="S816" s="68">
        <f t="shared" ref="S816:S879" si="199">SUM(O816:R816)</f>
        <v>0</v>
      </c>
      <c r="T816" s="15"/>
      <c r="U816" s="16"/>
      <c r="V816" s="34"/>
      <c r="W816" s="81"/>
      <c r="X816" s="34"/>
      <c r="Y816" s="15"/>
      <c r="Z816" s="34"/>
      <c r="AA816" s="34"/>
      <c r="AB816" s="34"/>
      <c r="AC816" s="34"/>
      <c r="AD816" s="16"/>
      <c r="AE816" s="24">
        <f>SUMIFS(инфо!$D$15:$D$28,инфо!$A$15:$A$28,F816)</f>
        <v>0</v>
      </c>
      <c r="AF816" s="35">
        <f t="shared" si="190"/>
        <v>0</v>
      </c>
      <c r="AG816" s="12">
        <f t="shared" si="186"/>
        <v>0</v>
      </c>
      <c r="AH816" s="24">
        <f>SUMIFS(инфо!$E$15:$E$28,инфо!$A$15:$A$28,F816)</f>
        <v>0</v>
      </c>
      <c r="AI816" s="32">
        <f t="shared" si="191"/>
        <v>0</v>
      </c>
      <c r="AJ816" s="12">
        <f t="shared" si="187"/>
        <v>0</v>
      </c>
      <c r="AK816" s="24">
        <f>SUMIFS(инфо!$F$15:$F$28,инфо!$A$15:$A$28,F816)</f>
        <v>0</v>
      </c>
      <c r="AL816" s="32">
        <f t="shared" si="192"/>
        <v>0</v>
      </c>
      <c r="AM816" s="12">
        <f t="shared" si="195"/>
        <v>0</v>
      </c>
      <c r="AN816" s="24">
        <f>SUMIFS(инфо!$G$15:$G$28,инфо!$A$15:$A$28,F816)</f>
        <v>0</v>
      </c>
      <c r="AO816" s="32">
        <f t="shared" si="193"/>
        <v>0</v>
      </c>
      <c r="AP816" s="12">
        <f t="shared" si="196"/>
        <v>0</v>
      </c>
      <c r="AQ816" s="24">
        <f>SUMIFS(инфо!$H$15:$H$28,инфо!$A$15:$A$28,F816)</f>
        <v>0</v>
      </c>
      <c r="AR816" s="35">
        <f t="shared" si="194"/>
        <v>0</v>
      </c>
      <c r="AS816" s="12">
        <f t="shared" si="197"/>
        <v>0</v>
      </c>
      <c r="AT816" s="24">
        <f>SUMIFS(инфо!$I$15:$I$28,инфо!$A$15:$A$28,F816)</f>
        <v>0</v>
      </c>
      <c r="AU816" s="35">
        <f t="shared" si="188"/>
        <v>0</v>
      </c>
      <c r="AV816" s="12">
        <f t="shared" si="198"/>
        <v>0</v>
      </c>
      <c r="AX816" s="68">
        <f>SUMIFS(инфо!$C$15:$C$28,инфо!$A$15:$A$28,F816)*H815</f>
        <v>0</v>
      </c>
    </row>
    <row r="817" spans="1:50" x14ac:dyDescent="0.25">
      <c r="A817" s="70">
        <f t="shared" si="189"/>
        <v>46472</v>
      </c>
      <c r="B817" s="76"/>
      <c r="C817" s="15"/>
      <c r="D817" s="16"/>
      <c r="E817" s="11"/>
      <c r="F817" s="28"/>
      <c r="G817" s="34"/>
      <c r="H817" s="23"/>
      <c r="I817" s="20"/>
      <c r="J817" s="20"/>
      <c r="K817" s="20"/>
      <c r="L817" s="20"/>
      <c r="M817" s="20"/>
      <c r="N817" s="20"/>
      <c r="O817" s="34"/>
      <c r="P817" s="34"/>
      <c r="Q817" s="34"/>
      <c r="R817" s="34"/>
      <c r="S817" s="68">
        <f t="shared" si="199"/>
        <v>0</v>
      </c>
      <c r="T817" s="15"/>
      <c r="U817" s="16"/>
      <c r="V817" s="34"/>
      <c r="W817" s="81"/>
      <c r="X817" s="34"/>
      <c r="Y817" s="15"/>
      <c r="Z817" s="34"/>
      <c r="AA817" s="34"/>
      <c r="AB817" s="34"/>
      <c r="AC817" s="34"/>
      <c r="AD817" s="16"/>
      <c r="AE817" s="24">
        <f>SUMIFS(инфо!$D$15:$D$28,инфо!$A$15:$A$28,F817)</f>
        <v>0</v>
      </c>
      <c r="AF817" s="35">
        <f t="shared" si="190"/>
        <v>0</v>
      </c>
      <c r="AG817" s="12">
        <f t="shared" si="186"/>
        <v>0</v>
      </c>
      <c r="AH817" s="24">
        <f>SUMIFS(инфо!$E$15:$E$28,инфо!$A$15:$A$28,F817)</f>
        <v>0</v>
      </c>
      <c r="AI817" s="32">
        <f t="shared" si="191"/>
        <v>0</v>
      </c>
      <c r="AJ817" s="12">
        <f t="shared" si="187"/>
        <v>0</v>
      </c>
      <c r="AK817" s="24">
        <f>SUMIFS(инфо!$F$15:$F$28,инфо!$A$15:$A$28,F817)</f>
        <v>0</v>
      </c>
      <c r="AL817" s="32">
        <f t="shared" si="192"/>
        <v>0</v>
      </c>
      <c r="AM817" s="12">
        <f t="shared" si="195"/>
        <v>0</v>
      </c>
      <c r="AN817" s="24">
        <f>SUMIFS(инфо!$G$15:$G$28,инфо!$A$15:$A$28,F817)</f>
        <v>0</v>
      </c>
      <c r="AO817" s="32">
        <f t="shared" si="193"/>
        <v>0</v>
      </c>
      <c r="AP817" s="12">
        <f t="shared" si="196"/>
        <v>0</v>
      </c>
      <c r="AQ817" s="24">
        <f>SUMIFS(инфо!$H$15:$H$28,инфо!$A$15:$A$28,F817)</f>
        <v>0</v>
      </c>
      <c r="AR817" s="35">
        <f t="shared" si="194"/>
        <v>0</v>
      </c>
      <c r="AS817" s="12">
        <f t="shared" si="197"/>
        <v>0</v>
      </c>
      <c r="AT817" s="24">
        <f>SUMIFS(инфо!$I$15:$I$28,инфо!$A$15:$A$28,F817)</f>
        <v>0</v>
      </c>
      <c r="AU817" s="35">
        <f t="shared" si="188"/>
        <v>0</v>
      </c>
      <c r="AV817" s="12">
        <f t="shared" si="198"/>
        <v>0</v>
      </c>
      <c r="AX817" s="68">
        <f>SUMIFS(инфо!$C$15:$C$28,инфо!$A$15:$A$28,F817)*H816</f>
        <v>0</v>
      </c>
    </row>
    <row r="818" spans="1:50" x14ac:dyDescent="0.25">
      <c r="A818" s="70">
        <f t="shared" si="189"/>
        <v>46473</v>
      </c>
      <c r="B818" s="77"/>
      <c r="C818" s="17"/>
      <c r="D818" s="18"/>
      <c r="E818" s="11"/>
      <c r="F818" s="28"/>
      <c r="G818" s="19"/>
      <c r="H818" s="28"/>
      <c r="I818" s="20"/>
      <c r="J818" s="20"/>
      <c r="K818" s="20"/>
      <c r="L818" s="20"/>
      <c r="M818" s="20"/>
      <c r="N818" s="23"/>
      <c r="O818" s="19"/>
      <c r="P818" s="19"/>
      <c r="Q818" s="19"/>
      <c r="R818" s="19"/>
      <c r="S818" s="69">
        <f t="shared" si="199"/>
        <v>0</v>
      </c>
      <c r="T818" s="17"/>
      <c r="U818" s="18"/>
      <c r="V818" s="19"/>
      <c r="W818" s="81"/>
      <c r="X818" s="19"/>
      <c r="Y818" s="17"/>
      <c r="Z818" s="19"/>
      <c r="AA818" s="19"/>
      <c r="AB818" s="19"/>
      <c r="AC818" s="19"/>
      <c r="AD818" s="18"/>
      <c r="AE818" s="25">
        <f>SUMIFS(инфо!$D$15:$D$28,инфо!$A$15:$A$28,F818)</f>
        <v>0</v>
      </c>
      <c r="AF818" s="35">
        <f t="shared" si="190"/>
        <v>0</v>
      </c>
      <c r="AG818" s="14">
        <f t="shared" si="186"/>
        <v>0</v>
      </c>
      <c r="AH818" s="25">
        <f>SUMIFS(инфо!$E$15:$E$28,инфо!$A$15:$A$28,F818)</f>
        <v>0</v>
      </c>
      <c r="AI818" s="32">
        <f t="shared" si="191"/>
        <v>0</v>
      </c>
      <c r="AJ818" s="14">
        <f t="shared" si="187"/>
        <v>0</v>
      </c>
      <c r="AK818" s="25">
        <f>SUMIFS(инфо!$F$15:$F$28,инфо!$A$15:$A$28,F818)</f>
        <v>0</v>
      </c>
      <c r="AL818" s="32">
        <f t="shared" si="192"/>
        <v>0</v>
      </c>
      <c r="AM818" s="14">
        <f t="shared" si="195"/>
        <v>0</v>
      </c>
      <c r="AN818" s="25">
        <f>SUMIFS(инфо!$G$15:$G$28,инфо!$A$15:$A$28,F818)</f>
        <v>0</v>
      </c>
      <c r="AO818" s="32">
        <f t="shared" si="193"/>
        <v>0</v>
      </c>
      <c r="AP818" s="14">
        <f t="shared" si="196"/>
        <v>0</v>
      </c>
      <c r="AQ818" s="25">
        <f>SUMIFS(инфо!$H$15:$H$28,инфо!$A$15:$A$28,F818)</f>
        <v>0</v>
      </c>
      <c r="AR818" s="26">
        <f t="shared" si="194"/>
        <v>0</v>
      </c>
      <c r="AS818" s="14">
        <f t="shared" si="197"/>
        <v>0</v>
      </c>
      <c r="AT818" s="25">
        <f>SUMIFS(инфо!$I$15:$I$28,инфо!$A$15:$A$28,F818)</f>
        <v>0</v>
      </c>
      <c r="AU818" s="35">
        <f t="shared" si="188"/>
        <v>0</v>
      </c>
      <c r="AV818" s="14">
        <f t="shared" si="198"/>
        <v>0</v>
      </c>
      <c r="AX818" s="69">
        <f>SUMIFS(инфо!$C$15:$C$28,инфо!$A$15:$A$28,F818)*H817</f>
        <v>0</v>
      </c>
    </row>
    <row r="819" spans="1:50" x14ac:dyDescent="0.25">
      <c r="A819" s="70">
        <f t="shared" si="189"/>
        <v>46473</v>
      </c>
      <c r="B819" s="75"/>
      <c r="C819" s="29"/>
      <c r="D819" s="30"/>
      <c r="E819" s="11"/>
      <c r="F819" s="28"/>
      <c r="G819" s="27"/>
      <c r="H819" s="20"/>
      <c r="I819" s="20"/>
      <c r="J819" s="20"/>
      <c r="K819" s="20"/>
      <c r="L819" s="20"/>
      <c r="M819" s="20"/>
      <c r="N819" s="28"/>
      <c r="O819" s="27"/>
      <c r="P819" s="27"/>
      <c r="Q819" s="27"/>
      <c r="R819" s="27"/>
      <c r="S819" s="67">
        <f t="shared" si="199"/>
        <v>0</v>
      </c>
      <c r="T819" s="29"/>
      <c r="U819" s="30"/>
      <c r="V819" s="27"/>
      <c r="W819" s="81"/>
      <c r="X819" s="27"/>
      <c r="Y819" s="29"/>
      <c r="Z819" s="27"/>
      <c r="AA819" s="27"/>
      <c r="AB819" s="27"/>
      <c r="AC819" s="27"/>
      <c r="AD819" s="30"/>
      <c r="AE819" s="31">
        <f>SUMIFS(инфо!$D$15:$D$28,инфо!$A$15:$A$28,F819)</f>
        <v>0</v>
      </c>
      <c r="AF819" s="35">
        <f t="shared" si="190"/>
        <v>0</v>
      </c>
      <c r="AG819" s="33">
        <f t="shared" si="186"/>
        <v>0</v>
      </c>
      <c r="AH819" s="31">
        <f>SUMIFS(инфо!$E$15:$E$28,инфо!$A$15:$A$28,F819)</f>
        <v>0</v>
      </c>
      <c r="AI819" s="32">
        <f t="shared" si="191"/>
        <v>0</v>
      </c>
      <c r="AJ819" s="33">
        <f t="shared" si="187"/>
        <v>0</v>
      </c>
      <c r="AK819" s="31">
        <f>SUMIFS(инфо!$F$15:$F$28,инфо!$A$15:$A$28,F819)</f>
        <v>0</v>
      </c>
      <c r="AL819" s="32">
        <f t="shared" si="192"/>
        <v>0</v>
      </c>
      <c r="AM819" s="33">
        <f t="shared" si="195"/>
        <v>0</v>
      </c>
      <c r="AN819" s="31">
        <f>SUMIFS(инфо!$G$15:$G$28,инфо!$A$15:$A$28,F819)</f>
        <v>0</v>
      </c>
      <c r="AO819" s="32">
        <f t="shared" si="193"/>
        <v>0</v>
      </c>
      <c r="AP819" s="33">
        <f t="shared" si="196"/>
        <v>0</v>
      </c>
      <c r="AQ819" s="31">
        <f>SUMIFS(инфо!$H$15:$H$28,инфо!$A$15:$A$28,F819)</f>
        <v>0</v>
      </c>
      <c r="AR819" s="32">
        <f t="shared" si="194"/>
        <v>0</v>
      </c>
      <c r="AS819" s="33">
        <f t="shared" si="197"/>
        <v>0</v>
      </c>
      <c r="AT819" s="31">
        <f>SUMIFS(инфо!$I$15:$I$28,инфо!$A$15:$A$28,F819)</f>
        <v>0</v>
      </c>
      <c r="AU819" s="35">
        <f t="shared" si="188"/>
        <v>0</v>
      </c>
      <c r="AV819" s="33">
        <f t="shared" si="198"/>
        <v>0</v>
      </c>
      <c r="AX819" s="67">
        <f>SUMIFS(инфо!$C$15:$C$28,инфо!$A$15:$A$28,F819)*H818</f>
        <v>0</v>
      </c>
    </row>
    <row r="820" spans="1:50" x14ac:dyDescent="0.25">
      <c r="A820" s="70">
        <f t="shared" si="189"/>
        <v>46474</v>
      </c>
      <c r="B820" s="76"/>
      <c r="C820" s="15"/>
      <c r="D820" s="16"/>
      <c r="E820" s="11"/>
      <c r="F820" s="28"/>
      <c r="G820" s="34"/>
      <c r="H820" s="20"/>
      <c r="I820" s="20"/>
      <c r="J820" s="20"/>
      <c r="K820" s="20"/>
      <c r="L820" s="20"/>
      <c r="M820" s="20"/>
      <c r="N820" s="20"/>
      <c r="O820" s="34"/>
      <c r="P820" s="34"/>
      <c r="Q820" s="34"/>
      <c r="R820" s="34"/>
      <c r="S820" s="68">
        <f t="shared" si="199"/>
        <v>0</v>
      </c>
      <c r="T820" s="15"/>
      <c r="U820" s="16"/>
      <c r="V820" s="34"/>
      <c r="W820" s="81"/>
      <c r="X820" s="34"/>
      <c r="Y820" s="15"/>
      <c r="Z820" s="34"/>
      <c r="AA820" s="34"/>
      <c r="AB820" s="34"/>
      <c r="AC820" s="34"/>
      <c r="AD820" s="16"/>
      <c r="AE820" s="24">
        <f>SUMIFS(инфо!$D$15:$D$28,инфо!$A$15:$A$28,F820)</f>
        <v>0</v>
      </c>
      <c r="AF820" s="35">
        <f t="shared" si="190"/>
        <v>0</v>
      </c>
      <c r="AG820" s="12">
        <f t="shared" si="186"/>
        <v>0</v>
      </c>
      <c r="AH820" s="24">
        <f>SUMIFS(инфо!$E$15:$E$28,инфо!$A$15:$A$28,F820)</f>
        <v>0</v>
      </c>
      <c r="AI820" s="32">
        <f t="shared" si="191"/>
        <v>0</v>
      </c>
      <c r="AJ820" s="12">
        <f t="shared" si="187"/>
        <v>0</v>
      </c>
      <c r="AK820" s="24">
        <f>SUMIFS(инфо!$F$15:$F$28,инфо!$A$15:$A$28,F820)</f>
        <v>0</v>
      </c>
      <c r="AL820" s="32">
        <f t="shared" si="192"/>
        <v>0</v>
      </c>
      <c r="AM820" s="12">
        <f t="shared" si="195"/>
        <v>0</v>
      </c>
      <c r="AN820" s="24">
        <f>SUMIFS(инфо!$G$15:$G$28,инфо!$A$15:$A$28,F820)</f>
        <v>0</v>
      </c>
      <c r="AO820" s="32">
        <f t="shared" si="193"/>
        <v>0</v>
      </c>
      <c r="AP820" s="12">
        <f t="shared" si="196"/>
        <v>0</v>
      </c>
      <c r="AQ820" s="24">
        <f>SUMIFS(инфо!$H$15:$H$28,инфо!$A$15:$A$28,F820)</f>
        <v>0</v>
      </c>
      <c r="AR820" s="35">
        <f t="shared" si="194"/>
        <v>0</v>
      </c>
      <c r="AS820" s="12">
        <f t="shared" si="197"/>
        <v>0</v>
      </c>
      <c r="AT820" s="24">
        <f>SUMIFS(инфо!$I$15:$I$28,инфо!$A$15:$A$28,F820)</f>
        <v>0</v>
      </c>
      <c r="AU820" s="35">
        <f t="shared" si="188"/>
        <v>0</v>
      </c>
      <c r="AV820" s="12">
        <f t="shared" si="198"/>
        <v>0</v>
      </c>
      <c r="AX820" s="68">
        <f>SUMIFS(инфо!$C$15:$C$28,инфо!$A$15:$A$28,F820)*H819</f>
        <v>0</v>
      </c>
    </row>
    <row r="821" spans="1:50" x14ac:dyDescent="0.25">
      <c r="A821" s="70">
        <f t="shared" si="189"/>
        <v>46474</v>
      </c>
      <c r="B821" s="76"/>
      <c r="C821" s="15"/>
      <c r="D821" s="16"/>
      <c r="E821" s="11"/>
      <c r="F821" s="28"/>
      <c r="G821" s="34"/>
      <c r="H821" s="23"/>
      <c r="I821" s="20"/>
      <c r="J821" s="20"/>
      <c r="K821" s="20"/>
      <c r="L821" s="20"/>
      <c r="M821" s="20"/>
      <c r="N821" s="20"/>
      <c r="O821" s="34"/>
      <c r="P821" s="34"/>
      <c r="Q821" s="34"/>
      <c r="R821" s="34"/>
      <c r="S821" s="68">
        <f t="shared" si="199"/>
        <v>0</v>
      </c>
      <c r="T821" s="15"/>
      <c r="U821" s="16"/>
      <c r="V821" s="34"/>
      <c r="W821" s="81"/>
      <c r="X821" s="34"/>
      <c r="Y821" s="15"/>
      <c r="Z821" s="34"/>
      <c r="AA821" s="34"/>
      <c r="AB821" s="34"/>
      <c r="AC821" s="34"/>
      <c r="AD821" s="16"/>
      <c r="AE821" s="24">
        <f>SUMIFS(инфо!$D$15:$D$28,инфо!$A$15:$A$28,F821)</f>
        <v>0</v>
      </c>
      <c r="AF821" s="35">
        <f t="shared" si="190"/>
        <v>0</v>
      </c>
      <c r="AG821" s="12">
        <f t="shared" si="186"/>
        <v>0</v>
      </c>
      <c r="AH821" s="24">
        <f>SUMIFS(инфо!$E$15:$E$28,инфо!$A$15:$A$28,F821)</f>
        <v>0</v>
      </c>
      <c r="AI821" s="32">
        <f t="shared" si="191"/>
        <v>0</v>
      </c>
      <c r="AJ821" s="12">
        <f t="shared" si="187"/>
        <v>0</v>
      </c>
      <c r="AK821" s="24">
        <f>SUMIFS(инфо!$F$15:$F$28,инфо!$A$15:$A$28,F821)</f>
        <v>0</v>
      </c>
      <c r="AL821" s="32">
        <f t="shared" si="192"/>
        <v>0</v>
      </c>
      <c r="AM821" s="12">
        <f t="shared" si="195"/>
        <v>0</v>
      </c>
      <c r="AN821" s="24">
        <f>SUMIFS(инфо!$G$15:$G$28,инфо!$A$15:$A$28,F821)</f>
        <v>0</v>
      </c>
      <c r="AO821" s="32">
        <f t="shared" si="193"/>
        <v>0</v>
      </c>
      <c r="AP821" s="12">
        <f t="shared" si="196"/>
        <v>0</v>
      </c>
      <c r="AQ821" s="24">
        <f>SUMIFS(инфо!$H$15:$H$28,инфо!$A$15:$A$28,F821)</f>
        <v>0</v>
      </c>
      <c r="AR821" s="35">
        <f t="shared" si="194"/>
        <v>0</v>
      </c>
      <c r="AS821" s="12">
        <f t="shared" si="197"/>
        <v>0</v>
      </c>
      <c r="AT821" s="24">
        <f>SUMIFS(инфо!$I$15:$I$28,инфо!$A$15:$A$28,F821)</f>
        <v>0</v>
      </c>
      <c r="AU821" s="35">
        <f t="shared" si="188"/>
        <v>0</v>
      </c>
      <c r="AV821" s="12">
        <f t="shared" si="198"/>
        <v>0</v>
      </c>
      <c r="AX821" s="68">
        <f>SUMIFS(инфо!$C$15:$C$28,инфо!$A$15:$A$28,F821)*H820</f>
        <v>0</v>
      </c>
    </row>
    <row r="822" spans="1:50" x14ac:dyDescent="0.25">
      <c r="A822" s="70">
        <f t="shared" si="189"/>
        <v>46475</v>
      </c>
      <c r="B822" s="77"/>
      <c r="C822" s="17"/>
      <c r="D822" s="18"/>
      <c r="E822" s="11"/>
      <c r="F822" s="28"/>
      <c r="G822" s="19"/>
      <c r="H822" s="28"/>
      <c r="I822" s="20"/>
      <c r="J822" s="20"/>
      <c r="K822" s="20"/>
      <c r="L822" s="20"/>
      <c r="M822" s="20"/>
      <c r="N822" s="23"/>
      <c r="O822" s="19"/>
      <c r="P822" s="19"/>
      <c r="Q822" s="19"/>
      <c r="R822" s="19"/>
      <c r="S822" s="69">
        <f t="shared" si="199"/>
        <v>0</v>
      </c>
      <c r="T822" s="17"/>
      <c r="U822" s="18"/>
      <c r="V822" s="19"/>
      <c r="W822" s="81"/>
      <c r="X822" s="19"/>
      <c r="Y822" s="17"/>
      <c r="Z822" s="19"/>
      <c r="AA822" s="19"/>
      <c r="AB822" s="19"/>
      <c r="AC822" s="19"/>
      <c r="AD822" s="18"/>
      <c r="AE822" s="25">
        <f>SUMIFS(инфо!$D$15:$D$28,инфо!$A$15:$A$28,F822)</f>
        <v>0</v>
      </c>
      <c r="AF822" s="35">
        <f t="shared" si="190"/>
        <v>0</v>
      </c>
      <c r="AG822" s="14">
        <f t="shared" si="186"/>
        <v>0</v>
      </c>
      <c r="AH822" s="25">
        <f>SUMIFS(инфо!$E$15:$E$28,инфо!$A$15:$A$28,F822)</f>
        <v>0</v>
      </c>
      <c r="AI822" s="32">
        <f t="shared" si="191"/>
        <v>0</v>
      </c>
      <c r="AJ822" s="14">
        <f t="shared" si="187"/>
        <v>0</v>
      </c>
      <c r="AK822" s="25">
        <f>SUMIFS(инфо!$F$15:$F$28,инфо!$A$15:$A$28,F822)</f>
        <v>0</v>
      </c>
      <c r="AL822" s="32">
        <f t="shared" si="192"/>
        <v>0</v>
      </c>
      <c r="AM822" s="14">
        <f t="shared" si="195"/>
        <v>0</v>
      </c>
      <c r="AN822" s="25">
        <f>SUMIFS(инфо!$G$15:$G$28,инфо!$A$15:$A$28,F822)</f>
        <v>0</v>
      </c>
      <c r="AO822" s="32">
        <f t="shared" si="193"/>
        <v>0</v>
      </c>
      <c r="AP822" s="14">
        <f t="shared" si="196"/>
        <v>0</v>
      </c>
      <c r="AQ822" s="25">
        <f>SUMIFS(инфо!$H$15:$H$28,инфо!$A$15:$A$28,F822)</f>
        <v>0</v>
      </c>
      <c r="AR822" s="26">
        <f t="shared" si="194"/>
        <v>0</v>
      </c>
      <c r="AS822" s="14">
        <f t="shared" si="197"/>
        <v>0</v>
      </c>
      <c r="AT822" s="25">
        <f>SUMIFS(инфо!$I$15:$I$28,инфо!$A$15:$A$28,F822)</f>
        <v>0</v>
      </c>
      <c r="AU822" s="35">
        <f t="shared" si="188"/>
        <v>0</v>
      </c>
      <c r="AV822" s="14">
        <f t="shared" si="198"/>
        <v>0</v>
      </c>
      <c r="AX822" s="69">
        <f>SUMIFS(инфо!$C$15:$C$28,инфо!$A$15:$A$28,F822)*H821</f>
        <v>0</v>
      </c>
    </row>
    <row r="823" spans="1:50" x14ac:dyDescent="0.25">
      <c r="A823" s="70">
        <f t="shared" si="189"/>
        <v>46475</v>
      </c>
      <c r="B823" s="75"/>
      <c r="C823" s="29"/>
      <c r="D823" s="30"/>
      <c r="E823" s="11"/>
      <c r="F823" s="28"/>
      <c r="G823" s="27"/>
      <c r="H823" s="20"/>
      <c r="I823" s="20"/>
      <c r="J823" s="20"/>
      <c r="K823" s="20"/>
      <c r="L823" s="20"/>
      <c r="M823" s="20"/>
      <c r="N823" s="28"/>
      <c r="O823" s="27"/>
      <c r="P823" s="27"/>
      <c r="Q823" s="27"/>
      <c r="R823" s="27"/>
      <c r="S823" s="67">
        <f t="shared" si="199"/>
        <v>0</v>
      </c>
      <c r="T823" s="29"/>
      <c r="U823" s="30"/>
      <c r="V823" s="27"/>
      <c r="W823" s="81"/>
      <c r="X823" s="27"/>
      <c r="Y823" s="29"/>
      <c r="Z823" s="27"/>
      <c r="AA823" s="27"/>
      <c r="AB823" s="27"/>
      <c r="AC823" s="27"/>
      <c r="AD823" s="30"/>
      <c r="AE823" s="31">
        <f>SUMIFS(инфо!$D$15:$D$28,инфо!$A$15:$A$28,F823)</f>
        <v>0</v>
      </c>
      <c r="AF823" s="35">
        <f t="shared" si="190"/>
        <v>0</v>
      </c>
      <c r="AG823" s="33">
        <f t="shared" si="186"/>
        <v>0</v>
      </c>
      <c r="AH823" s="31">
        <f>SUMIFS(инфо!$E$15:$E$28,инфо!$A$15:$A$28,F823)</f>
        <v>0</v>
      </c>
      <c r="AI823" s="32">
        <f t="shared" si="191"/>
        <v>0</v>
      </c>
      <c r="AJ823" s="33">
        <f t="shared" si="187"/>
        <v>0</v>
      </c>
      <c r="AK823" s="31">
        <f>SUMIFS(инфо!$F$15:$F$28,инфо!$A$15:$A$28,F823)</f>
        <v>0</v>
      </c>
      <c r="AL823" s="32">
        <f t="shared" si="192"/>
        <v>0</v>
      </c>
      <c r="AM823" s="33">
        <f t="shared" si="195"/>
        <v>0</v>
      </c>
      <c r="AN823" s="31">
        <f>SUMIFS(инфо!$G$15:$G$28,инфо!$A$15:$A$28,F823)</f>
        <v>0</v>
      </c>
      <c r="AO823" s="32">
        <f t="shared" si="193"/>
        <v>0</v>
      </c>
      <c r="AP823" s="33">
        <f t="shared" si="196"/>
        <v>0</v>
      </c>
      <c r="AQ823" s="31">
        <f>SUMIFS(инфо!$H$15:$H$28,инфо!$A$15:$A$28,F823)</f>
        <v>0</v>
      </c>
      <c r="AR823" s="32">
        <f t="shared" si="194"/>
        <v>0</v>
      </c>
      <c r="AS823" s="33">
        <f t="shared" si="197"/>
        <v>0</v>
      </c>
      <c r="AT823" s="31">
        <f>SUMIFS(инфо!$I$15:$I$28,инфо!$A$15:$A$28,F823)</f>
        <v>0</v>
      </c>
      <c r="AU823" s="35">
        <f t="shared" si="188"/>
        <v>0</v>
      </c>
      <c r="AV823" s="33">
        <f t="shared" si="198"/>
        <v>0</v>
      </c>
      <c r="AX823" s="67">
        <f>SUMIFS(инфо!$C$15:$C$28,инфо!$A$15:$A$28,F823)*H822</f>
        <v>0</v>
      </c>
    </row>
    <row r="824" spans="1:50" x14ac:dyDescent="0.25">
      <c r="A824" s="70">
        <f t="shared" si="189"/>
        <v>46476</v>
      </c>
      <c r="B824" s="76"/>
      <c r="C824" s="15"/>
      <c r="D824" s="16"/>
      <c r="E824" s="11"/>
      <c r="F824" s="28"/>
      <c r="G824" s="34"/>
      <c r="H824" s="20"/>
      <c r="I824" s="20"/>
      <c r="J824" s="20"/>
      <c r="K824" s="20"/>
      <c r="L824" s="20"/>
      <c r="M824" s="20"/>
      <c r="N824" s="20"/>
      <c r="O824" s="34"/>
      <c r="P824" s="34"/>
      <c r="Q824" s="34"/>
      <c r="R824" s="34"/>
      <c r="S824" s="68">
        <f t="shared" si="199"/>
        <v>0</v>
      </c>
      <c r="T824" s="15"/>
      <c r="U824" s="16"/>
      <c r="V824" s="34"/>
      <c r="W824" s="81"/>
      <c r="X824" s="34"/>
      <c r="Y824" s="15"/>
      <c r="Z824" s="34"/>
      <c r="AA824" s="34"/>
      <c r="AB824" s="34"/>
      <c r="AC824" s="34"/>
      <c r="AD824" s="16"/>
      <c r="AE824" s="24">
        <f>SUMIFS(инфо!$D$15:$D$28,инфо!$A$15:$A$28,F824)</f>
        <v>0</v>
      </c>
      <c r="AF824" s="35">
        <f t="shared" si="190"/>
        <v>0</v>
      </c>
      <c r="AG824" s="12">
        <f t="shared" si="186"/>
        <v>0</v>
      </c>
      <c r="AH824" s="24">
        <f>SUMIFS(инфо!$E$15:$E$28,инфо!$A$15:$A$28,F824)</f>
        <v>0</v>
      </c>
      <c r="AI824" s="32">
        <f t="shared" si="191"/>
        <v>0</v>
      </c>
      <c r="AJ824" s="12">
        <f t="shared" si="187"/>
        <v>0</v>
      </c>
      <c r="AK824" s="24">
        <f>SUMIFS(инфо!$F$15:$F$28,инфо!$A$15:$A$28,F824)</f>
        <v>0</v>
      </c>
      <c r="AL824" s="32">
        <f t="shared" si="192"/>
        <v>0</v>
      </c>
      <c r="AM824" s="12">
        <f t="shared" si="195"/>
        <v>0</v>
      </c>
      <c r="AN824" s="24">
        <f>SUMIFS(инфо!$G$15:$G$28,инфо!$A$15:$A$28,F824)</f>
        <v>0</v>
      </c>
      <c r="AO824" s="32">
        <f t="shared" si="193"/>
        <v>0</v>
      </c>
      <c r="AP824" s="12">
        <f t="shared" si="196"/>
        <v>0</v>
      </c>
      <c r="AQ824" s="24">
        <f>SUMIFS(инфо!$H$15:$H$28,инфо!$A$15:$A$28,F824)</f>
        <v>0</v>
      </c>
      <c r="AR824" s="35">
        <f t="shared" si="194"/>
        <v>0</v>
      </c>
      <c r="AS824" s="12">
        <f t="shared" si="197"/>
        <v>0</v>
      </c>
      <c r="AT824" s="24">
        <f>SUMIFS(инфо!$I$15:$I$28,инфо!$A$15:$A$28,F824)</f>
        <v>0</v>
      </c>
      <c r="AU824" s="35">
        <f t="shared" si="188"/>
        <v>0</v>
      </c>
      <c r="AV824" s="12">
        <f t="shared" si="198"/>
        <v>0</v>
      </c>
      <c r="AX824" s="68">
        <f>SUMIFS(инфо!$C$15:$C$28,инфо!$A$15:$A$28,F824)*H823</f>
        <v>0</v>
      </c>
    </row>
    <row r="825" spans="1:50" x14ac:dyDescent="0.25">
      <c r="A825" s="70">
        <f t="shared" si="189"/>
        <v>46476</v>
      </c>
      <c r="B825" s="76"/>
      <c r="C825" s="15"/>
      <c r="D825" s="16"/>
      <c r="E825" s="11"/>
      <c r="F825" s="28"/>
      <c r="G825" s="34"/>
      <c r="H825" s="23"/>
      <c r="I825" s="20"/>
      <c r="J825" s="20"/>
      <c r="K825" s="20"/>
      <c r="L825" s="20"/>
      <c r="M825" s="20"/>
      <c r="N825" s="20"/>
      <c r="O825" s="34"/>
      <c r="P825" s="34"/>
      <c r="Q825" s="34"/>
      <c r="R825" s="34"/>
      <c r="S825" s="68">
        <f t="shared" si="199"/>
        <v>0</v>
      </c>
      <c r="T825" s="15"/>
      <c r="U825" s="16"/>
      <c r="V825" s="34"/>
      <c r="W825" s="81"/>
      <c r="X825" s="34"/>
      <c r="Y825" s="15"/>
      <c r="Z825" s="34"/>
      <c r="AA825" s="34"/>
      <c r="AB825" s="34"/>
      <c r="AC825" s="34"/>
      <c r="AD825" s="16"/>
      <c r="AE825" s="24">
        <f>SUMIFS(инфо!$D$15:$D$28,инфо!$A$15:$A$28,F825)</f>
        <v>0</v>
      </c>
      <c r="AF825" s="35">
        <f t="shared" si="190"/>
        <v>0</v>
      </c>
      <c r="AG825" s="12">
        <f t="shared" si="186"/>
        <v>0</v>
      </c>
      <c r="AH825" s="24">
        <f>SUMIFS(инфо!$E$15:$E$28,инфо!$A$15:$A$28,F825)</f>
        <v>0</v>
      </c>
      <c r="AI825" s="32">
        <f t="shared" si="191"/>
        <v>0</v>
      </c>
      <c r="AJ825" s="12">
        <f t="shared" si="187"/>
        <v>0</v>
      </c>
      <c r="AK825" s="24">
        <f>SUMIFS(инфо!$F$15:$F$28,инфо!$A$15:$A$28,F825)</f>
        <v>0</v>
      </c>
      <c r="AL825" s="32">
        <f t="shared" si="192"/>
        <v>0</v>
      </c>
      <c r="AM825" s="12">
        <f t="shared" si="195"/>
        <v>0</v>
      </c>
      <c r="AN825" s="24">
        <f>SUMIFS(инфо!$G$15:$G$28,инфо!$A$15:$A$28,F825)</f>
        <v>0</v>
      </c>
      <c r="AO825" s="32">
        <f t="shared" si="193"/>
        <v>0</v>
      </c>
      <c r="AP825" s="12">
        <f t="shared" si="196"/>
        <v>0</v>
      </c>
      <c r="AQ825" s="24">
        <f>SUMIFS(инфо!$H$15:$H$28,инфо!$A$15:$A$28,F825)</f>
        <v>0</v>
      </c>
      <c r="AR825" s="35">
        <f t="shared" si="194"/>
        <v>0</v>
      </c>
      <c r="AS825" s="12">
        <f t="shared" si="197"/>
        <v>0</v>
      </c>
      <c r="AT825" s="24">
        <f>SUMIFS(инфо!$I$15:$I$28,инфо!$A$15:$A$28,F825)</f>
        <v>0</v>
      </c>
      <c r="AU825" s="35">
        <f t="shared" si="188"/>
        <v>0</v>
      </c>
      <c r="AV825" s="12">
        <f t="shared" si="198"/>
        <v>0</v>
      </c>
      <c r="AX825" s="68">
        <f>SUMIFS(инфо!$C$15:$C$28,инфо!$A$15:$A$28,F825)*H824</f>
        <v>0</v>
      </c>
    </row>
    <row r="826" spans="1:50" x14ac:dyDescent="0.25">
      <c r="A826" s="70">
        <f t="shared" si="189"/>
        <v>46477</v>
      </c>
      <c r="B826" s="77"/>
      <c r="C826" s="17"/>
      <c r="D826" s="18"/>
      <c r="E826" s="11"/>
      <c r="F826" s="28"/>
      <c r="G826" s="19"/>
      <c r="H826" s="28"/>
      <c r="I826" s="20"/>
      <c r="J826" s="20"/>
      <c r="K826" s="20"/>
      <c r="L826" s="20"/>
      <c r="M826" s="20"/>
      <c r="N826" s="23"/>
      <c r="O826" s="19"/>
      <c r="P826" s="19"/>
      <c r="Q826" s="19"/>
      <c r="R826" s="19"/>
      <c r="S826" s="69">
        <f t="shared" si="199"/>
        <v>0</v>
      </c>
      <c r="T826" s="17"/>
      <c r="U826" s="18"/>
      <c r="V826" s="19"/>
      <c r="W826" s="81"/>
      <c r="X826" s="19"/>
      <c r="Y826" s="17"/>
      <c r="Z826" s="19"/>
      <c r="AA826" s="19"/>
      <c r="AB826" s="19"/>
      <c r="AC826" s="19"/>
      <c r="AD826" s="18"/>
      <c r="AE826" s="25">
        <f>SUMIFS(инфо!$D$15:$D$28,инфо!$A$15:$A$28,F826)</f>
        <v>0</v>
      </c>
      <c r="AF826" s="35">
        <f t="shared" si="190"/>
        <v>0</v>
      </c>
      <c r="AG826" s="14">
        <f t="shared" si="186"/>
        <v>0</v>
      </c>
      <c r="AH826" s="25">
        <f>SUMIFS(инфо!$E$15:$E$28,инфо!$A$15:$A$28,F826)</f>
        <v>0</v>
      </c>
      <c r="AI826" s="32">
        <f t="shared" si="191"/>
        <v>0</v>
      </c>
      <c r="AJ826" s="14">
        <f t="shared" si="187"/>
        <v>0</v>
      </c>
      <c r="AK826" s="25">
        <f>SUMIFS(инфо!$F$15:$F$28,инфо!$A$15:$A$28,F826)</f>
        <v>0</v>
      </c>
      <c r="AL826" s="32">
        <f t="shared" si="192"/>
        <v>0</v>
      </c>
      <c r="AM826" s="14">
        <f t="shared" si="195"/>
        <v>0</v>
      </c>
      <c r="AN826" s="25">
        <f>SUMIFS(инфо!$G$15:$G$28,инфо!$A$15:$A$28,F826)</f>
        <v>0</v>
      </c>
      <c r="AO826" s="32">
        <f t="shared" si="193"/>
        <v>0</v>
      </c>
      <c r="AP826" s="14">
        <f t="shared" si="196"/>
        <v>0</v>
      </c>
      <c r="AQ826" s="25">
        <f>SUMIFS(инфо!$H$15:$H$28,инфо!$A$15:$A$28,F826)</f>
        <v>0</v>
      </c>
      <c r="AR826" s="26">
        <f t="shared" si="194"/>
        <v>0</v>
      </c>
      <c r="AS826" s="14">
        <f t="shared" si="197"/>
        <v>0</v>
      </c>
      <c r="AT826" s="25">
        <f>SUMIFS(инфо!$I$15:$I$28,инфо!$A$15:$A$28,F826)</f>
        <v>0</v>
      </c>
      <c r="AU826" s="35">
        <f t="shared" si="188"/>
        <v>0</v>
      </c>
      <c r="AV826" s="14">
        <f t="shared" si="198"/>
        <v>0</v>
      </c>
      <c r="AX826" s="69">
        <f>SUMIFS(инфо!$C$15:$C$28,инфо!$A$15:$A$28,F826)*H825</f>
        <v>0</v>
      </c>
    </row>
    <row r="827" spans="1:50" x14ac:dyDescent="0.25">
      <c r="A827" s="70">
        <f t="shared" si="189"/>
        <v>46477</v>
      </c>
      <c r="B827" s="75"/>
      <c r="C827" s="29"/>
      <c r="D827" s="30"/>
      <c r="E827" s="11"/>
      <c r="F827" s="28"/>
      <c r="G827" s="27"/>
      <c r="H827" s="20"/>
      <c r="I827" s="20"/>
      <c r="J827" s="20"/>
      <c r="K827" s="20"/>
      <c r="L827" s="20"/>
      <c r="M827" s="20"/>
      <c r="N827" s="28"/>
      <c r="O827" s="27"/>
      <c r="P827" s="27"/>
      <c r="Q827" s="27"/>
      <c r="R827" s="27"/>
      <c r="S827" s="67">
        <f t="shared" si="199"/>
        <v>0</v>
      </c>
      <c r="T827" s="29"/>
      <c r="U827" s="30"/>
      <c r="V827" s="27"/>
      <c r="W827" s="81"/>
      <c r="X827" s="27"/>
      <c r="Y827" s="29"/>
      <c r="Z827" s="27"/>
      <c r="AA827" s="27"/>
      <c r="AB827" s="27"/>
      <c r="AC827" s="27"/>
      <c r="AD827" s="30"/>
      <c r="AE827" s="31">
        <f>SUMIFS(инфо!$D$15:$D$28,инфо!$A$15:$A$28,F827)</f>
        <v>0</v>
      </c>
      <c r="AF827" s="35">
        <f t="shared" si="190"/>
        <v>0</v>
      </c>
      <c r="AG827" s="33">
        <f t="shared" si="186"/>
        <v>0</v>
      </c>
      <c r="AH827" s="31">
        <f>SUMIFS(инфо!$E$15:$E$28,инфо!$A$15:$A$28,F827)</f>
        <v>0</v>
      </c>
      <c r="AI827" s="32">
        <f t="shared" si="191"/>
        <v>0</v>
      </c>
      <c r="AJ827" s="33">
        <f t="shared" si="187"/>
        <v>0</v>
      </c>
      <c r="AK827" s="31">
        <f>SUMIFS(инфо!$F$15:$F$28,инфо!$A$15:$A$28,F827)</f>
        <v>0</v>
      </c>
      <c r="AL827" s="32">
        <f t="shared" si="192"/>
        <v>0</v>
      </c>
      <c r="AM827" s="33">
        <f t="shared" si="195"/>
        <v>0</v>
      </c>
      <c r="AN827" s="31">
        <f>SUMIFS(инфо!$G$15:$G$28,инфо!$A$15:$A$28,F827)</f>
        <v>0</v>
      </c>
      <c r="AO827" s="32">
        <f t="shared" si="193"/>
        <v>0</v>
      </c>
      <c r="AP827" s="33">
        <f t="shared" si="196"/>
        <v>0</v>
      </c>
      <c r="AQ827" s="31">
        <f>SUMIFS(инфо!$H$15:$H$28,инфо!$A$15:$A$28,F827)</f>
        <v>0</v>
      </c>
      <c r="AR827" s="32">
        <f t="shared" si="194"/>
        <v>0</v>
      </c>
      <c r="AS827" s="33">
        <f t="shared" si="197"/>
        <v>0</v>
      </c>
      <c r="AT827" s="31">
        <f>SUMIFS(инфо!$I$15:$I$28,инфо!$A$15:$A$28,F827)</f>
        <v>0</v>
      </c>
      <c r="AU827" s="35">
        <f t="shared" si="188"/>
        <v>0</v>
      </c>
      <c r="AV827" s="33">
        <f t="shared" si="198"/>
        <v>0</v>
      </c>
      <c r="AX827" s="67">
        <f>SUMIFS(инфо!$C$15:$C$28,инфо!$A$15:$A$28,F827)*H826</f>
        <v>0</v>
      </c>
    </row>
    <row r="828" spans="1:50" x14ac:dyDescent="0.25">
      <c r="A828" s="70">
        <f t="shared" si="189"/>
        <v>46478</v>
      </c>
      <c r="B828" s="76"/>
      <c r="C828" s="15"/>
      <c r="D828" s="16"/>
      <c r="E828" s="11"/>
      <c r="F828" s="28"/>
      <c r="G828" s="34"/>
      <c r="H828" s="20"/>
      <c r="I828" s="20"/>
      <c r="J828" s="20"/>
      <c r="K828" s="20"/>
      <c r="L828" s="20"/>
      <c r="M828" s="20"/>
      <c r="N828" s="20"/>
      <c r="O828" s="34"/>
      <c r="P828" s="34"/>
      <c r="Q828" s="34"/>
      <c r="R828" s="34"/>
      <c r="S828" s="68">
        <f t="shared" si="199"/>
        <v>0</v>
      </c>
      <c r="T828" s="15"/>
      <c r="U828" s="16"/>
      <c r="V828" s="34"/>
      <c r="W828" s="81"/>
      <c r="X828" s="34"/>
      <c r="Y828" s="15"/>
      <c r="Z828" s="34"/>
      <c r="AA828" s="34"/>
      <c r="AB828" s="34"/>
      <c r="AC828" s="34"/>
      <c r="AD828" s="16"/>
      <c r="AE828" s="24">
        <f>SUMIFS(инфо!$D$15:$D$28,инфо!$A$15:$A$28,F828)</f>
        <v>0</v>
      </c>
      <c r="AF828" s="35">
        <f t="shared" si="190"/>
        <v>0</v>
      </c>
      <c r="AG828" s="12">
        <f t="shared" si="186"/>
        <v>0</v>
      </c>
      <c r="AH828" s="24">
        <f>SUMIFS(инфо!$E$15:$E$28,инфо!$A$15:$A$28,F828)</f>
        <v>0</v>
      </c>
      <c r="AI828" s="32">
        <f t="shared" si="191"/>
        <v>0</v>
      </c>
      <c r="AJ828" s="12">
        <f t="shared" si="187"/>
        <v>0</v>
      </c>
      <c r="AK828" s="24">
        <f>SUMIFS(инфо!$F$15:$F$28,инфо!$A$15:$A$28,F828)</f>
        <v>0</v>
      </c>
      <c r="AL828" s="32">
        <f t="shared" si="192"/>
        <v>0</v>
      </c>
      <c r="AM828" s="12">
        <f t="shared" si="195"/>
        <v>0</v>
      </c>
      <c r="AN828" s="24">
        <f>SUMIFS(инфо!$G$15:$G$28,инфо!$A$15:$A$28,F828)</f>
        <v>0</v>
      </c>
      <c r="AO828" s="32">
        <f t="shared" si="193"/>
        <v>0</v>
      </c>
      <c r="AP828" s="12">
        <f t="shared" si="196"/>
        <v>0</v>
      </c>
      <c r="AQ828" s="24">
        <f>SUMIFS(инфо!$H$15:$H$28,инфо!$A$15:$A$28,F828)</f>
        <v>0</v>
      </c>
      <c r="AR828" s="35">
        <f t="shared" si="194"/>
        <v>0</v>
      </c>
      <c r="AS828" s="12">
        <f t="shared" si="197"/>
        <v>0</v>
      </c>
      <c r="AT828" s="24">
        <f>SUMIFS(инфо!$I$15:$I$28,инфо!$A$15:$A$28,F828)</f>
        <v>0</v>
      </c>
      <c r="AU828" s="35">
        <f t="shared" si="188"/>
        <v>0</v>
      </c>
      <c r="AV828" s="12">
        <f t="shared" si="198"/>
        <v>0</v>
      </c>
      <c r="AX828" s="68">
        <f>SUMIFS(инфо!$C$15:$C$28,инфо!$A$15:$A$28,F828)*H827</f>
        <v>0</v>
      </c>
    </row>
    <row r="829" spans="1:50" x14ac:dyDescent="0.25">
      <c r="A829" s="70">
        <f t="shared" si="189"/>
        <v>46478</v>
      </c>
      <c r="B829" s="76"/>
      <c r="C829" s="15"/>
      <c r="D829" s="16"/>
      <c r="E829" s="11"/>
      <c r="F829" s="28"/>
      <c r="G829" s="34"/>
      <c r="H829" s="23"/>
      <c r="I829" s="20"/>
      <c r="J829" s="20"/>
      <c r="K829" s="20"/>
      <c r="L829" s="20"/>
      <c r="M829" s="20"/>
      <c r="N829" s="20"/>
      <c r="O829" s="34"/>
      <c r="P829" s="34"/>
      <c r="Q829" s="34"/>
      <c r="R829" s="34"/>
      <c r="S829" s="68">
        <f t="shared" si="199"/>
        <v>0</v>
      </c>
      <c r="T829" s="15"/>
      <c r="U829" s="16"/>
      <c r="V829" s="34"/>
      <c r="W829" s="81"/>
      <c r="X829" s="34"/>
      <c r="Y829" s="15"/>
      <c r="Z829" s="34"/>
      <c r="AA829" s="34"/>
      <c r="AB829" s="34"/>
      <c r="AC829" s="34"/>
      <c r="AD829" s="16"/>
      <c r="AE829" s="24">
        <f>SUMIFS(инфо!$D$15:$D$28,инфо!$A$15:$A$28,F829)</f>
        <v>0</v>
      </c>
      <c r="AF829" s="35">
        <f t="shared" si="190"/>
        <v>0</v>
      </c>
      <c r="AG829" s="12">
        <f t="shared" ref="AG829:AG892" si="200">AF829-AE829</f>
        <v>0</v>
      </c>
      <c r="AH829" s="24">
        <f>SUMIFS(инфо!$E$15:$E$28,инфо!$A$15:$A$28,F829)</f>
        <v>0</v>
      </c>
      <c r="AI829" s="32">
        <f t="shared" si="191"/>
        <v>0</v>
      </c>
      <c r="AJ829" s="12">
        <f t="shared" ref="AJ829:AJ892" si="201">AI829-AH829</f>
        <v>0</v>
      </c>
      <c r="AK829" s="24">
        <f>SUMIFS(инфо!$F$15:$F$28,инфо!$A$15:$A$28,F829)</f>
        <v>0</v>
      </c>
      <c r="AL829" s="32">
        <f t="shared" si="192"/>
        <v>0</v>
      </c>
      <c r="AM829" s="12">
        <f t="shared" si="195"/>
        <v>0</v>
      </c>
      <c r="AN829" s="24">
        <f>SUMIFS(инфо!$G$15:$G$28,инфо!$A$15:$A$28,F829)</f>
        <v>0</v>
      </c>
      <c r="AO829" s="32">
        <f t="shared" si="193"/>
        <v>0</v>
      </c>
      <c r="AP829" s="12">
        <f t="shared" si="196"/>
        <v>0</v>
      </c>
      <c r="AQ829" s="24">
        <f>SUMIFS(инфо!$H$15:$H$28,инфо!$A$15:$A$28,F829)</f>
        <v>0</v>
      </c>
      <c r="AR829" s="35">
        <f t="shared" si="194"/>
        <v>0</v>
      </c>
      <c r="AS829" s="12">
        <f t="shared" si="197"/>
        <v>0</v>
      </c>
      <c r="AT829" s="24">
        <f>SUMIFS(инфо!$I$15:$I$28,инфо!$A$15:$A$28,F829)</f>
        <v>0</v>
      </c>
      <c r="AU829" s="35">
        <f t="shared" si="188"/>
        <v>0</v>
      </c>
      <c r="AV829" s="12">
        <f t="shared" si="198"/>
        <v>0</v>
      </c>
      <c r="AX829" s="68">
        <f>SUMIFS(инфо!$C$15:$C$28,инфо!$A$15:$A$28,F829)*H828</f>
        <v>0</v>
      </c>
    </row>
    <row r="830" spans="1:50" x14ac:dyDescent="0.25">
      <c r="A830" s="70">
        <f t="shared" si="189"/>
        <v>46479</v>
      </c>
      <c r="B830" s="77"/>
      <c r="C830" s="17"/>
      <c r="D830" s="18"/>
      <c r="E830" s="11"/>
      <c r="F830" s="28"/>
      <c r="G830" s="19"/>
      <c r="H830" s="28"/>
      <c r="I830" s="20"/>
      <c r="J830" s="20"/>
      <c r="K830" s="20"/>
      <c r="L830" s="20"/>
      <c r="M830" s="20"/>
      <c r="N830" s="23"/>
      <c r="O830" s="19"/>
      <c r="P830" s="19"/>
      <c r="Q830" s="19"/>
      <c r="R830" s="19"/>
      <c r="S830" s="69">
        <f t="shared" si="199"/>
        <v>0</v>
      </c>
      <c r="T830" s="17"/>
      <c r="U830" s="18"/>
      <c r="V830" s="19"/>
      <c r="W830" s="81"/>
      <c r="X830" s="19"/>
      <c r="Y830" s="17"/>
      <c r="Z830" s="19"/>
      <c r="AA830" s="19"/>
      <c r="AB830" s="19"/>
      <c r="AC830" s="19"/>
      <c r="AD830" s="18"/>
      <c r="AE830" s="25">
        <f>SUMIFS(инфо!$D$15:$D$28,инфо!$A$15:$A$28,F830)</f>
        <v>0</v>
      </c>
      <c r="AF830" s="35">
        <f t="shared" si="190"/>
        <v>0</v>
      </c>
      <c r="AG830" s="14">
        <f t="shared" si="200"/>
        <v>0</v>
      </c>
      <c r="AH830" s="25">
        <f>SUMIFS(инфо!$E$15:$E$28,инфо!$A$15:$A$28,F830)</f>
        <v>0</v>
      </c>
      <c r="AI830" s="32">
        <f t="shared" si="191"/>
        <v>0</v>
      </c>
      <c r="AJ830" s="14">
        <f t="shared" si="201"/>
        <v>0</v>
      </c>
      <c r="AK830" s="25">
        <f>SUMIFS(инфо!$F$15:$F$28,инфо!$A$15:$A$28,F830)</f>
        <v>0</v>
      </c>
      <c r="AL830" s="32">
        <f t="shared" si="192"/>
        <v>0</v>
      </c>
      <c r="AM830" s="14">
        <f t="shared" si="195"/>
        <v>0</v>
      </c>
      <c r="AN830" s="25">
        <f>SUMIFS(инфо!$G$15:$G$28,инфо!$A$15:$A$28,F830)</f>
        <v>0</v>
      </c>
      <c r="AO830" s="32">
        <f t="shared" si="193"/>
        <v>0</v>
      </c>
      <c r="AP830" s="14">
        <f t="shared" si="196"/>
        <v>0</v>
      </c>
      <c r="AQ830" s="25">
        <f>SUMIFS(инфо!$H$15:$H$28,инфо!$A$15:$A$28,F830)</f>
        <v>0</v>
      </c>
      <c r="AR830" s="26">
        <f t="shared" si="194"/>
        <v>0</v>
      </c>
      <c r="AS830" s="14">
        <f t="shared" si="197"/>
        <v>0</v>
      </c>
      <c r="AT830" s="25">
        <f>SUMIFS(инфо!$I$15:$I$28,инфо!$A$15:$A$28,F830)</f>
        <v>0</v>
      </c>
      <c r="AU830" s="35">
        <f t="shared" si="188"/>
        <v>0</v>
      </c>
      <c r="AV830" s="14">
        <f t="shared" si="198"/>
        <v>0</v>
      </c>
      <c r="AX830" s="69">
        <f>SUMIFS(инфо!$C$15:$C$28,инфо!$A$15:$A$28,F830)*H829</f>
        <v>0</v>
      </c>
    </row>
    <row r="831" spans="1:50" x14ac:dyDescent="0.25">
      <c r="A831" s="70">
        <f t="shared" si="189"/>
        <v>46479</v>
      </c>
      <c r="B831" s="75"/>
      <c r="C831" s="29"/>
      <c r="D831" s="30"/>
      <c r="E831" s="11"/>
      <c r="F831" s="28"/>
      <c r="G831" s="27"/>
      <c r="H831" s="20"/>
      <c r="I831" s="20"/>
      <c r="J831" s="20"/>
      <c r="K831" s="20"/>
      <c r="L831" s="20"/>
      <c r="M831" s="20"/>
      <c r="N831" s="28"/>
      <c r="O831" s="27"/>
      <c r="P831" s="27"/>
      <c r="Q831" s="27"/>
      <c r="R831" s="27"/>
      <c r="S831" s="67">
        <f t="shared" si="199"/>
        <v>0</v>
      </c>
      <c r="T831" s="29"/>
      <c r="U831" s="30"/>
      <c r="V831" s="27"/>
      <c r="W831" s="81"/>
      <c r="X831" s="27"/>
      <c r="Y831" s="29"/>
      <c r="Z831" s="27"/>
      <c r="AA831" s="27"/>
      <c r="AB831" s="27"/>
      <c r="AC831" s="27"/>
      <c r="AD831" s="30"/>
      <c r="AE831" s="31">
        <f>SUMIFS(инфо!$D$15:$D$28,инфо!$A$15:$A$28,F831)</f>
        <v>0</v>
      </c>
      <c r="AF831" s="35">
        <f t="shared" si="190"/>
        <v>0</v>
      </c>
      <c r="AG831" s="33">
        <f t="shared" si="200"/>
        <v>0</v>
      </c>
      <c r="AH831" s="31">
        <f>SUMIFS(инфо!$E$15:$E$28,инфо!$A$15:$A$28,F831)</f>
        <v>0</v>
      </c>
      <c r="AI831" s="32">
        <f t="shared" si="191"/>
        <v>0</v>
      </c>
      <c r="AJ831" s="33">
        <f t="shared" si="201"/>
        <v>0</v>
      </c>
      <c r="AK831" s="31">
        <f>SUMIFS(инфо!$F$15:$F$28,инфо!$A$15:$A$28,F831)</f>
        <v>0</v>
      </c>
      <c r="AL831" s="32">
        <f t="shared" si="192"/>
        <v>0</v>
      </c>
      <c r="AM831" s="33">
        <f t="shared" si="195"/>
        <v>0</v>
      </c>
      <c r="AN831" s="31">
        <f>SUMIFS(инфо!$G$15:$G$28,инфо!$A$15:$A$28,F831)</f>
        <v>0</v>
      </c>
      <c r="AO831" s="32">
        <f t="shared" si="193"/>
        <v>0</v>
      </c>
      <c r="AP831" s="33">
        <f t="shared" si="196"/>
        <v>0</v>
      </c>
      <c r="AQ831" s="31">
        <f>SUMIFS(инфо!$H$15:$H$28,инфо!$A$15:$A$28,F831)</f>
        <v>0</v>
      </c>
      <c r="AR831" s="32">
        <f t="shared" si="194"/>
        <v>0</v>
      </c>
      <c r="AS831" s="33">
        <f t="shared" si="197"/>
        <v>0</v>
      </c>
      <c r="AT831" s="31">
        <f>SUMIFS(инфо!$I$15:$I$28,инфо!$A$15:$A$28,F831)</f>
        <v>0</v>
      </c>
      <c r="AU831" s="35">
        <f t="shared" si="188"/>
        <v>0</v>
      </c>
      <c r="AV831" s="33">
        <f t="shared" si="198"/>
        <v>0</v>
      </c>
      <c r="AX831" s="67">
        <f>SUMIFS(инфо!$C$15:$C$28,инфо!$A$15:$A$28,F831)*H830</f>
        <v>0</v>
      </c>
    </row>
    <row r="832" spans="1:50" x14ac:dyDescent="0.25">
      <c r="A832" s="70">
        <f t="shared" si="189"/>
        <v>46480</v>
      </c>
      <c r="B832" s="76"/>
      <c r="C832" s="15"/>
      <c r="D832" s="16"/>
      <c r="E832" s="11"/>
      <c r="F832" s="28"/>
      <c r="G832" s="34"/>
      <c r="H832" s="20"/>
      <c r="I832" s="20"/>
      <c r="J832" s="20"/>
      <c r="K832" s="20"/>
      <c r="L832" s="20"/>
      <c r="M832" s="20"/>
      <c r="N832" s="20"/>
      <c r="O832" s="34"/>
      <c r="P832" s="34"/>
      <c r="Q832" s="34"/>
      <c r="R832" s="34"/>
      <c r="S832" s="68">
        <f t="shared" si="199"/>
        <v>0</v>
      </c>
      <c r="T832" s="15"/>
      <c r="U832" s="16"/>
      <c r="V832" s="34"/>
      <c r="W832" s="81"/>
      <c r="X832" s="34"/>
      <c r="Y832" s="15"/>
      <c r="Z832" s="34"/>
      <c r="AA832" s="34"/>
      <c r="AB832" s="34"/>
      <c r="AC832" s="34"/>
      <c r="AD832" s="16"/>
      <c r="AE832" s="24">
        <f>SUMIFS(инфо!$D$15:$D$28,инфо!$A$15:$A$28,F832)</f>
        <v>0</v>
      </c>
      <c r="AF832" s="35">
        <f t="shared" si="190"/>
        <v>0</v>
      </c>
      <c r="AG832" s="12">
        <f t="shared" si="200"/>
        <v>0</v>
      </c>
      <c r="AH832" s="24">
        <f>SUMIFS(инфо!$E$15:$E$28,инфо!$A$15:$A$28,F832)</f>
        <v>0</v>
      </c>
      <c r="AI832" s="32">
        <f t="shared" si="191"/>
        <v>0</v>
      </c>
      <c r="AJ832" s="12">
        <f t="shared" si="201"/>
        <v>0</v>
      </c>
      <c r="AK832" s="24">
        <f>SUMIFS(инфо!$F$15:$F$28,инфо!$A$15:$A$28,F832)</f>
        <v>0</v>
      </c>
      <c r="AL832" s="32">
        <f t="shared" si="192"/>
        <v>0</v>
      </c>
      <c r="AM832" s="12">
        <f t="shared" si="195"/>
        <v>0</v>
      </c>
      <c r="AN832" s="24">
        <f>SUMIFS(инфо!$G$15:$G$28,инфо!$A$15:$A$28,F832)</f>
        <v>0</v>
      </c>
      <c r="AO832" s="32">
        <f t="shared" si="193"/>
        <v>0</v>
      </c>
      <c r="AP832" s="12">
        <f t="shared" si="196"/>
        <v>0</v>
      </c>
      <c r="AQ832" s="24">
        <f>SUMIFS(инфо!$H$15:$H$28,инфо!$A$15:$A$28,F832)</f>
        <v>0</v>
      </c>
      <c r="AR832" s="35">
        <f t="shared" si="194"/>
        <v>0</v>
      </c>
      <c r="AS832" s="12">
        <f t="shared" si="197"/>
        <v>0</v>
      </c>
      <c r="AT832" s="24">
        <f>SUMIFS(инфо!$I$15:$I$28,инфо!$A$15:$A$28,F832)</f>
        <v>0</v>
      </c>
      <c r="AU832" s="35">
        <f t="shared" si="188"/>
        <v>0</v>
      </c>
      <c r="AV832" s="12">
        <f t="shared" si="198"/>
        <v>0</v>
      </c>
      <c r="AX832" s="68">
        <f>SUMIFS(инфо!$C$15:$C$28,инфо!$A$15:$A$28,F832)*H831</f>
        <v>0</v>
      </c>
    </row>
    <row r="833" spans="1:50" x14ac:dyDescent="0.25">
      <c r="A833" s="70">
        <f t="shared" si="189"/>
        <v>46480</v>
      </c>
      <c r="B833" s="76"/>
      <c r="C833" s="15"/>
      <c r="D833" s="16"/>
      <c r="E833" s="11"/>
      <c r="F833" s="28"/>
      <c r="G833" s="34"/>
      <c r="H833" s="23"/>
      <c r="I833" s="20"/>
      <c r="J833" s="20"/>
      <c r="K833" s="20"/>
      <c r="L833" s="20"/>
      <c r="M833" s="20"/>
      <c r="N833" s="20"/>
      <c r="O833" s="34"/>
      <c r="P833" s="34"/>
      <c r="Q833" s="34"/>
      <c r="R833" s="34"/>
      <c r="S833" s="68">
        <f t="shared" si="199"/>
        <v>0</v>
      </c>
      <c r="T833" s="15"/>
      <c r="U833" s="16"/>
      <c r="V833" s="34"/>
      <c r="W833" s="81"/>
      <c r="X833" s="34"/>
      <c r="Y833" s="15"/>
      <c r="Z833" s="34"/>
      <c r="AA833" s="34"/>
      <c r="AB833" s="34"/>
      <c r="AC833" s="34"/>
      <c r="AD833" s="16"/>
      <c r="AE833" s="24">
        <f>SUMIFS(инфо!$D$15:$D$28,инфо!$A$15:$A$28,F833)</f>
        <v>0</v>
      </c>
      <c r="AF833" s="35">
        <f t="shared" si="190"/>
        <v>0</v>
      </c>
      <c r="AG833" s="12">
        <f t="shared" si="200"/>
        <v>0</v>
      </c>
      <c r="AH833" s="24">
        <f>SUMIFS(инфо!$E$15:$E$28,инфо!$A$15:$A$28,F833)</f>
        <v>0</v>
      </c>
      <c r="AI833" s="32">
        <f t="shared" si="191"/>
        <v>0</v>
      </c>
      <c r="AJ833" s="12">
        <f t="shared" si="201"/>
        <v>0</v>
      </c>
      <c r="AK833" s="24">
        <f>SUMIFS(инфо!$F$15:$F$28,инфо!$A$15:$A$28,F833)</f>
        <v>0</v>
      </c>
      <c r="AL833" s="32">
        <f t="shared" si="192"/>
        <v>0</v>
      </c>
      <c r="AM833" s="12">
        <f t="shared" si="195"/>
        <v>0</v>
      </c>
      <c r="AN833" s="24">
        <f>SUMIFS(инфо!$G$15:$G$28,инфо!$A$15:$A$28,F833)</f>
        <v>0</v>
      </c>
      <c r="AO833" s="32">
        <f t="shared" si="193"/>
        <v>0</v>
      </c>
      <c r="AP833" s="12">
        <f t="shared" si="196"/>
        <v>0</v>
      </c>
      <c r="AQ833" s="24">
        <f>SUMIFS(инфо!$H$15:$H$28,инфо!$A$15:$A$28,F833)</f>
        <v>0</v>
      </c>
      <c r="AR833" s="35">
        <f t="shared" si="194"/>
        <v>0</v>
      </c>
      <c r="AS833" s="12">
        <f t="shared" si="197"/>
        <v>0</v>
      </c>
      <c r="AT833" s="24">
        <f>SUMIFS(инфо!$I$15:$I$28,инфо!$A$15:$A$28,F833)</f>
        <v>0</v>
      </c>
      <c r="AU833" s="35">
        <f t="shared" si="188"/>
        <v>0</v>
      </c>
      <c r="AV833" s="12">
        <f t="shared" si="198"/>
        <v>0</v>
      </c>
      <c r="AX833" s="68">
        <f>SUMIFS(инфо!$C$15:$C$28,инфо!$A$15:$A$28,F833)*H832</f>
        <v>0</v>
      </c>
    </row>
    <row r="834" spans="1:50" x14ac:dyDescent="0.25">
      <c r="A834" s="70">
        <f t="shared" si="189"/>
        <v>46481</v>
      </c>
      <c r="B834" s="77"/>
      <c r="C834" s="17"/>
      <c r="D834" s="18"/>
      <c r="E834" s="11"/>
      <c r="F834" s="28"/>
      <c r="G834" s="19"/>
      <c r="H834" s="28"/>
      <c r="I834" s="20"/>
      <c r="J834" s="20"/>
      <c r="K834" s="20"/>
      <c r="L834" s="20"/>
      <c r="M834" s="20"/>
      <c r="N834" s="23"/>
      <c r="O834" s="19"/>
      <c r="P834" s="19"/>
      <c r="Q834" s="19"/>
      <c r="R834" s="19"/>
      <c r="S834" s="69">
        <f t="shared" si="199"/>
        <v>0</v>
      </c>
      <c r="T834" s="17"/>
      <c r="U834" s="18"/>
      <c r="V834" s="19"/>
      <c r="W834" s="81"/>
      <c r="X834" s="19"/>
      <c r="Y834" s="17"/>
      <c r="Z834" s="19"/>
      <c r="AA834" s="19"/>
      <c r="AB834" s="19"/>
      <c r="AC834" s="19"/>
      <c r="AD834" s="18"/>
      <c r="AE834" s="25">
        <f>SUMIFS(инфо!$D$15:$D$28,инфо!$A$15:$A$28,F834)</f>
        <v>0</v>
      </c>
      <c r="AF834" s="35">
        <f t="shared" si="190"/>
        <v>0</v>
      </c>
      <c r="AG834" s="14">
        <f t="shared" si="200"/>
        <v>0</v>
      </c>
      <c r="AH834" s="25">
        <f>SUMIFS(инфо!$E$15:$E$28,инфо!$A$15:$A$28,F834)</f>
        <v>0</v>
      </c>
      <c r="AI834" s="32">
        <f t="shared" si="191"/>
        <v>0</v>
      </c>
      <c r="AJ834" s="14">
        <f t="shared" si="201"/>
        <v>0</v>
      </c>
      <c r="AK834" s="25">
        <f>SUMIFS(инфо!$F$15:$F$28,инфо!$A$15:$A$28,F834)</f>
        <v>0</v>
      </c>
      <c r="AL834" s="32">
        <f t="shared" si="192"/>
        <v>0</v>
      </c>
      <c r="AM834" s="14">
        <f t="shared" si="195"/>
        <v>0</v>
      </c>
      <c r="AN834" s="25">
        <f>SUMIFS(инфо!$G$15:$G$28,инфо!$A$15:$A$28,F834)</f>
        <v>0</v>
      </c>
      <c r="AO834" s="32">
        <f t="shared" si="193"/>
        <v>0</v>
      </c>
      <c r="AP834" s="14">
        <f t="shared" si="196"/>
        <v>0</v>
      </c>
      <c r="AQ834" s="25">
        <f>SUMIFS(инфо!$H$15:$H$28,инфо!$A$15:$A$28,F834)</f>
        <v>0</v>
      </c>
      <c r="AR834" s="26">
        <f t="shared" si="194"/>
        <v>0</v>
      </c>
      <c r="AS834" s="14">
        <f t="shared" si="197"/>
        <v>0</v>
      </c>
      <c r="AT834" s="25">
        <f>SUMIFS(инфо!$I$15:$I$28,инфо!$A$15:$A$28,F834)</f>
        <v>0</v>
      </c>
      <c r="AU834" s="35">
        <f t="shared" si="188"/>
        <v>0</v>
      </c>
      <c r="AV834" s="14">
        <f t="shared" si="198"/>
        <v>0</v>
      </c>
      <c r="AX834" s="69">
        <f>SUMIFS(инфо!$C$15:$C$28,инфо!$A$15:$A$28,F834)*H833</f>
        <v>0</v>
      </c>
    </row>
    <row r="835" spans="1:50" x14ac:dyDescent="0.25">
      <c r="A835" s="70">
        <f t="shared" si="189"/>
        <v>46481</v>
      </c>
      <c r="B835" s="75"/>
      <c r="C835" s="29"/>
      <c r="D835" s="30"/>
      <c r="E835" s="11"/>
      <c r="F835" s="28"/>
      <c r="G835" s="27"/>
      <c r="H835" s="20"/>
      <c r="I835" s="20"/>
      <c r="J835" s="20"/>
      <c r="K835" s="20"/>
      <c r="L835" s="20"/>
      <c r="M835" s="20"/>
      <c r="N835" s="28"/>
      <c r="O835" s="27"/>
      <c r="P835" s="27"/>
      <c r="Q835" s="27"/>
      <c r="R835" s="27"/>
      <c r="S835" s="67">
        <f t="shared" si="199"/>
        <v>0</v>
      </c>
      <c r="T835" s="29"/>
      <c r="U835" s="30"/>
      <c r="V835" s="27"/>
      <c r="W835" s="81"/>
      <c r="X835" s="27"/>
      <c r="Y835" s="29"/>
      <c r="Z835" s="27"/>
      <c r="AA835" s="27"/>
      <c r="AB835" s="27"/>
      <c r="AC835" s="27"/>
      <c r="AD835" s="30"/>
      <c r="AE835" s="31">
        <f>SUMIFS(инфо!$D$15:$D$28,инфо!$A$15:$A$28,F835)</f>
        <v>0</v>
      </c>
      <c r="AF835" s="35">
        <f t="shared" si="190"/>
        <v>0</v>
      </c>
      <c r="AG835" s="33">
        <f t="shared" si="200"/>
        <v>0</v>
      </c>
      <c r="AH835" s="31">
        <f>SUMIFS(инфо!$E$15:$E$28,инфо!$A$15:$A$28,F835)</f>
        <v>0</v>
      </c>
      <c r="AI835" s="32">
        <f t="shared" si="191"/>
        <v>0</v>
      </c>
      <c r="AJ835" s="33">
        <f t="shared" si="201"/>
        <v>0</v>
      </c>
      <c r="AK835" s="31">
        <f>SUMIFS(инфо!$F$15:$F$28,инфо!$A$15:$A$28,F835)</f>
        <v>0</v>
      </c>
      <c r="AL835" s="32">
        <f t="shared" si="192"/>
        <v>0</v>
      </c>
      <c r="AM835" s="33">
        <f t="shared" si="195"/>
        <v>0</v>
      </c>
      <c r="AN835" s="31">
        <f>SUMIFS(инфо!$G$15:$G$28,инфо!$A$15:$A$28,F835)</f>
        <v>0</v>
      </c>
      <c r="AO835" s="32">
        <f t="shared" si="193"/>
        <v>0</v>
      </c>
      <c r="AP835" s="33">
        <f t="shared" si="196"/>
        <v>0</v>
      </c>
      <c r="AQ835" s="31">
        <f>SUMIFS(инфо!$H$15:$H$28,инфо!$A$15:$A$28,F835)</f>
        <v>0</v>
      </c>
      <c r="AR835" s="32">
        <f t="shared" si="194"/>
        <v>0</v>
      </c>
      <c r="AS835" s="33">
        <f t="shared" si="197"/>
        <v>0</v>
      </c>
      <c r="AT835" s="31">
        <f>SUMIFS(инфо!$I$15:$I$28,инфо!$A$15:$A$28,F835)</f>
        <v>0</v>
      </c>
      <c r="AU835" s="35">
        <f t="shared" si="188"/>
        <v>0</v>
      </c>
      <c r="AV835" s="33">
        <f t="shared" si="198"/>
        <v>0</v>
      </c>
      <c r="AX835" s="67">
        <f>SUMIFS(инфо!$C$15:$C$28,инфо!$A$15:$A$28,F835)*H834</f>
        <v>0</v>
      </c>
    </row>
    <row r="836" spans="1:50" x14ac:dyDescent="0.25">
      <c r="A836" s="70">
        <f t="shared" si="189"/>
        <v>46482</v>
      </c>
      <c r="B836" s="76"/>
      <c r="C836" s="15"/>
      <c r="D836" s="16"/>
      <c r="E836" s="11"/>
      <c r="F836" s="28"/>
      <c r="G836" s="34"/>
      <c r="H836" s="20"/>
      <c r="I836" s="20"/>
      <c r="J836" s="20"/>
      <c r="K836" s="20"/>
      <c r="L836" s="20"/>
      <c r="M836" s="20"/>
      <c r="N836" s="20"/>
      <c r="O836" s="34"/>
      <c r="P836" s="34"/>
      <c r="Q836" s="34"/>
      <c r="R836" s="34"/>
      <c r="S836" s="68">
        <f t="shared" si="199"/>
        <v>0</v>
      </c>
      <c r="T836" s="15"/>
      <c r="U836" s="16"/>
      <c r="V836" s="34"/>
      <c r="W836" s="81"/>
      <c r="X836" s="34"/>
      <c r="Y836" s="15"/>
      <c r="Z836" s="34"/>
      <c r="AA836" s="34"/>
      <c r="AB836" s="34"/>
      <c r="AC836" s="34"/>
      <c r="AD836" s="16"/>
      <c r="AE836" s="24">
        <f>SUMIFS(инфо!$D$15:$D$28,инфо!$A$15:$A$28,F836)</f>
        <v>0</v>
      </c>
      <c r="AF836" s="35">
        <f t="shared" si="190"/>
        <v>0</v>
      </c>
      <c r="AG836" s="12">
        <f t="shared" si="200"/>
        <v>0</v>
      </c>
      <c r="AH836" s="24">
        <f>SUMIFS(инфо!$E$15:$E$28,инфо!$A$15:$A$28,F836)</f>
        <v>0</v>
      </c>
      <c r="AI836" s="32">
        <f t="shared" si="191"/>
        <v>0</v>
      </c>
      <c r="AJ836" s="12">
        <f t="shared" si="201"/>
        <v>0</v>
      </c>
      <c r="AK836" s="24">
        <f>SUMIFS(инфо!$F$15:$F$28,инфо!$A$15:$A$28,F836)</f>
        <v>0</v>
      </c>
      <c r="AL836" s="32">
        <f t="shared" si="192"/>
        <v>0</v>
      </c>
      <c r="AM836" s="12">
        <f t="shared" si="195"/>
        <v>0</v>
      </c>
      <c r="AN836" s="24">
        <f>SUMIFS(инфо!$G$15:$G$28,инфо!$A$15:$A$28,F836)</f>
        <v>0</v>
      </c>
      <c r="AO836" s="32">
        <f t="shared" si="193"/>
        <v>0</v>
      </c>
      <c r="AP836" s="12">
        <f t="shared" si="196"/>
        <v>0</v>
      </c>
      <c r="AQ836" s="24">
        <f>SUMIFS(инфо!$H$15:$H$28,инфо!$A$15:$A$28,F836)</f>
        <v>0</v>
      </c>
      <c r="AR836" s="35">
        <f t="shared" si="194"/>
        <v>0</v>
      </c>
      <c r="AS836" s="12">
        <f t="shared" si="197"/>
        <v>0</v>
      </c>
      <c r="AT836" s="24">
        <f>SUMIFS(инфо!$I$15:$I$28,инфо!$A$15:$A$28,F836)</f>
        <v>0</v>
      </c>
      <c r="AU836" s="35">
        <f t="shared" si="188"/>
        <v>0</v>
      </c>
      <c r="AV836" s="12">
        <f t="shared" si="198"/>
        <v>0</v>
      </c>
      <c r="AX836" s="68">
        <f>SUMIFS(инфо!$C$15:$C$28,инфо!$A$15:$A$28,F836)*H835</f>
        <v>0</v>
      </c>
    </row>
    <row r="837" spans="1:50" x14ac:dyDescent="0.25">
      <c r="A837" s="70">
        <f t="shared" si="189"/>
        <v>46482</v>
      </c>
      <c r="B837" s="76"/>
      <c r="C837" s="15"/>
      <c r="D837" s="16"/>
      <c r="E837" s="11"/>
      <c r="F837" s="28"/>
      <c r="G837" s="34"/>
      <c r="H837" s="23"/>
      <c r="I837" s="20"/>
      <c r="J837" s="20"/>
      <c r="K837" s="20"/>
      <c r="L837" s="20"/>
      <c r="M837" s="20"/>
      <c r="N837" s="20"/>
      <c r="O837" s="34"/>
      <c r="P837" s="34"/>
      <c r="Q837" s="34"/>
      <c r="R837" s="34"/>
      <c r="S837" s="68">
        <f t="shared" si="199"/>
        <v>0</v>
      </c>
      <c r="T837" s="15"/>
      <c r="U837" s="16"/>
      <c r="V837" s="34"/>
      <c r="W837" s="81"/>
      <c r="X837" s="34"/>
      <c r="Y837" s="15"/>
      <c r="Z837" s="34"/>
      <c r="AA837" s="34"/>
      <c r="AB837" s="34"/>
      <c r="AC837" s="34"/>
      <c r="AD837" s="16"/>
      <c r="AE837" s="24">
        <f>SUMIFS(инфо!$D$15:$D$28,инфо!$A$15:$A$28,F837)</f>
        <v>0</v>
      </c>
      <c r="AF837" s="35">
        <f t="shared" si="190"/>
        <v>0</v>
      </c>
      <c r="AG837" s="12">
        <f t="shared" si="200"/>
        <v>0</v>
      </c>
      <c r="AH837" s="24">
        <f>SUMIFS(инфо!$E$15:$E$28,инфо!$A$15:$A$28,F837)</f>
        <v>0</v>
      </c>
      <c r="AI837" s="32">
        <f t="shared" si="191"/>
        <v>0</v>
      </c>
      <c r="AJ837" s="12">
        <f t="shared" si="201"/>
        <v>0</v>
      </c>
      <c r="AK837" s="24">
        <f>SUMIFS(инфо!$F$15:$F$28,инфо!$A$15:$A$28,F837)</f>
        <v>0</v>
      </c>
      <c r="AL837" s="32">
        <f t="shared" si="192"/>
        <v>0</v>
      </c>
      <c r="AM837" s="12">
        <f t="shared" si="195"/>
        <v>0</v>
      </c>
      <c r="AN837" s="24">
        <f>SUMIFS(инфо!$G$15:$G$28,инфо!$A$15:$A$28,F837)</f>
        <v>0</v>
      </c>
      <c r="AO837" s="32">
        <f t="shared" si="193"/>
        <v>0</v>
      </c>
      <c r="AP837" s="12">
        <f t="shared" si="196"/>
        <v>0</v>
      </c>
      <c r="AQ837" s="24">
        <f>SUMIFS(инфо!$H$15:$H$28,инфо!$A$15:$A$28,F837)</f>
        <v>0</v>
      </c>
      <c r="AR837" s="35">
        <f t="shared" si="194"/>
        <v>0</v>
      </c>
      <c r="AS837" s="12">
        <f t="shared" si="197"/>
        <v>0</v>
      </c>
      <c r="AT837" s="24">
        <f>SUMIFS(инфо!$I$15:$I$28,инфо!$A$15:$A$28,F837)</f>
        <v>0</v>
      </c>
      <c r="AU837" s="35">
        <f t="shared" si="188"/>
        <v>0</v>
      </c>
      <c r="AV837" s="12">
        <f t="shared" si="198"/>
        <v>0</v>
      </c>
      <c r="AX837" s="68">
        <f>SUMIFS(инфо!$C$15:$C$28,инфо!$A$15:$A$28,F837)*H836</f>
        <v>0</v>
      </c>
    </row>
    <row r="838" spans="1:50" x14ac:dyDescent="0.25">
      <c r="A838" s="70">
        <f t="shared" si="189"/>
        <v>46483</v>
      </c>
      <c r="B838" s="77"/>
      <c r="C838" s="17"/>
      <c r="D838" s="18"/>
      <c r="E838" s="11"/>
      <c r="F838" s="28"/>
      <c r="G838" s="19"/>
      <c r="H838" s="28"/>
      <c r="I838" s="20"/>
      <c r="J838" s="20"/>
      <c r="K838" s="20"/>
      <c r="L838" s="20"/>
      <c r="M838" s="20"/>
      <c r="N838" s="23"/>
      <c r="O838" s="19"/>
      <c r="P838" s="19"/>
      <c r="Q838" s="19"/>
      <c r="R838" s="19"/>
      <c r="S838" s="69">
        <f t="shared" si="199"/>
        <v>0</v>
      </c>
      <c r="T838" s="17"/>
      <c r="U838" s="18"/>
      <c r="V838" s="19"/>
      <c r="W838" s="81"/>
      <c r="X838" s="19"/>
      <c r="Y838" s="17"/>
      <c r="Z838" s="19"/>
      <c r="AA838" s="19"/>
      <c r="AB838" s="19"/>
      <c r="AC838" s="19"/>
      <c r="AD838" s="18"/>
      <c r="AE838" s="25">
        <f>SUMIFS(инфо!$D$15:$D$28,инфо!$A$15:$A$28,F838)</f>
        <v>0</v>
      </c>
      <c r="AF838" s="35">
        <f t="shared" si="190"/>
        <v>0</v>
      </c>
      <c r="AG838" s="14">
        <f t="shared" si="200"/>
        <v>0</v>
      </c>
      <c r="AH838" s="25">
        <f>SUMIFS(инфо!$E$15:$E$28,инфо!$A$15:$A$28,F838)</f>
        <v>0</v>
      </c>
      <c r="AI838" s="32">
        <f t="shared" si="191"/>
        <v>0</v>
      </c>
      <c r="AJ838" s="14">
        <f t="shared" si="201"/>
        <v>0</v>
      </c>
      <c r="AK838" s="25">
        <f>SUMIFS(инфо!$F$15:$F$28,инфо!$A$15:$A$28,F838)</f>
        <v>0</v>
      </c>
      <c r="AL838" s="32">
        <f t="shared" si="192"/>
        <v>0</v>
      </c>
      <c r="AM838" s="14">
        <f t="shared" si="195"/>
        <v>0</v>
      </c>
      <c r="AN838" s="25">
        <f>SUMIFS(инфо!$G$15:$G$28,инфо!$A$15:$A$28,F838)</f>
        <v>0</v>
      </c>
      <c r="AO838" s="32">
        <f t="shared" si="193"/>
        <v>0</v>
      </c>
      <c r="AP838" s="14">
        <f t="shared" si="196"/>
        <v>0</v>
      </c>
      <c r="AQ838" s="25">
        <f>SUMIFS(инфо!$H$15:$H$28,инфо!$A$15:$A$28,F838)</f>
        <v>0</v>
      </c>
      <c r="AR838" s="26">
        <f t="shared" si="194"/>
        <v>0</v>
      </c>
      <c r="AS838" s="14">
        <f t="shared" si="197"/>
        <v>0</v>
      </c>
      <c r="AT838" s="25">
        <f>SUMIFS(инфо!$I$15:$I$28,инфо!$A$15:$A$28,F838)</f>
        <v>0</v>
      </c>
      <c r="AU838" s="35">
        <f t="shared" si="188"/>
        <v>0</v>
      </c>
      <c r="AV838" s="14">
        <f t="shared" si="198"/>
        <v>0</v>
      </c>
      <c r="AX838" s="69">
        <f>SUMIFS(инфо!$C$15:$C$28,инфо!$A$15:$A$28,F838)*H837</f>
        <v>0</v>
      </c>
    </row>
    <row r="839" spans="1:50" x14ac:dyDescent="0.25">
      <c r="A839" s="70">
        <f t="shared" si="189"/>
        <v>46483</v>
      </c>
      <c r="B839" s="75"/>
      <c r="C839" s="29"/>
      <c r="D839" s="30"/>
      <c r="E839" s="11"/>
      <c r="F839" s="28"/>
      <c r="G839" s="27"/>
      <c r="H839" s="20"/>
      <c r="I839" s="20"/>
      <c r="J839" s="20"/>
      <c r="K839" s="20"/>
      <c r="L839" s="20"/>
      <c r="M839" s="20"/>
      <c r="N839" s="28"/>
      <c r="O839" s="27"/>
      <c r="P839" s="27"/>
      <c r="Q839" s="27"/>
      <c r="R839" s="27"/>
      <c r="S839" s="67">
        <f t="shared" si="199"/>
        <v>0</v>
      </c>
      <c r="T839" s="29"/>
      <c r="U839" s="30"/>
      <c r="V839" s="27"/>
      <c r="W839" s="81"/>
      <c r="X839" s="27"/>
      <c r="Y839" s="29"/>
      <c r="Z839" s="27"/>
      <c r="AA839" s="27"/>
      <c r="AB839" s="27"/>
      <c r="AC839" s="27"/>
      <c r="AD839" s="30"/>
      <c r="AE839" s="31">
        <f>SUMIFS(инфо!$D$15:$D$28,инфо!$A$15:$A$28,F839)</f>
        <v>0</v>
      </c>
      <c r="AF839" s="35">
        <f t="shared" si="190"/>
        <v>0</v>
      </c>
      <c r="AG839" s="33">
        <f t="shared" si="200"/>
        <v>0</v>
      </c>
      <c r="AH839" s="31">
        <f>SUMIFS(инфо!$E$15:$E$28,инфо!$A$15:$A$28,F839)</f>
        <v>0</v>
      </c>
      <c r="AI839" s="32">
        <f t="shared" si="191"/>
        <v>0</v>
      </c>
      <c r="AJ839" s="33">
        <f t="shared" si="201"/>
        <v>0</v>
      </c>
      <c r="AK839" s="31">
        <f>SUMIFS(инфо!$F$15:$F$28,инфо!$A$15:$A$28,F839)</f>
        <v>0</v>
      </c>
      <c r="AL839" s="32">
        <f t="shared" si="192"/>
        <v>0</v>
      </c>
      <c r="AM839" s="33">
        <f t="shared" si="195"/>
        <v>0</v>
      </c>
      <c r="AN839" s="31">
        <f>SUMIFS(инфо!$G$15:$G$28,инфо!$A$15:$A$28,F839)</f>
        <v>0</v>
      </c>
      <c r="AO839" s="32">
        <f t="shared" si="193"/>
        <v>0</v>
      </c>
      <c r="AP839" s="33">
        <f t="shared" si="196"/>
        <v>0</v>
      </c>
      <c r="AQ839" s="31">
        <f>SUMIFS(инфо!$H$15:$H$28,инфо!$A$15:$A$28,F839)</f>
        <v>0</v>
      </c>
      <c r="AR839" s="32">
        <f t="shared" si="194"/>
        <v>0</v>
      </c>
      <c r="AS839" s="33">
        <f t="shared" si="197"/>
        <v>0</v>
      </c>
      <c r="AT839" s="31">
        <f>SUMIFS(инфо!$I$15:$I$28,инфо!$A$15:$A$28,F839)</f>
        <v>0</v>
      </c>
      <c r="AU839" s="35">
        <f t="shared" si="188"/>
        <v>0</v>
      </c>
      <c r="AV839" s="33">
        <f t="shared" si="198"/>
        <v>0</v>
      </c>
      <c r="AX839" s="67">
        <f>SUMIFS(инфо!$C$15:$C$28,инфо!$A$15:$A$28,F839)*H838</f>
        <v>0</v>
      </c>
    </row>
    <row r="840" spans="1:50" x14ac:dyDescent="0.25">
      <c r="A840" s="70">
        <f t="shared" si="189"/>
        <v>46484</v>
      </c>
      <c r="B840" s="76"/>
      <c r="C840" s="15"/>
      <c r="D840" s="16"/>
      <c r="E840" s="11"/>
      <c r="F840" s="28"/>
      <c r="G840" s="34"/>
      <c r="H840" s="20"/>
      <c r="I840" s="20"/>
      <c r="J840" s="20"/>
      <c r="K840" s="20"/>
      <c r="L840" s="20"/>
      <c r="M840" s="20"/>
      <c r="N840" s="20"/>
      <c r="O840" s="34"/>
      <c r="P840" s="34"/>
      <c r="Q840" s="34"/>
      <c r="R840" s="34"/>
      <c r="S840" s="68">
        <f t="shared" si="199"/>
        <v>0</v>
      </c>
      <c r="T840" s="15"/>
      <c r="U840" s="16"/>
      <c r="V840" s="34"/>
      <c r="W840" s="81"/>
      <c r="X840" s="34"/>
      <c r="Y840" s="15"/>
      <c r="Z840" s="34"/>
      <c r="AA840" s="34"/>
      <c r="AB840" s="34"/>
      <c r="AC840" s="34"/>
      <c r="AD840" s="16"/>
      <c r="AE840" s="24">
        <f>SUMIFS(инфо!$D$15:$D$28,инфо!$A$15:$A$28,F840)</f>
        <v>0</v>
      </c>
      <c r="AF840" s="35">
        <f t="shared" si="190"/>
        <v>0</v>
      </c>
      <c r="AG840" s="12">
        <f t="shared" si="200"/>
        <v>0</v>
      </c>
      <c r="AH840" s="24">
        <f>SUMIFS(инфо!$E$15:$E$28,инфо!$A$15:$A$28,F840)</f>
        <v>0</v>
      </c>
      <c r="AI840" s="32">
        <f t="shared" si="191"/>
        <v>0</v>
      </c>
      <c r="AJ840" s="12">
        <f t="shared" si="201"/>
        <v>0</v>
      </c>
      <c r="AK840" s="24">
        <f>SUMIFS(инфо!$F$15:$F$28,инфо!$A$15:$A$28,F840)</f>
        <v>0</v>
      </c>
      <c r="AL840" s="32">
        <f t="shared" si="192"/>
        <v>0</v>
      </c>
      <c r="AM840" s="12">
        <f t="shared" si="195"/>
        <v>0</v>
      </c>
      <c r="AN840" s="24">
        <f>SUMIFS(инфо!$G$15:$G$28,инфо!$A$15:$A$28,F840)</f>
        <v>0</v>
      </c>
      <c r="AO840" s="32">
        <f t="shared" si="193"/>
        <v>0</v>
      </c>
      <c r="AP840" s="12">
        <f t="shared" si="196"/>
        <v>0</v>
      </c>
      <c r="AQ840" s="24">
        <f>SUMIFS(инфо!$H$15:$H$28,инфо!$A$15:$A$28,F840)</f>
        <v>0</v>
      </c>
      <c r="AR840" s="35">
        <f t="shared" si="194"/>
        <v>0</v>
      </c>
      <c r="AS840" s="12">
        <f t="shared" si="197"/>
        <v>0</v>
      </c>
      <c r="AT840" s="24">
        <f>SUMIFS(инфо!$I$15:$I$28,инфо!$A$15:$A$28,F840)</f>
        <v>0</v>
      </c>
      <c r="AU840" s="35">
        <f t="shared" si="188"/>
        <v>0</v>
      </c>
      <c r="AV840" s="12">
        <f t="shared" si="198"/>
        <v>0</v>
      </c>
      <c r="AX840" s="68">
        <f>SUMIFS(инфо!$C$15:$C$28,инфо!$A$15:$A$28,F840)*H839</f>
        <v>0</v>
      </c>
    </row>
    <row r="841" spans="1:50" x14ac:dyDescent="0.25">
      <c r="A841" s="70">
        <f t="shared" si="189"/>
        <v>46484</v>
      </c>
      <c r="B841" s="76"/>
      <c r="C841" s="15"/>
      <c r="D841" s="16"/>
      <c r="E841" s="11"/>
      <c r="F841" s="28"/>
      <c r="G841" s="34"/>
      <c r="H841" s="23"/>
      <c r="I841" s="20"/>
      <c r="J841" s="20"/>
      <c r="K841" s="20"/>
      <c r="L841" s="20"/>
      <c r="M841" s="20"/>
      <c r="N841" s="20"/>
      <c r="O841" s="34"/>
      <c r="P841" s="34"/>
      <c r="Q841" s="34"/>
      <c r="R841" s="34"/>
      <c r="S841" s="68">
        <f t="shared" si="199"/>
        <v>0</v>
      </c>
      <c r="T841" s="15"/>
      <c r="U841" s="16"/>
      <c r="V841" s="34"/>
      <c r="W841" s="81"/>
      <c r="X841" s="34"/>
      <c r="Y841" s="15"/>
      <c r="Z841" s="34"/>
      <c r="AA841" s="34"/>
      <c r="AB841" s="34"/>
      <c r="AC841" s="34"/>
      <c r="AD841" s="16"/>
      <c r="AE841" s="24">
        <f>SUMIFS(инфо!$D$15:$D$28,инфо!$A$15:$A$28,F841)</f>
        <v>0</v>
      </c>
      <c r="AF841" s="35">
        <f t="shared" si="190"/>
        <v>0</v>
      </c>
      <c r="AG841" s="12">
        <f t="shared" si="200"/>
        <v>0</v>
      </c>
      <c r="AH841" s="24">
        <f>SUMIFS(инфо!$E$15:$E$28,инфо!$A$15:$A$28,F841)</f>
        <v>0</v>
      </c>
      <c r="AI841" s="32">
        <f t="shared" si="191"/>
        <v>0</v>
      </c>
      <c r="AJ841" s="12">
        <f t="shared" si="201"/>
        <v>0</v>
      </c>
      <c r="AK841" s="24">
        <f>SUMIFS(инфо!$F$15:$F$28,инфо!$A$15:$A$28,F841)</f>
        <v>0</v>
      </c>
      <c r="AL841" s="32">
        <f t="shared" si="192"/>
        <v>0</v>
      </c>
      <c r="AM841" s="12">
        <f t="shared" si="195"/>
        <v>0</v>
      </c>
      <c r="AN841" s="24">
        <f>SUMIFS(инфо!$G$15:$G$28,инфо!$A$15:$A$28,F841)</f>
        <v>0</v>
      </c>
      <c r="AO841" s="32">
        <f t="shared" si="193"/>
        <v>0</v>
      </c>
      <c r="AP841" s="12">
        <f t="shared" si="196"/>
        <v>0</v>
      </c>
      <c r="AQ841" s="24">
        <f>SUMIFS(инфо!$H$15:$H$28,инфо!$A$15:$A$28,F841)</f>
        <v>0</v>
      </c>
      <c r="AR841" s="35">
        <f t="shared" si="194"/>
        <v>0</v>
      </c>
      <c r="AS841" s="12">
        <f t="shared" si="197"/>
        <v>0</v>
      </c>
      <c r="AT841" s="24">
        <f>SUMIFS(инфо!$I$15:$I$28,инфо!$A$15:$A$28,F841)</f>
        <v>0</v>
      </c>
      <c r="AU841" s="35">
        <f t="shared" ref="AU841:AU904" si="202">IF(H841=0,0,AD841/H841)</f>
        <v>0</v>
      </c>
      <c r="AV841" s="12">
        <f t="shared" si="198"/>
        <v>0</v>
      </c>
      <c r="AX841" s="68">
        <f>SUMIFS(инфо!$C$15:$C$28,инфо!$A$15:$A$28,F841)*H840</f>
        <v>0</v>
      </c>
    </row>
    <row r="842" spans="1:50" x14ac:dyDescent="0.25">
      <c r="A842" s="70">
        <f t="shared" si="189"/>
        <v>46485</v>
      </c>
      <c r="B842" s="77"/>
      <c r="C842" s="17"/>
      <c r="D842" s="18"/>
      <c r="E842" s="11"/>
      <c r="F842" s="28"/>
      <c r="G842" s="19"/>
      <c r="H842" s="28"/>
      <c r="I842" s="20"/>
      <c r="J842" s="20"/>
      <c r="K842" s="20"/>
      <c r="L842" s="20"/>
      <c r="M842" s="20"/>
      <c r="N842" s="23"/>
      <c r="O842" s="19"/>
      <c r="P842" s="19"/>
      <c r="Q842" s="19"/>
      <c r="R842" s="19"/>
      <c r="S842" s="69">
        <f t="shared" si="199"/>
        <v>0</v>
      </c>
      <c r="T842" s="17"/>
      <c r="U842" s="18"/>
      <c r="V842" s="19"/>
      <c r="W842" s="81"/>
      <c r="X842" s="19"/>
      <c r="Y842" s="17"/>
      <c r="Z842" s="19"/>
      <c r="AA842" s="19"/>
      <c r="AB842" s="19"/>
      <c r="AC842" s="19"/>
      <c r="AD842" s="18"/>
      <c r="AE842" s="25">
        <f>SUMIFS(инфо!$D$15:$D$28,инфо!$A$15:$A$28,F842)</f>
        <v>0</v>
      </c>
      <c r="AF842" s="35">
        <f t="shared" si="190"/>
        <v>0</v>
      </c>
      <c r="AG842" s="14">
        <f t="shared" si="200"/>
        <v>0</v>
      </c>
      <c r="AH842" s="25">
        <f>SUMIFS(инфо!$E$15:$E$28,инфо!$A$15:$A$28,F842)</f>
        <v>0</v>
      </c>
      <c r="AI842" s="32">
        <f t="shared" si="191"/>
        <v>0</v>
      </c>
      <c r="AJ842" s="14">
        <f t="shared" si="201"/>
        <v>0</v>
      </c>
      <c r="AK842" s="25">
        <f>SUMIFS(инфо!$F$15:$F$28,инфо!$A$15:$A$28,F842)</f>
        <v>0</v>
      </c>
      <c r="AL842" s="32">
        <f t="shared" si="192"/>
        <v>0</v>
      </c>
      <c r="AM842" s="14">
        <f t="shared" si="195"/>
        <v>0</v>
      </c>
      <c r="AN842" s="25">
        <f>SUMIFS(инфо!$G$15:$G$28,инфо!$A$15:$A$28,F842)</f>
        <v>0</v>
      </c>
      <c r="AO842" s="32">
        <f t="shared" si="193"/>
        <v>0</v>
      </c>
      <c r="AP842" s="14">
        <f t="shared" si="196"/>
        <v>0</v>
      </c>
      <c r="AQ842" s="25">
        <f>SUMIFS(инфо!$H$15:$H$28,инфо!$A$15:$A$28,F842)</f>
        <v>0</v>
      </c>
      <c r="AR842" s="26">
        <f t="shared" si="194"/>
        <v>0</v>
      </c>
      <c r="AS842" s="14">
        <f t="shared" si="197"/>
        <v>0</v>
      </c>
      <c r="AT842" s="25">
        <f>SUMIFS(инфо!$I$15:$I$28,инфо!$A$15:$A$28,F842)</f>
        <v>0</v>
      </c>
      <c r="AU842" s="35">
        <f t="shared" si="202"/>
        <v>0</v>
      </c>
      <c r="AV842" s="14">
        <f t="shared" si="198"/>
        <v>0</v>
      </c>
      <c r="AX842" s="69">
        <f>SUMIFS(инфо!$C$15:$C$28,инфо!$A$15:$A$28,F842)*H841</f>
        <v>0</v>
      </c>
    </row>
    <row r="843" spans="1:50" x14ac:dyDescent="0.25">
      <c r="A843" s="70">
        <f t="shared" si="189"/>
        <v>46485</v>
      </c>
      <c r="B843" s="75"/>
      <c r="C843" s="29"/>
      <c r="D843" s="30"/>
      <c r="E843" s="11"/>
      <c r="F843" s="28"/>
      <c r="G843" s="27"/>
      <c r="H843" s="20"/>
      <c r="I843" s="20"/>
      <c r="J843" s="20"/>
      <c r="K843" s="20"/>
      <c r="L843" s="20"/>
      <c r="M843" s="20"/>
      <c r="N843" s="28"/>
      <c r="O843" s="27"/>
      <c r="P843" s="27"/>
      <c r="Q843" s="27"/>
      <c r="R843" s="27"/>
      <c r="S843" s="67">
        <f t="shared" si="199"/>
        <v>0</v>
      </c>
      <c r="T843" s="29"/>
      <c r="U843" s="30"/>
      <c r="V843" s="27"/>
      <c r="W843" s="81"/>
      <c r="X843" s="27"/>
      <c r="Y843" s="29"/>
      <c r="Z843" s="27"/>
      <c r="AA843" s="27"/>
      <c r="AB843" s="27"/>
      <c r="AC843" s="27"/>
      <c r="AD843" s="30"/>
      <c r="AE843" s="31">
        <f>SUMIFS(инфо!$D$15:$D$28,инфо!$A$15:$A$28,F843)</f>
        <v>0</v>
      </c>
      <c r="AF843" s="35">
        <f t="shared" si="190"/>
        <v>0</v>
      </c>
      <c r="AG843" s="33">
        <f t="shared" si="200"/>
        <v>0</v>
      </c>
      <c r="AH843" s="31">
        <f>SUMIFS(инфо!$E$15:$E$28,инфо!$A$15:$A$28,F843)</f>
        <v>0</v>
      </c>
      <c r="AI843" s="32">
        <f t="shared" si="191"/>
        <v>0</v>
      </c>
      <c r="AJ843" s="33">
        <f t="shared" si="201"/>
        <v>0</v>
      </c>
      <c r="AK843" s="31">
        <f>SUMIFS(инфо!$F$15:$F$28,инфо!$A$15:$A$28,F843)</f>
        <v>0</v>
      </c>
      <c r="AL843" s="32">
        <f t="shared" si="192"/>
        <v>0</v>
      </c>
      <c r="AM843" s="33">
        <f t="shared" si="195"/>
        <v>0</v>
      </c>
      <c r="AN843" s="31">
        <f>SUMIFS(инфо!$G$15:$G$28,инфо!$A$15:$A$28,F843)</f>
        <v>0</v>
      </c>
      <c r="AO843" s="32">
        <f t="shared" si="193"/>
        <v>0</v>
      </c>
      <c r="AP843" s="33">
        <f t="shared" si="196"/>
        <v>0</v>
      </c>
      <c r="AQ843" s="31">
        <f>SUMIFS(инфо!$H$15:$H$28,инфо!$A$15:$A$28,F843)</f>
        <v>0</v>
      </c>
      <c r="AR843" s="32">
        <f t="shared" si="194"/>
        <v>0</v>
      </c>
      <c r="AS843" s="33">
        <f t="shared" si="197"/>
        <v>0</v>
      </c>
      <c r="AT843" s="31">
        <f>SUMIFS(инфо!$I$15:$I$28,инфо!$A$15:$A$28,F843)</f>
        <v>0</v>
      </c>
      <c r="AU843" s="35">
        <f t="shared" si="202"/>
        <v>0</v>
      </c>
      <c r="AV843" s="33">
        <f t="shared" si="198"/>
        <v>0</v>
      </c>
      <c r="AX843" s="67">
        <f>SUMIFS(инфо!$C$15:$C$28,инфо!$A$15:$A$28,F843)*H842</f>
        <v>0</v>
      </c>
    </row>
    <row r="844" spans="1:50" x14ac:dyDescent="0.25">
      <c r="A844" s="70">
        <f t="shared" si="189"/>
        <v>46486</v>
      </c>
      <c r="B844" s="76"/>
      <c r="C844" s="15"/>
      <c r="D844" s="16"/>
      <c r="E844" s="11"/>
      <c r="F844" s="28"/>
      <c r="G844" s="34"/>
      <c r="H844" s="20"/>
      <c r="I844" s="20"/>
      <c r="J844" s="20"/>
      <c r="K844" s="20"/>
      <c r="L844" s="20"/>
      <c r="M844" s="20"/>
      <c r="N844" s="20"/>
      <c r="O844" s="34"/>
      <c r="P844" s="34"/>
      <c r="Q844" s="34"/>
      <c r="R844" s="34"/>
      <c r="S844" s="68">
        <f t="shared" si="199"/>
        <v>0</v>
      </c>
      <c r="T844" s="15"/>
      <c r="U844" s="16"/>
      <c r="V844" s="34"/>
      <c r="W844" s="81"/>
      <c r="X844" s="34"/>
      <c r="Y844" s="15"/>
      <c r="Z844" s="34"/>
      <c r="AA844" s="34"/>
      <c r="AB844" s="34"/>
      <c r="AC844" s="34"/>
      <c r="AD844" s="16"/>
      <c r="AE844" s="24">
        <f>SUMIFS(инфо!$D$15:$D$28,инфо!$A$15:$A$28,F844)</f>
        <v>0</v>
      </c>
      <c r="AF844" s="35">
        <f t="shared" si="190"/>
        <v>0</v>
      </c>
      <c r="AG844" s="12">
        <f t="shared" si="200"/>
        <v>0</v>
      </c>
      <c r="AH844" s="24">
        <f>SUMIFS(инфо!$E$15:$E$28,инфо!$A$15:$A$28,F844)</f>
        <v>0</v>
      </c>
      <c r="AI844" s="32">
        <f t="shared" si="191"/>
        <v>0</v>
      </c>
      <c r="AJ844" s="12">
        <f t="shared" si="201"/>
        <v>0</v>
      </c>
      <c r="AK844" s="24">
        <f>SUMIFS(инфо!$F$15:$F$28,инфо!$A$15:$A$28,F844)</f>
        <v>0</v>
      </c>
      <c r="AL844" s="32">
        <f t="shared" si="192"/>
        <v>0</v>
      </c>
      <c r="AM844" s="12">
        <f t="shared" si="195"/>
        <v>0</v>
      </c>
      <c r="AN844" s="24">
        <f>SUMIFS(инфо!$G$15:$G$28,инфо!$A$15:$A$28,F844)</f>
        <v>0</v>
      </c>
      <c r="AO844" s="32">
        <f t="shared" si="193"/>
        <v>0</v>
      </c>
      <c r="AP844" s="12">
        <f t="shared" si="196"/>
        <v>0</v>
      </c>
      <c r="AQ844" s="24">
        <f>SUMIFS(инфо!$H$15:$H$28,инфо!$A$15:$A$28,F844)</f>
        <v>0</v>
      </c>
      <c r="AR844" s="35">
        <f t="shared" si="194"/>
        <v>0</v>
      </c>
      <c r="AS844" s="12">
        <f t="shared" si="197"/>
        <v>0</v>
      </c>
      <c r="AT844" s="24">
        <f>SUMIFS(инфо!$I$15:$I$28,инфо!$A$15:$A$28,F844)</f>
        <v>0</v>
      </c>
      <c r="AU844" s="35">
        <f t="shared" si="202"/>
        <v>0</v>
      </c>
      <c r="AV844" s="12">
        <f t="shared" si="198"/>
        <v>0</v>
      </c>
      <c r="AX844" s="68">
        <f>SUMIFS(инфо!$C$15:$C$28,инфо!$A$15:$A$28,F844)*H843</f>
        <v>0</v>
      </c>
    </row>
    <row r="845" spans="1:50" x14ac:dyDescent="0.25">
      <c r="A845" s="70">
        <f t="shared" si="189"/>
        <v>46486</v>
      </c>
      <c r="B845" s="76"/>
      <c r="C845" s="15"/>
      <c r="D845" s="16"/>
      <c r="E845" s="11"/>
      <c r="F845" s="28"/>
      <c r="G845" s="34"/>
      <c r="H845" s="23"/>
      <c r="I845" s="20"/>
      <c r="J845" s="20"/>
      <c r="K845" s="20"/>
      <c r="L845" s="20"/>
      <c r="M845" s="20"/>
      <c r="N845" s="20"/>
      <c r="O845" s="34"/>
      <c r="P845" s="34"/>
      <c r="Q845" s="34"/>
      <c r="R845" s="34"/>
      <c r="S845" s="68">
        <f t="shared" si="199"/>
        <v>0</v>
      </c>
      <c r="T845" s="15"/>
      <c r="U845" s="16"/>
      <c r="V845" s="34"/>
      <c r="W845" s="81"/>
      <c r="X845" s="34"/>
      <c r="Y845" s="15"/>
      <c r="Z845" s="34"/>
      <c r="AA845" s="34"/>
      <c r="AB845" s="34"/>
      <c r="AC845" s="34"/>
      <c r="AD845" s="16"/>
      <c r="AE845" s="24">
        <f>SUMIFS(инфо!$D$15:$D$28,инфо!$A$15:$A$28,F845)</f>
        <v>0</v>
      </c>
      <c r="AF845" s="35">
        <f t="shared" si="190"/>
        <v>0</v>
      </c>
      <c r="AG845" s="12">
        <f t="shared" si="200"/>
        <v>0</v>
      </c>
      <c r="AH845" s="24">
        <f>SUMIFS(инфо!$E$15:$E$28,инфо!$A$15:$A$28,F845)</f>
        <v>0</v>
      </c>
      <c r="AI845" s="32">
        <f t="shared" si="191"/>
        <v>0</v>
      </c>
      <c r="AJ845" s="12">
        <f t="shared" si="201"/>
        <v>0</v>
      </c>
      <c r="AK845" s="24">
        <f>SUMIFS(инфо!$F$15:$F$28,инфо!$A$15:$A$28,F845)</f>
        <v>0</v>
      </c>
      <c r="AL845" s="32">
        <f t="shared" si="192"/>
        <v>0</v>
      </c>
      <c r="AM845" s="12">
        <f t="shared" si="195"/>
        <v>0</v>
      </c>
      <c r="AN845" s="24">
        <f>SUMIFS(инфо!$G$15:$G$28,инфо!$A$15:$A$28,F845)</f>
        <v>0</v>
      </c>
      <c r="AO845" s="32">
        <f t="shared" si="193"/>
        <v>0</v>
      </c>
      <c r="AP845" s="12">
        <f t="shared" si="196"/>
        <v>0</v>
      </c>
      <c r="AQ845" s="24">
        <f>SUMIFS(инфо!$H$15:$H$28,инфо!$A$15:$A$28,F845)</f>
        <v>0</v>
      </c>
      <c r="AR845" s="35">
        <f t="shared" si="194"/>
        <v>0</v>
      </c>
      <c r="AS845" s="12">
        <f t="shared" si="197"/>
        <v>0</v>
      </c>
      <c r="AT845" s="24">
        <f>SUMIFS(инфо!$I$15:$I$28,инфо!$A$15:$A$28,F845)</f>
        <v>0</v>
      </c>
      <c r="AU845" s="35">
        <f t="shared" si="202"/>
        <v>0</v>
      </c>
      <c r="AV845" s="12">
        <f t="shared" si="198"/>
        <v>0</v>
      </c>
      <c r="AX845" s="68">
        <f>SUMIFS(инфо!$C$15:$C$28,инфо!$A$15:$A$28,F845)*H844</f>
        <v>0</v>
      </c>
    </row>
    <row r="846" spans="1:50" x14ac:dyDescent="0.25">
      <c r="A846" s="70">
        <f t="shared" si="189"/>
        <v>46487</v>
      </c>
      <c r="B846" s="77"/>
      <c r="C846" s="17"/>
      <c r="D846" s="18"/>
      <c r="E846" s="11"/>
      <c r="F846" s="28"/>
      <c r="G846" s="19"/>
      <c r="H846" s="28"/>
      <c r="I846" s="20"/>
      <c r="J846" s="20"/>
      <c r="K846" s="20"/>
      <c r="L846" s="20"/>
      <c r="M846" s="20"/>
      <c r="N846" s="23"/>
      <c r="O846" s="19"/>
      <c r="P846" s="19"/>
      <c r="Q846" s="19"/>
      <c r="R846" s="19"/>
      <c r="S846" s="69">
        <f t="shared" si="199"/>
        <v>0</v>
      </c>
      <c r="T846" s="17"/>
      <c r="U846" s="18"/>
      <c r="V846" s="19"/>
      <c r="W846" s="81"/>
      <c r="X846" s="19"/>
      <c r="Y846" s="17"/>
      <c r="Z846" s="19"/>
      <c r="AA846" s="19"/>
      <c r="AB846" s="19"/>
      <c r="AC846" s="19"/>
      <c r="AD846" s="18"/>
      <c r="AE846" s="25">
        <f>SUMIFS(инфо!$D$15:$D$28,инфо!$A$15:$A$28,F846)</f>
        <v>0</v>
      </c>
      <c r="AF846" s="35">
        <f t="shared" si="190"/>
        <v>0</v>
      </c>
      <c r="AG846" s="14">
        <f t="shared" si="200"/>
        <v>0</v>
      </c>
      <c r="AH846" s="25">
        <f>SUMIFS(инфо!$E$15:$E$28,инфо!$A$15:$A$28,F846)</f>
        <v>0</v>
      </c>
      <c r="AI846" s="32">
        <f t="shared" si="191"/>
        <v>0</v>
      </c>
      <c r="AJ846" s="14">
        <f t="shared" si="201"/>
        <v>0</v>
      </c>
      <c r="AK846" s="25">
        <f>SUMIFS(инфо!$F$15:$F$28,инфо!$A$15:$A$28,F846)</f>
        <v>0</v>
      </c>
      <c r="AL846" s="32">
        <f t="shared" si="192"/>
        <v>0</v>
      </c>
      <c r="AM846" s="14">
        <f t="shared" si="195"/>
        <v>0</v>
      </c>
      <c r="AN846" s="25">
        <f>SUMIFS(инфо!$G$15:$G$28,инфо!$A$15:$A$28,F846)</f>
        <v>0</v>
      </c>
      <c r="AO846" s="32">
        <f t="shared" si="193"/>
        <v>0</v>
      </c>
      <c r="AP846" s="14">
        <f t="shared" si="196"/>
        <v>0</v>
      </c>
      <c r="AQ846" s="25">
        <f>SUMIFS(инфо!$H$15:$H$28,инфо!$A$15:$A$28,F846)</f>
        <v>0</v>
      </c>
      <c r="AR846" s="26">
        <f t="shared" si="194"/>
        <v>0</v>
      </c>
      <c r="AS846" s="14">
        <f t="shared" si="197"/>
        <v>0</v>
      </c>
      <c r="AT846" s="25">
        <f>SUMIFS(инфо!$I$15:$I$28,инфо!$A$15:$A$28,F846)</f>
        <v>0</v>
      </c>
      <c r="AU846" s="35">
        <f t="shared" si="202"/>
        <v>0</v>
      </c>
      <c r="AV846" s="14">
        <f t="shared" si="198"/>
        <v>0</v>
      </c>
      <c r="AX846" s="69">
        <f>SUMIFS(инфо!$C$15:$C$28,инфо!$A$15:$A$28,F846)*H845</f>
        <v>0</v>
      </c>
    </row>
    <row r="847" spans="1:50" x14ac:dyDescent="0.25">
      <c r="A847" s="70">
        <f t="shared" si="189"/>
        <v>46487</v>
      </c>
      <c r="B847" s="75"/>
      <c r="C847" s="29"/>
      <c r="D847" s="30"/>
      <c r="E847" s="11"/>
      <c r="F847" s="28"/>
      <c r="G847" s="27"/>
      <c r="H847" s="20"/>
      <c r="I847" s="20"/>
      <c r="J847" s="20"/>
      <c r="K847" s="20"/>
      <c r="L847" s="20"/>
      <c r="M847" s="20"/>
      <c r="N847" s="28"/>
      <c r="O847" s="27"/>
      <c r="P847" s="27"/>
      <c r="Q847" s="27"/>
      <c r="R847" s="27"/>
      <c r="S847" s="67">
        <f t="shared" si="199"/>
        <v>0</v>
      </c>
      <c r="T847" s="29"/>
      <c r="U847" s="30"/>
      <c r="V847" s="27"/>
      <c r="W847" s="81"/>
      <c r="X847" s="27"/>
      <c r="Y847" s="29"/>
      <c r="Z847" s="27"/>
      <c r="AA847" s="27"/>
      <c r="AB847" s="27"/>
      <c r="AC847" s="27"/>
      <c r="AD847" s="30"/>
      <c r="AE847" s="31">
        <f>SUMIFS(инфо!$D$15:$D$28,инфо!$A$15:$A$28,F847)</f>
        <v>0</v>
      </c>
      <c r="AF847" s="35">
        <f t="shared" si="190"/>
        <v>0</v>
      </c>
      <c r="AG847" s="33">
        <f t="shared" si="200"/>
        <v>0</v>
      </c>
      <c r="AH847" s="31">
        <f>SUMIFS(инфо!$E$15:$E$28,инфо!$A$15:$A$28,F847)</f>
        <v>0</v>
      </c>
      <c r="AI847" s="32">
        <f t="shared" si="191"/>
        <v>0</v>
      </c>
      <c r="AJ847" s="33">
        <f t="shared" si="201"/>
        <v>0</v>
      </c>
      <c r="AK847" s="31">
        <f>SUMIFS(инфо!$F$15:$F$28,инфо!$A$15:$A$28,F847)</f>
        <v>0</v>
      </c>
      <c r="AL847" s="32">
        <f t="shared" si="192"/>
        <v>0</v>
      </c>
      <c r="AM847" s="33">
        <f t="shared" si="195"/>
        <v>0</v>
      </c>
      <c r="AN847" s="31">
        <f>SUMIFS(инфо!$G$15:$G$28,инфо!$A$15:$A$28,F847)</f>
        <v>0</v>
      </c>
      <c r="AO847" s="32">
        <f t="shared" si="193"/>
        <v>0</v>
      </c>
      <c r="AP847" s="33">
        <f t="shared" si="196"/>
        <v>0</v>
      </c>
      <c r="AQ847" s="31">
        <f>SUMIFS(инфо!$H$15:$H$28,инфо!$A$15:$A$28,F847)</f>
        <v>0</v>
      </c>
      <c r="AR847" s="32">
        <f t="shared" si="194"/>
        <v>0</v>
      </c>
      <c r="AS847" s="33">
        <f t="shared" si="197"/>
        <v>0</v>
      </c>
      <c r="AT847" s="31">
        <f>SUMIFS(инфо!$I$15:$I$28,инфо!$A$15:$A$28,F847)</f>
        <v>0</v>
      </c>
      <c r="AU847" s="35">
        <f t="shared" si="202"/>
        <v>0</v>
      </c>
      <c r="AV847" s="33">
        <f t="shared" si="198"/>
        <v>0</v>
      </c>
      <c r="AX847" s="67">
        <f>SUMIFS(инфо!$C$15:$C$28,инфо!$A$15:$A$28,F847)*H846</f>
        <v>0</v>
      </c>
    </row>
    <row r="848" spans="1:50" x14ac:dyDescent="0.25">
      <c r="A848" s="70">
        <f t="shared" si="189"/>
        <v>46488</v>
      </c>
      <c r="B848" s="76"/>
      <c r="C848" s="15"/>
      <c r="D848" s="16"/>
      <c r="E848" s="11"/>
      <c r="F848" s="28"/>
      <c r="G848" s="34"/>
      <c r="H848" s="20"/>
      <c r="I848" s="20"/>
      <c r="J848" s="20"/>
      <c r="K848" s="20"/>
      <c r="L848" s="20"/>
      <c r="M848" s="20"/>
      <c r="N848" s="20"/>
      <c r="O848" s="34"/>
      <c r="P848" s="34"/>
      <c r="Q848" s="34"/>
      <c r="R848" s="34"/>
      <c r="S848" s="68">
        <f t="shared" si="199"/>
        <v>0</v>
      </c>
      <c r="T848" s="15"/>
      <c r="U848" s="16"/>
      <c r="V848" s="34"/>
      <c r="W848" s="81"/>
      <c r="X848" s="34"/>
      <c r="Y848" s="15"/>
      <c r="Z848" s="34"/>
      <c r="AA848" s="34"/>
      <c r="AB848" s="34"/>
      <c r="AC848" s="34"/>
      <c r="AD848" s="16"/>
      <c r="AE848" s="24">
        <f>SUMIFS(инфо!$D$15:$D$28,инфо!$A$15:$A$28,F848)</f>
        <v>0</v>
      </c>
      <c r="AF848" s="35">
        <f t="shared" si="190"/>
        <v>0</v>
      </c>
      <c r="AG848" s="12">
        <f t="shared" si="200"/>
        <v>0</v>
      </c>
      <c r="AH848" s="24">
        <f>SUMIFS(инфо!$E$15:$E$28,инфо!$A$15:$A$28,F848)</f>
        <v>0</v>
      </c>
      <c r="AI848" s="32">
        <f t="shared" si="191"/>
        <v>0</v>
      </c>
      <c r="AJ848" s="12">
        <f t="shared" si="201"/>
        <v>0</v>
      </c>
      <c r="AK848" s="24">
        <f>SUMIFS(инфо!$F$15:$F$28,инфо!$A$15:$A$28,F848)</f>
        <v>0</v>
      </c>
      <c r="AL848" s="32">
        <f t="shared" si="192"/>
        <v>0</v>
      </c>
      <c r="AM848" s="12">
        <f t="shared" si="195"/>
        <v>0</v>
      </c>
      <c r="AN848" s="24">
        <f>SUMIFS(инфо!$G$15:$G$28,инфо!$A$15:$A$28,F848)</f>
        <v>0</v>
      </c>
      <c r="AO848" s="32">
        <f t="shared" si="193"/>
        <v>0</v>
      </c>
      <c r="AP848" s="12">
        <f t="shared" si="196"/>
        <v>0</v>
      </c>
      <c r="AQ848" s="24">
        <f>SUMIFS(инфо!$H$15:$H$28,инфо!$A$15:$A$28,F848)</f>
        <v>0</v>
      </c>
      <c r="AR848" s="35">
        <f t="shared" si="194"/>
        <v>0</v>
      </c>
      <c r="AS848" s="12">
        <f t="shared" si="197"/>
        <v>0</v>
      </c>
      <c r="AT848" s="24">
        <f>SUMIFS(инфо!$I$15:$I$28,инфо!$A$15:$A$28,F848)</f>
        <v>0</v>
      </c>
      <c r="AU848" s="35">
        <f t="shared" si="202"/>
        <v>0</v>
      </c>
      <c r="AV848" s="12">
        <f t="shared" si="198"/>
        <v>0</v>
      </c>
      <c r="AX848" s="68">
        <f>SUMIFS(инфо!$C$15:$C$28,инфо!$A$15:$A$28,F848)*H847</f>
        <v>0</v>
      </c>
    </row>
    <row r="849" spans="1:50" x14ac:dyDescent="0.25">
      <c r="A849" s="70">
        <f t="shared" si="189"/>
        <v>46488</v>
      </c>
      <c r="B849" s="76"/>
      <c r="C849" s="15"/>
      <c r="D849" s="16"/>
      <c r="E849" s="11"/>
      <c r="F849" s="28"/>
      <c r="G849" s="34"/>
      <c r="H849" s="23"/>
      <c r="I849" s="20"/>
      <c r="J849" s="20"/>
      <c r="K849" s="20"/>
      <c r="L849" s="20"/>
      <c r="M849" s="20"/>
      <c r="N849" s="20"/>
      <c r="O849" s="34"/>
      <c r="P849" s="34"/>
      <c r="Q849" s="34"/>
      <c r="R849" s="34"/>
      <c r="S849" s="68">
        <f t="shared" si="199"/>
        <v>0</v>
      </c>
      <c r="T849" s="15"/>
      <c r="U849" s="16"/>
      <c r="V849" s="34"/>
      <c r="W849" s="81"/>
      <c r="X849" s="34"/>
      <c r="Y849" s="15"/>
      <c r="Z849" s="34"/>
      <c r="AA849" s="34"/>
      <c r="AB849" s="34"/>
      <c r="AC849" s="34"/>
      <c r="AD849" s="16"/>
      <c r="AE849" s="24">
        <f>SUMIFS(инфо!$D$15:$D$28,инфо!$A$15:$A$28,F849)</f>
        <v>0</v>
      </c>
      <c r="AF849" s="35">
        <f t="shared" si="190"/>
        <v>0</v>
      </c>
      <c r="AG849" s="12">
        <f t="shared" si="200"/>
        <v>0</v>
      </c>
      <c r="AH849" s="24">
        <f>SUMIFS(инфо!$E$15:$E$28,инфо!$A$15:$A$28,F849)</f>
        <v>0</v>
      </c>
      <c r="AI849" s="32">
        <f t="shared" si="191"/>
        <v>0</v>
      </c>
      <c r="AJ849" s="12">
        <f t="shared" si="201"/>
        <v>0</v>
      </c>
      <c r="AK849" s="24">
        <f>SUMIFS(инфо!$F$15:$F$28,инфо!$A$15:$A$28,F849)</f>
        <v>0</v>
      </c>
      <c r="AL849" s="32">
        <f t="shared" si="192"/>
        <v>0</v>
      </c>
      <c r="AM849" s="12">
        <f t="shared" si="195"/>
        <v>0</v>
      </c>
      <c r="AN849" s="24">
        <f>SUMIFS(инфо!$G$15:$G$28,инфо!$A$15:$A$28,F849)</f>
        <v>0</v>
      </c>
      <c r="AO849" s="32">
        <f t="shared" si="193"/>
        <v>0</v>
      </c>
      <c r="AP849" s="12">
        <f t="shared" si="196"/>
        <v>0</v>
      </c>
      <c r="AQ849" s="24">
        <f>SUMIFS(инфо!$H$15:$H$28,инфо!$A$15:$A$28,F849)</f>
        <v>0</v>
      </c>
      <c r="AR849" s="35">
        <f t="shared" si="194"/>
        <v>0</v>
      </c>
      <c r="AS849" s="12">
        <f t="shared" si="197"/>
        <v>0</v>
      </c>
      <c r="AT849" s="24">
        <f>SUMIFS(инфо!$I$15:$I$28,инфо!$A$15:$A$28,F849)</f>
        <v>0</v>
      </c>
      <c r="AU849" s="35">
        <f t="shared" si="202"/>
        <v>0</v>
      </c>
      <c r="AV849" s="12">
        <f t="shared" si="198"/>
        <v>0</v>
      </c>
      <c r="AX849" s="68">
        <f>SUMIFS(инфо!$C$15:$C$28,инфо!$A$15:$A$28,F849)*H848</f>
        <v>0</v>
      </c>
    </row>
    <row r="850" spans="1:50" x14ac:dyDescent="0.25">
      <c r="A850" s="70">
        <f t="shared" si="189"/>
        <v>46489</v>
      </c>
      <c r="B850" s="77"/>
      <c r="C850" s="17"/>
      <c r="D850" s="18"/>
      <c r="E850" s="11"/>
      <c r="F850" s="28"/>
      <c r="G850" s="19"/>
      <c r="H850" s="28"/>
      <c r="I850" s="20"/>
      <c r="J850" s="20"/>
      <c r="K850" s="20"/>
      <c r="L850" s="20"/>
      <c r="M850" s="20"/>
      <c r="N850" s="23"/>
      <c r="O850" s="19"/>
      <c r="P850" s="19"/>
      <c r="Q850" s="19"/>
      <c r="R850" s="19"/>
      <c r="S850" s="69">
        <f t="shared" si="199"/>
        <v>0</v>
      </c>
      <c r="T850" s="17"/>
      <c r="U850" s="18"/>
      <c r="V850" s="19"/>
      <c r="W850" s="81"/>
      <c r="X850" s="19"/>
      <c r="Y850" s="17"/>
      <c r="Z850" s="19"/>
      <c r="AA850" s="19"/>
      <c r="AB850" s="19"/>
      <c r="AC850" s="19"/>
      <c r="AD850" s="18"/>
      <c r="AE850" s="25">
        <f>SUMIFS(инфо!$D$15:$D$28,инфо!$A$15:$A$28,F850)</f>
        <v>0</v>
      </c>
      <c r="AF850" s="35">
        <f t="shared" si="190"/>
        <v>0</v>
      </c>
      <c r="AG850" s="14">
        <f t="shared" si="200"/>
        <v>0</v>
      </c>
      <c r="AH850" s="25">
        <f>SUMIFS(инфо!$E$15:$E$28,инфо!$A$15:$A$28,F850)</f>
        <v>0</v>
      </c>
      <c r="AI850" s="32">
        <f t="shared" si="191"/>
        <v>0</v>
      </c>
      <c r="AJ850" s="14">
        <f t="shared" si="201"/>
        <v>0</v>
      </c>
      <c r="AK850" s="25">
        <f>SUMIFS(инфо!$F$15:$F$28,инфо!$A$15:$A$28,F850)</f>
        <v>0</v>
      </c>
      <c r="AL850" s="32">
        <f t="shared" si="192"/>
        <v>0</v>
      </c>
      <c r="AM850" s="14">
        <f t="shared" si="195"/>
        <v>0</v>
      </c>
      <c r="AN850" s="25">
        <f>SUMIFS(инфо!$G$15:$G$28,инфо!$A$15:$A$28,F850)</f>
        <v>0</v>
      </c>
      <c r="AO850" s="32">
        <f t="shared" si="193"/>
        <v>0</v>
      </c>
      <c r="AP850" s="14">
        <f t="shared" si="196"/>
        <v>0</v>
      </c>
      <c r="AQ850" s="25">
        <f>SUMIFS(инфо!$H$15:$H$28,инфо!$A$15:$A$28,F850)</f>
        <v>0</v>
      </c>
      <c r="AR850" s="26">
        <f t="shared" si="194"/>
        <v>0</v>
      </c>
      <c r="AS850" s="14">
        <f t="shared" si="197"/>
        <v>0</v>
      </c>
      <c r="AT850" s="25">
        <f>SUMIFS(инфо!$I$15:$I$28,инфо!$A$15:$A$28,F850)</f>
        <v>0</v>
      </c>
      <c r="AU850" s="35">
        <f t="shared" si="202"/>
        <v>0</v>
      </c>
      <c r="AV850" s="14">
        <f t="shared" si="198"/>
        <v>0</v>
      </c>
      <c r="AX850" s="69">
        <f>SUMIFS(инфо!$C$15:$C$28,инфо!$A$15:$A$28,F850)*H849</f>
        <v>0</v>
      </c>
    </row>
    <row r="851" spans="1:50" x14ac:dyDescent="0.25">
      <c r="A851" s="70">
        <f t="shared" si="189"/>
        <v>46489</v>
      </c>
      <c r="B851" s="75"/>
      <c r="C851" s="29"/>
      <c r="D851" s="30"/>
      <c r="E851" s="11"/>
      <c r="F851" s="28"/>
      <c r="G851" s="27"/>
      <c r="H851" s="20"/>
      <c r="I851" s="20"/>
      <c r="J851" s="20"/>
      <c r="K851" s="20"/>
      <c r="L851" s="20"/>
      <c r="M851" s="20"/>
      <c r="N851" s="28"/>
      <c r="O851" s="27"/>
      <c r="P851" s="27"/>
      <c r="Q851" s="27"/>
      <c r="R851" s="27"/>
      <c r="S851" s="67">
        <f t="shared" si="199"/>
        <v>0</v>
      </c>
      <c r="T851" s="29"/>
      <c r="U851" s="30"/>
      <c r="V851" s="27"/>
      <c r="W851" s="81"/>
      <c r="X851" s="27"/>
      <c r="Y851" s="29"/>
      <c r="Z851" s="27"/>
      <c r="AA851" s="27"/>
      <c r="AB851" s="27"/>
      <c r="AC851" s="27"/>
      <c r="AD851" s="30"/>
      <c r="AE851" s="31">
        <f>SUMIFS(инфо!$D$15:$D$28,инфо!$A$15:$A$28,F851)</f>
        <v>0</v>
      </c>
      <c r="AF851" s="35">
        <f t="shared" si="190"/>
        <v>0</v>
      </c>
      <c r="AG851" s="33">
        <f t="shared" si="200"/>
        <v>0</v>
      </c>
      <c r="AH851" s="31">
        <f>SUMIFS(инфо!$E$15:$E$28,инфо!$A$15:$A$28,F851)</f>
        <v>0</v>
      </c>
      <c r="AI851" s="32">
        <f t="shared" si="191"/>
        <v>0</v>
      </c>
      <c r="AJ851" s="33">
        <f t="shared" si="201"/>
        <v>0</v>
      </c>
      <c r="AK851" s="31">
        <f>SUMIFS(инфо!$F$15:$F$28,инфо!$A$15:$A$28,F851)</f>
        <v>0</v>
      </c>
      <c r="AL851" s="32">
        <f t="shared" si="192"/>
        <v>0</v>
      </c>
      <c r="AM851" s="33">
        <f t="shared" si="195"/>
        <v>0</v>
      </c>
      <c r="AN851" s="31">
        <f>SUMIFS(инфо!$G$15:$G$28,инфо!$A$15:$A$28,F851)</f>
        <v>0</v>
      </c>
      <c r="AO851" s="32">
        <f t="shared" si="193"/>
        <v>0</v>
      </c>
      <c r="AP851" s="33">
        <f t="shared" si="196"/>
        <v>0</v>
      </c>
      <c r="AQ851" s="31">
        <f>SUMIFS(инфо!$H$15:$H$28,инфо!$A$15:$A$28,F851)</f>
        <v>0</v>
      </c>
      <c r="AR851" s="32">
        <f t="shared" si="194"/>
        <v>0</v>
      </c>
      <c r="AS851" s="33">
        <f t="shared" si="197"/>
        <v>0</v>
      </c>
      <c r="AT851" s="31">
        <f>SUMIFS(инфо!$I$15:$I$28,инфо!$A$15:$A$28,F851)</f>
        <v>0</v>
      </c>
      <c r="AU851" s="35">
        <f t="shared" si="202"/>
        <v>0</v>
      </c>
      <c r="AV851" s="33">
        <f t="shared" si="198"/>
        <v>0</v>
      </c>
      <c r="AX851" s="67">
        <f>SUMIFS(инфо!$C$15:$C$28,инфо!$A$15:$A$28,F851)*H850</f>
        <v>0</v>
      </c>
    </row>
    <row r="852" spans="1:50" x14ac:dyDescent="0.25">
      <c r="A852" s="70">
        <f t="shared" si="189"/>
        <v>46490</v>
      </c>
      <c r="B852" s="76"/>
      <c r="C852" s="15"/>
      <c r="D852" s="16"/>
      <c r="E852" s="11"/>
      <c r="F852" s="28"/>
      <c r="G852" s="34"/>
      <c r="H852" s="20"/>
      <c r="I852" s="20"/>
      <c r="J852" s="20"/>
      <c r="K852" s="20"/>
      <c r="L852" s="20"/>
      <c r="M852" s="20"/>
      <c r="N852" s="20"/>
      <c r="O852" s="34"/>
      <c r="P852" s="34"/>
      <c r="Q852" s="34"/>
      <c r="R852" s="34"/>
      <c r="S852" s="68">
        <f t="shared" si="199"/>
        <v>0</v>
      </c>
      <c r="T852" s="15"/>
      <c r="U852" s="16"/>
      <c r="V852" s="34"/>
      <c r="W852" s="81"/>
      <c r="X852" s="34"/>
      <c r="Y852" s="15"/>
      <c r="Z852" s="34"/>
      <c r="AA852" s="34"/>
      <c r="AB852" s="34"/>
      <c r="AC852" s="34"/>
      <c r="AD852" s="16"/>
      <c r="AE852" s="24">
        <f>SUMIFS(инфо!$D$15:$D$28,инфо!$A$15:$A$28,F852)</f>
        <v>0</v>
      </c>
      <c r="AF852" s="35">
        <f t="shared" si="190"/>
        <v>0</v>
      </c>
      <c r="AG852" s="12">
        <f t="shared" si="200"/>
        <v>0</v>
      </c>
      <c r="AH852" s="24">
        <f>SUMIFS(инфо!$E$15:$E$28,инфо!$A$15:$A$28,F852)</f>
        <v>0</v>
      </c>
      <c r="AI852" s="32">
        <f t="shared" si="191"/>
        <v>0</v>
      </c>
      <c r="AJ852" s="12">
        <f t="shared" si="201"/>
        <v>0</v>
      </c>
      <c r="AK852" s="24">
        <f>SUMIFS(инфо!$F$15:$F$28,инфо!$A$15:$A$28,F852)</f>
        <v>0</v>
      </c>
      <c r="AL852" s="32">
        <f t="shared" si="192"/>
        <v>0</v>
      </c>
      <c r="AM852" s="12">
        <f t="shared" si="195"/>
        <v>0</v>
      </c>
      <c r="AN852" s="24">
        <f>SUMIFS(инфо!$G$15:$G$28,инфо!$A$15:$A$28,F852)</f>
        <v>0</v>
      </c>
      <c r="AO852" s="32">
        <f t="shared" si="193"/>
        <v>0</v>
      </c>
      <c r="AP852" s="12">
        <f t="shared" si="196"/>
        <v>0</v>
      </c>
      <c r="AQ852" s="24">
        <f>SUMIFS(инфо!$H$15:$H$28,инфо!$A$15:$A$28,F852)</f>
        <v>0</v>
      </c>
      <c r="AR852" s="35">
        <f t="shared" si="194"/>
        <v>0</v>
      </c>
      <c r="AS852" s="12">
        <f t="shared" si="197"/>
        <v>0</v>
      </c>
      <c r="AT852" s="24">
        <f>SUMIFS(инфо!$I$15:$I$28,инфо!$A$15:$A$28,F852)</f>
        <v>0</v>
      </c>
      <c r="AU852" s="35">
        <f t="shared" si="202"/>
        <v>0</v>
      </c>
      <c r="AV852" s="12">
        <f t="shared" si="198"/>
        <v>0</v>
      </c>
      <c r="AX852" s="68">
        <f>SUMIFS(инфо!$C$15:$C$28,инфо!$A$15:$A$28,F852)*H851</f>
        <v>0</v>
      </c>
    </row>
    <row r="853" spans="1:50" x14ac:dyDescent="0.25">
      <c r="A853" s="70">
        <f t="shared" si="189"/>
        <v>46490</v>
      </c>
      <c r="B853" s="76"/>
      <c r="C853" s="15"/>
      <c r="D853" s="16"/>
      <c r="E853" s="11"/>
      <c r="F853" s="28"/>
      <c r="G853" s="34"/>
      <c r="H853" s="23"/>
      <c r="I853" s="20"/>
      <c r="J853" s="20"/>
      <c r="K853" s="20"/>
      <c r="L853" s="20"/>
      <c r="M853" s="20"/>
      <c r="N853" s="20"/>
      <c r="O853" s="34"/>
      <c r="P853" s="34"/>
      <c r="Q853" s="34"/>
      <c r="R853" s="34"/>
      <c r="S853" s="68">
        <f t="shared" si="199"/>
        <v>0</v>
      </c>
      <c r="T853" s="15"/>
      <c r="U853" s="16"/>
      <c r="V853" s="34"/>
      <c r="W853" s="81"/>
      <c r="X853" s="34"/>
      <c r="Y853" s="15"/>
      <c r="Z853" s="34"/>
      <c r="AA853" s="34"/>
      <c r="AB853" s="34"/>
      <c r="AC853" s="34"/>
      <c r="AD853" s="16"/>
      <c r="AE853" s="24">
        <f>SUMIFS(инфо!$D$15:$D$28,инфо!$A$15:$A$28,F853)</f>
        <v>0</v>
      </c>
      <c r="AF853" s="35">
        <f t="shared" si="190"/>
        <v>0</v>
      </c>
      <c r="AG853" s="12">
        <f t="shared" si="200"/>
        <v>0</v>
      </c>
      <c r="AH853" s="24">
        <f>SUMIFS(инфо!$E$15:$E$28,инфо!$A$15:$A$28,F853)</f>
        <v>0</v>
      </c>
      <c r="AI853" s="32">
        <f t="shared" si="191"/>
        <v>0</v>
      </c>
      <c r="AJ853" s="12">
        <f t="shared" si="201"/>
        <v>0</v>
      </c>
      <c r="AK853" s="24">
        <f>SUMIFS(инфо!$F$15:$F$28,инфо!$A$15:$A$28,F853)</f>
        <v>0</v>
      </c>
      <c r="AL853" s="32">
        <f t="shared" si="192"/>
        <v>0</v>
      </c>
      <c r="AM853" s="12">
        <f t="shared" si="195"/>
        <v>0</v>
      </c>
      <c r="AN853" s="24">
        <f>SUMIFS(инфо!$G$15:$G$28,инфо!$A$15:$A$28,F853)</f>
        <v>0</v>
      </c>
      <c r="AO853" s="32">
        <f t="shared" si="193"/>
        <v>0</v>
      </c>
      <c r="AP853" s="12">
        <f t="shared" si="196"/>
        <v>0</v>
      </c>
      <c r="AQ853" s="24">
        <f>SUMIFS(инфо!$H$15:$H$28,инфо!$A$15:$A$28,F853)</f>
        <v>0</v>
      </c>
      <c r="AR853" s="35">
        <f t="shared" si="194"/>
        <v>0</v>
      </c>
      <c r="AS853" s="12">
        <f t="shared" si="197"/>
        <v>0</v>
      </c>
      <c r="AT853" s="24">
        <f>SUMIFS(инфо!$I$15:$I$28,инфо!$A$15:$A$28,F853)</f>
        <v>0</v>
      </c>
      <c r="AU853" s="35">
        <f t="shared" si="202"/>
        <v>0</v>
      </c>
      <c r="AV853" s="12">
        <f t="shared" si="198"/>
        <v>0</v>
      </c>
      <c r="AX853" s="68">
        <f>SUMIFS(инфо!$C$15:$C$28,инфо!$A$15:$A$28,F853)*H852</f>
        <v>0</v>
      </c>
    </row>
    <row r="854" spans="1:50" x14ac:dyDescent="0.25">
      <c r="A854" s="70">
        <f t="shared" si="189"/>
        <v>46491</v>
      </c>
      <c r="B854" s="77"/>
      <c r="C854" s="17"/>
      <c r="D854" s="18"/>
      <c r="E854" s="11"/>
      <c r="F854" s="28"/>
      <c r="G854" s="19"/>
      <c r="H854" s="28"/>
      <c r="I854" s="20"/>
      <c r="J854" s="20"/>
      <c r="K854" s="20"/>
      <c r="L854" s="20"/>
      <c r="M854" s="20"/>
      <c r="N854" s="23"/>
      <c r="O854" s="19"/>
      <c r="P854" s="19"/>
      <c r="Q854" s="19"/>
      <c r="R854" s="19"/>
      <c r="S854" s="69">
        <f t="shared" si="199"/>
        <v>0</v>
      </c>
      <c r="T854" s="17"/>
      <c r="U854" s="18"/>
      <c r="V854" s="19"/>
      <c r="W854" s="81"/>
      <c r="X854" s="19"/>
      <c r="Y854" s="17"/>
      <c r="Z854" s="19"/>
      <c r="AA854" s="19"/>
      <c r="AB854" s="19"/>
      <c r="AC854" s="19"/>
      <c r="AD854" s="18"/>
      <c r="AE854" s="25">
        <f>SUMIFS(инфо!$D$15:$D$28,инфо!$A$15:$A$28,F854)</f>
        <v>0</v>
      </c>
      <c r="AF854" s="35">
        <f t="shared" si="190"/>
        <v>0</v>
      </c>
      <c r="AG854" s="14">
        <f t="shared" si="200"/>
        <v>0</v>
      </c>
      <c r="AH854" s="25">
        <f>SUMIFS(инфо!$E$15:$E$28,инфо!$A$15:$A$28,F854)</f>
        <v>0</v>
      </c>
      <c r="AI854" s="32">
        <f t="shared" si="191"/>
        <v>0</v>
      </c>
      <c r="AJ854" s="14">
        <f t="shared" si="201"/>
        <v>0</v>
      </c>
      <c r="AK854" s="25">
        <f>SUMIFS(инфо!$F$15:$F$28,инфо!$A$15:$A$28,F854)</f>
        <v>0</v>
      </c>
      <c r="AL854" s="32">
        <f t="shared" si="192"/>
        <v>0</v>
      </c>
      <c r="AM854" s="14">
        <f t="shared" si="195"/>
        <v>0</v>
      </c>
      <c r="AN854" s="25">
        <f>SUMIFS(инфо!$G$15:$G$28,инфо!$A$15:$A$28,F854)</f>
        <v>0</v>
      </c>
      <c r="AO854" s="32">
        <f t="shared" si="193"/>
        <v>0</v>
      </c>
      <c r="AP854" s="14">
        <f t="shared" si="196"/>
        <v>0</v>
      </c>
      <c r="AQ854" s="25">
        <f>SUMIFS(инфо!$H$15:$H$28,инфо!$A$15:$A$28,F854)</f>
        <v>0</v>
      </c>
      <c r="AR854" s="26">
        <f t="shared" si="194"/>
        <v>0</v>
      </c>
      <c r="AS854" s="14">
        <f t="shared" si="197"/>
        <v>0</v>
      </c>
      <c r="AT854" s="25">
        <f>SUMIFS(инфо!$I$15:$I$28,инфо!$A$15:$A$28,F854)</f>
        <v>0</v>
      </c>
      <c r="AU854" s="35">
        <f t="shared" si="202"/>
        <v>0</v>
      </c>
      <c r="AV854" s="14">
        <f t="shared" si="198"/>
        <v>0</v>
      </c>
      <c r="AX854" s="69">
        <f>SUMIFS(инфо!$C$15:$C$28,инфо!$A$15:$A$28,F854)*H853</f>
        <v>0</v>
      </c>
    </row>
    <row r="855" spans="1:50" x14ac:dyDescent="0.25">
      <c r="A855" s="70">
        <f t="shared" si="189"/>
        <v>46491</v>
      </c>
      <c r="B855" s="75"/>
      <c r="C855" s="29"/>
      <c r="D855" s="30"/>
      <c r="E855" s="11"/>
      <c r="F855" s="28"/>
      <c r="G855" s="27"/>
      <c r="H855" s="20"/>
      <c r="I855" s="20"/>
      <c r="J855" s="20"/>
      <c r="K855" s="20"/>
      <c r="L855" s="20"/>
      <c r="M855" s="20"/>
      <c r="N855" s="28"/>
      <c r="O855" s="27"/>
      <c r="P855" s="27"/>
      <c r="Q855" s="27"/>
      <c r="R855" s="27"/>
      <c r="S855" s="67">
        <f t="shared" si="199"/>
        <v>0</v>
      </c>
      <c r="T855" s="29"/>
      <c r="U855" s="30"/>
      <c r="V855" s="27"/>
      <c r="W855" s="81"/>
      <c r="X855" s="27"/>
      <c r="Y855" s="29"/>
      <c r="Z855" s="27"/>
      <c r="AA855" s="27"/>
      <c r="AB855" s="27"/>
      <c r="AC855" s="27"/>
      <c r="AD855" s="30"/>
      <c r="AE855" s="31">
        <f>SUMIFS(инфо!$D$15:$D$28,инфо!$A$15:$A$28,F855)</f>
        <v>0</v>
      </c>
      <c r="AF855" s="35">
        <f t="shared" si="190"/>
        <v>0</v>
      </c>
      <c r="AG855" s="33">
        <f t="shared" si="200"/>
        <v>0</v>
      </c>
      <c r="AH855" s="31">
        <f>SUMIFS(инфо!$E$15:$E$28,инфо!$A$15:$A$28,F855)</f>
        <v>0</v>
      </c>
      <c r="AI855" s="32">
        <f t="shared" si="191"/>
        <v>0</v>
      </c>
      <c r="AJ855" s="33">
        <f t="shared" si="201"/>
        <v>0</v>
      </c>
      <c r="AK855" s="31">
        <f>SUMIFS(инфо!$F$15:$F$28,инфо!$A$15:$A$28,F855)</f>
        <v>0</v>
      </c>
      <c r="AL855" s="32">
        <f t="shared" si="192"/>
        <v>0</v>
      </c>
      <c r="AM855" s="33">
        <f t="shared" si="195"/>
        <v>0</v>
      </c>
      <c r="AN855" s="31">
        <f>SUMIFS(инфо!$G$15:$G$28,инфо!$A$15:$A$28,F855)</f>
        <v>0</v>
      </c>
      <c r="AO855" s="32">
        <f t="shared" si="193"/>
        <v>0</v>
      </c>
      <c r="AP855" s="33">
        <f t="shared" si="196"/>
        <v>0</v>
      </c>
      <c r="AQ855" s="31">
        <f>SUMIFS(инфо!$H$15:$H$28,инфо!$A$15:$A$28,F855)</f>
        <v>0</v>
      </c>
      <c r="AR855" s="32">
        <f t="shared" si="194"/>
        <v>0</v>
      </c>
      <c r="AS855" s="33">
        <f t="shared" si="197"/>
        <v>0</v>
      </c>
      <c r="AT855" s="31">
        <f>SUMIFS(инфо!$I$15:$I$28,инфо!$A$15:$A$28,F855)</f>
        <v>0</v>
      </c>
      <c r="AU855" s="35">
        <f t="shared" si="202"/>
        <v>0</v>
      </c>
      <c r="AV855" s="33">
        <f t="shared" si="198"/>
        <v>0</v>
      </c>
      <c r="AX855" s="67">
        <f>SUMIFS(инфо!$C$15:$C$28,инфо!$A$15:$A$28,F855)*H854</f>
        <v>0</v>
      </c>
    </row>
    <row r="856" spans="1:50" x14ac:dyDescent="0.25">
      <c r="A856" s="70">
        <f t="shared" si="189"/>
        <v>46492</v>
      </c>
      <c r="B856" s="76"/>
      <c r="C856" s="15"/>
      <c r="D856" s="16"/>
      <c r="E856" s="11"/>
      <c r="F856" s="28"/>
      <c r="G856" s="34"/>
      <c r="H856" s="20"/>
      <c r="I856" s="20"/>
      <c r="J856" s="20"/>
      <c r="K856" s="20"/>
      <c r="L856" s="20"/>
      <c r="M856" s="20"/>
      <c r="N856" s="20"/>
      <c r="O856" s="34"/>
      <c r="P856" s="34"/>
      <c r="Q856" s="34"/>
      <c r="R856" s="34"/>
      <c r="S856" s="68">
        <f t="shared" si="199"/>
        <v>0</v>
      </c>
      <c r="T856" s="15"/>
      <c r="U856" s="16"/>
      <c r="V856" s="34"/>
      <c r="W856" s="81"/>
      <c r="X856" s="34"/>
      <c r="Y856" s="15"/>
      <c r="Z856" s="34"/>
      <c r="AA856" s="34"/>
      <c r="AB856" s="34"/>
      <c r="AC856" s="34"/>
      <c r="AD856" s="16"/>
      <c r="AE856" s="24">
        <f>SUMIFS(инфо!$D$15:$D$28,инфо!$A$15:$A$28,F856)</f>
        <v>0</v>
      </c>
      <c r="AF856" s="35">
        <f t="shared" si="190"/>
        <v>0</v>
      </c>
      <c r="AG856" s="12">
        <f t="shared" si="200"/>
        <v>0</v>
      </c>
      <c r="AH856" s="24">
        <f>SUMIFS(инфо!$E$15:$E$28,инфо!$A$15:$A$28,F856)</f>
        <v>0</v>
      </c>
      <c r="AI856" s="32">
        <f t="shared" si="191"/>
        <v>0</v>
      </c>
      <c r="AJ856" s="12">
        <f t="shared" si="201"/>
        <v>0</v>
      </c>
      <c r="AK856" s="24">
        <f>SUMIFS(инфо!$F$15:$F$28,инфо!$A$15:$A$28,F856)</f>
        <v>0</v>
      </c>
      <c r="AL856" s="32">
        <f t="shared" si="192"/>
        <v>0</v>
      </c>
      <c r="AM856" s="12">
        <f t="shared" si="195"/>
        <v>0</v>
      </c>
      <c r="AN856" s="24">
        <f>SUMIFS(инфо!$G$15:$G$28,инфо!$A$15:$A$28,F856)</f>
        <v>0</v>
      </c>
      <c r="AO856" s="32">
        <f t="shared" si="193"/>
        <v>0</v>
      </c>
      <c r="AP856" s="12">
        <f t="shared" si="196"/>
        <v>0</v>
      </c>
      <c r="AQ856" s="24">
        <f>SUMIFS(инфо!$H$15:$H$28,инфо!$A$15:$A$28,F856)</f>
        <v>0</v>
      </c>
      <c r="AR856" s="35">
        <f t="shared" si="194"/>
        <v>0</v>
      </c>
      <c r="AS856" s="12">
        <f t="shared" si="197"/>
        <v>0</v>
      </c>
      <c r="AT856" s="24">
        <f>SUMIFS(инфо!$I$15:$I$28,инфо!$A$15:$A$28,F856)</f>
        <v>0</v>
      </c>
      <c r="AU856" s="35">
        <f t="shared" si="202"/>
        <v>0</v>
      </c>
      <c r="AV856" s="12">
        <f t="shared" si="198"/>
        <v>0</v>
      </c>
      <c r="AX856" s="68">
        <f>SUMIFS(инфо!$C$15:$C$28,инфо!$A$15:$A$28,F856)*H855</f>
        <v>0</v>
      </c>
    </row>
    <row r="857" spans="1:50" x14ac:dyDescent="0.25">
      <c r="A857" s="70">
        <f t="shared" si="189"/>
        <v>46492</v>
      </c>
      <c r="B857" s="76"/>
      <c r="C857" s="15"/>
      <c r="D857" s="16"/>
      <c r="E857" s="11"/>
      <c r="F857" s="28"/>
      <c r="G857" s="34"/>
      <c r="H857" s="23"/>
      <c r="I857" s="20"/>
      <c r="J857" s="20"/>
      <c r="K857" s="20"/>
      <c r="L857" s="20"/>
      <c r="M857" s="20"/>
      <c r="N857" s="20"/>
      <c r="O857" s="34"/>
      <c r="P857" s="34"/>
      <c r="Q857" s="34"/>
      <c r="R857" s="34"/>
      <c r="S857" s="68">
        <f t="shared" si="199"/>
        <v>0</v>
      </c>
      <c r="T857" s="15"/>
      <c r="U857" s="16"/>
      <c r="V857" s="34"/>
      <c r="W857" s="81"/>
      <c r="X857" s="34"/>
      <c r="Y857" s="15"/>
      <c r="Z857" s="34"/>
      <c r="AA857" s="34"/>
      <c r="AB857" s="34"/>
      <c r="AC857" s="34"/>
      <c r="AD857" s="16"/>
      <c r="AE857" s="24">
        <f>SUMIFS(инфо!$D$15:$D$28,инфо!$A$15:$A$28,F857)</f>
        <v>0</v>
      </c>
      <c r="AF857" s="35">
        <f t="shared" si="190"/>
        <v>0</v>
      </c>
      <c r="AG857" s="12">
        <f t="shared" si="200"/>
        <v>0</v>
      </c>
      <c r="AH857" s="24">
        <f>SUMIFS(инфо!$E$15:$E$28,инфо!$A$15:$A$28,F857)</f>
        <v>0</v>
      </c>
      <c r="AI857" s="32">
        <f t="shared" si="191"/>
        <v>0</v>
      </c>
      <c r="AJ857" s="12">
        <f t="shared" si="201"/>
        <v>0</v>
      </c>
      <c r="AK857" s="24">
        <f>SUMIFS(инфо!$F$15:$F$28,инфо!$A$15:$A$28,F857)</f>
        <v>0</v>
      </c>
      <c r="AL857" s="32">
        <f t="shared" si="192"/>
        <v>0</v>
      </c>
      <c r="AM857" s="12">
        <f t="shared" si="195"/>
        <v>0</v>
      </c>
      <c r="AN857" s="24">
        <f>SUMIFS(инфо!$G$15:$G$28,инфо!$A$15:$A$28,F857)</f>
        <v>0</v>
      </c>
      <c r="AO857" s="32">
        <f t="shared" si="193"/>
        <v>0</v>
      </c>
      <c r="AP857" s="12">
        <f t="shared" si="196"/>
        <v>0</v>
      </c>
      <c r="AQ857" s="24">
        <f>SUMIFS(инфо!$H$15:$H$28,инфо!$A$15:$A$28,F857)</f>
        <v>0</v>
      </c>
      <c r="AR857" s="35">
        <f t="shared" si="194"/>
        <v>0</v>
      </c>
      <c r="AS857" s="12">
        <f t="shared" si="197"/>
        <v>0</v>
      </c>
      <c r="AT857" s="24">
        <f>SUMIFS(инфо!$I$15:$I$28,инфо!$A$15:$A$28,F857)</f>
        <v>0</v>
      </c>
      <c r="AU857" s="35">
        <f t="shared" si="202"/>
        <v>0</v>
      </c>
      <c r="AV857" s="12">
        <f t="shared" si="198"/>
        <v>0</v>
      </c>
      <c r="AX857" s="68">
        <f>SUMIFS(инфо!$C$15:$C$28,инфо!$A$15:$A$28,F857)*H856</f>
        <v>0</v>
      </c>
    </row>
    <row r="858" spans="1:50" x14ac:dyDescent="0.25">
      <c r="A858" s="70">
        <f t="shared" si="189"/>
        <v>46493</v>
      </c>
      <c r="B858" s="77"/>
      <c r="C858" s="17"/>
      <c r="D858" s="18"/>
      <c r="E858" s="11"/>
      <c r="F858" s="28"/>
      <c r="G858" s="19"/>
      <c r="H858" s="28"/>
      <c r="I858" s="20"/>
      <c r="J858" s="20"/>
      <c r="K858" s="20"/>
      <c r="L858" s="20"/>
      <c r="M858" s="20"/>
      <c r="N858" s="23"/>
      <c r="O858" s="19"/>
      <c r="P858" s="19"/>
      <c r="Q858" s="19"/>
      <c r="R858" s="19"/>
      <c r="S858" s="69">
        <f t="shared" si="199"/>
        <v>0</v>
      </c>
      <c r="T858" s="17"/>
      <c r="U858" s="18"/>
      <c r="V858" s="19"/>
      <c r="W858" s="81"/>
      <c r="X858" s="19"/>
      <c r="Y858" s="17"/>
      <c r="Z858" s="19"/>
      <c r="AA858" s="19"/>
      <c r="AB858" s="19"/>
      <c r="AC858" s="19"/>
      <c r="AD858" s="18"/>
      <c r="AE858" s="25">
        <f>SUMIFS(инфо!$D$15:$D$28,инфо!$A$15:$A$28,F858)</f>
        <v>0</v>
      </c>
      <c r="AF858" s="35">
        <f t="shared" si="190"/>
        <v>0</v>
      </c>
      <c r="AG858" s="14">
        <f t="shared" si="200"/>
        <v>0</v>
      </c>
      <c r="AH858" s="25">
        <f>SUMIFS(инфо!$E$15:$E$28,инфо!$A$15:$A$28,F858)</f>
        <v>0</v>
      </c>
      <c r="AI858" s="32">
        <f t="shared" si="191"/>
        <v>0</v>
      </c>
      <c r="AJ858" s="14">
        <f t="shared" si="201"/>
        <v>0</v>
      </c>
      <c r="AK858" s="25">
        <f>SUMIFS(инфо!$F$15:$F$28,инфо!$A$15:$A$28,F858)</f>
        <v>0</v>
      </c>
      <c r="AL858" s="32">
        <f t="shared" si="192"/>
        <v>0</v>
      </c>
      <c r="AM858" s="14">
        <f t="shared" si="195"/>
        <v>0</v>
      </c>
      <c r="AN858" s="25">
        <f>SUMIFS(инфо!$G$15:$G$28,инфо!$A$15:$A$28,F858)</f>
        <v>0</v>
      </c>
      <c r="AO858" s="32">
        <f t="shared" si="193"/>
        <v>0</v>
      </c>
      <c r="AP858" s="14">
        <f t="shared" si="196"/>
        <v>0</v>
      </c>
      <c r="AQ858" s="25">
        <f>SUMIFS(инфо!$H$15:$H$28,инфо!$A$15:$A$28,F858)</f>
        <v>0</v>
      </c>
      <c r="AR858" s="26">
        <f t="shared" si="194"/>
        <v>0</v>
      </c>
      <c r="AS858" s="14">
        <f t="shared" si="197"/>
        <v>0</v>
      </c>
      <c r="AT858" s="25">
        <f>SUMIFS(инфо!$I$15:$I$28,инфо!$A$15:$A$28,F858)</f>
        <v>0</v>
      </c>
      <c r="AU858" s="35">
        <f t="shared" si="202"/>
        <v>0</v>
      </c>
      <c r="AV858" s="14">
        <f t="shared" si="198"/>
        <v>0</v>
      </c>
      <c r="AX858" s="69">
        <f>SUMIFS(инфо!$C$15:$C$28,инфо!$A$15:$A$28,F858)*H857</f>
        <v>0</v>
      </c>
    </row>
    <row r="859" spans="1:50" x14ac:dyDescent="0.25">
      <c r="A859" s="70">
        <f t="shared" si="189"/>
        <v>46493</v>
      </c>
      <c r="B859" s="75"/>
      <c r="C859" s="29"/>
      <c r="D859" s="30"/>
      <c r="E859" s="11"/>
      <c r="F859" s="28"/>
      <c r="G859" s="27"/>
      <c r="H859" s="20"/>
      <c r="I859" s="20"/>
      <c r="J859" s="20"/>
      <c r="K859" s="20"/>
      <c r="L859" s="20"/>
      <c r="M859" s="20"/>
      <c r="N859" s="28"/>
      <c r="O859" s="27"/>
      <c r="P859" s="27"/>
      <c r="Q859" s="27"/>
      <c r="R859" s="27"/>
      <c r="S859" s="67">
        <f t="shared" si="199"/>
        <v>0</v>
      </c>
      <c r="T859" s="29"/>
      <c r="U859" s="30"/>
      <c r="V859" s="27"/>
      <c r="W859" s="81"/>
      <c r="X859" s="27"/>
      <c r="Y859" s="29"/>
      <c r="Z859" s="27"/>
      <c r="AA859" s="27"/>
      <c r="AB859" s="27"/>
      <c r="AC859" s="27"/>
      <c r="AD859" s="30"/>
      <c r="AE859" s="31">
        <f>SUMIFS(инфо!$D$15:$D$28,инфо!$A$15:$A$28,F859)</f>
        <v>0</v>
      </c>
      <c r="AF859" s="35">
        <f t="shared" si="190"/>
        <v>0</v>
      </c>
      <c r="AG859" s="33">
        <f t="shared" si="200"/>
        <v>0</v>
      </c>
      <c r="AH859" s="31">
        <f>SUMIFS(инфо!$E$15:$E$28,инфо!$A$15:$A$28,F859)</f>
        <v>0</v>
      </c>
      <c r="AI859" s="32">
        <f t="shared" si="191"/>
        <v>0</v>
      </c>
      <c r="AJ859" s="33">
        <f t="shared" si="201"/>
        <v>0</v>
      </c>
      <c r="AK859" s="31">
        <f>SUMIFS(инфо!$F$15:$F$28,инфо!$A$15:$A$28,F859)</f>
        <v>0</v>
      </c>
      <c r="AL859" s="32">
        <f t="shared" si="192"/>
        <v>0</v>
      </c>
      <c r="AM859" s="33">
        <f t="shared" si="195"/>
        <v>0</v>
      </c>
      <c r="AN859" s="31">
        <f>SUMIFS(инфо!$G$15:$G$28,инфо!$A$15:$A$28,F859)</f>
        <v>0</v>
      </c>
      <c r="AO859" s="32">
        <f t="shared" si="193"/>
        <v>0</v>
      </c>
      <c r="AP859" s="33">
        <f t="shared" si="196"/>
        <v>0</v>
      </c>
      <c r="AQ859" s="31">
        <f>SUMIFS(инфо!$H$15:$H$28,инфо!$A$15:$A$28,F859)</f>
        <v>0</v>
      </c>
      <c r="AR859" s="32">
        <f t="shared" si="194"/>
        <v>0</v>
      </c>
      <c r="AS859" s="33">
        <f t="shared" si="197"/>
        <v>0</v>
      </c>
      <c r="AT859" s="31">
        <f>SUMIFS(инфо!$I$15:$I$28,инфо!$A$15:$A$28,F859)</f>
        <v>0</v>
      </c>
      <c r="AU859" s="35">
        <f t="shared" si="202"/>
        <v>0</v>
      </c>
      <c r="AV859" s="33">
        <f t="shared" si="198"/>
        <v>0</v>
      </c>
      <c r="AX859" s="67">
        <f>SUMIFS(инфо!$C$15:$C$28,инфо!$A$15:$A$28,F859)*H858</f>
        <v>0</v>
      </c>
    </row>
    <row r="860" spans="1:50" x14ac:dyDescent="0.25">
      <c r="A860" s="70">
        <f t="shared" ref="A860:A923" si="203">A858+1</f>
        <v>46494</v>
      </c>
      <c r="B860" s="76"/>
      <c r="C860" s="15"/>
      <c r="D860" s="16"/>
      <c r="E860" s="11"/>
      <c r="F860" s="28"/>
      <c r="G860" s="34"/>
      <c r="H860" s="20"/>
      <c r="I860" s="20"/>
      <c r="J860" s="20"/>
      <c r="K860" s="20"/>
      <c r="L860" s="20"/>
      <c r="M860" s="20"/>
      <c r="N860" s="20"/>
      <c r="O860" s="34"/>
      <c r="P860" s="34"/>
      <c r="Q860" s="34"/>
      <c r="R860" s="34"/>
      <c r="S860" s="68">
        <f t="shared" si="199"/>
        <v>0</v>
      </c>
      <c r="T860" s="15"/>
      <c r="U860" s="16"/>
      <c r="V860" s="34"/>
      <c r="W860" s="34"/>
      <c r="X860" s="34"/>
      <c r="Y860" s="15"/>
      <c r="Z860" s="34"/>
      <c r="AA860" s="34"/>
      <c r="AB860" s="34"/>
      <c r="AC860" s="34"/>
      <c r="AD860" s="16"/>
      <c r="AE860" s="24">
        <f>SUMIFS(инфо!$D$15:$D$28,инфо!$A$15:$A$28,F860)</f>
        <v>0</v>
      </c>
      <c r="AF860" s="35">
        <f t="shared" si="190"/>
        <v>0</v>
      </c>
      <c r="AG860" s="12">
        <f t="shared" si="200"/>
        <v>0</v>
      </c>
      <c r="AH860" s="24">
        <f>SUMIFS(инфо!$E$15:$E$28,инфо!$A$15:$A$28,F860)</f>
        <v>0</v>
      </c>
      <c r="AI860" s="32">
        <f t="shared" si="191"/>
        <v>0</v>
      </c>
      <c r="AJ860" s="12">
        <f t="shared" si="201"/>
        <v>0</v>
      </c>
      <c r="AK860" s="24">
        <f>SUMIFS(инфо!$F$15:$F$28,инфо!$A$15:$A$28,F860)</f>
        <v>0</v>
      </c>
      <c r="AL860" s="32">
        <f t="shared" si="192"/>
        <v>0</v>
      </c>
      <c r="AM860" s="12">
        <f t="shared" si="195"/>
        <v>0</v>
      </c>
      <c r="AN860" s="24">
        <f>SUMIFS(инфо!$G$15:$G$28,инфо!$A$15:$A$28,F860)</f>
        <v>0</v>
      </c>
      <c r="AO860" s="32">
        <f t="shared" si="193"/>
        <v>0</v>
      </c>
      <c r="AP860" s="12">
        <f t="shared" si="196"/>
        <v>0</v>
      </c>
      <c r="AQ860" s="24">
        <f>SUMIFS(инфо!$H$15:$H$28,инфо!$A$15:$A$28,F860)</f>
        <v>0</v>
      </c>
      <c r="AR860" s="35">
        <f t="shared" si="194"/>
        <v>0</v>
      </c>
      <c r="AS860" s="12">
        <f t="shared" si="197"/>
        <v>0</v>
      </c>
      <c r="AT860" s="24">
        <f>SUMIFS(инфо!$I$15:$I$28,инфо!$A$15:$A$28,F860)</f>
        <v>0</v>
      </c>
      <c r="AU860" s="35">
        <f t="shared" si="202"/>
        <v>0</v>
      </c>
      <c r="AV860" s="12">
        <f t="shared" si="198"/>
        <v>0</v>
      </c>
      <c r="AX860" s="68">
        <f>SUMIFS(инфо!$C$15:$C$28,инфо!$A$15:$A$28,F860)*H859</f>
        <v>0</v>
      </c>
    </row>
    <row r="861" spans="1:50" x14ac:dyDescent="0.25">
      <c r="A861" s="70">
        <f t="shared" si="203"/>
        <v>46494</v>
      </c>
      <c r="B861" s="76"/>
      <c r="C861" s="15"/>
      <c r="D861" s="16"/>
      <c r="E861" s="11"/>
      <c r="F861" s="28"/>
      <c r="G861" s="34"/>
      <c r="H861" s="23"/>
      <c r="I861" s="20"/>
      <c r="J861" s="20"/>
      <c r="K861" s="20"/>
      <c r="L861" s="20"/>
      <c r="M861" s="20"/>
      <c r="N861" s="20"/>
      <c r="O861" s="34"/>
      <c r="P861" s="34"/>
      <c r="Q861" s="34"/>
      <c r="R861" s="34"/>
      <c r="S861" s="68">
        <f t="shared" si="199"/>
        <v>0</v>
      </c>
      <c r="T861" s="15"/>
      <c r="U861" s="16"/>
      <c r="V861" s="34"/>
      <c r="W861" s="34"/>
      <c r="X861" s="34"/>
      <c r="Y861" s="15"/>
      <c r="Z861" s="34"/>
      <c r="AA861" s="34"/>
      <c r="AB861" s="34"/>
      <c r="AC861" s="34"/>
      <c r="AD861" s="16"/>
      <c r="AE861" s="24">
        <f>SUMIFS(инфо!$D$15:$D$28,инфо!$A$15:$A$28,F861)</f>
        <v>0</v>
      </c>
      <c r="AF861" s="35">
        <f t="shared" si="190"/>
        <v>0</v>
      </c>
      <c r="AG861" s="12">
        <f t="shared" si="200"/>
        <v>0</v>
      </c>
      <c r="AH861" s="24">
        <f>SUMIFS(инфо!$E$15:$E$28,инфо!$A$15:$A$28,F861)</f>
        <v>0</v>
      </c>
      <c r="AI861" s="32">
        <f t="shared" si="191"/>
        <v>0</v>
      </c>
      <c r="AJ861" s="12">
        <f t="shared" si="201"/>
        <v>0</v>
      </c>
      <c r="AK861" s="24">
        <f>SUMIFS(инфо!$F$15:$F$28,инфо!$A$15:$A$28,F861)</f>
        <v>0</v>
      </c>
      <c r="AL861" s="32">
        <f t="shared" si="192"/>
        <v>0</v>
      </c>
      <c r="AM861" s="12">
        <f t="shared" si="195"/>
        <v>0</v>
      </c>
      <c r="AN861" s="24">
        <f>SUMIFS(инфо!$G$15:$G$28,инфо!$A$15:$A$28,F861)</f>
        <v>0</v>
      </c>
      <c r="AO861" s="32">
        <f t="shared" si="193"/>
        <v>0</v>
      </c>
      <c r="AP861" s="12">
        <f t="shared" si="196"/>
        <v>0</v>
      </c>
      <c r="AQ861" s="24">
        <f>SUMIFS(инфо!$H$15:$H$28,инфо!$A$15:$A$28,F861)</f>
        <v>0</v>
      </c>
      <c r="AR861" s="35">
        <f t="shared" si="194"/>
        <v>0</v>
      </c>
      <c r="AS861" s="12">
        <f t="shared" si="197"/>
        <v>0</v>
      </c>
      <c r="AT861" s="24">
        <f>SUMIFS(инфо!$I$15:$I$28,инфо!$A$15:$A$28,F861)</f>
        <v>0</v>
      </c>
      <c r="AU861" s="35">
        <f t="shared" si="202"/>
        <v>0</v>
      </c>
      <c r="AV861" s="12">
        <f t="shared" si="198"/>
        <v>0</v>
      </c>
      <c r="AX861" s="68">
        <f>SUMIFS(инфо!$C$15:$C$28,инфо!$A$15:$A$28,F861)*H860</f>
        <v>0</v>
      </c>
    </row>
    <row r="862" spans="1:50" x14ac:dyDescent="0.25">
      <c r="A862" s="70">
        <f t="shared" si="203"/>
        <v>46495</v>
      </c>
      <c r="B862" s="77"/>
      <c r="C862" s="17"/>
      <c r="D862" s="18"/>
      <c r="E862" s="11"/>
      <c r="F862" s="28"/>
      <c r="G862" s="19"/>
      <c r="H862" s="28"/>
      <c r="I862" s="20"/>
      <c r="J862" s="20"/>
      <c r="K862" s="20"/>
      <c r="L862" s="20"/>
      <c r="M862" s="20"/>
      <c r="N862" s="23"/>
      <c r="O862" s="19"/>
      <c r="P862" s="19"/>
      <c r="Q862" s="19"/>
      <c r="R862" s="19"/>
      <c r="S862" s="69">
        <f t="shared" si="199"/>
        <v>0</v>
      </c>
      <c r="T862" s="17"/>
      <c r="U862" s="18"/>
      <c r="V862" s="19"/>
      <c r="W862" s="19"/>
      <c r="X862" s="19"/>
      <c r="Y862" s="17"/>
      <c r="Z862" s="19"/>
      <c r="AA862" s="19"/>
      <c r="AB862" s="19"/>
      <c r="AC862" s="19"/>
      <c r="AD862" s="18"/>
      <c r="AE862" s="25">
        <f>SUMIFS(инфо!$D$15:$D$28,инфо!$A$15:$A$28,F862)</f>
        <v>0</v>
      </c>
      <c r="AF862" s="35">
        <f t="shared" si="190"/>
        <v>0</v>
      </c>
      <c r="AG862" s="14">
        <f t="shared" si="200"/>
        <v>0</v>
      </c>
      <c r="AH862" s="25">
        <f>SUMIFS(инфо!$E$15:$E$28,инфо!$A$15:$A$28,F862)</f>
        <v>0</v>
      </c>
      <c r="AI862" s="32">
        <f t="shared" si="191"/>
        <v>0</v>
      </c>
      <c r="AJ862" s="14">
        <f t="shared" si="201"/>
        <v>0</v>
      </c>
      <c r="AK862" s="25">
        <f>SUMIFS(инфо!$F$15:$F$28,инфо!$A$15:$A$28,F862)</f>
        <v>0</v>
      </c>
      <c r="AL862" s="32">
        <f t="shared" si="192"/>
        <v>0</v>
      </c>
      <c r="AM862" s="14">
        <f t="shared" si="195"/>
        <v>0</v>
      </c>
      <c r="AN862" s="25">
        <f>SUMIFS(инфо!$G$15:$G$28,инфо!$A$15:$A$28,F862)</f>
        <v>0</v>
      </c>
      <c r="AO862" s="32">
        <f t="shared" si="193"/>
        <v>0</v>
      </c>
      <c r="AP862" s="14">
        <f t="shared" si="196"/>
        <v>0</v>
      </c>
      <c r="AQ862" s="25">
        <f>SUMIFS(инфо!$H$15:$H$28,инфо!$A$15:$A$28,F862)</f>
        <v>0</v>
      </c>
      <c r="AR862" s="26">
        <f t="shared" si="194"/>
        <v>0</v>
      </c>
      <c r="AS862" s="14">
        <f t="shared" si="197"/>
        <v>0</v>
      </c>
      <c r="AT862" s="25">
        <f>SUMIFS(инфо!$I$15:$I$28,инфо!$A$15:$A$28,F862)</f>
        <v>0</v>
      </c>
      <c r="AU862" s="35">
        <f t="shared" si="202"/>
        <v>0</v>
      </c>
      <c r="AV862" s="14">
        <f t="shared" si="198"/>
        <v>0</v>
      </c>
      <c r="AX862" s="69">
        <f>SUMIFS(инфо!$C$15:$C$28,инфо!$A$15:$A$28,F862)*H861</f>
        <v>0</v>
      </c>
    </row>
    <row r="863" spans="1:50" x14ac:dyDescent="0.25">
      <c r="A863" s="70">
        <f t="shared" si="203"/>
        <v>46495</v>
      </c>
      <c r="B863" s="75"/>
      <c r="C863" s="29"/>
      <c r="D863" s="30"/>
      <c r="E863" s="11"/>
      <c r="F863" s="28"/>
      <c r="G863" s="27"/>
      <c r="H863" s="20"/>
      <c r="I863" s="20"/>
      <c r="J863" s="20"/>
      <c r="K863" s="20"/>
      <c r="L863" s="20"/>
      <c r="M863" s="20"/>
      <c r="N863" s="28"/>
      <c r="O863" s="27"/>
      <c r="P863" s="27"/>
      <c r="Q863" s="27"/>
      <c r="R863" s="27"/>
      <c r="S863" s="67">
        <f t="shared" si="199"/>
        <v>0</v>
      </c>
      <c r="T863" s="29"/>
      <c r="U863" s="30"/>
      <c r="V863" s="27"/>
      <c r="W863" s="27"/>
      <c r="X863" s="27"/>
      <c r="Y863" s="29"/>
      <c r="Z863" s="27"/>
      <c r="AA863" s="27"/>
      <c r="AB863" s="27"/>
      <c r="AC863" s="27"/>
      <c r="AD863" s="30"/>
      <c r="AE863" s="31">
        <f>SUMIFS(инфо!$D$15:$D$28,инфо!$A$15:$A$28,F863)</f>
        <v>0</v>
      </c>
      <c r="AF863" s="35">
        <f t="shared" si="190"/>
        <v>0</v>
      </c>
      <c r="AG863" s="33">
        <f t="shared" si="200"/>
        <v>0</v>
      </c>
      <c r="AH863" s="31">
        <f>SUMIFS(инфо!$E$15:$E$28,инфо!$A$15:$A$28,F863)</f>
        <v>0</v>
      </c>
      <c r="AI863" s="32">
        <f t="shared" si="191"/>
        <v>0</v>
      </c>
      <c r="AJ863" s="33">
        <f t="shared" si="201"/>
        <v>0</v>
      </c>
      <c r="AK863" s="31">
        <f>SUMIFS(инфо!$F$15:$F$28,инфо!$A$15:$A$28,F863)</f>
        <v>0</v>
      </c>
      <c r="AL863" s="32">
        <f t="shared" si="192"/>
        <v>0</v>
      </c>
      <c r="AM863" s="33">
        <f t="shared" si="195"/>
        <v>0</v>
      </c>
      <c r="AN863" s="31">
        <f>SUMIFS(инфо!$G$15:$G$28,инфо!$A$15:$A$28,F863)</f>
        <v>0</v>
      </c>
      <c r="AO863" s="32">
        <f t="shared" si="193"/>
        <v>0</v>
      </c>
      <c r="AP863" s="33">
        <f t="shared" si="196"/>
        <v>0</v>
      </c>
      <c r="AQ863" s="31">
        <f>SUMIFS(инфо!$H$15:$H$28,инфо!$A$15:$A$28,F863)</f>
        <v>0</v>
      </c>
      <c r="AR863" s="32">
        <f t="shared" si="194"/>
        <v>0</v>
      </c>
      <c r="AS863" s="33">
        <f t="shared" si="197"/>
        <v>0</v>
      </c>
      <c r="AT863" s="31">
        <f>SUMIFS(инфо!$I$15:$I$28,инфо!$A$15:$A$28,F863)</f>
        <v>0</v>
      </c>
      <c r="AU863" s="35">
        <f t="shared" si="202"/>
        <v>0</v>
      </c>
      <c r="AV863" s="33">
        <f t="shared" si="198"/>
        <v>0</v>
      </c>
      <c r="AX863" s="67">
        <f>SUMIFS(инфо!$C$15:$C$28,инфо!$A$15:$A$28,F863)*H862</f>
        <v>0</v>
      </c>
    </row>
    <row r="864" spans="1:50" x14ac:dyDescent="0.25">
      <c r="A864" s="70">
        <f t="shared" si="203"/>
        <v>46496</v>
      </c>
      <c r="B864" s="76"/>
      <c r="C864" s="15"/>
      <c r="D864" s="16"/>
      <c r="E864" s="11"/>
      <c r="F864" s="28"/>
      <c r="G864" s="34"/>
      <c r="H864" s="20"/>
      <c r="I864" s="20"/>
      <c r="J864" s="20"/>
      <c r="K864" s="20"/>
      <c r="L864" s="20"/>
      <c r="M864" s="20"/>
      <c r="N864" s="20"/>
      <c r="O864" s="34"/>
      <c r="P864" s="34"/>
      <c r="Q864" s="34"/>
      <c r="R864" s="34"/>
      <c r="S864" s="68">
        <f t="shared" si="199"/>
        <v>0</v>
      </c>
      <c r="T864" s="15"/>
      <c r="U864" s="16"/>
      <c r="V864" s="34"/>
      <c r="W864" s="34"/>
      <c r="X864" s="34"/>
      <c r="Y864" s="15"/>
      <c r="Z864" s="34"/>
      <c r="AA864" s="34"/>
      <c r="AB864" s="34"/>
      <c r="AC864" s="34"/>
      <c r="AD864" s="16"/>
      <c r="AE864" s="24">
        <f>SUMIFS(инфо!$D$15:$D$28,инфо!$A$15:$A$28,F864)</f>
        <v>0</v>
      </c>
      <c r="AF864" s="35">
        <f t="shared" si="190"/>
        <v>0</v>
      </c>
      <c r="AG864" s="12">
        <f t="shared" si="200"/>
        <v>0</v>
      </c>
      <c r="AH864" s="24">
        <f>SUMIFS(инфо!$E$15:$E$28,инфо!$A$15:$A$28,F864)</f>
        <v>0</v>
      </c>
      <c r="AI864" s="32">
        <f t="shared" si="191"/>
        <v>0</v>
      </c>
      <c r="AJ864" s="12">
        <f t="shared" si="201"/>
        <v>0</v>
      </c>
      <c r="AK864" s="24">
        <f>SUMIFS(инфо!$F$15:$F$28,инфо!$A$15:$A$28,F864)</f>
        <v>0</v>
      </c>
      <c r="AL864" s="32">
        <f t="shared" si="192"/>
        <v>0</v>
      </c>
      <c r="AM864" s="12">
        <f t="shared" si="195"/>
        <v>0</v>
      </c>
      <c r="AN864" s="24">
        <f>SUMIFS(инфо!$G$15:$G$28,инфо!$A$15:$A$28,F864)</f>
        <v>0</v>
      </c>
      <c r="AO864" s="32">
        <f t="shared" si="193"/>
        <v>0</v>
      </c>
      <c r="AP864" s="12">
        <f t="shared" si="196"/>
        <v>0</v>
      </c>
      <c r="AQ864" s="24">
        <f>SUMIFS(инфо!$H$15:$H$28,инфо!$A$15:$A$28,F864)</f>
        <v>0</v>
      </c>
      <c r="AR864" s="35">
        <f t="shared" si="194"/>
        <v>0</v>
      </c>
      <c r="AS864" s="12">
        <f t="shared" si="197"/>
        <v>0</v>
      </c>
      <c r="AT864" s="24">
        <f>SUMIFS(инфо!$I$15:$I$28,инфо!$A$15:$A$28,F864)</f>
        <v>0</v>
      </c>
      <c r="AU864" s="35">
        <f t="shared" si="202"/>
        <v>0</v>
      </c>
      <c r="AV864" s="12">
        <f t="shared" si="198"/>
        <v>0</v>
      </c>
      <c r="AX864" s="68">
        <f>SUMIFS(инфо!$C$15:$C$28,инфо!$A$15:$A$28,F864)*H863</f>
        <v>0</v>
      </c>
    </row>
    <row r="865" spans="1:50" x14ac:dyDescent="0.25">
      <c r="A865" s="70">
        <f t="shared" si="203"/>
        <v>46496</v>
      </c>
      <c r="B865" s="76"/>
      <c r="C865" s="15"/>
      <c r="D865" s="16"/>
      <c r="E865" s="11"/>
      <c r="F865" s="28"/>
      <c r="G865" s="34"/>
      <c r="H865" s="23"/>
      <c r="I865" s="20"/>
      <c r="J865" s="20"/>
      <c r="K865" s="20"/>
      <c r="L865" s="20"/>
      <c r="M865" s="20"/>
      <c r="N865" s="20"/>
      <c r="O865" s="34"/>
      <c r="P865" s="34"/>
      <c r="Q865" s="34"/>
      <c r="R865" s="34"/>
      <c r="S865" s="68">
        <f t="shared" si="199"/>
        <v>0</v>
      </c>
      <c r="T865" s="15"/>
      <c r="U865" s="16"/>
      <c r="V865" s="34"/>
      <c r="W865" s="34"/>
      <c r="X865" s="34"/>
      <c r="Y865" s="15"/>
      <c r="Z865" s="34"/>
      <c r="AA865" s="34"/>
      <c r="AB865" s="34"/>
      <c r="AC865" s="34"/>
      <c r="AD865" s="16"/>
      <c r="AE865" s="24">
        <f>SUMIFS(инфо!$D$15:$D$28,инфо!$A$15:$A$28,F865)</f>
        <v>0</v>
      </c>
      <c r="AF865" s="35">
        <f t="shared" si="190"/>
        <v>0</v>
      </c>
      <c r="AG865" s="12">
        <f t="shared" si="200"/>
        <v>0</v>
      </c>
      <c r="AH865" s="24">
        <f>SUMIFS(инфо!$E$15:$E$28,инфо!$A$15:$A$28,F865)</f>
        <v>0</v>
      </c>
      <c r="AI865" s="32">
        <f t="shared" si="191"/>
        <v>0</v>
      </c>
      <c r="AJ865" s="12">
        <f t="shared" si="201"/>
        <v>0</v>
      </c>
      <c r="AK865" s="24">
        <f>SUMIFS(инфо!$F$15:$F$28,инфо!$A$15:$A$28,F865)</f>
        <v>0</v>
      </c>
      <c r="AL865" s="32">
        <f t="shared" si="192"/>
        <v>0</v>
      </c>
      <c r="AM865" s="12">
        <f t="shared" si="195"/>
        <v>0</v>
      </c>
      <c r="AN865" s="24">
        <f>SUMIFS(инфо!$G$15:$G$28,инфо!$A$15:$A$28,F865)</f>
        <v>0</v>
      </c>
      <c r="AO865" s="32">
        <f t="shared" si="193"/>
        <v>0</v>
      </c>
      <c r="AP865" s="12">
        <f t="shared" si="196"/>
        <v>0</v>
      </c>
      <c r="AQ865" s="24">
        <f>SUMIFS(инфо!$H$15:$H$28,инфо!$A$15:$A$28,F865)</f>
        <v>0</v>
      </c>
      <c r="AR865" s="35">
        <f t="shared" si="194"/>
        <v>0</v>
      </c>
      <c r="AS865" s="12">
        <f t="shared" si="197"/>
        <v>0</v>
      </c>
      <c r="AT865" s="24">
        <f>SUMIFS(инфо!$I$15:$I$28,инфо!$A$15:$A$28,F865)</f>
        <v>0</v>
      </c>
      <c r="AU865" s="35">
        <f t="shared" si="202"/>
        <v>0</v>
      </c>
      <c r="AV865" s="12">
        <f t="shared" si="198"/>
        <v>0</v>
      </c>
      <c r="AX865" s="68">
        <f>SUMIFS(инфо!$C$15:$C$28,инфо!$A$15:$A$28,F865)*H864</f>
        <v>0</v>
      </c>
    </row>
    <row r="866" spans="1:50" x14ac:dyDescent="0.25">
      <c r="A866" s="70">
        <f t="shared" si="203"/>
        <v>46497</v>
      </c>
      <c r="B866" s="77"/>
      <c r="C866" s="17"/>
      <c r="D866" s="18"/>
      <c r="E866" s="11"/>
      <c r="F866" s="28"/>
      <c r="G866" s="19"/>
      <c r="H866" s="28"/>
      <c r="I866" s="20"/>
      <c r="J866" s="20"/>
      <c r="K866" s="20"/>
      <c r="L866" s="20"/>
      <c r="M866" s="20"/>
      <c r="N866" s="23"/>
      <c r="O866" s="19"/>
      <c r="P866" s="19"/>
      <c r="Q866" s="19"/>
      <c r="R866" s="19"/>
      <c r="S866" s="69">
        <f t="shared" si="199"/>
        <v>0</v>
      </c>
      <c r="T866" s="17"/>
      <c r="U866" s="18"/>
      <c r="V866" s="19"/>
      <c r="W866" s="19"/>
      <c r="X866" s="19"/>
      <c r="Y866" s="17"/>
      <c r="Z866" s="19"/>
      <c r="AA866" s="19"/>
      <c r="AB866" s="19"/>
      <c r="AC866" s="19"/>
      <c r="AD866" s="18"/>
      <c r="AE866" s="25">
        <f>SUMIFS(инфо!$D$15:$D$28,инфо!$A$15:$A$28,F866)</f>
        <v>0</v>
      </c>
      <c r="AF866" s="35">
        <f t="shared" si="190"/>
        <v>0</v>
      </c>
      <c r="AG866" s="14">
        <f t="shared" si="200"/>
        <v>0</v>
      </c>
      <c r="AH866" s="25">
        <f>SUMIFS(инфо!$E$15:$E$28,инфо!$A$15:$A$28,F866)</f>
        <v>0</v>
      </c>
      <c r="AI866" s="32">
        <f t="shared" si="191"/>
        <v>0</v>
      </c>
      <c r="AJ866" s="14">
        <f t="shared" si="201"/>
        <v>0</v>
      </c>
      <c r="AK866" s="25">
        <f>SUMIFS(инфо!$F$15:$F$28,инфо!$A$15:$A$28,F866)</f>
        <v>0</v>
      </c>
      <c r="AL866" s="32">
        <f t="shared" si="192"/>
        <v>0</v>
      </c>
      <c r="AM866" s="14">
        <f t="shared" si="195"/>
        <v>0</v>
      </c>
      <c r="AN866" s="25">
        <f>SUMIFS(инфо!$G$15:$G$28,инфо!$A$15:$A$28,F866)</f>
        <v>0</v>
      </c>
      <c r="AO866" s="32">
        <f t="shared" si="193"/>
        <v>0</v>
      </c>
      <c r="AP866" s="14">
        <f t="shared" si="196"/>
        <v>0</v>
      </c>
      <c r="AQ866" s="25">
        <f>SUMIFS(инфо!$H$15:$H$28,инфо!$A$15:$A$28,F866)</f>
        <v>0</v>
      </c>
      <c r="AR866" s="26">
        <f t="shared" si="194"/>
        <v>0</v>
      </c>
      <c r="AS866" s="14">
        <f t="shared" si="197"/>
        <v>0</v>
      </c>
      <c r="AT866" s="25">
        <f>SUMIFS(инфо!$I$15:$I$28,инфо!$A$15:$A$28,F866)</f>
        <v>0</v>
      </c>
      <c r="AU866" s="35">
        <f t="shared" si="202"/>
        <v>0</v>
      </c>
      <c r="AV866" s="14">
        <f t="shared" si="198"/>
        <v>0</v>
      </c>
      <c r="AX866" s="69">
        <f>SUMIFS(инфо!$C$15:$C$28,инфо!$A$15:$A$28,F866)*H865</f>
        <v>0</v>
      </c>
    </row>
    <row r="867" spans="1:50" x14ac:dyDescent="0.25">
      <c r="A867" s="70">
        <f t="shared" si="203"/>
        <v>46497</v>
      </c>
      <c r="B867" s="75"/>
      <c r="C867" s="29"/>
      <c r="D867" s="30"/>
      <c r="E867" s="11"/>
      <c r="F867" s="28"/>
      <c r="G867" s="27"/>
      <c r="H867" s="20"/>
      <c r="I867" s="20"/>
      <c r="J867" s="20"/>
      <c r="K867" s="20"/>
      <c r="L867" s="20"/>
      <c r="M867" s="20"/>
      <c r="N867" s="28"/>
      <c r="O867" s="27"/>
      <c r="P867" s="27"/>
      <c r="Q867" s="27"/>
      <c r="R867" s="27"/>
      <c r="S867" s="67">
        <f t="shared" si="199"/>
        <v>0</v>
      </c>
      <c r="T867" s="29"/>
      <c r="U867" s="30"/>
      <c r="V867" s="27"/>
      <c r="W867" s="27"/>
      <c r="X867" s="27"/>
      <c r="Y867" s="29"/>
      <c r="Z867" s="27"/>
      <c r="AA867" s="27"/>
      <c r="AB867" s="27"/>
      <c r="AC867" s="27"/>
      <c r="AD867" s="30"/>
      <c r="AE867" s="31">
        <f>SUMIFS(инфо!$D$15:$D$28,инфо!$A$15:$A$28,F867)</f>
        <v>0</v>
      </c>
      <c r="AF867" s="35">
        <f t="shared" si="190"/>
        <v>0</v>
      </c>
      <c r="AG867" s="33">
        <f t="shared" si="200"/>
        <v>0</v>
      </c>
      <c r="AH867" s="31">
        <f>SUMIFS(инфо!$E$15:$E$28,инфо!$A$15:$A$28,F867)</f>
        <v>0</v>
      </c>
      <c r="AI867" s="32">
        <f t="shared" si="191"/>
        <v>0</v>
      </c>
      <c r="AJ867" s="33">
        <f t="shared" si="201"/>
        <v>0</v>
      </c>
      <c r="AK867" s="31">
        <f>SUMIFS(инфо!$F$15:$F$28,инфо!$A$15:$A$28,F867)</f>
        <v>0</v>
      </c>
      <c r="AL867" s="32">
        <f t="shared" si="192"/>
        <v>0</v>
      </c>
      <c r="AM867" s="33">
        <f t="shared" si="195"/>
        <v>0</v>
      </c>
      <c r="AN867" s="31">
        <f>SUMIFS(инфо!$G$15:$G$28,инфо!$A$15:$A$28,F867)</f>
        <v>0</v>
      </c>
      <c r="AO867" s="32">
        <f t="shared" si="193"/>
        <v>0</v>
      </c>
      <c r="AP867" s="33">
        <f t="shared" si="196"/>
        <v>0</v>
      </c>
      <c r="AQ867" s="31">
        <f>SUMIFS(инфо!$H$15:$H$28,инфо!$A$15:$A$28,F867)</f>
        <v>0</v>
      </c>
      <c r="AR867" s="32">
        <f t="shared" si="194"/>
        <v>0</v>
      </c>
      <c r="AS867" s="33">
        <f t="shared" si="197"/>
        <v>0</v>
      </c>
      <c r="AT867" s="31">
        <f>SUMIFS(инфо!$I$15:$I$28,инфо!$A$15:$A$28,F867)</f>
        <v>0</v>
      </c>
      <c r="AU867" s="35">
        <f t="shared" si="202"/>
        <v>0</v>
      </c>
      <c r="AV867" s="33">
        <f t="shared" si="198"/>
        <v>0</v>
      </c>
      <c r="AX867" s="67">
        <f>SUMIFS(инфо!$C$15:$C$28,инфо!$A$15:$A$28,F867)*H866</f>
        <v>0</v>
      </c>
    </row>
    <row r="868" spans="1:50" x14ac:dyDescent="0.25">
      <c r="A868" s="70">
        <f t="shared" si="203"/>
        <v>46498</v>
      </c>
      <c r="B868" s="76"/>
      <c r="C868" s="15"/>
      <c r="D868" s="16"/>
      <c r="E868" s="11"/>
      <c r="F868" s="28"/>
      <c r="G868" s="34"/>
      <c r="H868" s="20"/>
      <c r="I868" s="20"/>
      <c r="J868" s="20"/>
      <c r="K868" s="20"/>
      <c r="L868" s="20"/>
      <c r="M868" s="20"/>
      <c r="N868" s="20"/>
      <c r="O868" s="34"/>
      <c r="P868" s="34"/>
      <c r="Q868" s="34"/>
      <c r="R868" s="34"/>
      <c r="S868" s="68">
        <f t="shared" si="199"/>
        <v>0</v>
      </c>
      <c r="T868" s="15"/>
      <c r="U868" s="16"/>
      <c r="V868" s="34"/>
      <c r="W868" s="34"/>
      <c r="X868" s="34"/>
      <c r="Y868" s="15"/>
      <c r="Z868" s="34"/>
      <c r="AA868" s="34"/>
      <c r="AB868" s="34"/>
      <c r="AC868" s="34"/>
      <c r="AD868" s="16"/>
      <c r="AE868" s="24">
        <f>SUMIFS(инфо!$D$15:$D$28,инфо!$A$15:$A$28,F868)</f>
        <v>0</v>
      </c>
      <c r="AF868" s="35">
        <f t="shared" si="190"/>
        <v>0</v>
      </c>
      <c r="AG868" s="12">
        <f t="shared" si="200"/>
        <v>0</v>
      </c>
      <c r="AH868" s="24">
        <f>SUMIFS(инфо!$E$15:$E$28,инфо!$A$15:$A$28,F868)</f>
        <v>0</v>
      </c>
      <c r="AI868" s="32">
        <f t="shared" si="191"/>
        <v>0</v>
      </c>
      <c r="AJ868" s="12">
        <f t="shared" si="201"/>
        <v>0</v>
      </c>
      <c r="AK868" s="24">
        <f>SUMIFS(инфо!$F$15:$F$28,инфо!$A$15:$A$28,F868)</f>
        <v>0</v>
      </c>
      <c r="AL868" s="32">
        <f t="shared" si="192"/>
        <v>0</v>
      </c>
      <c r="AM868" s="12">
        <f t="shared" si="195"/>
        <v>0</v>
      </c>
      <c r="AN868" s="24">
        <f>SUMIFS(инфо!$G$15:$G$28,инфо!$A$15:$A$28,F868)</f>
        <v>0</v>
      </c>
      <c r="AO868" s="32">
        <f t="shared" si="193"/>
        <v>0</v>
      </c>
      <c r="AP868" s="12">
        <f t="shared" si="196"/>
        <v>0</v>
      </c>
      <c r="AQ868" s="24">
        <f>SUMIFS(инфо!$H$15:$H$28,инфо!$A$15:$A$28,F868)</f>
        <v>0</v>
      </c>
      <c r="AR868" s="35">
        <f t="shared" si="194"/>
        <v>0</v>
      </c>
      <c r="AS868" s="12">
        <f t="shared" si="197"/>
        <v>0</v>
      </c>
      <c r="AT868" s="24">
        <f>SUMIFS(инфо!$I$15:$I$28,инфо!$A$15:$A$28,F868)</f>
        <v>0</v>
      </c>
      <c r="AU868" s="35">
        <f t="shared" si="202"/>
        <v>0</v>
      </c>
      <c r="AV868" s="12">
        <f t="shared" si="198"/>
        <v>0</v>
      </c>
      <c r="AX868" s="68">
        <f>SUMIFS(инфо!$C$15:$C$28,инфо!$A$15:$A$28,F868)*H867</f>
        <v>0</v>
      </c>
    </row>
    <row r="869" spans="1:50" x14ac:dyDescent="0.25">
      <c r="A869" s="70">
        <f t="shared" si="203"/>
        <v>46498</v>
      </c>
      <c r="B869" s="76"/>
      <c r="C869" s="15"/>
      <c r="D869" s="16"/>
      <c r="E869" s="11"/>
      <c r="F869" s="28"/>
      <c r="G869" s="34"/>
      <c r="H869" s="23"/>
      <c r="I869" s="20"/>
      <c r="J869" s="20"/>
      <c r="K869" s="20"/>
      <c r="L869" s="20"/>
      <c r="M869" s="20"/>
      <c r="N869" s="20"/>
      <c r="O869" s="34"/>
      <c r="P869" s="34"/>
      <c r="Q869" s="34"/>
      <c r="R869" s="34"/>
      <c r="S869" s="68">
        <f t="shared" si="199"/>
        <v>0</v>
      </c>
      <c r="T869" s="15"/>
      <c r="U869" s="16"/>
      <c r="V869" s="34"/>
      <c r="W869" s="34"/>
      <c r="X869" s="34"/>
      <c r="Y869" s="15"/>
      <c r="Z869" s="34"/>
      <c r="AA869" s="34"/>
      <c r="AB869" s="34"/>
      <c r="AC869" s="34"/>
      <c r="AD869" s="16"/>
      <c r="AE869" s="24">
        <f>SUMIFS(инфо!$D$15:$D$28,инфо!$A$15:$A$28,F869)</f>
        <v>0</v>
      </c>
      <c r="AF869" s="35">
        <f t="shared" si="190"/>
        <v>0</v>
      </c>
      <c r="AG869" s="12">
        <f t="shared" si="200"/>
        <v>0</v>
      </c>
      <c r="AH869" s="24">
        <f>SUMIFS(инфо!$E$15:$E$28,инфо!$A$15:$A$28,F869)</f>
        <v>0</v>
      </c>
      <c r="AI869" s="32">
        <f t="shared" si="191"/>
        <v>0</v>
      </c>
      <c r="AJ869" s="12">
        <f t="shared" si="201"/>
        <v>0</v>
      </c>
      <c r="AK869" s="24">
        <f>SUMIFS(инфо!$F$15:$F$28,инфо!$A$15:$A$28,F869)</f>
        <v>0</v>
      </c>
      <c r="AL869" s="32">
        <f t="shared" si="192"/>
        <v>0</v>
      </c>
      <c r="AM869" s="12">
        <f t="shared" si="195"/>
        <v>0</v>
      </c>
      <c r="AN869" s="24">
        <f>SUMIFS(инфо!$G$15:$G$28,инфо!$A$15:$A$28,F869)</f>
        <v>0</v>
      </c>
      <c r="AO869" s="32">
        <f t="shared" si="193"/>
        <v>0</v>
      </c>
      <c r="AP869" s="12">
        <f t="shared" si="196"/>
        <v>0</v>
      </c>
      <c r="AQ869" s="24">
        <f>SUMIFS(инфо!$H$15:$H$28,инфо!$A$15:$A$28,F869)</f>
        <v>0</v>
      </c>
      <c r="AR869" s="35">
        <f t="shared" si="194"/>
        <v>0</v>
      </c>
      <c r="AS869" s="12">
        <f t="shared" si="197"/>
        <v>0</v>
      </c>
      <c r="AT869" s="24">
        <f>SUMIFS(инфо!$I$15:$I$28,инфо!$A$15:$A$28,F869)</f>
        <v>0</v>
      </c>
      <c r="AU869" s="35">
        <f t="shared" si="202"/>
        <v>0</v>
      </c>
      <c r="AV869" s="12">
        <f t="shared" si="198"/>
        <v>0</v>
      </c>
      <c r="AX869" s="68">
        <f>SUMIFS(инфо!$C$15:$C$28,инфо!$A$15:$A$28,F869)*H868</f>
        <v>0</v>
      </c>
    </row>
    <row r="870" spans="1:50" x14ac:dyDescent="0.25">
      <c r="A870" s="70">
        <f t="shared" si="203"/>
        <v>46499</v>
      </c>
      <c r="B870" s="77"/>
      <c r="C870" s="17"/>
      <c r="D870" s="18"/>
      <c r="E870" s="11"/>
      <c r="F870" s="28"/>
      <c r="G870" s="19"/>
      <c r="H870" s="28"/>
      <c r="I870" s="20"/>
      <c r="J870" s="20"/>
      <c r="K870" s="20"/>
      <c r="L870" s="20"/>
      <c r="M870" s="20"/>
      <c r="N870" s="23"/>
      <c r="O870" s="19"/>
      <c r="P870" s="19"/>
      <c r="Q870" s="19"/>
      <c r="R870" s="19"/>
      <c r="S870" s="69">
        <f t="shared" si="199"/>
        <v>0</v>
      </c>
      <c r="T870" s="17"/>
      <c r="U870" s="18"/>
      <c r="V870" s="19"/>
      <c r="W870" s="19"/>
      <c r="X870" s="19"/>
      <c r="Y870" s="17"/>
      <c r="Z870" s="19"/>
      <c r="AA870" s="19"/>
      <c r="AB870" s="19"/>
      <c r="AC870" s="19"/>
      <c r="AD870" s="18"/>
      <c r="AE870" s="25">
        <f>SUMIFS(инфо!$D$15:$D$28,инфо!$A$15:$A$28,F870)</f>
        <v>0</v>
      </c>
      <c r="AF870" s="35">
        <f t="shared" si="190"/>
        <v>0</v>
      </c>
      <c r="AG870" s="14">
        <f t="shared" si="200"/>
        <v>0</v>
      </c>
      <c r="AH870" s="25">
        <f>SUMIFS(инфо!$E$15:$E$28,инфо!$A$15:$A$28,F870)</f>
        <v>0</v>
      </c>
      <c r="AI870" s="32">
        <f t="shared" si="191"/>
        <v>0</v>
      </c>
      <c r="AJ870" s="14">
        <f t="shared" si="201"/>
        <v>0</v>
      </c>
      <c r="AK870" s="25">
        <f>SUMIFS(инфо!$F$15:$F$28,инфо!$A$15:$A$28,F870)</f>
        <v>0</v>
      </c>
      <c r="AL870" s="32">
        <f t="shared" si="192"/>
        <v>0</v>
      </c>
      <c r="AM870" s="14">
        <f t="shared" si="195"/>
        <v>0</v>
      </c>
      <c r="AN870" s="25">
        <f>SUMIFS(инфо!$G$15:$G$28,инфо!$A$15:$A$28,F870)</f>
        <v>0</v>
      </c>
      <c r="AO870" s="32">
        <f t="shared" si="193"/>
        <v>0</v>
      </c>
      <c r="AP870" s="14">
        <f t="shared" si="196"/>
        <v>0</v>
      </c>
      <c r="AQ870" s="25">
        <f>SUMIFS(инфо!$H$15:$H$28,инфо!$A$15:$A$28,F870)</f>
        <v>0</v>
      </c>
      <c r="AR870" s="26">
        <f t="shared" si="194"/>
        <v>0</v>
      </c>
      <c r="AS870" s="14">
        <f t="shared" si="197"/>
        <v>0</v>
      </c>
      <c r="AT870" s="25">
        <f>SUMIFS(инфо!$I$15:$I$28,инфо!$A$15:$A$28,F870)</f>
        <v>0</v>
      </c>
      <c r="AU870" s="35">
        <f t="shared" si="202"/>
        <v>0</v>
      </c>
      <c r="AV870" s="14">
        <f t="shared" si="198"/>
        <v>0</v>
      </c>
      <c r="AX870" s="69">
        <f>SUMIFS(инфо!$C$15:$C$28,инфо!$A$15:$A$28,F870)*H869</f>
        <v>0</v>
      </c>
    </row>
    <row r="871" spans="1:50" x14ac:dyDescent="0.25">
      <c r="A871" s="70">
        <f t="shared" si="203"/>
        <v>46499</v>
      </c>
      <c r="B871" s="75"/>
      <c r="C871" s="29"/>
      <c r="D871" s="30"/>
      <c r="E871" s="11"/>
      <c r="F871" s="28"/>
      <c r="G871" s="27"/>
      <c r="H871" s="20"/>
      <c r="I871" s="20"/>
      <c r="J871" s="20"/>
      <c r="K871" s="20"/>
      <c r="L871" s="20"/>
      <c r="M871" s="20"/>
      <c r="N871" s="28"/>
      <c r="O871" s="27"/>
      <c r="P871" s="27"/>
      <c r="Q871" s="27"/>
      <c r="R871" s="27"/>
      <c r="S871" s="67">
        <f t="shared" si="199"/>
        <v>0</v>
      </c>
      <c r="T871" s="29"/>
      <c r="U871" s="30"/>
      <c r="V871" s="27"/>
      <c r="W871" s="27"/>
      <c r="X871" s="27"/>
      <c r="Y871" s="29"/>
      <c r="Z871" s="27"/>
      <c r="AA871" s="27"/>
      <c r="AB871" s="27"/>
      <c r="AC871" s="27"/>
      <c r="AD871" s="30"/>
      <c r="AE871" s="31">
        <f>SUMIFS(инфо!$D$15:$D$28,инфо!$A$15:$A$28,F871)</f>
        <v>0</v>
      </c>
      <c r="AF871" s="35">
        <f t="shared" si="190"/>
        <v>0</v>
      </c>
      <c r="AG871" s="33">
        <f t="shared" si="200"/>
        <v>0</v>
      </c>
      <c r="AH871" s="31">
        <f>SUMIFS(инфо!$E$15:$E$28,инфо!$A$15:$A$28,F871)</f>
        <v>0</v>
      </c>
      <c r="AI871" s="32">
        <f t="shared" si="191"/>
        <v>0</v>
      </c>
      <c r="AJ871" s="33">
        <f t="shared" si="201"/>
        <v>0</v>
      </c>
      <c r="AK871" s="31">
        <f>SUMIFS(инфо!$F$15:$F$28,инфо!$A$15:$A$28,F871)</f>
        <v>0</v>
      </c>
      <c r="AL871" s="32">
        <f t="shared" si="192"/>
        <v>0</v>
      </c>
      <c r="AM871" s="33">
        <f t="shared" si="195"/>
        <v>0</v>
      </c>
      <c r="AN871" s="31">
        <f>SUMIFS(инфо!$G$15:$G$28,инфо!$A$15:$A$28,F871)</f>
        <v>0</v>
      </c>
      <c r="AO871" s="32">
        <f t="shared" si="193"/>
        <v>0</v>
      </c>
      <c r="AP871" s="33">
        <f t="shared" si="196"/>
        <v>0</v>
      </c>
      <c r="AQ871" s="31">
        <f>SUMIFS(инфо!$H$15:$H$28,инфо!$A$15:$A$28,F871)</f>
        <v>0</v>
      </c>
      <c r="AR871" s="32">
        <f t="shared" si="194"/>
        <v>0</v>
      </c>
      <c r="AS871" s="33">
        <f t="shared" si="197"/>
        <v>0</v>
      </c>
      <c r="AT871" s="31">
        <f>SUMIFS(инфо!$I$15:$I$28,инфо!$A$15:$A$28,F871)</f>
        <v>0</v>
      </c>
      <c r="AU871" s="35">
        <f t="shared" si="202"/>
        <v>0</v>
      </c>
      <c r="AV871" s="33">
        <f t="shared" si="198"/>
        <v>0</v>
      </c>
      <c r="AX871" s="67">
        <f>SUMIFS(инфо!$C$15:$C$28,инфо!$A$15:$A$28,F871)*H870</f>
        <v>0</v>
      </c>
    </row>
    <row r="872" spans="1:50" x14ac:dyDescent="0.25">
      <c r="A872" s="70">
        <f t="shared" si="203"/>
        <v>46500</v>
      </c>
      <c r="B872" s="76"/>
      <c r="C872" s="15"/>
      <c r="D872" s="16"/>
      <c r="E872" s="11"/>
      <c r="F872" s="28"/>
      <c r="G872" s="34"/>
      <c r="H872" s="20"/>
      <c r="I872" s="20"/>
      <c r="J872" s="20"/>
      <c r="K872" s="20"/>
      <c r="L872" s="20"/>
      <c r="M872" s="20"/>
      <c r="N872" s="20"/>
      <c r="O872" s="34"/>
      <c r="P872" s="34"/>
      <c r="Q872" s="34"/>
      <c r="R872" s="34"/>
      <c r="S872" s="68">
        <f t="shared" si="199"/>
        <v>0</v>
      </c>
      <c r="T872" s="15"/>
      <c r="U872" s="16"/>
      <c r="V872" s="34"/>
      <c r="W872" s="34"/>
      <c r="X872" s="34"/>
      <c r="Y872" s="15"/>
      <c r="Z872" s="34"/>
      <c r="AA872" s="34"/>
      <c r="AB872" s="34"/>
      <c r="AC872" s="34"/>
      <c r="AD872" s="16"/>
      <c r="AE872" s="24">
        <f>SUMIFS(инфо!$D$15:$D$28,инфо!$A$15:$A$28,F872)</f>
        <v>0</v>
      </c>
      <c r="AF872" s="35">
        <f t="shared" si="190"/>
        <v>0</v>
      </c>
      <c r="AG872" s="12">
        <f t="shared" si="200"/>
        <v>0</v>
      </c>
      <c r="AH872" s="24">
        <f>SUMIFS(инфо!$E$15:$E$28,инфо!$A$15:$A$28,F872)</f>
        <v>0</v>
      </c>
      <c r="AI872" s="32">
        <f t="shared" si="191"/>
        <v>0</v>
      </c>
      <c r="AJ872" s="12">
        <f t="shared" si="201"/>
        <v>0</v>
      </c>
      <c r="AK872" s="24">
        <f>SUMIFS(инфо!$F$15:$F$28,инфо!$A$15:$A$28,F872)</f>
        <v>0</v>
      </c>
      <c r="AL872" s="32">
        <f t="shared" si="192"/>
        <v>0</v>
      </c>
      <c r="AM872" s="12">
        <f t="shared" si="195"/>
        <v>0</v>
      </c>
      <c r="AN872" s="24">
        <f>SUMIFS(инфо!$G$15:$G$28,инфо!$A$15:$A$28,F872)</f>
        <v>0</v>
      </c>
      <c r="AO872" s="32">
        <f t="shared" si="193"/>
        <v>0</v>
      </c>
      <c r="AP872" s="12">
        <f t="shared" si="196"/>
        <v>0</v>
      </c>
      <c r="AQ872" s="24">
        <f>SUMIFS(инфо!$H$15:$H$28,инфо!$A$15:$A$28,F872)</f>
        <v>0</v>
      </c>
      <c r="AR872" s="35">
        <f t="shared" si="194"/>
        <v>0</v>
      </c>
      <c r="AS872" s="12">
        <f t="shared" si="197"/>
        <v>0</v>
      </c>
      <c r="AT872" s="24">
        <f>SUMIFS(инфо!$I$15:$I$28,инфо!$A$15:$A$28,F872)</f>
        <v>0</v>
      </c>
      <c r="AU872" s="35">
        <f t="shared" si="202"/>
        <v>0</v>
      </c>
      <c r="AV872" s="12">
        <f t="shared" si="198"/>
        <v>0</v>
      </c>
      <c r="AX872" s="68">
        <f>SUMIFS(инфо!$C$15:$C$28,инфо!$A$15:$A$28,F872)*H871</f>
        <v>0</v>
      </c>
    </row>
    <row r="873" spans="1:50" x14ac:dyDescent="0.25">
      <c r="A873" s="70">
        <f t="shared" si="203"/>
        <v>46500</v>
      </c>
      <c r="B873" s="76"/>
      <c r="C873" s="15"/>
      <c r="D873" s="16"/>
      <c r="E873" s="11"/>
      <c r="F873" s="28"/>
      <c r="G873" s="34"/>
      <c r="H873" s="23"/>
      <c r="I873" s="20"/>
      <c r="J873" s="20"/>
      <c r="K873" s="20"/>
      <c r="L873" s="20"/>
      <c r="M873" s="20"/>
      <c r="N873" s="20"/>
      <c r="O873" s="34"/>
      <c r="P873" s="34"/>
      <c r="Q873" s="34"/>
      <c r="R873" s="34"/>
      <c r="S873" s="68">
        <f t="shared" si="199"/>
        <v>0</v>
      </c>
      <c r="T873" s="15"/>
      <c r="U873" s="16"/>
      <c r="V873" s="34"/>
      <c r="W873" s="34"/>
      <c r="X873" s="34"/>
      <c r="Y873" s="15"/>
      <c r="Z873" s="34"/>
      <c r="AA873" s="34"/>
      <c r="AB873" s="34"/>
      <c r="AC873" s="34"/>
      <c r="AD873" s="16"/>
      <c r="AE873" s="24">
        <f>SUMIFS(инфо!$D$15:$D$28,инфо!$A$15:$A$28,F873)</f>
        <v>0</v>
      </c>
      <c r="AF873" s="35">
        <f t="shared" si="190"/>
        <v>0</v>
      </c>
      <c r="AG873" s="12">
        <f t="shared" si="200"/>
        <v>0</v>
      </c>
      <c r="AH873" s="24">
        <f>SUMIFS(инфо!$E$15:$E$28,инфо!$A$15:$A$28,F873)</f>
        <v>0</v>
      </c>
      <c r="AI873" s="32">
        <f t="shared" si="191"/>
        <v>0</v>
      </c>
      <c r="AJ873" s="12">
        <f t="shared" si="201"/>
        <v>0</v>
      </c>
      <c r="AK873" s="24">
        <f>SUMIFS(инфо!$F$15:$F$28,инфо!$A$15:$A$28,F873)</f>
        <v>0</v>
      </c>
      <c r="AL873" s="32">
        <f t="shared" si="192"/>
        <v>0</v>
      </c>
      <c r="AM873" s="12">
        <f t="shared" si="195"/>
        <v>0</v>
      </c>
      <c r="AN873" s="24">
        <f>SUMIFS(инфо!$G$15:$G$28,инфо!$A$15:$A$28,F873)</f>
        <v>0</v>
      </c>
      <c r="AO873" s="32">
        <f t="shared" si="193"/>
        <v>0</v>
      </c>
      <c r="AP873" s="12">
        <f t="shared" si="196"/>
        <v>0</v>
      </c>
      <c r="AQ873" s="24">
        <f>SUMIFS(инфо!$H$15:$H$28,инфо!$A$15:$A$28,F873)</f>
        <v>0</v>
      </c>
      <c r="AR873" s="35">
        <f t="shared" si="194"/>
        <v>0</v>
      </c>
      <c r="AS873" s="12">
        <f t="shared" si="197"/>
        <v>0</v>
      </c>
      <c r="AT873" s="24">
        <f>SUMIFS(инфо!$I$15:$I$28,инфо!$A$15:$A$28,F873)</f>
        <v>0</v>
      </c>
      <c r="AU873" s="35">
        <f t="shared" si="202"/>
        <v>0</v>
      </c>
      <c r="AV873" s="12">
        <f t="shared" si="198"/>
        <v>0</v>
      </c>
      <c r="AX873" s="68">
        <f>SUMIFS(инфо!$C$15:$C$28,инфо!$A$15:$A$28,F873)*H872</f>
        <v>0</v>
      </c>
    </row>
    <row r="874" spans="1:50" x14ac:dyDescent="0.25">
      <c r="A874" s="70">
        <f t="shared" si="203"/>
        <v>46501</v>
      </c>
      <c r="B874" s="77"/>
      <c r="C874" s="17"/>
      <c r="D874" s="18"/>
      <c r="E874" s="11"/>
      <c r="F874" s="28"/>
      <c r="G874" s="19"/>
      <c r="H874" s="28"/>
      <c r="I874" s="20"/>
      <c r="J874" s="20"/>
      <c r="K874" s="20"/>
      <c r="L874" s="20"/>
      <c r="M874" s="20"/>
      <c r="N874" s="23"/>
      <c r="O874" s="19"/>
      <c r="P874" s="19"/>
      <c r="Q874" s="19"/>
      <c r="R874" s="19"/>
      <c r="S874" s="69">
        <f t="shared" si="199"/>
        <v>0</v>
      </c>
      <c r="T874" s="17"/>
      <c r="U874" s="18"/>
      <c r="V874" s="19"/>
      <c r="W874" s="19"/>
      <c r="X874" s="19"/>
      <c r="Y874" s="17"/>
      <c r="Z874" s="19"/>
      <c r="AA874" s="19"/>
      <c r="AB874" s="19"/>
      <c r="AC874" s="19"/>
      <c r="AD874" s="18"/>
      <c r="AE874" s="25">
        <f>SUMIFS(инфо!$D$15:$D$28,инфо!$A$15:$A$28,F874)</f>
        <v>0</v>
      </c>
      <c r="AF874" s="35">
        <f t="shared" si="190"/>
        <v>0</v>
      </c>
      <c r="AG874" s="14">
        <f t="shared" si="200"/>
        <v>0</v>
      </c>
      <c r="AH874" s="25">
        <f>SUMIFS(инфо!$E$15:$E$28,инфо!$A$15:$A$28,F874)</f>
        <v>0</v>
      </c>
      <c r="AI874" s="32">
        <f t="shared" si="191"/>
        <v>0</v>
      </c>
      <c r="AJ874" s="14">
        <f t="shared" si="201"/>
        <v>0</v>
      </c>
      <c r="AK874" s="25">
        <f>SUMIFS(инфо!$F$15:$F$28,инфо!$A$15:$A$28,F874)</f>
        <v>0</v>
      </c>
      <c r="AL874" s="32">
        <f t="shared" si="192"/>
        <v>0</v>
      </c>
      <c r="AM874" s="14">
        <f t="shared" si="195"/>
        <v>0</v>
      </c>
      <c r="AN874" s="25">
        <f>SUMIFS(инфо!$G$15:$G$28,инфо!$A$15:$A$28,F874)</f>
        <v>0</v>
      </c>
      <c r="AO874" s="32">
        <f t="shared" si="193"/>
        <v>0</v>
      </c>
      <c r="AP874" s="14">
        <f t="shared" si="196"/>
        <v>0</v>
      </c>
      <c r="AQ874" s="25">
        <f>SUMIFS(инфо!$H$15:$H$28,инфо!$A$15:$A$28,F874)</f>
        <v>0</v>
      </c>
      <c r="AR874" s="26">
        <f t="shared" si="194"/>
        <v>0</v>
      </c>
      <c r="AS874" s="14">
        <f t="shared" si="197"/>
        <v>0</v>
      </c>
      <c r="AT874" s="25">
        <f>SUMIFS(инфо!$I$15:$I$28,инфо!$A$15:$A$28,F874)</f>
        <v>0</v>
      </c>
      <c r="AU874" s="35">
        <f t="shared" si="202"/>
        <v>0</v>
      </c>
      <c r="AV874" s="14">
        <f t="shared" si="198"/>
        <v>0</v>
      </c>
      <c r="AX874" s="69">
        <f>SUMIFS(инфо!$C$15:$C$28,инфо!$A$15:$A$28,F874)*H873</f>
        <v>0</v>
      </c>
    </row>
    <row r="875" spans="1:50" x14ac:dyDescent="0.25">
      <c r="A875" s="70">
        <f t="shared" si="203"/>
        <v>46501</v>
      </c>
      <c r="B875" s="75"/>
      <c r="C875" s="29"/>
      <c r="D875" s="30"/>
      <c r="E875" s="11"/>
      <c r="F875" s="28"/>
      <c r="G875" s="27"/>
      <c r="H875" s="20"/>
      <c r="I875" s="20"/>
      <c r="J875" s="20"/>
      <c r="K875" s="20"/>
      <c r="L875" s="20"/>
      <c r="M875" s="20"/>
      <c r="N875" s="28"/>
      <c r="O875" s="27"/>
      <c r="P875" s="27"/>
      <c r="Q875" s="27"/>
      <c r="R875" s="27"/>
      <c r="S875" s="67">
        <f t="shared" si="199"/>
        <v>0</v>
      </c>
      <c r="T875" s="29"/>
      <c r="U875" s="30"/>
      <c r="V875" s="27"/>
      <c r="W875" s="27"/>
      <c r="X875" s="27"/>
      <c r="Y875" s="29"/>
      <c r="Z875" s="27"/>
      <c r="AA875" s="27"/>
      <c r="AB875" s="27"/>
      <c r="AC875" s="27"/>
      <c r="AD875" s="30"/>
      <c r="AE875" s="31">
        <f>SUMIFS(инфо!$D$15:$D$28,инфо!$A$15:$A$28,F875)</f>
        <v>0</v>
      </c>
      <c r="AF875" s="35">
        <f t="shared" si="190"/>
        <v>0</v>
      </c>
      <c r="AG875" s="33">
        <f t="shared" si="200"/>
        <v>0</v>
      </c>
      <c r="AH875" s="31">
        <f>SUMIFS(инфо!$E$15:$E$28,инфо!$A$15:$A$28,F875)</f>
        <v>0</v>
      </c>
      <c r="AI875" s="32">
        <f t="shared" si="191"/>
        <v>0</v>
      </c>
      <c r="AJ875" s="33">
        <f t="shared" si="201"/>
        <v>0</v>
      </c>
      <c r="AK875" s="31">
        <f>SUMIFS(инфо!$F$15:$F$28,инфо!$A$15:$A$28,F875)</f>
        <v>0</v>
      </c>
      <c r="AL875" s="32">
        <f t="shared" si="192"/>
        <v>0</v>
      </c>
      <c r="AM875" s="33">
        <f t="shared" si="195"/>
        <v>0</v>
      </c>
      <c r="AN875" s="31">
        <f>SUMIFS(инфо!$G$15:$G$28,инфо!$A$15:$A$28,F875)</f>
        <v>0</v>
      </c>
      <c r="AO875" s="32">
        <f t="shared" si="193"/>
        <v>0</v>
      </c>
      <c r="AP875" s="33">
        <f t="shared" si="196"/>
        <v>0</v>
      </c>
      <c r="AQ875" s="31">
        <f>SUMIFS(инфо!$H$15:$H$28,инфо!$A$15:$A$28,F875)</f>
        <v>0</v>
      </c>
      <c r="AR875" s="32">
        <f t="shared" si="194"/>
        <v>0</v>
      </c>
      <c r="AS875" s="33">
        <f t="shared" si="197"/>
        <v>0</v>
      </c>
      <c r="AT875" s="31">
        <f>SUMIFS(инфо!$I$15:$I$28,инфо!$A$15:$A$28,F875)</f>
        <v>0</v>
      </c>
      <c r="AU875" s="35">
        <f t="shared" si="202"/>
        <v>0</v>
      </c>
      <c r="AV875" s="33">
        <f t="shared" si="198"/>
        <v>0</v>
      </c>
      <c r="AX875" s="67">
        <f>SUMIFS(инфо!$C$15:$C$28,инфо!$A$15:$A$28,F875)*H874</f>
        <v>0</v>
      </c>
    </row>
    <row r="876" spans="1:50" x14ac:dyDescent="0.25">
      <c r="A876" s="70">
        <f t="shared" si="203"/>
        <v>46502</v>
      </c>
      <c r="B876" s="76"/>
      <c r="C876" s="15"/>
      <c r="D876" s="16"/>
      <c r="E876" s="11"/>
      <c r="F876" s="28"/>
      <c r="G876" s="34"/>
      <c r="H876" s="20"/>
      <c r="I876" s="20"/>
      <c r="J876" s="20"/>
      <c r="K876" s="20"/>
      <c r="L876" s="20"/>
      <c r="M876" s="20"/>
      <c r="N876" s="20"/>
      <c r="O876" s="34"/>
      <c r="P876" s="34"/>
      <c r="Q876" s="34"/>
      <c r="R876" s="34"/>
      <c r="S876" s="68">
        <f t="shared" si="199"/>
        <v>0</v>
      </c>
      <c r="T876" s="15"/>
      <c r="U876" s="16"/>
      <c r="V876" s="34"/>
      <c r="W876" s="34"/>
      <c r="X876" s="34"/>
      <c r="Y876" s="15"/>
      <c r="Z876" s="34"/>
      <c r="AA876" s="34"/>
      <c r="AB876" s="34"/>
      <c r="AC876" s="34"/>
      <c r="AD876" s="16"/>
      <c r="AE876" s="24">
        <f>SUMIFS(инфо!$D$15:$D$28,инфо!$A$15:$A$28,F876)</f>
        <v>0</v>
      </c>
      <c r="AF876" s="35">
        <f t="shared" si="190"/>
        <v>0</v>
      </c>
      <c r="AG876" s="12">
        <f t="shared" si="200"/>
        <v>0</v>
      </c>
      <c r="AH876" s="24">
        <f>SUMIFS(инфо!$E$15:$E$28,инфо!$A$15:$A$28,F876)</f>
        <v>0</v>
      </c>
      <c r="AI876" s="32">
        <f t="shared" si="191"/>
        <v>0</v>
      </c>
      <c r="AJ876" s="12">
        <f t="shared" si="201"/>
        <v>0</v>
      </c>
      <c r="AK876" s="24">
        <f>SUMIFS(инфо!$F$15:$F$28,инфо!$A$15:$A$28,F876)</f>
        <v>0</v>
      </c>
      <c r="AL876" s="32">
        <f t="shared" si="192"/>
        <v>0</v>
      </c>
      <c r="AM876" s="12">
        <f t="shared" si="195"/>
        <v>0</v>
      </c>
      <c r="AN876" s="24">
        <f>SUMIFS(инфо!$G$15:$G$28,инфо!$A$15:$A$28,F876)</f>
        <v>0</v>
      </c>
      <c r="AO876" s="32">
        <f t="shared" si="193"/>
        <v>0</v>
      </c>
      <c r="AP876" s="12">
        <f t="shared" si="196"/>
        <v>0</v>
      </c>
      <c r="AQ876" s="24">
        <f>SUMIFS(инфо!$H$15:$H$28,инфо!$A$15:$A$28,F876)</f>
        <v>0</v>
      </c>
      <c r="AR876" s="35">
        <f t="shared" si="194"/>
        <v>0</v>
      </c>
      <c r="AS876" s="12">
        <f t="shared" si="197"/>
        <v>0</v>
      </c>
      <c r="AT876" s="24">
        <f>SUMIFS(инфо!$I$15:$I$28,инфо!$A$15:$A$28,F876)</f>
        <v>0</v>
      </c>
      <c r="AU876" s="35">
        <f t="shared" si="202"/>
        <v>0</v>
      </c>
      <c r="AV876" s="12">
        <f t="shared" si="198"/>
        <v>0</v>
      </c>
      <c r="AX876" s="68">
        <f>SUMIFS(инфо!$C$15:$C$28,инфо!$A$15:$A$28,F876)*H875</f>
        <v>0</v>
      </c>
    </row>
    <row r="877" spans="1:50" x14ac:dyDescent="0.25">
      <c r="A877" s="70">
        <f t="shared" si="203"/>
        <v>46502</v>
      </c>
      <c r="B877" s="76"/>
      <c r="C877" s="15"/>
      <c r="D877" s="16"/>
      <c r="E877" s="11"/>
      <c r="F877" s="28"/>
      <c r="G877" s="34"/>
      <c r="H877" s="23"/>
      <c r="I877" s="20"/>
      <c r="J877" s="20"/>
      <c r="K877" s="20"/>
      <c r="L877" s="20"/>
      <c r="M877" s="20"/>
      <c r="N877" s="20"/>
      <c r="O877" s="34"/>
      <c r="P877" s="34"/>
      <c r="Q877" s="34"/>
      <c r="R877" s="34"/>
      <c r="S877" s="68">
        <f t="shared" si="199"/>
        <v>0</v>
      </c>
      <c r="T877" s="15"/>
      <c r="U877" s="16"/>
      <c r="V877" s="34"/>
      <c r="W877" s="34"/>
      <c r="X877" s="34"/>
      <c r="Y877" s="15"/>
      <c r="Z877" s="34"/>
      <c r="AA877" s="34"/>
      <c r="AB877" s="34"/>
      <c r="AC877" s="34"/>
      <c r="AD877" s="16"/>
      <c r="AE877" s="24">
        <f>SUMIFS(инфо!$D$15:$D$28,инфо!$A$15:$A$28,F877)</f>
        <v>0</v>
      </c>
      <c r="AF877" s="35">
        <f t="shared" ref="AF877:AF940" si="204">IF(H877=0,0,N877/H877)</f>
        <v>0</v>
      </c>
      <c r="AG877" s="12">
        <f t="shared" si="200"/>
        <v>0</v>
      </c>
      <c r="AH877" s="24">
        <f>SUMIFS(инфо!$E$15:$E$28,инфо!$A$15:$A$28,F877)</f>
        <v>0</v>
      </c>
      <c r="AI877" s="32">
        <f t="shared" ref="AI877:AI940" si="205">IF(H877=0,0,S877/H877)</f>
        <v>0</v>
      </c>
      <c r="AJ877" s="12">
        <f t="shared" si="201"/>
        <v>0</v>
      </c>
      <c r="AK877" s="24">
        <f>SUMIFS(инфо!$F$15:$F$28,инфо!$A$15:$A$28,F877)</f>
        <v>0</v>
      </c>
      <c r="AL877" s="32">
        <f t="shared" ref="AL877:AL940" si="206">IF(H877=0,0,Y877/H877)</f>
        <v>0</v>
      </c>
      <c r="AM877" s="12">
        <f t="shared" si="195"/>
        <v>0</v>
      </c>
      <c r="AN877" s="24">
        <f>SUMIFS(инфо!$G$15:$G$28,инфо!$A$15:$A$28,F877)</f>
        <v>0</v>
      </c>
      <c r="AO877" s="32">
        <f t="shared" ref="AO877:AO940" si="207">IF(H877=0,0,AA877/H877)</f>
        <v>0</v>
      </c>
      <c r="AP877" s="12">
        <f t="shared" si="196"/>
        <v>0</v>
      </c>
      <c r="AQ877" s="24">
        <f>SUMIFS(инфо!$H$15:$H$28,инфо!$A$15:$A$28,F877)</f>
        <v>0</v>
      </c>
      <c r="AR877" s="35">
        <f t="shared" si="194"/>
        <v>0</v>
      </c>
      <c r="AS877" s="12">
        <f t="shared" si="197"/>
        <v>0</v>
      </c>
      <c r="AT877" s="24">
        <f>SUMIFS(инфо!$I$15:$I$28,инфо!$A$15:$A$28,F877)</f>
        <v>0</v>
      </c>
      <c r="AU877" s="35">
        <f t="shared" si="202"/>
        <v>0</v>
      </c>
      <c r="AV877" s="12">
        <f t="shared" si="198"/>
        <v>0</v>
      </c>
      <c r="AX877" s="68">
        <f>SUMIFS(инфо!$C$15:$C$28,инфо!$A$15:$A$28,F877)*H876</f>
        <v>0</v>
      </c>
    </row>
    <row r="878" spans="1:50" x14ac:dyDescent="0.25">
      <c r="A878" s="70">
        <f t="shared" si="203"/>
        <v>46503</v>
      </c>
      <c r="B878" s="77"/>
      <c r="C878" s="17"/>
      <c r="D878" s="18"/>
      <c r="E878" s="11"/>
      <c r="F878" s="28"/>
      <c r="G878" s="19"/>
      <c r="H878" s="28"/>
      <c r="I878" s="20"/>
      <c r="J878" s="20"/>
      <c r="K878" s="20"/>
      <c r="L878" s="20"/>
      <c r="M878" s="20"/>
      <c r="N878" s="23"/>
      <c r="O878" s="19"/>
      <c r="P878" s="19"/>
      <c r="Q878" s="19"/>
      <c r="R878" s="19"/>
      <c r="S878" s="69">
        <f t="shared" si="199"/>
        <v>0</v>
      </c>
      <c r="T878" s="17"/>
      <c r="U878" s="18"/>
      <c r="V878" s="19"/>
      <c r="W878" s="19"/>
      <c r="X878" s="19"/>
      <c r="Y878" s="17"/>
      <c r="Z878" s="19"/>
      <c r="AA878" s="19"/>
      <c r="AB878" s="19"/>
      <c r="AC878" s="19"/>
      <c r="AD878" s="18"/>
      <c r="AE878" s="25">
        <f>SUMIFS(инфо!$D$15:$D$28,инфо!$A$15:$A$28,F878)</f>
        <v>0</v>
      </c>
      <c r="AF878" s="35">
        <f t="shared" si="204"/>
        <v>0</v>
      </c>
      <c r="AG878" s="14">
        <f t="shared" si="200"/>
        <v>0</v>
      </c>
      <c r="AH878" s="25">
        <f>SUMIFS(инфо!$E$15:$E$28,инфо!$A$15:$A$28,F878)</f>
        <v>0</v>
      </c>
      <c r="AI878" s="32">
        <f t="shared" si="205"/>
        <v>0</v>
      </c>
      <c r="AJ878" s="14">
        <f t="shared" si="201"/>
        <v>0</v>
      </c>
      <c r="AK878" s="25">
        <f>SUMIFS(инфо!$F$15:$F$28,инфо!$A$15:$A$28,F878)</f>
        <v>0</v>
      </c>
      <c r="AL878" s="32">
        <f t="shared" si="206"/>
        <v>0</v>
      </c>
      <c r="AM878" s="14">
        <f t="shared" si="195"/>
        <v>0</v>
      </c>
      <c r="AN878" s="25">
        <f>SUMIFS(инфо!$G$15:$G$28,инфо!$A$15:$A$28,F878)</f>
        <v>0</v>
      </c>
      <c r="AO878" s="32">
        <f t="shared" si="207"/>
        <v>0</v>
      </c>
      <c r="AP878" s="14">
        <f t="shared" si="196"/>
        <v>0</v>
      </c>
      <c r="AQ878" s="25">
        <f>SUMIFS(инфо!$H$15:$H$28,инфо!$A$15:$A$28,F878)</f>
        <v>0</v>
      </c>
      <c r="AR878" s="26">
        <f t="shared" ref="AR878:AR941" si="208">IF(H877=0,0,AC878/H877)</f>
        <v>0</v>
      </c>
      <c r="AS878" s="14">
        <f t="shared" si="197"/>
        <v>0</v>
      </c>
      <c r="AT878" s="25">
        <f>SUMIFS(инфо!$I$15:$I$28,инфо!$A$15:$A$28,F878)</f>
        <v>0</v>
      </c>
      <c r="AU878" s="35">
        <f t="shared" si="202"/>
        <v>0</v>
      </c>
      <c r="AV878" s="14">
        <f t="shared" si="198"/>
        <v>0</v>
      </c>
      <c r="AX878" s="69">
        <f>SUMIFS(инфо!$C$15:$C$28,инфо!$A$15:$A$28,F878)*H877</f>
        <v>0</v>
      </c>
    </row>
    <row r="879" spans="1:50" x14ac:dyDescent="0.25">
      <c r="A879" s="70">
        <f t="shared" si="203"/>
        <v>46503</v>
      </c>
      <c r="B879" s="75"/>
      <c r="C879" s="29"/>
      <c r="D879" s="30"/>
      <c r="E879" s="11"/>
      <c r="F879" s="28"/>
      <c r="G879" s="27"/>
      <c r="H879" s="20"/>
      <c r="I879" s="20"/>
      <c r="J879" s="20"/>
      <c r="K879" s="20"/>
      <c r="L879" s="20"/>
      <c r="M879" s="20"/>
      <c r="N879" s="28"/>
      <c r="O879" s="27"/>
      <c r="P879" s="27"/>
      <c r="Q879" s="27"/>
      <c r="R879" s="27"/>
      <c r="S879" s="67">
        <f t="shared" si="199"/>
        <v>0</v>
      </c>
      <c r="T879" s="29"/>
      <c r="U879" s="30"/>
      <c r="V879" s="27"/>
      <c r="W879" s="27"/>
      <c r="X879" s="27"/>
      <c r="Y879" s="29"/>
      <c r="Z879" s="27"/>
      <c r="AA879" s="27"/>
      <c r="AB879" s="27"/>
      <c r="AC879" s="27"/>
      <c r="AD879" s="30"/>
      <c r="AE879" s="31">
        <f>SUMIFS(инфо!$D$15:$D$28,инфо!$A$15:$A$28,F879)</f>
        <v>0</v>
      </c>
      <c r="AF879" s="35">
        <f t="shared" si="204"/>
        <v>0</v>
      </c>
      <c r="AG879" s="33">
        <f t="shared" si="200"/>
        <v>0</v>
      </c>
      <c r="AH879" s="31">
        <f>SUMIFS(инфо!$E$15:$E$28,инфо!$A$15:$A$28,F879)</f>
        <v>0</v>
      </c>
      <c r="AI879" s="32">
        <f t="shared" si="205"/>
        <v>0</v>
      </c>
      <c r="AJ879" s="33">
        <f t="shared" si="201"/>
        <v>0</v>
      </c>
      <c r="AK879" s="31">
        <f>SUMIFS(инфо!$F$15:$F$28,инфо!$A$15:$A$28,F879)</f>
        <v>0</v>
      </c>
      <c r="AL879" s="32">
        <f t="shared" si="206"/>
        <v>0</v>
      </c>
      <c r="AM879" s="33">
        <f t="shared" ref="AM879:AM942" si="209">AL879-AK879</f>
        <v>0</v>
      </c>
      <c r="AN879" s="31">
        <f>SUMIFS(инфо!$G$15:$G$28,инфо!$A$15:$A$28,F879)</f>
        <v>0</v>
      </c>
      <c r="AO879" s="32">
        <f t="shared" si="207"/>
        <v>0</v>
      </c>
      <c r="AP879" s="33">
        <f t="shared" ref="AP879:AP942" si="210">AO879-AN879</f>
        <v>0</v>
      </c>
      <c r="AQ879" s="31">
        <f>SUMIFS(инфо!$H$15:$H$28,инфо!$A$15:$A$28,F879)</f>
        <v>0</v>
      </c>
      <c r="AR879" s="32">
        <f t="shared" si="208"/>
        <v>0</v>
      </c>
      <c r="AS879" s="33">
        <f t="shared" ref="AS879:AS942" si="211">AR879-AQ879</f>
        <v>0</v>
      </c>
      <c r="AT879" s="31">
        <f>SUMIFS(инфо!$I$15:$I$28,инфо!$A$15:$A$28,F879)</f>
        <v>0</v>
      </c>
      <c r="AU879" s="35">
        <f t="shared" si="202"/>
        <v>0</v>
      </c>
      <c r="AV879" s="33">
        <f t="shared" ref="AV879:AV942" si="212">AU879-AT879</f>
        <v>0</v>
      </c>
      <c r="AX879" s="67">
        <f>SUMIFS(инфо!$C$15:$C$28,инфо!$A$15:$A$28,F879)*H878</f>
        <v>0</v>
      </c>
    </row>
    <row r="880" spans="1:50" x14ac:dyDescent="0.25">
      <c r="A880" s="70">
        <f t="shared" si="203"/>
        <v>46504</v>
      </c>
      <c r="B880" s="76"/>
      <c r="C880" s="15"/>
      <c r="D880" s="16"/>
      <c r="E880" s="11"/>
      <c r="F880" s="28"/>
      <c r="G880" s="34"/>
      <c r="H880" s="20"/>
      <c r="I880" s="20"/>
      <c r="J880" s="20"/>
      <c r="K880" s="20"/>
      <c r="L880" s="20"/>
      <c r="M880" s="20"/>
      <c r="N880" s="20"/>
      <c r="O880" s="34"/>
      <c r="P880" s="34"/>
      <c r="Q880" s="34"/>
      <c r="R880" s="34"/>
      <c r="S880" s="68">
        <f t="shared" ref="S880:S943" si="213">SUM(O880:R880)</f>
        <v>0</v>
      </c>
      <c r="T880" s="15"/>
      <c r="U880" s="16"/>
      <c r="V880" s="34"/>
      <c r="W880" s="34"/>
      <c r="X880" s="34"/>
      <c r="Y880" s="15"/>
      <c r="Z880" s="34"/>
      <c r="AA880" s="34"/>
      <c r="AB880" s="34"/>
      <c r="AC880" s="34"/>
      <c r="AD880" s="16"/>
      <c r="AE880" s="24">
        <f>SUMIFS(инфо!$D$15:$D$28,инфо!$A$15:$A$28,F880)</f>
        <v>0</v>
      </c>
      <c r="AF880" s="35">
        <f t="shared" si="204"/>
        <v>0</v>
      </c>
      <c r="AG880" s="12">
        <f t="shared" si="200"/>
        <v>0</v>
      </c>
      <c r="AH880" s="24">
        <f>SUMIFS(инфо!$E$15:$E$28,инфо!$A$15:$A$28,F880)</f>
        <v>0</v>
      </c>
      <c r="AI880" s="32">
        <f t="shared" si="205"/>
        <v>0</v>
      </c>
      <c r="AJ880" s="12">
        <f t="shared" si="201"/>
        <v>0</v>
      </c>
      <c r="AK880" s="24">
        <f>SUMIFS(инфо!$F$15:$F$28,инфо!$A$15:$A$28,F880)</f>
        <v>0</v>
      </c>
      <c r="AL880" s="32">
        <f t="shared" si="206"/>
        <v>0</v>
      </c>
      <c r="AM880" s="12">
        <f t="shared" si="209"/>
        <v>0</v>
      </c>
      <c r="AN880" s="24">
        <f>SUMIFS(инфо!$G$15:$G$28,инфо!$A$15:$A$28,F880)</f>
        <v>0</v>
      </c>
      <c r="AO880" s="32">
        <f t="shared" si="207"/>
        <v>0</v>
      </c>
      <c r="AP880" s="12">
        <f t="shared" si="210"/>
        <v>0</v>
      </c>
      <c r="AQ880" s="24">
        <f>SUMIFS(инфо!$H$15:$H$28,инфо!$A$15:$A$28,F880)</f>
        <v>0</v>
      </c>
      <c r="AR880" s="35">
        <f t="shared" si="208"/>
        <v>0</v>
      </c>
      <c r="AS880" s="12">
        <f t="shared" si="211"/>
        <v>0</v>
      </c>
      <c r="AT880" s="24">
        <f>SUMIFS(инфо!$I$15:$I$28,инфо!$A$15:$A$28,F880)</f>
        <v>0</v>
      </c>
      <c r="AU880" s="35">
        <f t="shared" si="202"/>
        <v>0</v>
      </c>
      <c r="AV880" s="12">
        <f t="shared" si="212"/>
        <v>0</v>
      </c>
      <c r="AX880" s="68">
        <f>SUMIFS(инфо!$C$15:$C$28,инфо!$A$15:$A$28,F880)*H879</f>
        <v>0</v>
      </c>
    </row>
    <row r="881" spans="1:50" x14ac:dyDescent="0.25">
      <c r="A881" s="70">
        <f t="shared" si="203"/>
        <v>46504</v>
      </c>
      <c r="B881" s="76"/>
      <c r="C881" s="15"/>
      <c r="D881" s="16"/>
      <c r="E881" s="11"/>
      <c r="F881" s="28"/>
      <c r="G881" s="34"/>
      <c r="H881" s="23"/>
      <c r="I881" s="20"/>
      <c r="J881" s="20"/>
      <c r="K881" s="20"/>
      <c r="L881" s="20"/>
      <c r="M881" s="20"/>
      <c r="N881" s="20"/>
      <c r="O881" s="34"/>
      <c r="P881" s="34"/>
      <c r="Q881" s="34"/>
      <c r="R881" s="34"/>
      <c r="S881" s="68">
        <f t="shared" si="213"/>
        <v>0</v>
      </c>
      <c r="T881" s="15"/>
      <c r="U881" s="16"/>
      <c r="V881" s="34"/>
      <c r="W881" s="34"/>
      <c r="X881" s="34"/>
      <c r="Y881" s="15"/>
      <c r="Z881" s="34"/>
      <c r="AA881" s="34"/>
      <c r="AB881" s="34"/>
      <c r="AC881" s="34"/>
      <c r="AD881" s="16"/>
      <c r="AE881" s="24">
        <f>SUMIFS(инфо!$D$15:$D$28,инфо!$A$15:$A$28,F881)</f>
        <v>0</v>
      </c>
      <c r="AF881" s="35">
        <f t="shared" si="204"/>
        <v>0</v>
      </c>
      <c r="AG881" s="12">
        <f t="shared" si="200"/>
        <v>0</v>
      </c>
      <c r="AH881" s="24">
        <f>SUMIFS(инфо!$E$15:$E$28,инфо!$A$15:$A$28,F881)</f>
        <v>0</v>
      </c>
      <c r="AI881" s="32">
        <f t="shared" si="205"/>
        <v>0</v>
      </c>
      <c r="AJ881" s="12">
        <f t="shared" si="201"/>
        <v>0</v>
      </c>
      <c r="AK881" s="24">
        <f>SUMIFS(инфо!$F$15:$F$28,инфо!$A$15:$A$28,F881)</f>
        <v>0</v>
      </c>
      <c r="AL881" s="32">
        <f t="shared" si="206"/>
        <v>0</v>
      </c>
      <c r="AM881" s="12">
        <f t="shared" si="209"/>
        <v>0</v>
      </c>
      <c r="AN881" s="24">
        <f>SUMIFS(инфо!$G$15:$G$28,инфо!$A$15:$A$28,F881)</f>
        <v>0</v>
      </c>
      <c r="AO881" s="32">
        <f t="shared" si="207"/>
        <v>0</v>
      </c>
      <c r="AP881" s="12">
        <f t="shared" si="210"/>
        <v>0</v>
      </c>
      <c r="AQ881" s="24">
        <f>SUMIFS(инфо!$H$15:$H$28,инфо!$A$15:$A$28,F881)</f>
        <v>0</v>
      </c>
      <c r="AR881" s="35">
        <f t="shared" si="208"/>
        <v>0</v>
      </c>
      <c r="AS881" s="12">
        <f t="shared" si="211"/>
        <v>0</v>
      </c>
      <c r="AT881" s="24">
        <f>SUMIFS(инфо!$I$15:$I$28,инфо!$A$15:$A$28,F881)</f>
        <v>0</v>
      </c>
      <c r="AU881" s="35">
        <f t="shared" si="202"/>
        <v>0</v>
      </c>
      <c r="AV881" s="12">
        <f t="shared" si="212"/>
        <v>0</v>
      </c>
      <c r="AX881" s="68">
        <f>SUMIFS(инфо!$C$15:$C$28,инфо!$A$15:$A$28,F881)*H880</f>
        <v>0</v>
      </c>
    </row>
    <row r="882" spans="1:50" x14ac:dyDescent="0.25">
      <c r="A882" s="70">
        <f t="shared" si="203"/>
        <v>46505</v>
      </c>
      <c r="B882" s="77"/>
      <c r="C882" s="17"/>
      <c r="D882" s="18"/>
      <c r="E882" s="11"/>
      <c r="F882" s="28"/>
      <c r="G882" s="19"/>
      <c r="H882" s="28"/>
      <c r="I882" s="20"/>
      <c r="J882" s="20"/>
      <c r="K882" s="20"/>
      <c r="L882" s="20"/>
      <c r="M882" s="20"/>
      <c r="N882" s="23"/>
      <c r="O882" s="19"/>
      <c r="P882" s="19"/>
      <c r="Q882" s="19"/>
      <c r="R882" s="19"/>
      <c r="S882" s="69">
        <f t="shared" si="213"/>
        <v>0</v>
      </c>
      <c r="T882" s="17"/>
      <c r="U882" s="18"/>
      <c r="V882" s="19"/>
      <c r="W882" s="19"/>
      <c r="X882" s="19"/>
      <c r="Y882" s="17"/>
      <c r="Z882" s="19"/>
      <c r="AA882" s="19"/>
      <c r="AB882" s="19"/>
      <c r="AC882" s="19"/>
      <c r="AD882" s="18"/>
      <c r="AE882" s="25">
        <f>SUMIFS(инфо!$D$15:$D$28,инфо!$A$15:$A$28,F882)</f>
        <v>0</v>
      </c>
      <c r="AF882" s="35">
        <f t="shared" si="204"/>
        <v>0</v>
      </c>
      <c r="AG882" s="14">
        <f t="shared" si="200"/>
        <v>0</v>
      </c>
      <c r="AH882" s="25">
        <f>SUMIFS(инфо!$E$15:$E$28,инфо!$A$15:$A$28,F882)</f>
        <v>0</v>
      </c>
      <c r="AI882" s="32">
        <f t="shared" si="205"/>
        <v>0</v>
      </c>
      <c r="AJ882" s="14">
        <f t="shared" si="201"/>
        <v>0</v>
      </c>
      <c r="AK882" s="25">
        <f>SUMIFS(инфо!$F$15:$F$28,инфо!$A$15:$A$28,F882)</f>
        <v>0</v>
      </c>
      <c r="AL882" s="32">
        <f t="shared" si="206"/>
        <v>0</v>
      </c>
      <c r="AM882" s="14">
        <f t="shared" si="209"/>
        <v>0</v>
      </c>
      <c r="AN882" s="25">
        <f>SUMIFS(инфо!$G$15:$G$28,инфо!$A$15:$A$28,F882)</f>
        <v>0</v>
      </c>
      <c r="AO882" s="32">
        <f t="shared" si="207"/>
        <v>0</v>
      </c>
      <c r="AP882" s="14">
        <f t="shared" si="210"/>
        <v>0</v>
      </c>
      <c r="AQ882" s="25">
        <f>SUMIFS(инфо!$H$15:$H$28,инфо!$A$15:$A$28,F882)</f>
        <v>0</v>
      </c>
      <c r="AR882" s="26">
        <f t="shared" si="208"/>
        <v>0</v>
      </c>
      <c r="AS882" s="14">
        <f t="shared" si="211"/>
        <v>0</v>
      </c>
      <c r="AT882" s="25">
        <f>SUMIFS(инфо!$I$15:$I$28,инфо!$A$15:$A$28,F882)</f>
        <v>0</v>
      </c>
      <c r="AU882" s="35">
        <f t="shared" si="202"/>
        <v>0</v>
      </c>
      <c r="AV882" s="14">
        <f t="shared" si="212"/>
        <v>0</v>
      </c>
      <c r="AX882" s="69">
        <f>SUMIFS(инфо!$C$15:$C$28,инфо!$A$15:$A$28,F882)*H881</f>
        <v>0</v>
      </c>
    </row>
    <row r="883" spans="1:50" x14ac:dyDescent="0.25">
      <c r="A883" s="70">
        <f t="shared" si="203"/>
        <v>46505</v>
      </c>
      <c r="B883" s="75"/>
      <c r="C883" s="29"/>
      <c r="D883" s="30"/>
      <c r="E883" s="11"/>
      <c r="F883" s="28"/>
      <c r="G883" s="27"/>
      <c r="H883" s="20"/>
      <c r="I883" s="20"/>
      <c r="J883" s="20"/>
      <c r="K883" s="20"/>
      <c r="L883" s="20"/>
      <c r="M883" s="20"/>
      <c r="N883" s="28"/>
      <c r="O883" s="27"/>
      <c r="P883" s="27"/>
      <c r="Q883" s="27"/>
      <c r="R883" s="27"/>
      <c r="S883" s="67">
        <f t="shared" si="213"/>
        <v>0</v>
      </c>
      <c r="T883" s="29"/>
      <c r="U883" s="30"/>
      <c r="V883" s="27"/>
      <c r="W883" s="27"/>
      <c r="X883" s="27"/>
      <c r="Y883" s="29"/>
      <c r="Z883" s="27"/>
      <c r="AA883" s="27"/>
      <c r="AB883" s="27"/>
      <c r="AC883" s="27"/>
      <c r="AD883" s="30"/>
      <c r="AE883" s="31">
        <f>SUMIFS(инфо!$D$15:$D$28,инфо!$A$15:$A$28,F883)</f>
        <v>0</v>
      </c>
      <c r="AF883" s="35">
        <f t="shared" si="204"/>
        <v>0</v>
      </c>
      <c r="AG883" s="33">
        <f t="shared" si="200"/>
        <v>0</v>
      </c>
      <c r="AH883" s="31">
        <f>SUMIFS(инфо!$E$15:$E$28,инфо!$A$15:$A$28,F883)</f>
        <v>0</v>
      </c>
      <c r="AI883" s="32">
        <f t="shared" si="205"/>
        <v>0</v>
      </c>
      <c r="AJ883" s="33">
        <f t="shared" si="201"/>
        <v>0</v>
      </c>
      <c r="AK883" s="31">
        <f>SUMIFS(инфо!$F$15:$F$28,инфо!$A$15:$A$28,F883)</f>
        <v>0</v>
      </c>
      <c r="AL883" s="32">
        <f t="shared" si="206"/>
        <v>0</v>
      </c>
      <c r="AM883" s="33">
        <f t="shared" si="209"/>
        <v>0</v>
      </c>
      <c r="AN883" s="31">
        <f>SUMIFS(инфо!$G$15:$G$28,инфо!$A$15:$A$28,F883)</f>
        <v>0</v>
      </c>
      <c r="AO883" s="32">
        <f t="shared" si="207"/>
        <v>0</v>
      </c>
      <c r="AP883" s="33">
        <f t="shared" si="210"/>
        <v>0</v>
      </c>
      <c r="AQ883" s="31">
        <f>SUMIFS(инфо!$H$15:$H$28,инфо!$A$15:$A$28,F883)</f>
        <v>0</v>
      </c>
      <c r="AR883" s="32">
        <f t="shared" si="208"/>
        <v>0</v>
      </c>
      <c r="AS883" s="33">
        <f t="shared" si="211"/>
        <v>0</v>
      </c>
      <c r="AT883" s="31">
        <f>SUMIFS(инфо!$I$15:$I$28,инфо!$A$15:$A$28,F883)</f>
        <v>0</v>
      </c>
      <c r="AU883" s="35">
        <f t="shared" si="202"/>
        <v>0</v>
      </c>
      <c r="AV883" s="33">
        <f t="shared" si="212"/>
        <v>0</v>
      </c>
      <c r="AX883" s="67">
        <f>SUMIFS(инфо!$C$15:$C$28,инфо!$A$15:$A$28,F883)*H882</f>
        <v>0</v>
      </c>
    </row>
    <row r="884" spans="1:50" x14ac:dyDescent="0.25">
      <c r="A884" s="70">
        <f t="shared" si="203"/>
        <v>46506</v>
      </c>
      <c r="B884" s="76"/>
      <c r="C884" s="15"/>
      <c r="D884" s="16"/>
      <c r="E884" s="11"/>
      <c r="F884" s="28"/>
      <c r="G884" s="34"/>
      <c r="H884" s="20"/>
      <c r="I884" s="20"/>
      <c r="J884" s="20"/>
      <c r="K884" s="20"/>
      <c r="L884" s="20"/>
      <c r="M884" s="20"/>
      <c r="N884" s="20"/>
      <c r="O884" s="34"/>
      <c r="P884" s="34"/>
      <c r="Q884" s="34"/>
      <c r="R884" s="34"/>
      <c r="S884" s="68">
        <f t="shared" si="213"/>
        <v>0</v>
      </c>
      <c r="T884" s="15"/>
      <c r="U884" s="16"/>
      <c r="V884" s="34"/>
      <c r="W884" s="34"/>
      <c r="X884" s="34"/>
      <c r="Y884" s="15"/>
      <c r="Z884" s="34"/>
      <c r="AA884" s="34"/>
      <c r="AB884" s="34"/>
      <c r="AC884" s="34"/>
      <c r="AD884" s="16"/>
      <c r="AE884" s="24">
        <f>SUMIFS(инфо!$D$15:$D$28,инфо!$A$15:$A$28,F884)</f>
        <v>0</v>
      </c>
      <c r="AF884" s="35">
        <f t="shared" si="204"/>
        <v>0</v>
      </c>
      <c r="AG884" s="12">
        <f t="shared" si="200"/>
        <v>0</v>
      </c>
      <c r="AH884" s="24">
        <f>SUMIFS(инфо!$E$15:$E$28,инфо!$A$15:$A$28,F884)</f>
        <v>0</v>
      </c>
      <c r="AI884" s="32">
        <f t="shared" si="205"/>
        <v>0</v>
      </c>
      <c r="AJ884" s="12">
        <f t="shared" si="201"/>
        <v>0</v>
      </c>
      <c r="AK884" s="24">
        <f>SUMIFS(инфо!$F$15:$F$28,инфо!$A$15:$A$28,F884)</f>
        <v>0</v>
      </c>
      <c r="AL884" s="32">
        <f t="shared" si="206"/>
        <v>0</v>
      </c>
      <c r="AM884" s="12">
        <f t="shared" si="209"/>
        <v>0</v>
      </c>
      <c r="AN884" s="24">
        <f>SUMIFS(инфо!$G$15:$G$28,инфо!$A$15:$A$28,F884)</f>
        <v>0</v>
      </c>
      <c r="AO884" s="32">
        <f t="shared" si="207"/>
        <v>0</v>
      </c>
      <c r="AP884" s="12">
        <f t="shared" si="210"/>
        <v>0</v>
      </c>
      <c r="AQ884" s="24">
        <f>SUMIFS(инфо!$H$15:$H$28,инфо!$A$15:$A$28,F884)</f>
        <v>0</v>
      </c>
      <c r="AR884" s="35">
        <f t="shared" si="208"/>
        <v>0</v>
      </c>
      <c r="AS884" s="12">
        <f t="shared" si="211"/>
        <v>0</v>
      </c>
      <c r="AT884" s="24">
        <f>SUMIFS(инфо!$I$15:$I$28,инфо!$A$15:$A$28,F884)</f>
        <v>0</v>
      </c>
      <c r="AU884" s="35">
        <f t="shared" si="202"/>
        <v>0</v>
      </c>
      <c r="AV884" s="12">
        <f t="shared" si="212"/>
        <v>0</v>
      </c>
      <c r="AX884" s="68">
        <f>SUMIFS(инфо!$C$15:$C$28,инфо!$A$15:$A$28,F884)*H883</f>
        <v>0</v>
      </c>
    </row>
    <row r="885" spans="1:50" x14ac:dyDescent="0.25">
      <c r="A885" s="70">
        <f t="shared" si="203"/>
        <v>46506</v>
      </c>
      <c r="B885" s="76"/>
      <c r="C885" s="15"/>
      <c r="D885" s="16"/>
      <c r="E885" s="11"/>
      <c r="F885" s="28"/>
      <c r="G885" s="34"/>
      <c r="H885" s="23"/>
      <c r="I885" s="20"/>
      <c r="J885" s="20"/>
      <c r="K885" s="20"/>
      <c r="L885" s="20"/>
      <c r="M885" s="20"/>
      <c r="N885" s="20"/>
      <c r="O885" s="34"/>
      <c r="P885" s="34"/>
      <c r="Q885" s="34"/>
      <c r="R885" s="34"/>
      <c r="S885" s="68">
        <f t="shared" si="213"/>
        <v>0</v>
      </c>
      <c r="T885" s="15"/>
      <c r="U885" s="16"/>
      <c r="V885" s="34"/>
      <c r="W885" s="34"/>
      <c r="X885" s="34"/>
      <c r="Y885" s="15"/>
      <c r="Z885" s="34"/>
      <c r="AA885" s="34"/>
      <c r="AB885" s="34"/>
      <c r="AC885" s="34"/>
      <c r="AD885" s="16"/>
      <c r="AE885" s="24">
        <f>SUMIFS(инфо!$D$15:$D$28,инфо!$A$15:$A$28,F885)</f>
        <v>0</v>
      </c>
      <c r="AF885" s="35">
        <f t="shared" si="204"/>
        <v>0</v>
      </c>
      <c r="AG885" s="12">
        <f t="shared" si="200"/>
        <v>0</v>
      </c>
      <c r="AH885" s="24">
        <f>SUMIFS(инфо!$E$15:$E$28,инфо!$A$15:$A$28,F885)</f>
        <v>0</v>
      </c>
      <c r="AI885" s="32">
        <f t="shared" si="205"/>
        <v>0</v>
      </c>
      <c r="AJ885" s="12">
        <f t="shared" si="201"/>
        <v>0</v>
      </c>
      <c r="AK885" s="24">
        <f>SUMIFS(инфо!$F$15:$F$28,инфо!$A$15:$A$28,F885)</f>
        <v>0</v>
      </c>
      <c r="AL885" s="32">
        <f t="shared" si="206"/>
        <v>0</v>
      </c>
      <c r="AM885" s="12">
        <f t="shared" si="209"/>
        <v>0</v>
      </c>
      <c r="AN885" s="24">
        <f>SUMIFS(инфо!$G$15:$G$28,инфо!$A$15:$A$28,F885)</f>
        <v>0</v>
      </c>
      <c r="AO885" s="32">
        <f t="shared" si="207"/>
        <v>0</v>
      </c>
      <c r="AP885" s="12">
        <f t="shared" si="210"/>
        <v>0</v>
      </c>
      <c r="AQ885" s="24">
        <f>SUMIFS(инфо!$H$15:$H$28,инфо!$A$15:$A$28,F885)</f>
        <v>0</v>
      </c>
      <c r="AR885" s="35">
        <f t="shared" si="208"/>
        <v>0</v>
      </c>
      <c r="AS885" s="12">
        <f t="shared" si="211"/>
        <v>0</v>
      </c>
      <c r="AT885" s="24">
        <f>SUMIFS(инфо!$I$15:$I$28,инфо!$A$15:$A$28,F885)</f>
        <v>0</v>
      </c>
      <c r="AU885" s="35">
        <f t="shared" si="202"/>
        <v>0</v>
      </c>
      <c r="AV885" s="12">
        <f t="shared" si="212"/>
        <v>0</v>
      </c>
      <c r="AX885" s="68">
        <f>SUMIFS(инфо!$C$15:$C$28,инфо!$A$15:$A$28,F885)*H884</f>
        <v>0</v>
      </c>
    </row>
    <row r="886" spans="1:50" x14ac:dyDescent="0.25">
      <c r="A886" s="70">
        <f t="shared" si="203"/>
        <v>46507</v>
      </c>
      <c r="B886" s="77"/>
      <c r="C886" s="17"/>
      <c r="D886" s="18"/>
      <c r="E886" s="11"/>
      <c r="F886" s="28"/>
      <c r="G886" s="19"/>
      <c r="H886" s="28"/>
      <c r="I886" s="20"/>
      <c r="J886" s="20"/>
      <c r="K886" s="20"/>
      <c r="L886" s="20"/>
      <c r="M886" s="20"/>
      <c r="N886" s="23"/>
      <c r="O886" s="19"/>
      <c r="P886" s="19"/>
      <c r="Q886" s="19"/>
      <c r="R886" s="19"/>
      <c r="S886" s="69">
        <f t="shared" si="213"/>
        <v>0</v>
      </c>
      <c r="T886" s="17"/>
      <c r="U886" s="18"/>
      <c r="V886" s="19"/>
      <c r="W886" s="19"/>
      <c r="X886" s="19"/>
      <c r="Y886" s="17"/>
      <c r="Z886" s="19"/>
      <c r="AA886" s="19"/>
      <c r="AB886" s="19"/>
      <c r="AC886" s="19"/>
      <c r="AD886" s="18"/>
      <c r="AE886" s="25">
        <f>SUMIFS(инфо!$D$15:$D$28,инфо!$A$15:$A$28,F886)</f>
        <v>0</v>
      </c>
      <c r="AF886" s="35">
        <f t="shared" si="204"/>
        <v>0</v>
      </c>
      <c r="AG886" s="14">
        <f t="shared" si="200"/>
        <v>0</v>
      </c>
      <c r="AH886" s="25">
        <f>SUMIFS(инфо!$E$15:$E$28,инфо!$A$15:$A$28,F886)</f>
        <v>0</v>
      </c>
      <c r="AI886" s="32">
        <f t="shared" si="205"/>
        <v>0</v>
      </c>
      <c r="AJ886" s="14">
        <f t="shared" si="201"/>
        <v>0</v>
      </c>
      <c r="AK886" s="25">
        <f>SUMIFS(инфо!$F$15:$F$28,инфо!$A$15:$A$28,F886)</f>
        <v>0</v>
      </c>
      <c r="AL886" s="32">
        <f t="shared" si="206"/>
        <v>0</v>
      </c>
      <c r="AM886" s="14">
        <f t="shared" si="209"/>
        <v>0</v>
      </c>
      <c r="AN886" s="25">
        <f>SUMIFS(инфо!$G$15:$G$28,инфо!$A$15:$A$28,F886)</f>
        <v>0</v>
      </c>
      <c r="AO886" s="32">
        <f t="shared" si="207"/>
        <v>0</v>
      </c>
      <c r="AP886" s="14">
        <f t="shared" si="210"/>
        <v>0</v>
      </c>
      <c r="AQ886" s="25">
        <f>SUMIFS(инфо!$H$15:$H$28,инфо!$A$15:$A$28,F886)</f>
        <v>0</v>
      </c>
      <c r="AR886" s="26">
        <f t="shared" si="208"/>
        <v>0</v>
      </c>
      <c r="AS886" s="14">
        <f t="shared" si="211"/>
        <v>0</v>
      </c>
      <c r="AT886" s="25">
        <f>SUMIFS(инфо!$I$15:$I$28,инфо!$A$15:$A$28,F886)</f>
        <v>0</v>
      </c>
      <c r="AU886" s="35">
        <f t="shared" si="202"/>
        <v>0</v>
      </c>
      <c r="AV886" s="14">
        <f t="shared" si="212"/>
        <v>0</v>
      </c>
      <c r="AX886" s="69">
        <f>SUMIFS(инфо!$C$15:$C$28,инфо!$A$15:$A$28,F886)*H885</f>
        <v>0</v>
      </c>
    </row>
    <row r="887" spans="1:50" x14ac:dyDescent="0.25">
      <c r="A887" s="70">
        <f t="shared" si="203"/>
        <v>46507</v>
      </c>
      <c r="B887" s="75"/>
      <c r="C887" s="29"/>
      <c r="D887" s="30"/>
      <c r="E887" s="11"/>
      <c r="F887" s="28"/>
      <c r="G887" s="27"/>
      <c r="H887" s="20"/>
      <c r="I887" s="20"/>
      <c r="J887" s="20"/>
      <c r="K887" s="20"/>
      <c r="L887" s="20"/>
      <c r="M887" s="20"/>
      <c r="N887" s="28"/>
      <c r="O887" s="27"/>
      <c r="P887" s="27"/>
      <c r="Q887" s="27"/>
      <c r="R887" s="27"/>
      <c r="S887" s="67">
        <f t="shared" si="213"/>
        <v>0</v>
      </c>
      <c r="T887" s="29"/>
      <c r="U887" s="30"/>
      <c r="V887" s="27"/>
      <c r="W887" s="27"/>
      <c r="X887" s="27"/>
      <c r="Y887" s="29"/>
      <c r="Z887" s="27"/>
      <c r="AA887" s="27"/>
      <c r="AB887" s="27"/>
      <c r="AC887" s="27"/>
      <c r="AD887" s="30"/>
      <c r="AE887" s="31">
        <f>SUMIFS(инфо!$D$15:$D$28,инфо!$A$15:$A$28,F887)</f>
        <v>0</v>
      </c>
      <c r="AF887" s="35">
        <f t="shared" si="204"/>
        <v>0</v>
      </c>
      <c r="AG887" s="33">
        <f t="shared" si="200"/>
        <v>0</v>
      </c>
      <c r="AH887" s="31">
        <f>SUMIFS(инфо!$E$15:$E$28,инфо!$A$15:$A$28,F887)</f>
        <v>0</v>
      </c>
      <c r="AI887" s="32">
        <f t="shared" si="205"/>
        <v>0</v>
      </c>
      <c r="AJ887" s="33">
        <f t="shared" si="201"/>
        <v>0</v>
      </c>
      <c r="AK887" s="31">
        <f>SUMIFS(инфо!$F$15:$F$28,инфо!$A$15:$A$28,F887)</f>
        <v>0</v>
      </c>
      <c r="AL887" s="32">
        <f t="shared" si="206"/>
        <v>0</v>
      </c>
      <c r="AM887" s="33">
        <f t="shared" si="209"/>
        <v>0</v>
      </c>
      <c r="AN887" s="31">
        <f>SUMIFS(инфо!$G$15:$G$28,инфо!$A$15:$A$28,F887)</f>
        <v>0</v>
      </c>
      <c r="AO887" s="32">
        <f t="shared" si="207"/>
        <v>0</v>
      </c>
      <c r="AP887" s="33">
        <f t="shared" si="210"/>
        <v>0</v>
      </c>
      <c r="AQ887" s="31">
        <f>SUMIFS(инфо!$H$15:$H$28,инфо!$A$15:$A$28,F887)</f>
        <v>0</v>
      </c>
      <c r="AR887" s="32">
        <f t="shared" si="208"/>
        <v>0</v>
      </c>
      <c r="AS887" s="33">
        <f t="shared" si="211"/>
        <v>0</v>
      </c>
      <c r="AT887" s="31">
        <f>SUMIFS(инфо!$I$15:$I$28,инфо!$A$15:$A$28,F887)</f>
        <v>0</v>
      </c>
      <c r="AU887" s="35">
        <f t="shared" si="202"/>
        <v>0</v>
      </c>
      <c r="AV887" s="33">
        <f t="shared" si="212"/>
        <v>0</v>
      </c>
      <c r="AX887" s="67">
        <f>SUMIFS(инфо!$C$15:$C$28,инфо!$A$15:$A$28,F887)*H886</f>
        <v>0</v>
      </c>
    </row>
    <row r="888" spans="1:50" x14ac:dyDescent="0.25">
      <c r="A888" s="70">
        <f t="shared" si="203"/>
        <v>46508</v>
      </c>
      <c r="B888" s="76"/>
      <c r="C888" s="15"/>
      <c r="D888" s="16"/>
      <c r="E888" s="11"/>
      <c r="F888" s="28"/>
      <c r="G888" s="34"/>
      <c r="H888" s="20"/>
      <c r="I888" s="20"/>
      <c r="J888" s="20"/>
      <c r="K888" s="20"/>
      <c r="L888" s="20"/>
      <c r="M888" s="20"/>
      <c r="N888" s="20"/>
      <c r="O888" s="34"/>
      <c r="P888" s="34"/>
      <c r="Q888" s="34"/>
      <c r="R888" s="34"/>
      <c r="S888" s="68">
        <f t="shared" si="213"/>
        <v>0</v>
      </c>
      <c r="T888" s="15"/>
      <c r="U888" s="16"/>
      <c r="V888" s="34"/>
      <c r="W888" s="34"/>
      <c r="X888" s="34"/>
      <c r="Y888" s="15"/>
      <c r="Z888" s="34"/>
      <c r="AA888" s="34"/>
      <c r="AB888" s="34"/>
      <c r="AC888" s="34"/>
      <c r="AD888" s="16"/>
      <c r="AE888" s="24">
        <f>SUMIFS(инфо!$D$15:$D$28,инфо!$A$15:$A$28,F888)</f>
        <v>0</v>
      </c>
      <c r="AF888" s="35">
        <f t="shared" si="204"/>
        <v>0</v>
      </c>
      <c r="AG888" s="12">
        <f t="shared" si="200"/>
        <v>0</v>
      </c>
      <c r="AH888" s="24">
        <f>SUMIFS(инфо!$E$15:$E$28,инфо!$A$15:$A$28,F888)</f>
        <v>0</v>
      </c>
      <c r="AI888" s="32">
        <f t="shared" si="205"/>
        <v>0</v>
      </c>
      <c r="AJ888" s="12">
        <f t="shared" si="201"/>
        <v>0</v>
      </c>
      <c r="AK888" s="24">
        <f>SUMIFS(инфо!$F$15:$F$28,инфо!$A$15:$A$28,F888)</f>
        <v>0</v>
      </c>
      <c r="AL888" s="32">
        <f t="shared" si="206"/>
        <v>0</v>
      </c>
      <c r="AM888" s="12">
        <f t="shared" si="209"/>
        <v>0</v>
      </c>
      <c r="AN888" s="24">
        <f>SUMIFS(инфо!$G$15:$G$28,инфо!$A$15:$A$28,F888)</f>
        <v>0</v>
      </c>
      <c r="AO888" s="32">
        <f t="shared" si="207"/>
        <v>0</v>
      </c>
      <c r="AP888" s="12">
        <f t="shared" si="210"/>
        <v>0</v>
      </c>
      <c r="AQ888" s="24">
        <f>SUMIFS(инфо!$H$15:$H$28,инфо!$A$15:$A$28,F888)</f>
        <v>0</v>
      </c>
      <c r="AR888" s="35">
        <f t="shared" si="208"/>
        <v>0</v>
      </c>
      <c r="AS888" s="12">
        <f t="shared" si="211"/>
        <v>0</v>
      </c>
      <c r="AT888" s="24">
        <f>SUMIFS(инфо!$I$15:$I$28,инфо!$A$15:$A$28,F888)</f>
        <v>0</v>
      </c>
      <c r="AU888" s="35">
        <f t="shared" si="202"/>
        <v>0</v>
      </c>
      <c r="AV888" s="12">
        <f t="shared" si="212"/>
        <v>0</v>
      </c>
      <c r="AX888" s="68">
        <f>SUMIFS(инфо!$C$15:$C$28,инфо!$A$15:$A$28,F888)*H887</f>
        <v>0</v>
      </c>
    </row>
    <row r="889" spans="1:50" x14ac:dyDescent="0.25">
      <c r="A889" s="70">
        <f t="shared" si="203"/>
        <v>46508</v>
      </c>
      <c r="B889" s="76"/>
      <c r="C889" s="15"/>
      <c r="D889" s="16"/>
      <c r="E889" s="11"/>
      <c r="F889" s="28"/>
      <c r="G889" s="34"/>
      <c r="H889" s="23"/>
      <c r="I889" s="20"/>
      <c r="J889" s="20"/>
      <c r="K889" s="20"/>
      <c r="L889" s="20"/>
      <c r="M889" s="20"/>
      <c r="N889" s="20"/>
      <c r="O889" s="34"/>
      <c r="P889" s="34"/>
      <c r="Q889" s="34"/>
      <c r="R889" s="34"/>
      <c r="S889" s="68">
        <f t="shared" si="213"/>
        <v>0</v>
      </c>
      <c r="T889" s="15"/>
      <c r="U889" s="16"/>
      <c r="V889" s="34"/>
      <c r="W889" s="34"/>
      <c r="X889" s="34"/>
      <c r="Y889" s="15"/>
      <c r="Z889" s="34"/>
      <c r="AA889" s="34"/>
      <c r="AB889" s="34"/>
      <c r="AC889" s="34"/>
      <c r="AD889" s="16"/>
      <c r="AE889" s="24">
        <f>SUMIFS(инфо!$D$15:$D$28,инфо!$A$15:$A$28,F889)</f>
        <v>0</v>
      </c>
      <c r="AF889" s="35">
        <f t="shared" si="204"/>
        <v>0</v>
      </c>
      <c r="AG889" s="12">
        <f t="shared" si="200"/>
        <v>0</v>
      </c>
      <c r="AH889" s="24">
        <f>SUMIFS(инфо!$E$15:$E$28,инфо!$A$15:$A$28,F889)</f>
        <v>0</v>
      </c>
      <c r="AI889" s="32">
        <f t="shared" si="205"/>
        <v>0</v>
      </c>
      <c r="AJ889" s="12">
        <f t="shared" si="201"/>
        <v>0</v>
      </c>
      <c r="AK889" s="24">
        <f>SUMIFS(инфо!$F$15:$F$28,инфо!$A$15:$A$28,F889)</f>
        <v>0</v>
      </c>
      <c r="AL889" s="32">
        <f t="shared" si="206"/>
        <v>0</v>
      </c>
      <c r="AM889" s="12">
        <f t="shared" si="209"/>
        <v>0</v>
      </c>
      <c r="AN889" s="24">
        <f>SUMIFS(инфо!$G$15:$G$28,инфо!$A$15:$A$28,F889)</f>
        <v>0</v>
      </c>
      <c r="AO889" s="32">
        <f t="shared" si="207"/>
        <v>0</v>
      </c>
      <c r="AP889" s="12">
        <f t="shared" si="210"/>
        <v>0</v>
      </c>
      <c r="AQ889" s="24">
        <f>SUMIFS(инфо!$H$15:$H$28,инфо!$A$15:$A$28,F889)</f>
        <v>0</v>
      </c>
      <c r="AR889" s="35">
        <f t="shared" si="208"/>
        <v>0</v>
      </c>
      <c r="AS889" s="12">
        <f t="shared" si="211"/>
        <v>0</v>
      </c>
      <c r="AT889" s="24">
        <f>SUMIFS(инфо!$I$15:$I$28,инфо!$A$15:$A$28,F889)</f>
        <v>0</v>
      </c>
      <c r="AU889" s="35">
        <f t="shared" si="202"/>
        <v>0</v>
      </c>
      <c r="AV889" s="12">
        <f t="shared" si="212"/>
        <v>0</v>
      </c>
      <c r="AX889" s="68">
        <f>SUMIFS(инфо!$C$15:$C$28,инфо!$A$15:$A$28,F889)*H888</f>
        <v>0</v>
      </c>
    </row>
    <row r="890" spans="1:50" x14ac:dyDescent="0.25">
      <c r="A890" s="70">
        <f t="shared" si="203"/>
        <v>46509</v>
      </c>
      <c r="B890" s="77"/>
      <c r="C890" s="17"/>
      <c r="D890" s="18"/>
      <c r="E890" s="11"/>
      <c r="F890" s="28"/>
      <c r="G890" s="19"/>
      <c r="H890" s="28"/>
      <c r="I890" s="20"/>
      <c r="J890" s="20"/>
      <c r="K890" s="20"/>
      <c r="L890" s="20"/>
      <c r="M890" s="20"/>
      <c r="N890" s="23"/>
      <c r="O890" s="19"/>
      <c r="P890" s="19"/>
      <c r="Q890" s="19"/>
      <c r="R890" s="19"/>
      <c r="S890" s="69">
        <f t="shared" si="213"/>
        <v>0</v>
      </c>
      <c r="T890" s="17"/>
      <c r="U890" s="18"/>
      <c r="V890" s="19"/>
      <c r="W890" s="19"/>
      <c r="X890" s="19"/>
      <c r="Y890" s="17"/>
      <c r="Z890" s="19"/>
      <c r="AA890" s="19"/>
      <c r="AB890" s="19"/>
      <c r="AC890" s="19"/>
      <c r="AD890" s="18"/>
      <c r="AE890" s="25">
        <f>SUMIFS(инфо!$D$15:$D$28,инфо!$A$15:$A$28,F890)</f>
        <v>0</v>
      </c>
      <c r="AF890" s="35">
        <f t="shared" si="204"/>
        <v>0</v>
      </c>
      <c r="AG890" s="14">
        <f t="shared" si="200"/>
        <v>0</v>
      </c>
      <c r="AH890" s="25">
        <f>SUMIFS(инфо!$E$15:$E$28,инфо!$A$15:$A$28,F890)</f>
        <v>0</v>
      </c>
      <c r="AI890" s="32">
        <f t="shared" si="205"/>
        <v>0</v>
      </c>
      <c r="AJ890" s="14">
        <f t="shared" si="201"/>
        <v>0</v>
      </c>
      <c r="AK890" s="25">
        <f>SUMIFS(инфо!$F$15:$F$28,инфо!$A$15:$A$28,F890)</f>
        <v>0</v>
      </c>
      <c r="AL890" s="32">
        <f t="shared" si="206"/>
        <v>0</v>
      </c>
      <c r="AM890" s="14">
        <f t="shared" si="209"/>
        <v>0</v>
      </c>
      <c r="AN890" s="25">
        <f>SUMIFS(инфо!$G$15:$G$28,инфо!$A$15:$A$28,F890)</f>
        <v>0</v>
      </c>
      <c r="AO890" s="32">
        <f t="shared" si="207"/>
        <v>0</v>
      </c>
      <c r="AP890" s="14">
        <f t="shared" si="210"/>
        <v>0</v>
      </c>
      <c r="AQ890" s="25">
        <f>SUMIFS(инфо!$H$15:$H$28,инфо!$A$15:$A$28,F890)</f>
        <v>0</v>
      </c>
      <c r="AR890" s="26">
        <f t="shared" si="208"/>
        <v>0</v>
      </c>
      <c r="AS890" s="14">
        <f t="shared" si="211"/>
        <v>0</v>
      </c>
      <c r="AT890" s="25">
        <f>SUMIFS(инфо!$I$15:$I$28,инфо!$A$15:$A$28,F890)</f>
        <v>0</v>
      </c>
      <c r="AU890" s="35">
        <f t="shared" si="202"/>
        <v>0</v>
      </c>
      <c r="AV890" s="14">
        <f t="shared" si="212"/>
        <v>0</v>
      </c>
      <c r="AX890" s="69">
        <f>SUMIFS(инфо!$C$15:$C$28,инфо!$A$15:$A$28,F890)*H889</f>
        <v>0</v>
      </c>
    </row>
    <row r="891" spans="1:50" x14ac:dyDescent="0.25">
      <c r="A891" s="70">
        <f t="shared" si="203"/>
        <v>46509</v>
      </c>
      <c r="B891" s="75"/>
      <c r="C891" s="29"/>
      <c r="D891" s="30"/>
      <c r="E891" s="11"/>
      <c r="F891" s="28"/>
      <c r="G891" s="27"/>
      <c r="H891" s="20"/>
      <c r="I891" s="20"/>
      <c r="J891" s="20"/>
      <c r="K891" s="20"/>
      <c r="L891" s="20"/>
      <c r="M891" s="20"/>
      <c r="N891" s="28"/>
      <c r="O891" s="27"/>
      <c r="P891" s="27"/>
      <c r="Q891" s="27"/>
      <c r="R891" s="27"/>
      <c r="S891" s="67">
        <f t="shared" si="213"/>
        <v>0</v>
      </c>
      <c r="T891" s="29"/>
      <c r="U891" s="30"/>
      <c r="V891" s="27"/>
      <c r="W891" s="27"/>
      <c r="X891" s="27"/>
      <c r="Y891" s="29"/>
      <c r="Z891" s="27"/>
      <c r="AA891" s="27"/>
      <c r="AB891" s="27"/>
      <c r="AC891" s="27"/>
      <c r="AD891" s="30"/>
      <c r="AE891" s="31">
        <f>SUMIFS(инфо!$D$15:$D$28,инфо!$A$15:$A$28,F891)</f>
        <v>0</v>
      </c>
      <c r="AF891" s="35">
        <f t="shared" si="204"/>
        <v>0</v>
      </c>
      <c r="AG891" s="33">
        <f t="shared" si="200"/>
        <v>0</v>
      </c>
      <c r="AH891" s="31">
        <f>SUMIFS(инфо!$E$15:$E$28,инфо!$A$15:$A$28,F891)</f>
        <v>0</v>
      </c>
      <c r="AI891" s="32">
        <f t="shared" si="205"/>
        <v>0</v>
      </c>
      <c r="AJ891" s="33">
        <f t="shared" si="201"/>
        <v>0</v>
      </c>
      <c r="AK891" s="31">
        <f>SUMIFS(инфо!$F$15:$F$28,инфо!$A$15:$A$28,F891)</f>
        <v>0</v>
      </c>
      <c r="AL891" s="32">
        <f t="shared" si="206"/>
        <v>0</v>
      </c>
      <c r="AM891" s="33">
        <f t="shared" si="209"/>
        <v>0</v>
      </c>
      <c r="AN891" s="31">
        <f>SUMIFS(инфо!$G$15:$G$28,инфо!$A$15:$A$28,F891)</f>
        <v>0</v>
      </c>
      <c r="AO891" s="32">
        <f t="shared" si="207"/>
        <v>0</v>
      </c>
      <c r="AP891" s="33">
        <f t="shared" si="210"/>
        <v>0</v>
      </c>
      <c r="AQ891" s="31">
        <f>SUMIFS(инфо!$H$15:$H$28,инфо!$A$15:$A$28,F891)</f>
        <v>0</v>
      </c>
      <c r="AR891" s="32">
        <f t="shared" si="208"/>
        <v>0</v>
      </c>
      <c r="AS891" s="33">
        <f t="shared" si="211"/>
        <v>0</v>
      </c>
      <c r="AT891" s="31">
        <f>SUMIFS(инфо!$I$15:$I$28,инфо!$A$15:$A$28,F891)</f>
        <v>0</v>
      </c>
      <c r="AU891" s="35">
        <f t="shared" si="202"/>
        <v>0</v>
      </c>
      <c r="AV891" s="33">
        <f t="shared" si="212"/>
        <v>0</v>
      </c>
      <c r="AX891" s="67">
        <f>SUMIFS(инфо!$C$15:$C$28,инфо!$A$15:$A$28,F891)*H890</f>
        <v>0</v>
      </c>
    </row>
    <row r="892" spans="1:50" x14ac:dyDescent="0.25">
      <c r="A892" s="70">
        <f t="shared" si="203"/>
        <v>46510</v>
      </c>
      <c r="B892" s="76"/>
      <c r="C892" s="15"/>
      <c r="D892" s="16"/>
      <c r="E892" s="11"/>
      <c r="F892" s="28"/>
      <c r="G892" s="34"/>
      <c r="H892" s="20"/>
      <c r="I892" s="20"/>
      <c r="J892" s="20"/>
      <c r="K892" s="20"/>
      <c r="L892" s="20"/>
      <c r="M892" s="20"/>
      <c r="N892" s="20"/>
      <c r="O892" s="34"/>
      <c r="P892" s="34"/>
      <c r="Q892" s="34"/>
      <c r="R892" s="34"/>
      <c r="S892" s="68">
        <f t="shared" si="213"/>
        <v>0</v>
      </c>
      <c r="T892" s="15"/>
      <c r="U892" s="16"/>
      <c r="V892" s="34"/>
      <c r="W892" s="34"/>
      <c r="X892" s="34"/>
      <c r="Y892" s="15"/>
      <c r="Z892" s="34"/>
      <c r="AA892" s="34"/>
      <c r="AB892" s="34"/>
      <c r="AC892" s="34"/>
      <c r="AD892" s="16"/>
      <c r="AE892" s="24">
        <f>SUMIFS(инфо!$D$15:$D$28,инфо!$A$15:$A$28,F892)</f>
        <v>0</v>
      </c>
      <c r="AF892" s="35">
        <f t="shared" si="204"/>
        <v>0</v>
      </c>
      <c r="AG892" s="12">
        <f t="shared" si="200"/>
        <v>0</v>
      </c>
      <c r="AH892" s="24">
        <f>SUMIFS(инфо!$E$15:$E$28,инфо!$A$15:$A$28,F892)</f>
        <v>0</v>
      </c>
      <c r="AI892" s="32">
        <f t="shared" si="205"/>
        <v>0</v>
      </c>
      <c r="AJ892" s="12">
        <f t="shared" si="201"/>
        <v>0</v>
      </c>
      <c r="AK892" s="24">
        <f>SUMIFS(инфо!$F$15:$F$28,инфо!$A$15:$A$28,F892)</f>
        <v>0</v>
      </c>
      <c r="AL892" s="32">
        <f t="shared" si="206"/>
        <v>0</v>
      </c>
      <c r="AM892" s="12">
        <f t="shared" si="209"/>
        <v>0</v>
      </c>
      <c r="AN892" s="24">
        <f>SUMIFS(инфо!$G$15:$G$28,инфо!$A$15:$A$28,F892)</f>
        <v>0</v>
      </c>
      <c r="AO892" s="32">
        <f t="shared" si="207"/>
        <v>0</v>
      </c>
      <c r="AP892" s="12">
        <f t="shared" si="210"/>
        <v>0</v>
      </c>
      <c r="AQ892" s="24">
        <f>SUMIFS(инфо!$H$15:$H$28,инфо!$A$15:$A$28,F892)</f>
        <v>0</v>
      </c>
      <c r="AR892" s="35">
        <f t="shared" si="208"/>
        <v>0</v>
      </c>
      <c r="AS892" s="12">
        <f t="shared" si="211"/>
        <v>0</v>
      </c>
      <c r="AT892" s="24">
        <f>SUMIFS(инфо!$I$15:$I$28,инфо!$A$15:$A$28,F892)</f>
        <v>0</v>
      </c>
      <c r="AU892" s="35">
        <f t="shared" si="202"/>
        <v>0</v>
      </c>
      <c r="AV892" s="12">
        <f t="shared" si="212"/>
        <v>0</v>
      </c>
      <c r="AX892" s="68">
        <f>SUMIFS(инфо!$C$15:$C$28,инфо!$A$15:$A$28,F892)*H891</f>
        <v>0</v>
      </c>
    </row>
    <row r="893" spans="1:50" x14ac:dyDescent="0.25">
      <c r="A893" s="70">
        <f t="shared" si="203"/>
        <v>46510</v>
      </c>
      <c r="B893" s="76"/>
      <c r="C893" s="15"/>
      <c r="D893" s="16"/>
      <c r="E893" s="11"/>
      <c r="F893" s="28"/>
      <c r="G893" s="34"/>
      <c r="H893" s="23"/>
      <c r="I893" s="20"/>
      <c r="J893" s="20"/>
      <c r="K893" s="20"/>
      <c r="L893" s="20"/>
      <c r="M893" s="20"/>
      <c r="N893" s="20"/>
      <c r="O893" s="34"/>
      <c r="P893" s="34"/>
      <c r="Q893" s="34"/>
      <c r="R893" s="34"/>
      <c r="S893" s="68">
        <f t="shared" si="213"/>
        <v>0</v>
      </c>
      <c r="T893" s="15"/>
      <c r="U893" s="16"/>
      <c r="V893" s="34"/>
      <c r="W893" s="34"/>
      <c r="X893" s="34"/>
      <c r="Y893" s="15"/>
      <c r="Z893" s="34"/>
      <c r="AA893" s="34"/>
      <c r="AB893" s="34"/>
      <c r="AC893" s="34"/>
      <c r="AD893" s="16"/>
      <c r="AE893" s="24">
        <f>SUMIFS(инфо!$D$15:$D$28,инфо!$A$15:$A$28,F893)</f>
        <v>0</v>
      </c>
      <c r="AF893" s="35">
        <f t="shared" si="204"/>
        <v>0</v>
      </c>
      <c r="AG893" s="12">
        <f t="shared" ref="AG893:AG956" si="214">AF893-AE893</f>
        <v>0</v>
      </c>
      <c r="AH893" s="24">
        <f>SUMIFS(инфо!$E$15:$E$28,инфо!$A$15:$A$28,F893)</f>
        <v>0</v>
      </c>
      <c r="AI893" s="32">
        <f t="shared" si="205"/>
        <v>0</v>
      </c>
      <c r="AJ893" s="12">
        <f t="shared" ref="AJ893:AJ956" si="215">AI893-AH893</f>
        <v>0</v>
      </c>
      <c r="AK893" s="24">
        <f>SUMIFS(инфо!$F$15:$F$28,инфо!$A$15:$A$28,F893)</f>
        <v>0</v>
      </c>
      <c r="AL893" s="32">
        <f t="shared" si="206"/>
        <v>0</v>
      </c>
      <c r="AM893" s="12">
        <f t="shared" si="209"/>
        <v>0</v>
      </c>
      <c r="AN893" s="24">
        <f>SUMIFS(инфо!$G$15:$G$28,инфо!$A$15:$A$28,F893)</f>
        <v>0</v>
      </c>
      <c r="AO893" s="32">
        <f t="shared" si="207"/>
        <v>0</v>
      </c>
      <c r="AP893" s="12">
        <f t="shared" si="210"/>
        <v>0</v>
      </c>
      <c r="AQ893" s="24">
        <f>SUMIFS(инфо!$H$15:$H$28,инфо!$A$15:$A$28,F893)</f>
        <v>0</v>
      </c>
      <c r="AR893" s="35">
        <f t="shared" si="208"/>
        <v>0</v>
      </c>
      <c r="AS893" s="12">
        <f t="shared" si="211"/>
        <v>0</v>
      </c>
      <c r="AT893" s="24">
        <f>SUMIFS(инфо!$I$15:$I$28,инфо!$A$15:$A$28,F893)</f>
        <v>0</v>
      </c>
      <c r="AU893" s="35">
        <f t="shared" si="202"/>
        <v>0</v>
      </c>
      <c r="AV893" s="12">
        <f t="shared" si="212"/>
        <v>0</v>
      </c>
      <c r="AX893" s="68">
        <f>SUMIFS(инфо!$C$15:$C$28,инфо!$A$15:$A$28,F893)*H892</f>
        <v>0</v>
      </c>
    </row>
    <row r="894" spans="1:50" x14ac:dyDescent="0.25">
      <c r="A894" s="70">
        <f t="shared" si="203"/>
        <v>46511</v>
      </c>
      <c r="B894" s="77"/>
      <c r="C894" s="17"/>
      <c r="D894" s="18"/>
      <c r="E894" s="11"/>
      <c r="F894" s="28"/>
      <c r="G894" s="19"/>
      <c r="H894" s="28"/>
      <c r="I894" s="20"/>
      <c r="J894" s="20"/>
      <c r="K894" s="20"/>
      <c r="L894" s="20"/>
      <c r="M894" s="20"/>
      <c r="N894" s="23"/>
      <c r="O894" s="19"/>
      <c r="P894" s="19"/>
      <c r="Q894" s="19"/>
      <c r="R894" s="19"/>
      <c r="S894" s="69">
        <f t="shared" si="213"/>
        <v>0</v>
      </c>
      <c r="T894" s="17"/>
      <c r="U894" s="18"/>
      <c r="V894" s="19"/>
      <c r="W894" s="19"/>
      <c r="X894" s="19"/>
      <c r="Y894" s="17"/>
      <c r="Z894" s="19"/>
      <c r="AA894" s="19"/>
      <c r="AB894" s="19"/>
      <c r="AC894" s="19"/>
      <c r="AD894" s="18"/>
      <c r="AE894" s="25">
        <f>SUMIFS(инфо!$D$15:$D$28,инфо!$A$15:$A$28,F894)</f>
        <v>0</v>
      </c>
      <c r="AF894" s="35">
        <f t="shared" si="204"/>
        <v>0</v>
      </c>
      <c r="AG894" s="14">
        <f t="shared" si="214"/>
        <v>0</v>
      </c>
      <c r="AH894" s="25">
        <f>SUMIFS(инфо!$E$15:$E$28,инфо!$A$15:$A$28,F894)</f>
        <v>0</v>
      </c>
      <c r="AI894" s="32">
        <f t="shared" si="205"/>
        <v>0</v>
      </c>
      <c r="AJ894" s="14">
        <f t="shared" si="215"/>
        <v>0</v>
      </c>
      <c r="AK894" s="25">
        <f>SUMIFS(инфо!$F$15:$F$28,инфо!$A$15:$A$28,F894)</f>
        <v>0</v>
      </c>
      <c r="AL894" s="32">
        <f t="shared" si="206"/>
        <v>0</v>
      </c>
      <c r="AM894" s="14">
        <f t="shared" si="209"/>
        <v>0</v>
      </c>
      <c r="AN894" s="25">
        <f>SUMIFS(инфо!$G$15:$G$28,инфо!$A$15:$A$28,F894)</f>
        <v>0</v>
      </c>
      <c r="AO894" s="32">
        <f t="shared" si="207"/>
        <v>0</v>
      </c>
      <c r="AP894" s="14">
        <f t="shared" si="210"/>
        <v>0</v>
      </c>
      <c r="AQ894" s="25">
        <f>SUMIFS(инфо!$H$15:$H$28,инфо!$A$15:$A$28,F894)</f>
        <v>0</v>
      </c>
      <c r="AR894" s="26">
        <f t="shared" si="208"/>
        <v>0</v>
      </c>
      <c r="AS894" s="14">
        <f t="shared" si="211"/>
        <v>0</v>
      </c>
      <c r="AT894" s="25">
        <f>SUMIFS(инфо!$I$15:$I$28,инфо!$A$15:$A$28,F894)</f>
        <v>0</v>
      </c>
      <c r="AU894" s="35">
        <f t="shared" si="202"/>
        <v>0</v>
      </c>
      <c r="AV894" s="14">
        <f t="shared" si="212"/>
        <v>0</v>
      </c>
      <c r="AX894" s="69">
        <f>SUMIFS(инфо!$C$15:$C$28,инфо!$A$15:$A$28,F894)*H893</f>
        <v>0</v>
      </c>
    </row>
    <row r="895" spans="1:50" x14ac:dyDescent="0.25">
      <c r="A895" s="70">
        <f t="shared" si="203"/>
        <v>46511</v>
      </c>
      <c r="B895" s="75"/>
      <c r="C895" s="29"/>
      <c r="D895" s="30"/>
      <c r="E895" s="11"/>
      <c r="F895" s="28"/>
      <c r="G895" s="27"/>
      <c r="H895" s="20"/>
      <c r="I895" s="20"/>
      <c r="J895" s="20"/>
      <c r="K895" s="20"/>
      <c r="L895" s="20"/>
      <c r="M895" s="20"/>
      <c r="N895" s="28"/>
      <c r="O895" s="27"/>
      <c r="P895" s="27"/>
      <c r="Q895" s="27"/>
      <c r="R895" s="27"/>
      <c r="S895" s="67">
        <f t="shared" si="213"/>
        <v>0</v>
      </c>
      <c r="T895" s="29"/>
      <c r="U895" s="30"/>
      <c r="V895" s="27"/>
      <c r="W895" s="27"/>
      <c r="X895" s="27"/>
      <c r="Y895" s="29"/>
      <c r="Z895" s="27"/>
      <c r="AA895" s="27"/>
      <c r="AB895" s="27"/>
      <c r="AC895" s="27"/>
      <c r="AD895" s="30"/>
      <c r="AE895" s="31">
        <f>SUMIFS(инфо!$D$15:$D$28,инфо!$A$15:$A$28,F895)</f>
        <v>0</v>
      </c>
      <c r="AF895" s="35">
        <f t="shared" si="204"/>
        <v>0</v>
      </c>
      <c r="AG895" s="33">
        <f t="shared" si="214"/>
        <v>0</v>
      </c>
      <c r="AH895" s="31">
        <f>SUMIFS(инфо!$E$15:$E$28,инфо!$A$15:$A$28,F895)</f>
        <v>0</v>
      </c>
      <c r="AI895" s="32">
        <f t="shared" si="205"/>
        <v>0</v>
      </c>
      <c r="AJ895" s="33">
        <f t="shared" si="215"/>
        <v>0</v>
      </c>
      <c r="AK895" s="31">
        <f>SUMIFS(инфо!$F$15:$F$28,инфо!$A$15:$A$28,F895)</f>
        <v>0</v>
      </c>
      <c r="AL895" s="32">
        <f t="shared" si="206"/>
        <v>0</v>
      </c>
      <c r="AM895" s="33">
        <f t="shared" si="209"/>
        <v>0</v>
      </c>
      <c r="AN895" s="31">
        <f>SUMIFS(инфо!$G$15:$G$28,инфо!$A$15:$A$28,F895)</f>
        <v>0</v>
      </c>
      <c r="AO895" s="32">
        <f t="shared" si="207"/>
        <v>0</v>
      </c>
      <c r="AP895" s="33">
        <f t="shared" si="210"/>
        <v>0</v>
      </c>
      <c r="AQ895" s="31">
        <f>SUMIFS(инфо!$H$15:$H$28,инфо!$A$15:$A$28,F895)</f>
        <v>0</v>
      </c>
      <c r="AR895" s="32">
        <f t="shared" si="208"/>
        <v>0</v>
      </c>
      <c r="AS895" s="33">
        <f t="shared" si="211"/>
        <v>0</v>
      </c>
      <c r="AT895" s="31">
        <f>SUMIFS(инфо!$I$15:$I$28,инфо!$A$15:$A$28,F895)</f>
        <v>0</v>
      </c>
      <c r="AU895" s="35">
        <f t="shared" si="202"/>
        <v>0</v>
      </c>
      <c r="AV895" s="33">
        <f t="shared" si="212"/>
        <v>0</v>
      </c>
      <c r="AX895" s="67">
        <f>SUMIFS(инфо!$C$15:$C$28,инфо!$A$15:$A$28,F895)*H894</f>
        <v>0</v>
      </c>
    </row>
    <row r="896" spans="1:50" x14ac:dyDescent="0.25">
      <c r="A896" s="70">
        <f t="shared" si="203"/>
        <v>46512</v>
      </c>
      <c r="B896" s="76"/>
      <c r="C896" s="15"/>
      <c r="D896" s="16"/>
      <c r="E896" s="11"/>
      <c r="F896" s="28"/>
      <c r="G896" s="34"/>
      <c r="H896" s="20"/>
      <c r="I896" s="20"/>
      <c r="J896" s="20"/>
      <c r="K896" s="20"/>
      <c r="L896" s="20"/>
      <c r="M896" s="20"/>
      <c r="N896" s="20"/>
      <c r="O896" s="34"/>
      <c r="P896" s="34"/>
      <c r="Q896" s="34"/>
      <c r="R896" s="34"/>
      <c r="S896" s="68">
        <f t="shared" si="213"/>
        <v>0</v>
      </c>
      <c r="T896" s="15"/>
      <c r="U896" s="16"/>
      <c r="V896" s="34"/>
      <c r="W896" s="34"/>
      <c r="X896" s="34"/>
      <c r="Y896" s="15"/>
      <c r="Z896" s="34"/>
      <c r="AA896" s="34"/>
      <c r="AB896" s="34"/>
      <c r="AC896" s="34"/>
      <c r="AD896" s="16"/>
      <c r="AE896" s="24">
        <f>SUMIFS(инфо!$D$15:$D$28,инфо!$A$15:$A$28,F896)</f>
        <v>0</v>
      </c>
      <c r="AF896" s="35">
        <f t="shared" si="204"/>
        <v>0</v>
      </c>
      <c r="AG896" s="12">
        <f t="shared" si="214"/>
        <v>0</v>
      </c>
      <c r="AH896" s="24">
        <f>SUMIFS(инфо!$E$15:$E$28,инфо!$A$15:$A$28,F896)</f>
        <v>0</v>
      </c>
      <c r="AI896" s="32">
        <f t="shared" si="205"/>
        <v>0</v>
      </c>
      <c r="AJ896" s="12">
        <f t="shared" si="215"/>
        <v>0</v>
      </c>
      <c r="AK896" s="24">
        <f>SUMIFS(инфо!$F$15:$F$28,инфо!$A$15:$A$28,F896)</f>
        <v>0</v>
      </c>
      <c r="AL896" s="32">
        <f t="shared" si="206"/>
        <v>0</v>
      </c>
      <c r="AM896" s="12">
        <f t="shared" si="209"/>
        <v>0</v>
      </c>
      <c r="AN896" s="24">
        <f>SUMIFS(инфо!$G$15:$G$28,инфо!$A$15:$A$28,F896)</f>
        <v>0</v>
      </c>
      <c r="AO896" s="32">
        <f t="shared" si="207"/>
        <v>0</v>
      </c>
      <c r="AP896" s="12">
        <f t="shared" si="210"/>
        <v>0</v>
      </c>
      <c r="AQ896" s="24">
        <f>SUMIFS(инфо!$H$15:$H$28,инфо!$A$15:$A$28,F896)</f>
        <v>0</v>
      </c>
      <c r="AR896" s="35">
        <f t="shared" si="208"/>
        <v>0</v>
      </c>
      <c r="AS896" s="12">
        <f t="shared" si="211"/>
        <v>0</v>
      </c>
      <c r="AT896" s="24">
        <f>SUMIFS(инфо!$I$15:$I$28,инфо!$A$15:$A$28,F896)</f>
        <v>0</v>
      </c>
      <c r="AU896" s="35">
        <f t="shared" si="202"/>
        <v>0</v>
      </c>
      <c r="AV896" s="12">
        <f t="shared" si="212"/>
        <v>0</v>
      </c>
      <c r="AX896" s="68">
        <f>SUMIFS(инфо!$C$15:$C$28,инфо!$A$15:$A$28,F896)*H895</f>
        <v>0</v>
      </c>
    </row>
    <row r="897" spans="1:50" x14ac:dyDescent="0.25">
      <c r="A897" s="70">
        <f t="shared" si="203"/>
        <v>46512</v>
      </c>
      <c r="B897" s="76"/>
      <c r="C897" s="15"/>
      <c r="D897" s="16"/>
      <c r="E897" s="11"/>
      <c r="F897" s="28"/>
      <c r="G897" s="34"/>
      <c r="H897" s="23"/>
      <c r="I897" s="20"/>
      <c r="J897" s="20"/>
      <c r="K897" s="20"/>
      <c r="L897" s="20"/>
      <c r="M897" s="20"/>
      <c r="N897" s="20"/>
      <c r="O897" s="34"/>
      <c r="P897" s="34"/>
      <c r="Q897" s="34"/>
      <c r="R897" s="34"/>
      <c r="S897" s="68">
        <f t="shared" si="213"/>
        <v>0</v>
      </c>
      <c r="T897" s="15"/>
      <c r="U897" s="16"/>
      <c r="V897" s="34"/>
      <c r="W897" s="34"/>
      <c r="X897" s="34"/>
      <c r="Y897" s="15"/>
      <c r="Z897" s="34"/>
      <c r="AA897" s="34"/>
      <c r="AB897" s="34"/>
      <c r="AC897" s="34"/>
      <c r="AD897" s="16"/>
      <c r="AE897" s="24">
        <f>SUMIFS(инфо!$D$15:$D$28,инфо!$A$15:$A$28,F897)</f>
        <v>0</v>
      </c>
      <c r="AF897" s="35">
        <f t="shared" si="204"/>
        <v>0</v>
      </c>
      <c r="AG897" s="12">
        <f t="shared" si="214"/>
        <v>0</v>
      </c>
      <c r="AH897" s="24">
        <f>SUMIFS(инфо!$E$15:$E$28,инфо!$A$15:$A$28,F897)</f>
        <v>0</v>
      </c>
      <c r="AI897" s="32">
        <f t="shared" si="205"/>
        <v>0</v>
      </c>
      <c r="AJ897" s="12">
        <f t="shared" si="215"/>
        <v>0</v>
      </c>
      <c r="AK897" s="24">
        <f>SUMIFS(инфо!$F$15:$F$28,инфо!$A$15:$A$28,F897)</f>
        <v>0</v>
      </c>
      <c r="AL897" s="32">
        <f t="shared" si="206"/>
        <v>0</v>
      </c>
      <c r="AM897" s="12">
        <f t="shared" si="209"/>
        <v>0</v>
      </c>
      <c r="AN897" s="24">
        <f>SUMIFS(инфо!$G$15:$G$28,инфо!$A$15:$A$28,F897)</f>
        <v>0</v>
      </c>
      <c r="AO897" s="32">
        <f t="shared" si="207"/>
        <v>0</v>
      </c>
      <c r="AP897" s="12">
        <f t="shared" si="210"/>
        <v>0</v>
      </c>
      <c r="AQ897" s="24">
        <f>SUMIFS(инфо!$H$15:$H$28,инфо!$A$15:$A$28,F897)</f>
        <v>0</v>
      </c>
      <c r="AR897" s="35">
        <f t="shared" si="208"/>
        <v>0</v>
      </c>
      <c r="AS897" s="12">
        <f t="shared" si="211"/>
        <v>0</v>
      </c>
      <c r="AT897" s="24">
        <f>SUMIFS(инфо!$I$15:$I$28,инфо!$A$15:$A$28,F897)</f>
        <v>0</v>
      </c>
      <c r="AU897" s="35">
        <f t="shared" si="202"/>
        <v>0</v>
      </c>
      <c r="AV897" s="12">
        <f t="shared" si="212"/>
        <v>0</v>
      </c>
      <c r="AX897" s="68">
        <f>SUMIFS(инфо!$C$15:$C$28,инфо!$A$15:$A$28,F897)*H896</f>
        <v>0</v>
      </c>
    </row>
    <row r="898" spans="1:50" x14ac:dyDescent="0.25">
      <c r="A898" s="70">
        <f t="shared" si="203"/>
        <v>46513</v>
      </c>
      <c r="B898" s="77"/>
      <c r="C898" s="17"/>
      <c r="D898" s="18"/>
      <c r="E898" s="11"/>
      <c r="F898" s="28"/>
      <c r="G898" s="19"/>
      <c r="H898" s="28"/>
      <c r="I898" s="20"/>
      <c r="J898" s="20"/>
      <c r="K898" s="20"/>
      <c r="L898" s="20"/>
      <c r="M898" s="20"/>
      <c r="N898" s="23"/>
      <c r="O898" s="19"/>
      <c r="P898" s="19"/>
      <c r="Q898" s="19"/>
      <c r="R898" s="19"/>
      <c r="S898" s="69">
        <f t="shared" si="213"/>
        <v>0</v>
      </c>
      <c r="T898" s="17"/>
      <c r="U898" s="18"/>
      <c r="V898" s="19"/>
      <c r="W898" s="19"/>
      <c r="X898" s="19"/>
      <c r="Y898" s="17"/>
      <c r="Z898" s="19"/>
      <c r="AA898" s="19"/>
      <c r="AB898" s="19"/>
      <c r="AC898" s="19"/>
      <c r="AD898" s="18"/>
      <c r="AE898" s="25">
        <f>SUMIFS(инфо!$D$15:$D$28,инфо!$A$15:$A$28,F898)</f>
        <v>0</v>
      </c>
      <c r="AF898" s="35">
        <f t="shared" si="204"/>
        <v>0</v>
      </c>
      <c r="AG898" s="14">
        <f t="shared" si="214"/>
        <v>0</v>
      </c>
      <c r="AH898" s="25">
        <f>SUMIFS(инфо!$E$15:$E$28,инфо!$A$15:$A$28,F898)</f>
        <v>0</v>
      </c>
      <c r="AI898" s="32">
        <f t="shared" si="205"/>
        <v>0</v>
      </c>
      <c r="AJ898" s="14">
        <f t="shared" si="215"/>
        <v>0</v>
      </c>
      <c r="AK898" s="25">
        <f>SUMIFS(инфо!$F$15:$F$28,инфо!$A$15:$A$28,F898)</f>
        <v>0</v>
      </c>
      <c r="AL898" s="32">
        <f t="shared" si="206"/>
        <v>0</v>
      </c>
      <c r="AM898" s="14">
        <f t="shared" si="209"/>
        <v>0</v>
      </c>
      <c r="AN898" s="25">
        <f>SUMIFS(инфо!$G$15:$G$28,инфо!$A$15:$A$28,F898)</f>
        <v>0</v>
      </c>
      <c r="AO898" s="32">
        <f t="shared" si="207"/>
        <v>0</v>
      </c>
      <c r="AP898" s="14">
        <f t="shared" si="210"/>
        <v>0</v>
      </c>
      <c r="AQ898" s="25">
        <f>SUMIFS(инфо!$H$15:$H$28,инфо!$A$15:$A$28,F898)</f>
        <v>0</v>
      </c>
      <c r="AR898" s="26">
        <f t="shared" si="208"/>
        <v>0</v>
      </c>
      <c r="AS898" s="14">
        <f t="shared" si="211"/>
        <v>0</v>
      </c>
      <c r="AT898" s="25">
        <f>SUMIFS(инфо!$I$15:$I$28,инфо!$A$15:$A$28,F898)</f>
        <v>0</v>
      </c>
      <c r="AU898" s="35">
        <f t="shared" si="202"/>
        <v>0</v>
      </c>
      <c r="AV898" s="14">
        <f t="shared" si="212"/>
        <v>0</v>
      </c>
      <c r="AX898" s="69">
        <f>SUMIFS(инфо!$C$15:$C$28,инфо!$A$15:$A$28,F898)*H897</f>
        <v>0</v>
      </c>
    </row>
    <row r="899" spans="1:50" x14ac:dyDescent="0.25">
      <c r="A899" s="70">
        <f t="shared" si="203"/>
        <v>46513</v>
      </c>
      <c r="B899" s="75"/>
      <c r="C899" s="29"/>
      <c r="D899" s="30"/>
      <c r="E899" s="11"/>
      <c r="F899" s="28"/>
      <c r="G899" s="27"/>
      <c r="H899" s="20"/>
      <c r="I899" s="20"/>
      <c r="J899" s="20"/>
      <c r="K899" s="20"/>
      <c r="L899" s="20"/>
      <c r="M899" s="20"/>
      <c r="N899" s="28"/>
      <c r="O899" s="27"/>
      <c r="P899" s="27"/>
      <c r="Q899" s="27"/>
      <c r="R899" s="27"/>
      <c r="S899" s="67">
        <f t="shared" si="213"/>
        <v>0</v>
      </c>
      <c r="T899" s="29"/>
      <c r="U899" s="30"/>
      <c r="V899" s="27"/>
      <c r="W899" s="27"/>
      <c r="X899" s="27"/>
      <c r="Y899" s="29"/>
      <c r="Z899" s="27"/>
      <c r="AA899" s="27"/>
      <c r="AB899" s="27"/>
      <c r="AC899" s="27"/>
      <c r="AD899" s="30"/>
      <c r="AE899" s="31">
        <f>SUMIFS(инфо!$D$15:$D$28,инфо!$A$15:$A$28,F899)</f>
        <v>0</v>
      </c>
      <c r="AF899" s="35">
        <f t="shared" si="204"/>
        <v>0</v>
      </c>
      <c r="AG899" s="33">
        <f t="shared" si="214"/>
        <v>0</v>
      </c>
      <c r="AH899" s="31">
        <f>SUMIFS(инфо!$E$15:$E$28,инфо!$A$15:$A$28,F899)</f>
        <v>0</v>
      </c>
      <c r="AI899" s="32">
        <f t="shared" si="205"/>
        <v>0</v>
      </c>
      <c r="AJ899" s="33">
        <f t="shared" si="215"/>
        <v>0</v>
      </c>
      <c r="AK899" s="31">
        <f>SUMIFS(инфо!$F$15:$F$28,инфо!$A$15:$A$28,F899)</f>
        <v>0</v>
      </c>
      <c r="AL899" s="32">
        <f t="shared" si="206"/>
        <v>0</v>
      </c>
      <c r="AM899" s="33">
        <f t="shared" si="209"/>
        <v>0</v>
      </c>
      <c r="AN899" s="31">
        <f>SUMIFS(инфо!$G$15:$G$28,инфо!$A$15:$A$28,F899)</f>
        <v>0</v>
      </c>
      <c r="AO899" s="32">
        <f t="shared" si="207"/>
        <v>0</v>
      </c>
      <c r="AP899" s="33">
        <f t="shared" si="210"/>
        <v>0</v>
      </c>
      <c r="AQ899" s="31">
        <f>SUMIFS(инфо!$H$15:$H$28,инфо!$A$15:$A$28,F899)</f>
        <v>0</v>
      </c>
      <c r="AR899" s="32">
        <f t="shared" si="208"/>
        <v>0</v>
      </c>
      <c r="AS899" s="33">
        <f t="shared" si="211"/>
        <v>0</v>
      </c>
      <c r="AT899" s="31">
        <f>SUMIFS(инфо!$I$15:$I$28,инфо!$A$15:$A$28,F899)</f>
        <v>0</v>
      </c>
      <c r="AU899" s="35">
        <f t="shared" si="202"/>
        <v>0</v>
      </c>
      <c r="AV899" s="33">
        <f t="shared" si="212"/>
        <v>0</v>
      </c>
      <c r="AX899" s="67">
        <f>SUMIFS(инфо!$C$15:$C$28,инфо!$A$15:$A$28,F899)*H898</f>
        <v>0</v>
      </c>
    </row>
    <row r="900" spans="1:50" x14ac:dyDescent="0.25">
      <c r="A900" s="70">
        <f t="shared" si="203"/>
        <v>46514</v>
      </c>
      <c r="B900" s="76"/>
      <c r="C900" s="15"/>
      <c r="D900" s="16"/>
      <c r="E900" s="11"/>
      <c r="F900" s="28"/>
      <c r="G900" s="34"/>
      <c r="H900" s="20"/>
      <c r="I900" s="20"/>
      <c r="J900" s="20"/>
      <c r="K900" s="20"/>
      <c r="L900" s="20"/>
      <c r="M900" s="20"/>
      <c r="N900" s="20"/>
      <c r="O900" s="34"/>
      <c r="P900" s="34"/>
      <c r="Q900" s="34"/>
      <c r="R900" s="34"/>
      <c r="S900" s="68">
        <f t="shared" si="213"/>
        <v>0</v>
      </c>
      <c r="T900" s="15"/>
      <c r="U900" s="16"/>
      <c r="V900" s="34"/>
      <c r="W900" s="34"/>
      <c r="X900" s="34"/>
      <c r="Y900" s="15"/>
      <c r="Z900" s="34"/>
      <c r="AA900" s="34"/>
      <c r="AB900" s="34"/>
      <c r="AC900" s="34"/>
      <c r="AD900" s="16"/>
      <c r="AE900" s="24">
        <f>SUMIFS(инфо!$D$15:$D$28,инфо!$A$15:$A$28,F900)</f>
        <v>0</v>
      </c>
      <c r="AF900" s="35">
        <f t="shared" si="204"/>
        <v>0</v>
      </c>
      <c r="AG900" s="12">
        <f t="shared" si="214"/>
        <v>0</v>
      </c>
      <c r="AH900" s="24">
        <f>SUMIFS(инфо!$E$15:$E$28,инфо!$A$15:$A$28,F900)</f>
        <v>0</v>
      </c>
      <c r="AI900" s="32">
        <f t="shared" si="205"/>
        <v>0</v>
      </c>
      <c r="AJ900" s="12">
        <f t="shared" si="215"/>
        <v>0</v>
      </c>
      <c r="AK900" s="24">
        <f>SUMIFS(инфо!$F$15:$F$28,инфо!$A$15:$A$28,F900)</f>
        <v>0</v>
      </c>
      <c r="AL900" s="32">
        <f t="shared" si="206"/>
        <v>0</v>
      </c>
      <c r="AM900" s="12">
        <f t="shared" si="209"/>
        <v>0</v>
      </c>
      <c r="AN900" s="24">
        <f>SUMIFS(инфо!$G$15:$G$28,инфо!$A$15:$A$28,F900)</f>
        <v>0</v>
      </c>
      <c r="AO900" s="32">
        <f t="shared" si="207"/>
        <v>0</v>
      </c>
      <c r="AP900" s="12">
        <f t="shared" si="210"/>
        <v>0</v>
      </c>
      <c r="AQ900" s="24">
        <f>SUMIFS(инфо!$H$15:$H$28,инфо!$A$15:$A$28,F900)</f>
        <v>0</v>
      </c>
      <c r="AR900" s="35">
        <f t="shared" si="208"/>
        <v>0</v>
      </c>
      <c r="AS900" s="12">
        <f t="shared" si="211"/>
        <v>0</v>
      </c>
      <c r="AT900" s="24">
        <f>SUMIFS(инфо!$I$15:$I$28,инфо!$A$15:$A$28,F900)</f>
        <v>0</v>
      </c>
      <c r="AU900" s="35">
        <f t="shared" si="202"/>
        <v>0</v>
      </c>
      <c r="AV900" s="12">
        <f t="shared" si="212"/>
        <v>0</v>
      </c>
      <c r="AX900" s="68">
        <f>SUMIFS(инфо!$C$15:$C$28,инфо!$A$15:$A$28,F900)*H899</f>
        <v>0</v>
      </c>
    </row>
    <row r="901" spans="1:50" x14ac:dyDescent="0.25">
      <c r="A901" s="70">
        <f t="shared" si="203"/>
        <v>46514</v>
      </c>
      <c r="B901" s="76"/>
      <c r="C901" s="15"/>
      <c r="D901" s="16"/>
      <c r="E901" s="11"/>
      <c r="F901" s="28"/>
      <c r="G901" s="34"/>
      <c r="H901" s="23"/>
      <c r="I901" s="20"/>
      <c r="J901" s="20"/>
      <c r="K901" s="20"/>
      <c r="L901" s="20"/>
      <c r="M901" s="20"/>
      <c r="N901" s="20"/>
      <c r="O901" s="34"/>
      <c r="P901" s="34"/>
      <c r="Q901" s="34"/>
      <c r="R901" s="34"/>
      <c r="S901" s="68">
        <f t="shared" si="213"/>
        <v>0</v>
      </c>
      <c r="T901" s="15"/>
      <c r="U901" s="16"/>
      <c r="V901" s="34"/>
      <c r="W901" s="34"/>
      <c r="X901" s="34"/>
      <c r="Y901" s="15"/>
      <c r="Z901" s="34"/>
      <c r="AA901" s="34"/>
      <c r="AB901" s="34"/>
      <c r="AC901" s="34"/>
      <c r="AD901" s="16"/>
      <c r="AE901" s="24">
        <f>SUMIFS(инфо!$D$15:$D$28,инфо!$A$15:$A$28,F901)</f>
        <v>0</v>
      </c>
      <c r="AF901" s="35">
        <f t="shared" si="204"/>
        <v>0</v>
      </c>
      <c r="AG901" s="12">
        <f t="shared" si="214"/>
        <v>0</v>
      </c>
      <c r="AH901" s="24">
        <f>SUMIFS(инфо!$E$15:$E$28,инфо!$A$15:$A$28,F901)</f>
        <v>0</v>
      </c>
      <c r="AI901" s="32">
        <f t="shared" si="205"/>
        <v>0</v>
      </c>
      <c r="AJ901" s="12">
        <f t="shared" si="215"/>
        <v>0</v>
      </c>
      <c r="AK901" s="24">
        <f>SUMIFS(инфо!$F$15:$F$28,инфо!$A$15:$A$28,F901)</f>
        <v>0</v>
      </c>
      <c r="AL901" s="32">
        <f t="shared" si="206"/>
        <v>0</v>
      </c>
      <c r="AM901" s="12">
        <f t="shared" si="209"/>
        <v>0</v>
      </c>
      <c r="AN901" s="24">
        <f>SUMIFS(инфо!$G$15:$G$28,инфо!$A$15:$A$28,F901)</f>
        <v>0</v>
      </c>
      <c r="AO901" s="32">
        <f t="shared" si="207"/>
        <v>0</v>
      </c>
      <c r="AP901" s="12">
        <f t="shared" si="210"/>
        <v>0</v>
      </c>
      <c r="AQ901" s="24">
        <f>SUMIFS(инфо!$H$15:$H$28,инфо!$A$15:$A$28,F901)</f>
        <v>0</v>
      </c>
      <c r="AR901" s="35">
        <f t="shared" si="208"/>
        <v>0</v>
      </c>
      <c r="AS901" s="12">
        <f t="shared" si="211"/>
        <v>0</v>
      </c>
      <c r="AT901" s="24">
        <f>SUMIFS(инфо!$I$15:$I$28,инфо!$A$15:$A$28,F901)</f>
        <v>0</v>
      </c>
      <c r="AU901" s="35">
        <f t="shared" si="202"/>
        <v>0</v>
      </c>
      <c r="AV901" s="12">
        <f t="shared" si="212"/>
        <v>0</v>
      </c>
      <c r="AX901" s="68">
        <f>SUMIFS(инфо!$C$15:$C$28,инфо!$A$15:$A$28,F901)*H900</f>
        <v>0</v>
      </c>
    </row>
    <row r="902" spans="1:50" x14ac:dyDescent="0.25">
      <c r="A902" s="70">
        <f t="shared" si="203"/>
        <v>46515</v>
      </c>
      <c r="B902" s="77"/>
      <c r="C902" s="17"/>
      <c r="D902" s="18"/>
      <c r="E902" s="11"/>
      <c r="F902" s="28"/>
      <c r="G902" s="19"/>
      <c r="H902" s="28"/>
      <c r="I902" s="20"/>
      <c r="J902" s="20"/>
      <c r="K902" s="20"/>
      <c r="L902" s="20"/>
      <c r="M902" s="20"/>
      <c r="N902" s="23"/>
      <c r="O902" s="19"/>
      <c r="P902" s="19"/>
      <c r="Q902" s="19"/>
      <c r="R902" s="19"/>
      <c r="S902" s="69">
        <f t="shared" si="213"/>
        <v>0</v>
      </c>
      <c r="T902" s="17"/>
      <c r="U902" s="18"/>
      <c r="V902" s="19"/>
      <c r="W902" s="19"/>
      <c r="X902" s="19"/>
      <c r="Y902" s="17"/>
      <c r="Z902" s="19"/>
      <c r="AA902" s="19"/>
      <c r="AB902" s="19"/>
      <c r="AC902" s="19"/>
      <c r="AD902" s="18"/>
      <c r="AE902" s="25">
        <f>SUMIFS(инфо!$D$15:$D$28,инфо!$A$15:$A$28,F902)</f>
        <v>0</v>
      </c>
      <c r="AF902" s="35">
        <f t="shared" si="204"/>
        <v>0</v>
      </c>
      <c r="AG902" s="14">
        <f t="shared" si="214"/>
        <v>0</v>
      </c>
      <c r="AH902" s="25">
        <f>SUMIFS(инфо!$E$15:$E$28,инфо!$A$15:$A$28,F902)</f>
        <v>0</v>
      </c>
      <c r="AI902" s="32">
        <f t="shared" si="205"/>
        <v>0</v>
      </c>
      <c r="AJ902" s="14">
        <f t="shared" si="215"/>
        <v>0</v>
      </c>
      <c r="AK902" s="25">
        <f>SUMIFS(инфо!$F$15:$F$28,инфо!$A$15:$A$28,F902)</f>
        <v>0</v>
      </c>
      <c r="AL902" s="32">
        <f t="shared" si="206"/>
        <v>0</v>
      </c>
      <c r="AM902" s="14">
        <f t="shared" si="209"/>
        <v>0</v>
      </c>
      <c r="AN902" s="25">
        <f>SUMIFS(инфо!$G$15:$G$28,инфо!$A$15:$A$28,F902)</f>
        <v>0</v>
      </c>
      <c r="AO902" s="32">
        <f t="shared" si="207"/>
        <v>0</v>
      </c>
      <c r="AP902" s="14">
        <f t="shared" si="210"/>
        <v>0</v>
      </c>
      <c r="AQ902" s="25">
        <f>SUMIFS(инфо!$H$15:$H$28,инфо!$A$15:$A$28,F902)</f>
        <v>0</v>
      </c>
      <c r="AR902" s="26">
        <f t="shared" si="208"/>
        <v>0</v>
      </c>
      <c r="AS902" s="14">
        <f t="shared" si="211"/>
        <v>0</v>
      </c>
      <c r="AT902" s="25">
        <f>SUMIFS(инфо!$I$15:$I$28,инфо!$A$15:$A$28,F902)</f>
        <v>0</v>
      </c>
      <c r="AU902" s="35">
        <f t="shared" si="202"/>
        <v>0</v>
      </c>
      <c r="AV902" s="14">
        <f t="shared" si="212"/>
        <v>0</v>
      </c>
      <c r="AX902" s="69">
        <f>SUMIFS(инфо!$C$15:$C$28,инфо!$A$15:$A$28,F902)*H901</f>
        <v>0</v>
      </c>
    </row>
    <row r="903" spans="1:50" x14ac:dyDescent="0.25">
      <c r="A903" s="70">
        <f t="shared" si="203"/>
        <v>46515</v>
      </c>
      <c r="B903" s="75"/>
      <c r="C903" s="29"/>
      <c r="D903" s="30"/>
      <c r="E903" s="11"/>
      <c r="F903" s="28"/>
      <c r="G903" s="27"/>
      <c r="H903" s="20"/>
      <c r="I903" s="20"/>
      <c r="J903" s="20"/>
      <c r="K903" s="20"/>
      <c r="L903" s="20"/>
      <c r="M903" s="20"/>
      <c r="N903" s="28"/>
      <c r="O903" s="27"/>
      <c r="P903" s="27"/>
      <c r="Q903" s="27"/>
      <c r="R903" s="27"/>
      <c r="S903" s="67">
        <f t="shared" si="213"/>
        <v>0</v>
      </c>
      <c r="T903" s="29"/>
      <c r="U903" s="30"/>
      <c r="V903" s="27"/>
      <c r="W903" s="27"/>
      <c r="X903" s="27"/>
      <c r="Y903" s="29"/>
      <c r="Z903" s="27"/>
      <c r="AA903" s="27"/>
      <c r="AB903" s="27"/>
      <c r="AC903" s="27"/>
      <c r="AD903" s="30"/>
      <c r="AE903" s="31">
        <f>SUMIFS(инфо!$D$15:$D$28,инфо!$A$15:$A$28,F903)</f>
        <v>0</v>
      </c>
      <c r="AF903" s="35">
        <f t="shared" si="204"/>
        <v>0</v>
      </c>
      <c r="AG903" s="33">
        <f t="shared" si="214"/>
        <v>0</v>
      </c>
      <c r="AH903" s="31">
        <f>SUMIFS(инфо!$E$15:$E$28,инфо!$A$15:$A$28,F903)</f>
        <v>0</v>
      </c>
      <c r="AI903" s="32">
        <f t="shared" si="205"/>
        <v>0</v>
      </c>
      <c r="AJ903" s="33">
        <f t="shared" si="215"/>
        <v>0</v>
      </c>
      <c r="AK903" s="31">
        <f>SUMIFS(инфо!$F$15:$F$28,инфо!$A$15:$A$28,F903)</f>
        <v>0</v>
      </c>
      <c r="AL903" s="32">
        <f t="shared" si="206"/>
        <v>0</v>
      </c>
      <c r="AM903" s="33">
        <f t="shared" si="209"/>
        <v>0</v>
      </c>
      <c r="AN903" s="31">
        <f>SUMIFS(инфо!$G$15:$G$28,инфо!$A$15:$A$28,F903)</f>
        <v>0</v>
      </c>
      <c r="AO903" s="32">
        <f t="shared" si="207"/>
        <v>0</v>
      </c>
      <c r="AP903" s="33">
        <f t="shared" si="210"/>
        <v>0</v>
      </c>
      <c r="AQ903" s="31">
        <f>SUMIFS(инфо!$H$15:$H$28,инфо!$A$15:$A$28,F903)</f>
        <v>0</v>
      </c>
      <c r="AR903" s="32">
        <f t="shared" si="208"/>
        <v>0</v>
      </c>
      <c r="AS903" s="33">
        <f t="shared" si="211"/>
        <v>0</v>
      </c>
      <c r="AT903" s="31">
        <f>SUMIFS(инфо!$I$15:$I$28,инфо!$A$15:$A$28,F903)</f>
        <v>0</v>
      </c>
      <c r="AU903" s="35">
        <f t="shared" si="202"/>
        <v>0</v>
      </c>
      <c r="AV903" s="33">
        <f t="shared" si="212"/>
        <v>0</v>
      </c>
      <c r="AX903" s="67">
        <f>SUMIFS(инфо!$C$15:$C$28,инфо!$A$15:$A$28,F903)*H902</f>
        <v>0</v>
      </c>
    </row>
    <row r="904" spans="1:50" x14ac:dyDescent="0.25">
      <c r="A904" s="70">
        <f t="shared" si="203"/>
        <v>46516</v>
      </c>
      <c r="B904" s="76"/>
      <c r="C904" s="15"/>
      <c r="D904" s="16"/>
      <c r="E904" s="11"/>
      <c r="F904" s="28"/>
      <c r="G904" s="34"/>
      <c r="H904" s="20"/>
      <c r="I904" s="20"/>
      <c r="J904" s="20"/>
      <c r="K904" s="20"/>
      <c r="L904" s="20"/>
      <c r="M904" s="20"/>
      <c r="N904" s="20"/>
      <c r="O904" s="34"/>
      <c r="P904" s="34"/>
      <c r="Q904" s="34"/>
      <c r="R904" s="34"/>
      <c r="S904" s="68">
        <f t="shared" si="213"/>
        <v>0</v>
      </c>
      <c r="T904" s="15"/>
      <c r="U904" s="16"/>
      <c r="V904" s="34"/>
      <c r="W904" s="34"/>
      <c r="X904" s="34"/>
      <c r="Y904" s="15"/>
      <c r="Z904" s="34"/>
      <c r="AA904" s="34"/>
      <c r="AB904" s="34"/>
      <c r="AC904" s="34"/>
      <c r="AD904" s="16"/>
      <c r="AE904" s="24">
        <f>SUMIFS(инфо!$D$15:$D$28,инфо!$A$15:$A$28,F904)</f>
        <v>0</v>
      </c>
      <c r="AF904" s="35">
        <f t="shared" si="204"/>
        <v>0</v>
      </c>
      <c r="AG904" s="12">
        <f t="shared" si="214"/>
        <v>0</v>
      </c>
      <c r="AH904" s="24">
        <f>SUMIFS(инфо!$E$15:$E$28,инфо!$A$15:$A$28,F904)</f>
        <v>0</v>
      </c>
      <c r="AI904" s="32">
        <f t="shared" si="205"/>
        <v>0</v>
      </c>
      <c r="AJ904" s="12">
        <f t="shared" si="215"/>
        <v>0</v>
      </c>
      <c r="AK904" s="24">
        <f>SUMIFS(инфо!$F$15:$F$28,инфо!$A$15:$A$28,F904)</f>
        <v>0</v>
      </c>
      <c r="AL904" s="32">
        <f t="shared" si="206"/>
        <v>0</v>
      </c>
      <c r="AM904" s="12">
        <f t="shared" si="209"/>
        <v>0</v>
      </c>
      <c r="AN904" s="24">
        <f>SUMIFS(инфо!$G$15:$G$28,инфо!$A$15:$A$28,F904)</f>
        <v>0</v>
      </c>
      <c r="AO904" s="32">
        <f t="shared" si="207"/>
        <v>0</v>
      </c>
      <c r="AP904" s="12">
        <f t="shared" si="210"/>
        <v>0</v>
      </c>
      <c r="AQ904" s="24">
        <f>SUMIFS(инфо!$H$15:$H$28,инфо!$A$15:$A$28,F904)</f>
        <v>0</v>
      </c>
      <c r="AR904" s="35">
        <f t="shared" si="208"/>
        <v>0</v>
      </c>
      <c r="AS904" s="12">
        <f t="shared" si="211"/>
        <v>0</v>
      </c>
      <c r="AT904" s="24">
        <f>SUMIFS(инфо!$I$15:$I$28,инфо!$A$15:$A$28,F904)</f>
        <v>0</v>
      </c>
      <c r="AU904" s="35">
        <f t="shared" si="202"/>
        <v>0</v>
      </c>
      <c r="AV904" s="12">
        <f t="shared" si="212"/>
        <v>0</v>
      </c>
      <c r="AX904" s="68">
        <f>SUMIFS(инфо!$C$15:$C$28,инфо!$A$15:$A$28,F904)*H903</f>
        <v>0</v>
      </c>
    </row>
    <row r="905" spans="1:50" x14ac:dyDescent="0.25">
      <c r="A905" s="70">
        <f t="shared" si="203"/>
        <v>46516</v>
      </c>
      <c r="B905" s="76"/>
      <c r="C905" s="15"/>
      <c r="D905" s="16"/>
      <c r="E905" s="11"/>
      <c r="F905" s="28"/>
      <c r="G905" s="34"/>
      <c r="H905" s="23"/>
      <c r="I905" s="20"/>
      <c r="J905" s="20"/>
      <c r="K905" s="20"/>
      <c r="L905" s="20"/>
      <c r="M905" s="20"/>
      <c r="N905" s="20"/>
      <c r="O905" s="34"/>
      <c r="P905" s="34"/>
      <c r="Q905" s="34"/>
      <c r="R905" s="34"/>
      <c r="S905" s="68">
        <f t="shared" si="213"/>
        <v>0</v>
      </c>
      <c r="T905" s="15"/>
      <c r="U905" s="16"/>
      <c r="V905" s="34"/>
      <c r="W905" s="34"/>
      <c r="X905" s="34"/>
      <c r="Y905" s="15"/>
      <c r="Z905" s="34"/>
      <c r="AA905" s="34"/>
      <c r="AB905" s="34"/>
      <c r="AC905" s="34"/>
      <c r="AD905" s="16"/>
      <c r="AE905" s="24">
        <f>SUMIFS(инфо!$D$15:$D$28,инфо!$A$15:$A$28,F905)</f>
        <v>0</v>
      </c>
      <c r="AF905" s="35">
        <f t="shared" si="204"/>
        <v>0</v>
      </c>
      <c r="AG905" s="12">
        <f t="shared" si="214"/>
        <v>0</v>
      </c>
      <c r="AH905" s="24">
        <f>SUMIFS(инфо!$E$15:$E$28,инфо!$A$15:$A$28,F905)</f>
        <v>0</v>
      </c>
      <c r="AI905" s="32">
        <f t="shared" si="205"/>
        <v>0</v>
      </c>
      <c r="AJ905" s="12">
        <f t="shared" si="215"/>
        <v>0</v>
      </c>
      <c r="AK905" s="24">
        <f>SUMIFS(инфо!$F$15:$F$28,инфо!$A$15:$A$28,F905)</f>
        <v>0</v>
      </c>
      <c r="AL905" s="32">
        <f t="shared" si="206"/>
        <v>0</v>
      </c>
      <c r="AM905" s="12">
        <f t="shared" si="209"/>
        <v>0</v>
      </c>
      <c r="AN905" s="24">
        <f>SUMIFS(инфо!$G$15:$G$28,инфо!$A$15:$A$28,F905)</f>
        <v>0</v>
      </c>
      <c r="AO905" s="32">
        <f t="shared" si="207"/>
        <v>0</v>
      </c>
      <c r="AP905" s="12">
        <f t="shared" si="210"/>
        <v>0</v>
      </c>
      <c r="AQ905" s="24">
        <f>SUMIFS(инфо!$H$15:$H$28,инфо!$A$15:$A$28,F905)</f>
        <v>0</v>
      </c>
      <c r="AR905" s="35">
        <f t="shared" si="208"/>
        <v>0</v>
      </c>
      <c r="AS905" s="12">
        <f t="shared" si="211"/>
        <v>0</v>
      </c>
      <c r="AT905" s="24">
        <f>SUMIFS(инфо!$I$15:$I$28,инфо!$A$15:$A$28,F905)</f>
        <v>0</v>
      </c>
      <c r="AU905" s="35">
        <f t="shared" ref="AU905:AU968" si="216">IF(H905=0,0,AD905/H905)</f>
        <v>0</v>
      </c>
      <c r="AV905" s="12">
        <f t="shared" si="212"/>
        <v>0</v>
      </c>
      <c r="AX905" s="68">
        <f>SUMIFS(инфо!$C$15:$C$28,инфо!$A$15:$A$28,F905)*H904</f>
        <v>0</v>
      </c>
    </row>
    <row r="906" spans="1:50" x14ac:dyDescent="0.25">
      <c r="A906" s="70">
        <f t="shared" si="203"/>
        <v>46517</v>
      </c>
      <c r="B906" s="77"/>
      <c r="C906" s="17"/>
      <c r="D906" s="18"/>
      <c r="E906" s="11"/>
      <c r="F906" s="28"/>
      <c r="G906" s="19"/>
      <c r="H906" s="28"/>
      <c r="I906" s="20"/>
      <c r="J906" s="20"/>
      <c r="K906" s="20"/>
      <c r="L906" s="20"/>
      <c r="M906" s="20"/>
      <c r="N906" s="23"/>
      <c r="O906" s="19"/>
      <c r="P906" s="19"/>
      <c r="Q906" s="19"/>
      <c r="R906" s="19"/>
      <c r="S906" s="69">
        <f t="shared" si="213"/>
        <v>0</v>
      </c>
      <c r="T906" s="17"/>
      <c r="U906" s="18"/>
      <c r="V906" s="19"/>
      <c r="W906" s="19"/>
      <c r="X906" s="19"/>
      <c r="Y906" s="17"/>
      <c r="Z906" s="19"/>
      <c r="AA906" s="19"/>
      <c r="AB906" s="19"/>
      <c r="AC906" s="19"/>
      <c r="AD906" s="18"/>
      <c r="AE906" s="25">
        <f>SUMIFS(инфо!$D$15:$D$28,инфо!$A$15:$A$28,F906)</f>
        <v>0</v>
      </c>
      <c r="AF906" s="35">
        <f t="shared" si="204"/>
        <v>0</v>
      </c>
      <c r="AG906" s="14">
        <f t="shared" si="214"/>
        <v>0</v>
      </c>
      <c r="AH906" s="25">
        <f>SUMIFS(инфо!$E$15:$E$28,инфо!$A$15:$A$28,F906)</f>
        <v>0</v>
      </c>
      <c r="AI906" s="32">
        <f t="shared" si="205"/>
        <v>0</v>
      </c>
      <c r="AJ906" s="14">
        <f t="shared" si="215"/>
        <v>0</v>
      </c>
      <c r="AK906" s="25">
        <f>SUMIFS(инфо!$F$15:$F$28,инфо!$A$15:$A$28,F906)</f>
        <v>0</v>
      </c>
      <c r="AL906" s="32">
        <f t="shared" si="206"/>
        <v>0</v>
      </c>
      <c r="AM906" s="14">
        <f t="shared" si="209"/>
        <v>0</v>
      </c>
      <c r="AN906" s="25">
        <f>SUMIFS(инфо!$G$15:$G$28,инфо!$A$15:$A$28,F906)</f>
        <v>0</v>
      </c>
      <c r="AO906" s="32">
        <f t="shared" si="207"/>
        <v>0</v>
      </c>
      <c r="AP906" s="14">
        <f t="shared" si="210"/>
        <v>0</v>
      </c>
      <c r="AQ906" s="25">
        <f>SUMIFS(инфо!$H$15:$H$28,инфо!$A$15:$A$28,F906)</f>
        <v>0</v>
      </c>
      <c r="AR906" s="26">
        <f t="shared" si="208"/>
        <v>0</v>
      </c>
      <c r="AS906" s="14">
        <f t="shared" si="211"/>
        <v>0</v>
      </c>
      <c r="AT906" s="25">
        <f>SUMIFS(инфо!$I$15:$I$28,инфо!$A$15:$A$28,F906)</f>
        <v>0</v>
      </c>
      <c r="AU906" s="35">
        <f t="shared" si="216"/>
        <v>0</v>
      </c>
      <c r="AV906" s="14">
        <f t="shared" si="212"/>
        <v>0</v>
      </c>
      <c r="AX906" s="69">
        <f>SUMIFS(инфо!$C$15:$C$28,инфо!$A$15:$A$28,F906)*H905</f>
        <v>0</v>
      </c>
    </row>
    <row r="907" spans="1:50" x14ac:dyDescent="0.25">
      <c r="A907" s="70">
        <f t="shared" si="203"/>
        <v>46517</v>
      </c>
      <c r="B907" s="75"/>
      <c r="C907" s="29"/>
      <c r="D907" s="30"/>
      <c r="E907" s="11"/>
      <c r="F907" s="28"/>
      <c r="G907" s="27"/>
      <c r="H907" s="20"/>
      <c r="I907" s="20"/>
      <c r="J907" s="20"/>
      <c r="K907" s="20"/>
      <c r="L907" s="20"/>
      <c r="M907" s="20"/>
      <c r="N907" s="28"/>
      <c r="O907" s="27"/>
      <c r="P907" s="27"/>
      <c r="Q907" s="27"/>
      <c r="R907" s="27"/>
      <c r="S907" s="67">
        <f t="shared" si="213"/>
        <v>0</v>
      </c>
      <c r="T907" s="29"/>
      <c r="U907" s="30"/>
      <c r="V907" s="27"/>
      <c r="W907" s="27"/>
      <c r="X907" s="27"/>
      <c r="Y907" s="29"/>
      <c r="Z907" s="27"/>
      <c r="AA907" s="27"/>
      <c r="AB907" s="27"/>
      <c r="AC907" s="27"/>
      <c r="AD907" s="30"/>
      <c r="AE907" s="31">
        <f>SUMIFS(инфо!$D$15:$D$28,инфо!$A$15:$A$28,F907)</f>
        <v>0</v>
      </c>
      <c r="AF907" s="35">
        <f t="shared" si="204"/>
        <v>0</v>
      </c>
      <c r="AG907" s="33">
        <f t="shared" si="214"/>
        <v>0</v>
      </c>
      <c r="AH907" s="31">
        <f>SUMIFS(инфо!$E$15:$E$28,инфо!$A$15:$A$28,F907)</f>
        <v>0</v>
      </c>
      <c r="AI907" s="32">
        <f t="shared" si="205"/>
        <v>0</v>
      </c>
      <c r="AJ907" s="33">
        <f t="shared" si="215"/>
        <v>0</v>
      </c>
      <c r="AK907" s="31">
        <f>SUMIFS(инфо!$F$15:$F$28,инфо!$A$15:$A$28,F907)</f>
        <v>0</v>
      </c>
      <c r="AL907" s="32">
        <f t="shared" si="206"/>
        <v>0</v>
      </c>
      <c r="AM907" s="33">
        <f t="shared" si="209"/>
        <v>0</v>
      </c>
      <c r="AN907" s="31">
        <f>SUMIFS(инфо!$G$15:$G$28,инфо!$A$15:$A$28,F907)</f>
        <v>0</v>
      </c>
      <c r="AO907" s="32">
        <f t="shared" si="207"/>
        <v>0</v>
      </c>
      <c r="AP907" s="33">
        <f t="shared" si="210"/>
        <v>0</v>
      </c>
      <c r="AQ907" s="31">
        <f>SUMIFS(инфо!$H$15:$H$28,инфо!$A$15:$A$28,F907)</f>
        <v>0</v>
      </c>
      <c r="AR907" s="32">
        <f t="shared" si="208"/>
        <v>0</v>
      </c>
      <c r="AS907" s="33">
        <f t="shared" si="211"/>
        <v>0</v>
      </c>
      <c r="AT907" s="31">
        <f>SUMIFS(инфо!$I$15:$I$28,инфо!$A$15:$A$28,F907)</f>
        <v>0</v>
      </c>
      <c r="AU907" s="35">
        <f t="shared" si="216"/>
        <v>0</v>
      </c>
      <c r="AV907" s="33">
        <f t="shared" si="212"/>
        <v>0</v>
      </c>
      <c r="AX907" s="67">
        <f>SUMIFS(инфо!$C$15:$C$28,инфо!$A$15:$A$28,F907)*H906</f>
        <v>0</v>
      </c>
    </row>
    <row r="908" spans="1:50" x14ac:dyDescent="0.25">
      <c r="A908" s="70">
        <f t="shared" si="203"/>
        <v>46518</v>
      </c>
      <c r="B908" s="76"/>
      <c r="C908" s="15"/>
      <c r="D908" s="16"/>
      <c r="E908" s="11"/>
      <c r="F908" s="28"/>
      <c r="G908" s="34"/>
      <c r="H908" s="20"/>
      <c r="I908" s="20"/>
      <c r="J908" s="20"/>
      <c r="K908" s="20"/>
      <c r="L908" s="20"/>
      <c r="M908" s="20"/>
      <c r="N908" s="20"/>
      <c r="O908" s="34"/>
      <c r="P908" s="34"/>
      <c r="Q908" s="34"/>
      <c r="R908" s="34"/>
      <c r="S908" s="68">
        <f t="shared" si="213"/>
        <v>0</v>
      </c>
      <c r="T908" s="15"/>
      <c r="U908" s="16"/>
      <c r="V908" s="34"/>
      <c r="W908" s="34"/>
      <c r="X908" s="34"/>
      <c r="Y908" s="15"/>
      <c r="Z908" s="34"/>
      <c r="AA908" s="34"/>
      <c r="AB908" s="34"/>
      <c r="AC908" s="34"/>
      <c r="AD908" s="16"/>
      <c r="AE908" s="24">
        <f>SUMIFS(инфо!$D$15:$D$28,инфо!$A$15:$A$28,F908)</f>
        <v>0</v>
      </c>
      <c r="AF908" s="35">
        <f t="shared" si="204"/>
        <v>0</v>
      </c>
      <c r="AG908" s="12">
        <f t="shared" si="214"/>
        <v>0</v>
      </c>
      <c r="AH908" s="24">
        <f>SUMIFS(инфо!$E$15:$E$28,инфо!$A$15:$A$28,F908)</f>
        <v>0</v>
      </c>
      <c r="AI908" s="32">
        <f t="shared" si="205"/>
        <v>0</v>
      </c>
      <c r="AJ908" s="12">
        <f t="shared" si="215"/>
        <v>0</v>
      </c>
      <c r="AK908" s="24">
        <f>SUMIFS(инфо!$F$15:$F$28,инфо!$A$15:$A$28,F908)</f>
        <v>0</v>
      </c>
      <c r="AL908" s="32">
        <f t="shared" si="206"/>
        <v>0</v>
      </c>
      <c r="AM908" s="12">
        <f t="shared" si="209"/>
        <v>0</v>
      </c>
      <c r="AN908" s="24">
        <f>SUMIFS(инфо!$G$15:$G$28,инфо!$A$15:$A$28,F908)</f>
        <v>0</v>
      </c>
      <c r="AO908" s="32">
        <f t="shared" si="207"/>
        <v>0</v>
      </c>
      <c r="AP908" s="12">
        <f t="shared" si="210"/>
        <v>0</v>
      </c>
      <c r="AQ908" s="24">
        <f>SUMIFS(инфо!$H$15:$H$28,инфо!$A$15:$A$28,F908)</f>
        <v>0</v>
      </c>
      <c r="AR908" s="35">
        <f t="shared" si="208"/>
        <v>0</v>
      </c>
      <c r="AS908" s="12">
        <f t="shared" si="211"/>
        <v>0</v>
      </c>
      <c r="AT908" s="24">
        <f>SUMIFS(инфо!$I$15:$I$28,инфо!$A$15:$A$28,F908)</f>
        <v>0</v>
      </c>
      <c r="AU908" s="35">
        <f t="shared" si="216"/>
        <v>0</v>
      </c>
      <c r="AV908" s="12">
        <f t="shared" si="212"/>
        <v>0</v>
      </c>
      <c r="AX908" s="68">
        <f>SUMIFS(инфо!$C$15:$C$28,инфо!$A$15:$A$28,F908)*H907</f>
        <v>0</v>
      </c>
    </row>
    <row r="909" spans="1:50" x14ac:dyDescent="0.25">
      <c r="A909" s="70">
        <f t="shared" si="203"/>
        <v>46518</v>
      </c>
      <c r="B909" s="76"/>
      <c r="C909" s="15"/>
      <c r="D909" s="16"/>
      <c r="E909" s="11"/>
      <c r="F909" s="28"/>
      <c r="G909" s="34"/>
      <c r="H909" s="23"/>
      <c r="I909" s="20"/>
      <c r="J909" s="20"/>
      <c r="K909" s="20"/>
      <c r="L909" s="20"/>
      <c r="M909" s="20"/>
      <c r="N909" s="20"/>
      <c r="O909" s="34"/>
      <c r="P909" s="34"/>
      <c r="Q909" s="34"/>
      <c r="R909" s="34"/>
      <c r="S909" s="68">
        <f t="shared" si="213"/>
        <v>0</v>
      </c>
      <c r="T909" s="15"/>
      <c r="U909" s="16"/>
      <c r="V909" s="34"/>
      <c r="W909" s="34"/>
      <c r="X909" s="34"/>
      <c r="Y909" s="15"/>
      <c r="Z909" s="34"/>
      <c r="AA909" s="34"/>
      <c r="AB909" s="34"/>
      <c r="AC909" s="34"/>
      <c r="AD909" s="16"/>
      <c r="AE909" s="24">
        <f>SUMIFS(инфо!$D$15:$D$28,инфо!$A$15:$A$28,F909)</f>
        <v>0</v>
      </c>
      <c r="AF909" s="35">
        <f t="shared" si="204"/>
        <v>0</v>
      </c>
      <c r="AG909" s="12">
        <f t="shared" si="214"/>
        <v>0</v>
      </c>
      <c r="AH909" s="24">
        <f>SUMIFS(инфо!$E$15:$E$28,инфо!$A$15:$A$28,F909)</f>
        <v>0</v>
      </c>
      <c r="AI909" s="32">
        <f t="shared" si="205"/>
        <v>0</v>
      </c>
      <c r="AJ909" s="12">
        <f t="shared" si="215"/>
        <v>0</v>
      </c>
      <c r="AK909" s="24">
        <f>SUMIFS(инфо!$F$15:$F$28,инфо!$A$15:$A$28,F909)</f>
        <v>0</v>
      </c>
      <c r="AL909" s="32">
        <f t="shared" si="206"/>
        <v>0</v>
      </c>
      <c r="AM909" s="12">
        <f t="shared" si="209"/>
        <v>0</v>
      </c>
      <c r="AN909" s="24">
        <f>SUMIFS(инфо!$G$15:$G$28,инфо!$A$15:$A$28,F909)</f>
        <v>0</v>
      </c>
      <c r="AO909" s="32">
        <f t="shared" si="207"/>
        <v>0</v>
      </c>
      <c r="AP909" s="12">
        <f t="shared" si="210"/>
        <v>0</v>
      </c>
      <c r="AQ909" s="24">
        <f>SUMIFS(инфо!$H$15:$H$28,инфо!$A$15:$A$28,F909)</f>
        <v>0</v>
      </c>
      <c r="AR909" s="35">
        <f t="shared" si="208"/>
        <v>0</v>
      </c>
      <c r="AS909" s="12">
        <f t="shared" si="211"/>
        <v>0</v>
      </c>
      <c r="AT909" s="24">
        <f>SUMIFS(инфо!$I$15:$I$28,инфо!$A$15:$A$28,F909)</f>
        <v>0</v>
      </c>
      <c r="AU909" s="35">
        <f t="shared" si="216"/>
        <v>0</v>
      </c>
      <c r="AV909" s="12">
        <f t="shared" si="212"/>
        <v>0</v>
      </c>
      <c r="AX909" s="68">
        <f>SUMIFS(инфо!$C$15:$C$28,инфо!$A$15:$A$28,F909)*H908</f>
        <v>0</v>
      </c>
    </row>
    <row r="910" spans="1:50" x14ac:dyDescent="0.25">
      <c r="A910" s="70">
        <f t="shared" si="203"/>
        <v>46519</v>
      </c>
      <c r="B910" s="77"/>
      <c r="C910" s="17"/>
      <c r="D910" s="18"/>
      <c r="E910" s="11"/>
      <c r="F910" s="28"/>
      <c r="G910" s="19"/>
      <c r="H910" s="28"/>
      <c r="I910" s="20"/>
      <c r="J910" s="20"/>
      <c r="K910" s="20"/>
      <c r="L910" s="20"/>
      <c r="M910" s="20"/>
      <c r="N910" s="23"/>
      <c r="O910" s="19"/>
      <c r="P910" s="19"/>
      <c r="Q910" s="19"/>
      <c r="R910" s="19"/>
      <c r="S910" s="69">
        <f t="shared" si="213"/>
        <v>0</v>
      </c>
      <c r="T910" s="17"/>
      <c r="U910" s="18"/>
      <c r="V910" s="19"/>
      <c r="W910" s="19"/>
      <c r="X910" s="19"/>
      <c r="Y910" s="17"/>
      <c r="Z910" s="19"/>
      <c r="AA910" s="19"/>
      <c r="AB910" s="19"/>
      <c r="AC910" s="19"/>
      <c r="AD910" s="18"/>
      <c r="AE910" s="25">
        <f>SUMIFS(инфо!$D$15:$D$28,инфо!$A$15:$A$28,F910)</f>
        <v>0</v>
      </c>
      <c r="AF910" s="35">
        <f t="shared" si="204"/>
        <v>0</v>
      </c>
      <c r="AG910" s="14">
        <f t="shared" si="214"/>
        <v>0</v>
      </c>
      <c r="AH910" s="25">
        <f>SUMIFS(инфо!$E$15:$E$28,инфо!$A$15:$A$28,F910)</f>
        <v>0</v>
      </c>
      <c r="AI910" s="32">
        <f t="shared" si="205"/>
        <v>0</v>
      </c>
      <c r="AJ910" s="14">
        <f t="shared" si="215"/>
        <v>0</v>
      </c>
      <c r="AK910" s="25">
        <f>SUMIFS(инфо!$F$15:$F$28,инфо!$A$15:$A$28,F910)</f>
        <v>0</v>
      </c>
      <c r="AL910" s="32">
        <f t="shared" si="206"/>
        <v>0</v>
      </c>
      <c r="AM910" s="14">
        <f t="shared" si="209"/>
        <v>0</v>
      </c>
      <c r="AN910" s="25">
        <f>SUMIFS(инфо!$G$15:$G$28,инфо!$A$15:$A$28,F910)</f>
        <v>0</v>
      </c>
      <c r="AO910" s="32">
        <f t="shared" si="207"/>
        <v>0</v>
      </c>
      <c r="AP910" s="14">
        <f t="shared" si="210"/>
        <v>0</v>
      </c>
      <c r="AQ910" s="25">
        <f>SUMIFS(инфо!$H$15:$H$28,инфо!$A$15:$A$28,F910)</f>
        <v>0</v>
      </c>
      <c r="AR910" s="26">
        <f t="shared" si="208"/>
        <v>0</v>
      </c>
      <c r="AS910" s="14">
        <f t="shared" si="211"/>
        <v>0</v>
      </c>
      <c r="AT910" s="25">
        <f>SUMIFS(инфо!$I$15:$I$28,инфо!$A$15:$A$28,F910)</f>
        <v>0</v>
      </c>
      <c r="AU910" s="35">
        <f t="shared" si="216"/>
        <v>0</v>
      </c>
      <c r="AV910" s="14">
        <f t="shared" si="212"/>
        <v>0</v>
      </c>
      <c r="AX910" s="69">
        <f>SUMIFS(инфо!$C$15:$C$28,инфо!$A$15:$A$28,F910)*H909</f>
        <v>0</v>
      </c>
    </row>
    <row r="911" spans="1:50" x14ac:dyDescent="0.25">
      <c r="A911" s="70">
        <f t="shared" si="203"/>
        <v>46519</v>
      </c>
      <c r="B911" s="75"/>
      <c r="C911" s="29"/>
      <c r="D911" s="30"/>
      <c r="E911" s="11"/>
      <c r="F911" s="28"/>
      <c r="G911" s="27"/>
      <c r="H911" s="20"/>
      <c r="I911" s="20"/>
      <c r="J911" s="20"/>
      <c r="K911" s="20"/>
      <c r="L911" s="20"/>
      <c r="M911" s="20"/>
      <c r="N911" s="28"/>
      <c r="O911" s="27"/>
      <c r="P911" s="27"/>
      <c r="Q911" s="27"/>
      <c r="R911" s="27"/>
      <c r="S911" s="67">
        <f t="shared" si="213"/>
        <v>0</v>
      </c>
      <c r="T911" s="29"/>
      <c r="U911" s="30"/>
      <c r="V911" s="27"/>
      <c r="W911" s="27"/>
      <c r="X911" s="27"/>
      <c r="Y911" s="29"/>
      <c r="Z911" s="27"/>
      <c r="AA911" s="27"/>
      <c r="AB911" s="27"/>
      <c r="AC911" s="27"/>
      <c r="AD911" s="30"/>
      <c r="AE911" s="31">
        <f>SUMIFS(инфо!$D$15:$D$28,инфо!$A$15:$A$28,F911)</f>
        <v>0</v>
      </c>
      <c r="AF911" s="35">
        <f t="shared" si="204"/>
        <v>0</v>
      </c>
      <c r="AG911" s="33">
        <f t="shared" si="214"/>
        <v>0</v>
      </c>
      <c r="AH911" s="31">
        <f>SUMIFS(инфо!$E$15:$E$28,инфо!$A$15:$A$28,F911)</f>
        <v>0</v>
      </c>
      <c r="AI911" s="32">
        <f t="shared" si="205"/>
        <v>0</v>
      </c>
      <c r="AJ911" s="33">
        <f t="shared" si="215"/>
        <v>0</v>
      </c>
      <c r="AK911" s="31">
        <f>SUMIFS(инфо!$F$15:$F$28,инфо!$A$15:$A$28,F911)</f>
        <v>0</v>
      </c>
      <c r="AL911" s="32">
        <f t="shared" si="206"/>
        <v>0</v>
      </c>
      <c r="AM911" s="33">
        <f t="shared" si="209"/>
        <v>0</v>
      </c>
      <c r="AN911" s="31">
        <f>SUMIFS(инфо!$G$15:$G$28,инфо!$A$15:$A$28,F911)</f>
        <v>0</v>
      </c>
      <c r="AO911" s="32">
        <f t="shared" si="207"/>
        <v>0</v>
      </c>
      <c r="AP911" s="33">
        <f t="shared" si="210"/>
        <v>0</v>
      </c>
      <c r="AQ911" s="31">
        <f>SUMIFS(инфо!$H$15:$H$28,инфо!$A$15:$A$28,F911)</f>
        <v>0</v>
      </c>
      <c r="AR911" s="32">
        <f t="shared" si="208"/>
        <v>0</v>
      </c>
      <c r="AS911" s="33">
        <f t="shared" si="211"/>
        <v>0</v>
      </c>
      <c r="AT911" s="31">
        <f>SUMIFS(инфо!$I$15:$I$28,инфо!$A$15:$A$28,F911)</f>
        <v>0</v>
      </c>
      <c r="AU911" s="35">
        <f t="shared" si="216"/>
        <v>0</v>
      </c>
      <c r="AV911" s="33">
        <f t="shared" si="212"/>
        <v>0</v>
      </c>
      <c r="AX911" s="67">
        <f>SUMIFS(инфо!$C$15:$C$28,инфо!$A$15:$A$28,F911)*H910</f>
        <v>0</v>
      </c>
    </row>
    <row r="912" spans="1:50" x14ac:dyDescent="0.25">
      <c r="A912" s="70">
        <f t="shared" si="203"/>
        <v>46520</v>
      </c>
      <c r="B912" s="76"/>
      <c r="C912" s="15"/>
      <c r="D912" s="16"/>
      <c r="E912" s="11"/>
      <c r="F912" s="28"/>
      <c r="G912" s="34"/>
      <c r="H912" s="20"/>
      <c r="I912" s="20"/>
      <c r="J912" s="20"/>
      <c r="K912" s="20"/>
      <c r="L912" s="20"/>
      <c r="M912" s="20"/>
      <c r="N912" s="20"/>
      <c r="O912" s="34"/>
      <c r="P912" s="34"/>
      <c r="Q912" s="34"/>
      <c r="R912" s="34"/>
      <c r="S912" s="68">
        <f t="shared" si="213"/>
        <v>0</v>
      </c>
      <c r="T912" s="15"/>
      <c r="U912" s="16"/>
      <c r="V912" s="34"/>
      <c r="W912" s="34"/>
      <c r="X912" s="34"/>
      <c r="Y912" s="15"/>
      <c r="Z912" s="34"/>
      <c r="AA912" s="34"/>
      <c r="AB912" s="34"/>
      <c r="AC912" s="34"/>
      <c r="AD912" s="16"/>
      <c r="AE912" s="24">
        <f>SUMIFS(инфо!$D$15:$D$28,инфо!$A$15:$A$28,F912)</f>
        <v>0</v>
      </c>
      <c r="AF912" s="35">
        <f t="shared" si="204"/>
        <v>0</v>
      </c>
      <c r="AG912" s="12">
        <f t="shared" si="214"/>
        <v>0</v>
      </c>
      <c r="AH912" s="24">
        <f>SUMIFS(инфо!$E$15:$E$28,инфо!$A$15:$A$28,F912)</f>
        <v>0</v>
      </c>
      <c r="AI912" s="32">
        <f t="shared" si="205"/>
        <v>0</v>
      </c>
      <c r="AJ912" s="12">
        <f t="shared" si="215"/>
        <v>0</v>
      </c>
      <c r="AK912" s="24">
        <f>SUMIFS(инфо!$F$15:$F$28,инфо!$A$15:$A$28,F912)</f>
        <v>0</v>
      </c>
      <c r="AL912" s="32">
        <f t="shared" si="206"/>
        <v>0</v>
      </c>
      <c r="AM912" s="12">
        <f t="shared" si="209"/>
        <v>0</v>
      </c>
      <c r="AN912" s="24">
        <f>SUMIFS(инфо!$G$15:$G$28,инфо!$A$15:$A$28,F912)</f>
        <v>0</v>
      </c>
      <c r="AO912" s="32">
        <f t="shared" si="207"/>
        <v>0</v>
      </c>
      <c r="AP912" s="12">
        <f t="shared" si="210"/>
        <v>0</v>
      </c>
      <c r="AQ912" s="24">
        <f>SUMIFS(инфо!$H$15:$H$28,инфо!$A$15:$A$28,F912)</f>
        <v>0</v>
      </c>
      <c r="AR912" s="35">
        <f t="shared" si="208"/>
        <v>0</v>
      </c>
      <c r="AS912" s="12">
        <f t="shared" si="211"/>
        <v>0</v>
      </c>
      <c r="AT912" s="24">
        <f>SUMIFS(инфо!$I$15:$I$28,инфо!$A$15:$A$28,F912)</f>
        <v>0</v>
      </c>
      <c r="AU912" s="35">
        <f t="shared" si="216"/>
        <v>0</v>
      </c>
      <c r="AV912" s="12">
        <f t="shared" si="212"/>
        <v>0</v>
      </c>
      <c r="AX912" s="68">
        <f>SUMIFS(инфо!$C$15:$C$28,инфо!$A$15:$A$28,F912)*H911</f>
        <v>0</v>
      </c>
    </row>
    <row r="913" spans="1:50" x14ac:dyDescent="0.25">
      <c r="A913" s="70">
        <f t="shared" si="203"/>
        <v>46520</v>
      </c>
      <c r="B913" s="76"/>
      <c r="C913" s="15"/>
      <c r="D913" s="16"/>
      <c r="E913" s="11"/>
      <c r="F913" s="28"/>
      <c r="G913" s="34"/>
      <c r="H913" s="23"/>
      <c r="I913" s="20"/>
      <c r="J913" s="20"/>
      <c r="K913" s="20"/>
      <c r="L913" s="20"/>
      <c r="M913" s="20"/>
      <c r="N913" s="20"/>
      <c r="O913" s="34"/>
      <c r="P913" s="34"/>
      <c r="Q913" s="34"/>
      <c r="R913" s="34"/>
      <c r="S913" s="68">
        <f t="shared" si="213"/>
        <v>0</v>
      </c>
      <c r="T913" s="15"/>
      <c r="U913" s="16"/>
      <c r="V913" s="34"/>
      <c r="W913" s="34"/>
      <c r="X913" s="34"/>
      <c r="Y913" s="15"/>
      <c r="Z913" s="34"/>
      <c r="AA913" s="34"/>
      <c r="AB913" s="34"/>
      <c r="AC913" s="34"/>
      <c r="AD913" s="16"/>
      <c r="AE913" s="24">
        <f>SUMIFS(инфо!$D$15:$D$28,инфо!$A$15:$A$28,F913)</f>
        <v>0</v>
      </c>
      <c r="AF913" s="35">
        <f t="shared" si="204"/>
        <v>0</v>
      </c>
      <c r="AG913" s="12">
        <f t="shared" si="214"/>
        <v>0</v>
      </c>
      <c r="AH913" s="24">
        <f>SUMIFS(инфо!$E$15:$E$28,инфо!$A$15:$A$28,F913)</f>
        <v>0</v>
      </c>
      <c r="AI913" s="32">
        <f t="shared" si="205"/>
        <v>0</v>
      </c>
      <c r="AJ913" s="12">
        <f t="shared" si="215"/>
        <v>0</v>
      </c>
      <c r="AK913" s="24">
        <f>SUMIFS(инфо!$F$15:$F$28,инфо!$A$15:$A$28,F913)</f>
        <v>0</v>
      </c>
      <c r="AL913" s="32">
        <f t="shared" si="206"/>
        <v>0</v>
      </c>
      <c r="AM913" s="12">
        <f t="shared" si="209"/>
        <v>0</v>
      </c>
      <c r="AN913" s="24">
        <f>SUMIFS(инфо!$G$15:$G$28,инфо!$A$15:$A$28,F913)</f>
        <v>0</v>
      </c>
      <c r="AO913" s="32">
        <f t="shared" si="207"/>
        <v>0</v>
      </c>
      <c r="AP913" s="12">
        <f t="shared" si="210"/>
        <v>0</v>
      </c>
      <c r="AQ913" s="24">
        <f>SUMIFS(инфо!$H$15:$H$28,инфо!$A$15:$A$28,F913)</f>
        <v>0</v>
      </c>
      <c r="AR913" s="35">
        <f t="shared" si="208"/>
        <v>0</v>
      </c>
      <c r="AS913" s="12">
        <f t="shared" si="211"/>
        <v>0</v>
      </c>
      <c r="AT913" s="24">
        <f>SUMIFS(инфо!$I$15:$I$28,инфо!$A$15:$A$28,F913)</f>
        <v>0</v>
      </c>
      <c r="AU913" s="35">
        <f t="shared" si="216"/>
        <v>0</v>
      </c>
      <c r="AV913" s="12">
        <f t="shared" si="212"/>
        <v>0</v>
      </c>
      <c r="AX913" s="68">
        <f>SUMIFS(инфо!$C$15:$C$28,инфо!$A$15:$A$28,F913)*H912</f>
        <v>0</v>
      </c>
    </row>
    <row r="914" spans="1:50" x14ac:dyDescent="0.25">
      <c r="A914" s="70">
        <f t="shared" si="203"/>
        <v>46521</v>
      </c>
      <c r="B914" s="77"/>
      <c r="C914" s="17"/>
      <c r="D914" s="18"/>
      <c r="E914" s="11"/>
      <c r="F914" s="28"/>
      <c r="G914" s="19"/>
      <c r="H914" s="28"/>
      <c r="I914" s="20"/>
      <c r="J914" s="20"/>
      <c r="K914" s="20"/>
      <c r="L914" s="20"/>
      <c r="M914" s="20"/>
      <c r="N914" s="23"/>
      <c r="O914" s="19"/>
      <c r="P914" s="19"/>
      <c r="Q914" s="19"/>
      <c r="R914" s="19"/>
      <c r="S914" s="69">
        <f t="shared" si="213"/>
        <v>0</v>
      </c>
      <c r="T914" s="17"/>
      <c r="U914" s="18"/>
      <c r="V914" s="19"/>
      <c r="W914" s="19"/>
      <c r="X914" s="19"/>
      <c r="Y914" s="17"/>
      <c r="Z914" s="19"/>
      <c r="AA914" s="19"/>
      <c r="AB914" s="19"/>
      <c r="AC914" s="19"/>
      <c r="AD914" s="18"/>
      <c r="AE914" s="25">
        <f>SUMIFS(инфо!$D$15:$D$28,инфо!$A$15:$A$28,F914)</f>
        <v>0</v>
      </c>
      <c r="AF914" s="35">
        <f t="shared" si="204"/>
        <v>0</v>
      </c>
      <c r="AG914" s="14">
        <f t="shared" si="214"/>
        <v>0</v>
      </c>
      <c r="AH914" s="25">
        <f>SUMIFS(инфо!$E$15:$E$28,инфо!$A$15:$A$28,F914)</f>
        <v>0</v>
      </c>
      <c r="AI914" s="32">
        <f t="shared" si="205"/>
        <v>0</v>
      </c>
      <c r="AJ914" s="14">
        <f t="shared" si="215"/>
        <v>0</v>
      </c>
      <c r="AK914" s="25">
        <f>SUMIFS(инфо!$F$15:$F$28,инфо!$A$15:$A$28,F914)</f>
        <v>0</v>
      </c>
      <c r="AL914" s="32">
        <f t="shared" si="206"/>
        <v>0</v>
      </c>
      <c r="AM914" s="14">
        <f t="shared" si="209"/>
        <v>0</v>
      </c>
      <c r="AN914" s="25">
        <f>SUMIFS(инфо!$G$15:$G$28,инфо!$A$15:$A$28,F914)</f>
        <v>0</v>
      </c>
      <c r="AO914" s="32">
        <f t="shared" si="207"/>
        <v>0</v>
      </c>
      <c r="AP914" s="14">
        <f t="shared" si="210"/>
        <v>0</v>
      </c>
      <c r="AQ914" s="25">
        <f>SUMIFS(инфо!$H$15:$H$28,инфо!$A$15:$A$28,F914)</f>
        <v>0</v>
      </c>
      <c r="AR914" s="26">
        <f t="shared" si="208"/>
        <v>0</v>
      </c>
      <c r="AS914" s="14">
        <f t="shared" si="211"/>
        <v>0</v>
      </c>
      <c r="AT914" s="25">
        <f>SUMIFS(инфо!$I$15:$I$28,инфо!$A$15:$A$28,F914)</f>
        <v>0</v>
      </c>
      <c r="AU914" s="35">
        <f t="shared" si="216"/>
        <v>0</v>
      </c>
      <c r="AV914" s="14">
        <f t="shared" si="212"/>
        <v>0</v>
      </c>
      <c r="AX914" s="69">
        <f>SUMIFS(инфо!$C$15:$C$28,инфо!$A$15:$A$28,F914)*H913</f>
        <v>0</v>
      </c>
    </row>
    <row r="915" spans="1:50" x14ac:dyDescent="0.25">
      <c r="A915" s="70">
        <f t="shared" si="203"/>
        <v>46521</v>
      </c>
      <c r="B915" s="75"/>
      <c r="C915" s="29"/>
      <c r="D915" s="30"/>
      <c r="E915" s="11"/>
      <c r="F915" s="28"/>
      <c r="G915" s="27"/>
      <c r="H915" s="20"/>
      <c r="I915" s="20"/>
      <c r="J915" s="20"/>
      <c r="K915" s="20"/>
      <c r="L915" s="20"/>
      <c r="M915" s="20"/>
      <c r="N915" s="28"/>
      <c r="O915" s="27"/>
      <c r="P915" s="27"/>
      <c r="Q915" s="27"/>
      <c r="R915" s="27"/>
      <c r="S915" s="67">
        <f t="shared" si="213"/>
        <v>0</v>
      </c>
      <c r="T915" s="29"/>
      <c r="U915" s="30"/>
      <c r="V915" s="27"/>
      <c r="W915" s="27"/>
      <c r="X915" s="27"/>
      <c r="Y915" s="29"/>
      <c r="Z915" s="27"/>
      <c r="AA915" s="27"/>
      <c r="AB915" s="27"/>
      <c r="AC915" s="27"/>
      <c r="AD915" s="30"/>
      <c r="AE915" s="31">
        <f>SUMIFS(инфо!$D$15:$D$28,инфо!$A$15:$A$28,F915)</f>
        <v>0</v>
      </c>
      <c r="AF915" s="35">
        <f t="shared" si="204"/>
        <v>0</v>
      </c>
      <c r="AG915" s="33">
        <f t="shared" si="214"/>
        <v>0</v>
      </c>
      <c r="AH915" s="31">
        <f>SUMIFS(инфо!$E$15:$E$28,инфо!$A$15:$A$28,F915)</f>
        <v>0</v>
      </c>
      <c r="AI915" s="32">
        <f t="shared" si="205"/>
        <v>0</v>
      </c>
      <c r="AJ915" s="33">
        <f t="shared" si="215"/>
        <v>0</v>
      </c>
      <c r="AK915" s="31">
        <f>SUMIFS(инфо!$F$15:$F$28,инфо!$A$15:$A$28,F915)</f>
        <v>0</v>
      </c>
      <c r="AL915" s="32">
        <f t="shared" si="206"/>
        <v>0</v>
      </c>
      <c r="AM915" s="33">
        <f t="shared" si="209"/>
        <v>0</v>
      </c>
      <c r="AN915" s="31">
        <f>SUMIFS(инфо!$G$15:$G$28,инфо!$A$15:$A$28,F915)</f>
        <v>0</v>
      </c>
      <c r="AO915" s="32">
        <f t="shared" si="207"/>
        <v>0</v>
      </c>
      <c r="AP915" s="33">
        <f t="shared" si="210"/>
        <v>0</v>
      </c>
      <c r="AQ915" s="31">
        <f>SUMIFS(инфо!$H$15:$H$28,инфо!$A$15:$A$28,F915)</f>
        <v>0</v>
      </c>
      <c r="AR915" s="32">
        <f t="shared" si="208"/>
        <v>0</v>
      </c>
      <c r="AS915" s="33">
        <f t="shared" si="211"/>
        <v>0</v>
      </c>
      <c r="AT915" s="31">
        <f>SUMIFS(инфо!$I$15:$I$28,инфо!$A$15:$A$28,F915)</f>
        <v>0</v>
      </c>
      <c r="AU915" s="35">
        <f t="shared" si="216"/>
        <v>0</v>
      </c>
      <c r="AV915" s="33">
        <f t="shared" si="212"/>
        <v>0</v>
      </c>
      <c r="AX915" s="67">
        <f>SUMIFS(инфо!$C$15:$C$28,инфо!$A$15:$A$28,F915)*H914</f>
        <v>0</v>
      </c>
    </row>
    <row r="916" spans="1:50" x14ac:dyDescent="0.25">
      <c r="A916" s="70">
        <f t="shared" si="203"/>
        <v>46522</v>
      </c>
      <c r="B916" s="76"/>
      <c r="C916" s="15"/>
      <c r="D916" s="16"/>
      <c r="E916" s="11"/>
      <c r="F916" s="28"/>
      <c r="G916" s="34"/>
      <c r="H916" s="20"/>
      <c r="I916" s="20"/>
      <c r="J916" s="20"/>
      <c r="K916" s="20"/>
      <c r="L916" s="20"/>
      <c r="M916" s="20"/>
      <c r="N916" s="20"/>
      <c r="O916" s="34"/>
      <c r="P916" s="34"/>
      <c r="Q916" s="34"/>
      <c r="R916" s="34"/>
      <c r="S916" s="68">
        <f t="shared" si="213"/>
        <v>0</v>
      </c>
      <c r="T916" s="15"/>
      <c r="U916" s="16"/>
      <c r="V916" s="34"/>
      <c r="W916" s="34"/>
      <c r="X916" s="34"/>
      <c r="Y916" s="15"/>
      <c r="Z916" s="34"/>
      <c r="AA916" s="34"/>
      <c r="AB916" s="34"/>
      <c r="AC916" s="34"/>
      <c r="AD916" s="16"/>
      <c r="AE916" s="24">
        <f>SUMIFS(инфо!$D$15:$D$28,инфо!$A$15:$A$28,F916)</f>
        <v>0</v>
      </c>
      <c r="AF916" s="35">
        <f t="shared" si="204"/>
        <v>0</v>
      </c>
      <c r="AG916" s="12">
        <f t="shared" si="214"/>
        <v>0</v>
      </c>
      <c r="AH916" s="24">
        <f>SUMIFS(инфо!$E$15:$E$28,инфо!$A$15:$A$28,F916)</f>
        <v>0</v>
      </c>
      <c r="AI916" s="32">
        <f t="shared" si="205"/>
        <v>0</v>
      </c>
      <c r="AJ916" s="12">
        <f t="shared" si="215"/>
        <v>0</v>
      </c>
      <c r="AK916" s="24">
        <f>SUMIFS(инфо!$F$15:$F$28,инфо!$A$15:$A$28,F916)</f>
        <v>0</v>
      </c>
      <c r="AL916" s="32">
        <f t="shared" si="206"/>
        <v>0</v>
      </c>
      <c r="AM916" s="12">
        <f t="shared" si="209"/>
        <v>0</v>
      </c>
      <c r="AN916" s="24">
        <f>SUMIFS(инфо!$G$15:$G$28,инфо!$A$15:$A$28,F916)</f>
        <v>0</v>
      </c>
      <c r="AO916" s="32">
        <f t="shared" si="207"/>
        <v>0</v>
      </c>
      <c r="AP916" s="12">
        <f t="shared" si="210"/>
        <v>0</v>
      </c>
      <c r="AQ916" s="24">
        <f>SUMIFS(инфо!$H$15:$H$28,инфо!$A$15:$A$28,F916)</f>
        <v>0</v>
      </c>
      <c r="AR916" s="35">
        <f t="shared" si="208"/>
        <v>0</v>
      </c>
      <c r="AS916" s="12">
        <f t="shared" si="211"/>
        <v>0</v>
      </c>
      <c r="AT916" s="24">
        <f>SUMIFS(инфо!$I$15:$I$28,инфо!$A$15:$A$28,F916)</f>
        <v>0</v>
      </c>
      <c r="AU916" s="35">
        <f t="shared" si="216"/>
        <v>0</v>
      </c>
      <c r="AV916" s="12">
        <f t="shared" si="212"/>
        <v>0</v>
      </c>
      <c r="AX916" s="68">
        <f>SUMIFS(инфо!$C$15:$C$28,инфо!$A$15:$A$28,F916)*H915</f>
        <v>0</v>
      </c>
    </row>
    <row r="917" spans="1:50" x14ac:dyDescent="0.25">
      <c r="A917" s="70">
        <f t="shared" si="203"/>
        <v>46522</v>
      </c>
      <c r="B917" s="76"/>
      <c r="C917" s="15"/>
      <c r="D917" s="16"/>
      <c r="E917" s="11"/>
      <c r="F917" s="28"/>
      <c r="G917" s="34"/>
      <c r="H917" s="23"/>
      <c r="I917" s="20"/>
      <c r="J917" s="20"/>
      <c r="K917" s="20"/>
      <c r="L917" s="20"/>
      <c r="M917" s="20"/>
      <c r="N917" s="20"/>
      <c r="O917" s="34"/>
      <c r="P917" s="34"/>
      <c r="Q917" s="34"/>
      <c r="R917" s="34"/>
      <c r="S917" s="68">
        <f t="shared" si="213"/>
        <v>0</v>
      </c>
      <c r="T917" s="15"/>
      <c r="U917" s="16"/>
      <c r="V917" s="34"/>
      <c r="W917" s="34"/>
      <c r="X917" s="34"/>
      <c r="Y917" s="15"/>
      <c r="Z917" s="34"/>
      <c r="AA917" s="34"/>
      <c r="AB917" s="34"/>
      <c r="AC917" s="34"/>
      <c r="AD917" s="16"/>
      <c r="AE917" s="24">
        <f>SUMIFS(инфо!$D$15:$D$28,инфо!$A$15:$A$28,F917)</f>
        <v>0</v>
      </c>
      <c r="AF917" s="35">
        <f t="shared" si="204"/>
        <v>0</v>
      </c>
      <c r="AG917" s="12">
        <f t="shared" si="214"/>
        <v>0</v>
      </c>
      <c r="AH917" s="24">
        <f>SUMIFS(инфо!$E$15:$E$28,инфо!$A$15:$A$28,F917)</f>
        <v>0</v>
      </c>
      <c r="AI917" s="32">
        <f t="shared" si="205"/>
        <v>0</v>
      </c>
      <c r="AJ917" s="12">
        <f t="shared" si="215"/>
        <v>0</v>
      </c>
      <c r="AK917" s="24">
        <f>SUMIFS(инфо!$F$15:$F$28,инфо!$A$15:$A$28,F917)</f>
        <v>0</v>
      </c>
      <c r="AL917" s="32">
        <f t="shared" si="206"/>
        <v>0</v>
      </c>
      <c r="AM917" s="12">
        <f t="shared" si="209"/>
        <v>0</v>
      </c>
      <c r="AN917" s="24">
        <f>SUMIFS(инфо!$G$15:$G$28,инфо!$A$15:$A$28,F917)</f>
        <v>0</v>
      </c>
      <c r="AO917" s="32">
        <f t="shared" si="207"/>
        <v>0</v>
      </c>
      <c r="AP917" s="12">
        <f t="shared" si="210"/>
        <v>0</v>
      </c>
      <c r="AQ917" s="24">
        <f>SUMIFS(инфо!$H$15:$H$28,инфо!$A$15:$A$28,F917)</f>
        <v>0</v>
      </c>
      <c r="AR917" s="35">
        <f t="shared" si="208"/>
        <v>0</v>
      </c>
      <c r="AS917" s="12">
        <f t="shared" si="211"/>
        <v>0</v>
      </c>
      <c r="AT917" s="24">
        <f>SUMIFS(инфо!$I$15:$I$28,инфо!$A$15:$A$28,F917)</f>
        <v>0</v>
      </c>
      <c r="AU917" s="35">
        <f t="shared" si="216"/>
        <v>0</v>
      </c>
      <c r="AV917" s="12">
        <f t="shared" si="212"/>
        <v>0</v>
      </c>
      <c r="AX917" s="68">
        <f>SUMIFS(инфо!$C$15:$C$28,инфо!$A$15:$A$28,F917)*H916</f>
        <v>0</v>
      </c>
    </row>
    <row r="918" spans="1:50" x14ac:dyDescent="0.25">
      <c r="A918" s="70">
        <f t="shared" si="203"/>
        <v>46523</v>
      </c>
      <c r="B918" s="77"/>
      <c r="C918" s="17"/>
      <c r="D918" s="18"/>
      <c r="E918" s="11"/>
      <c r="F918" s="28"/>
      <c r="G918" s="19"/>
      <c r="H918" s="28"/>
      <c r="I918" s="20"/>
      <c r="J918" s="20"/>
      <c r="K918" s="20"/>
      <c r="L918" s="20"/>
      <c r="M918" s="20"/>
      <c r="N918" s="23"/>
      <c r="O918" s="19"/>
      <c r="P918" s="19"/>
      <c r="Q918" s="19"/>
      <c r="R918" s="19"/>
      <c r="S918" s="69">
        <f t="shared" si="213"/>
        <v>0</v>
      </c>
      <c r="T918" s="17"/>
      <c r="U918" s="18"/>
      <c r="V918" s="19"/>
      <c r="W918" s="19"/>
      <c r="X918" s="19"/>
      <c r="Y918" s="17"/>
      <c r="Z918" s="19"/>
      <c r="AA918" s="19"/>
      <c r="AB918" s="19"/>
      <c r="AC918" s="19"/>
      <c r="AD918" s="18"/>
      <c r="AE918" s="25">
        <f>SUMIFS(инфо!$D$15:$D$28,инфо!$A$15:$A$28,F918)</f>
        <v>0</v>
      </c>
      <c r="AF918" s="35">
        <f t="shared" si="204"/>
        <v>0</v>
      </c>
      <c r="AG918" s="14">
        <f t="shared" si="214"/>
        <v>0</v>
      </c>
      <c r="AH918" s="25">
        <f>SUMIFS(инфо!$E$15:$E$28,инфо!$A$15:$A$28,F918)</f>
        <v>0</v>
      </c>
      <c r="AI918" s="32">
        <f t="shared" si="205"/>
        <v>0</v>
      </c>
      <c r="AJ918" s="14">
        <f t="shared" si="215"/>
        <v>0</v>
      </c>
      <c r="AK918" s="25">
        <f>SUMIFS(инфо!$F$15:$F$28,инфо!$A$15:$A$28,F918)</f>
        <v>0</v>
      </c>
      <c r="AL918" s="32">
        <f t="shared" si="206"/>
        <v>0</v>
      </c>
      <c r="AM918" s="14">
        <f t="shared" si="209"/>
        <v>0</v>
      </c>
      <c r="AN918" s="25">
        <f>SUMIFS(инфо!$G$15:$G$28,инфо!$A$15:$A$28,F918)</f>
        <v>0</v>
      </c>
      <c r="AO918" s="32">
        <f t="shared" si="207"/>
        <v>0</v>
      </c>
      <c r="AP918" s="14">
        <f t="shared" si="210"/>
        <v>0</v>
      </c>
      <c r="AQ918" s="25">
        <f>SUMIFS(инфо!$H$15:$H$28,инфо!$A$15:$A$28,F918)</f>
        <v>0</v>
      </c>
      <c r="AR918" s="26">
        <f t="shared" si="208"/>
        <v>0</v>
      </c>
      <c r="AS918" s="14">
        <f t="shared" si="211"/>
        <v>0</v>
      </c>
      <c r="AT918" s="25">
        <f>SUMIFS(инфо!$I$15:$I$28,инфо!$A$15:$A$28,F918)</f>
        <v>0</v>
      </c>
      <c r="AU918" s="35">
        <f t="shared" si="216"/>
        <v>0</v>
      </c>
      <c r="AV918" s="14">
        <f t="shared" si="212"/>
        <v>0</v>
      </c>
      <c r="AX918" s="69">
        <f>SUMIFS(инфо!$C$15:$C$28,инфо!$A$15:$A$28,F918)*H917</f>
        <v>0</v>
      </c>
    </row>
    <row r="919" spans="1:50" x14ac:dyDescent="0.25">
      <c r="A919" s="70">
        <f t="shared" si="203"/>
        <v>46523</v>
      </c>
      <c r="B919" s="75"/>
      <c r="C919" s="29"/>
      <c r="D919" s="30"/>
      <c r="E919" s="11"/>
      <c r="F919" s="28"/>
      <c r="G919" s="27"/>
      <c r="H919" s="20"/>
      <c r="I919" s="20"/>
      <c r="J919" s="20"/>
      <c r="K919" s="20"/>
      <c r="L919" s="20"/>
      <c r="M919" s="20"/>
      <c r="N919" s="28"/>
      <c r="O919" s="27"/>
      <c r="P919" s="27"/>
      <c r="Q919" s="27"/>
      <c r="R919" s="27"/>
      <c r="S919" s="67">
        <f t="shared" si="213"/>
        <v>0</v>
      </c>
      <c r="T919" s="29"/>
      <c r="U919" s="30"/>
      <c r="V919" s="27"/>
      <c r="W919" s="27"/>
      <c r="X919" s="27"/>
      <c r="Y919" s="29"/>
      <c r="Z919" s="27"/>
      <c r="AA919" s="27"/>
      <c r="AB919" s="27"/>
      <c r="AC919" s="27"/>
      <c r="AD919" s="30"/>
      <c r="AE919" s="31">
        <f>SUMIFS(инфо!$D$15:$D$28,инфо!$A$15:$A$28,F919)</f>
        <v>0</v>
      </c>
      <c r="AF919" s="35">
        <f t="shared" si="204"/>
        <v>0</v>
      </c>
      <c r="AG919" s="33">
        <f t="shared" si="214"/>
        <v>0</v>
      </c>
      <c r="AH919" s="31">
        <f>SUMIFS(инфо!$E$15:$E$28,инфо!$A$15:$A$28,F919)</f>
        <v>0</v>
      </c>
      <c r="AI919" s="32">
        <f t="shared" si="205"/>
        <v>0</v>
      </c>
      <c r="AJ919" s="33">
        <f t="shared" si="215"/>
        <v>0</v>
      </c>
      <c r="AK919" s="31">
        <f>SUMIFS(инфо!$F$15:$F$28,инфо!$A$15:$A$28,F919)</f>
        <v>0</v>
      </c>
      <c r="AL919" s="32">
        <f t="shared" si="206"/>
        <v>0</v>
      </c>
      <c r="AM919" s="33">
        <f t="shared" si="209"/>
        <v>0</v>
      </c>
      <c r="AN919" s="31">
        <f>SUMIFS(инфо!$G$15:$G$28,инфо!$A$15:$A$28,F919)</f>
        <v>0</v>
      </c>
      <c r="AO919" s="32">
        <f t="shared" si="207"/>
        <v>0</v>
      </c>
      <c r="AP919" s="33">
        <f t="shared" si="210"/>
        <v>0</v>
      </c>
      <c r="AQ919" s="31">
        <f>SUMIFS(инфо!$H$15:$H$28,инфо!$A$15:$A$28,F919)</f>
        <v>0</v>
      </c>
      <c r="AR919" s="32">
        <f t="shared" si="208"/>
        <v>0</v>
      </c>
      <c r="AS919" s="33">
        <f t="shared" si="211"/>
        <v>0</v>
      </c>
      <c r="AT919" s="31">
        <f>SUMIFS(инфо!$I$15:$I$28,инфо!$A$15:$A$28,F919)</f>
        <v>0</v>
      </c>
      <c r="AU919" s="35">
        <f t="shared" si="216"/>
        <v>0</v>
      </c>
      <c r="AV919" s="33">
        <f t="shared" si="212"/>
        <v>0</v>
      </c>
      <c r="AX919" s="67">
        <f>SUMIFS(инфо!$C$15:$C$28,инфо!$A$15:$A$28,F919)*H918</f>
        <v>0</v>
      </c>
    </row>
    <row r="920" spans="1:50" x14ac:dyDescent="0.25">
      <c r="A920" s="70">
        <f t="shared" si="203"/>
        <v>46524</v>
      </c>
      <c r="B920" s="76"/>
      <c r="C920" s="15"/>
      <c r="D920" s="16"/>
      <c r="E920" s="11"/>
      <c r="F920" s="28"/>
      <c r="G920" s="34"/>
      <c r="H920" s="20"/>
      <c r="I920" s="20"/>
      <c r="J920" s="20"/>
      <c r="K920" s="20"/>
      <c r="L920" s="20"/>
      <c r="M920" s="20"/>
      <c r="N920" s="20"/>
      <c r="O920" s="34"/>
      <c r="P920" s="34"/>
      <c r="Q920" s="34"/>
      <c r="R920" s="34"/>
      <c r="S920" s="68">
        <f t="shared" si="213"/>
        <v>0</v>
      </c>
      <c r="T920" s="15"/>
      <c r="U920" s="16"/>
      <c r="V920" s="34"/>
      <c r="W920" s="34"/>
      <c r="X920" s="34"/>
      <c r="Y920" s="15"/>
      <c r="Z920" s="34"/>
      <c r="AA920" s="34"/>
      <c r="AB920" s="34"/>
      <c r="AC920" s="34"/>
      <c r="AD920" s="16"/>
      <c r="AE920" s="24">
        <f>SUMIFS(инфо!$D$15:$D$28,инфо!$A$15:$A$28,F920)</f>
        <v>0</v>
      </c>
      <c r="AF920" s="35">
        <f t="shared" si="204"/>
        <v>0</v>
      </c>
      <c r="AG920" s="12">
        <f t="shared" si="214"/>
        <v>0</v>
      </c>
      <c r="AH920" s="24">
        <f>SUMIFS(инфо!$E$15:$E$28,инфо!$A$15:$A$28,F920)</f>
        <v>0</v>
      </c>
      <c r="AI920" s="32">
        <f t="shared" si="205"/>
        <v>0</v>
      </c>
      <c r="AJ920" s="12">
        <f t="shared" si="215"/>
        <v>0</v>
      </c>
      <c r="AK920" s="24">
        <f>SUMIFS(инфо!$F$15:$F$28,инфо!$A$15:$A$28,F920)</f>
        <v>0</v>
      </c>
      <c r="AL920" s="32">
        <f t="shared" si="206"/>
        <v>0</v>
      </c>
      <c r="AM920" s="12">
        <f t="shared" si="209"/>
        <v>0</v>
      </c>
      <c r="AN920" s="24">
        <f>SUMIFS(инфо!$G$15:$G$28,инфо!$A$15:$A$28,F920)</f>
        <v>0</v>
      </c>
      <c r="AO920" s="32">
        <f t="shared" si="207"/>
        <v>0</v>
      </c>
      <c r="AP920" s="12">
        <f t="shared" si="210"/>
        <v>0</v>
      </c>
      <c r="AQ920" s="24">
        <f>SUMIFS(инфо!$H$15:$H$28,инфо!$A$15:$A$28,F920)</f>
        <v>0</v>
      </c>
      <c r="AR920" s="35">
        <f t="shared" si="208"/>
        <v>0</v>
      </c>
      <c r="AS920" s="12">
        <f t="shared" si="211"/>
        <v>0</v>
      </c>
      <c r="AT920" s="24">
        <f>SUMIFS(инфо!$I$15:$I$28,инфо!$A$15:$A$28,F920)</f>
        <v>0</v>
      </c>
      <c r="AU920" s="35">
        <f t="shared" si="216"/>
        <v>0</v>
      </c>
      <c r="AV920" s="12">
        <f t="shared" si="212"/>
        <v>0</v>
      </c>
      <c r="AX920" s="68">
        <f>SUMIFS(инфо!$C$15:$C$28,инфо!$A$15:$A$28,F920)*H919</f>
        <v>0</v>
      </c>
    </row>
    <row r="921" spans="1:50" x14ac:dyDescent="0.25">
      <c r="A921" s="70">
        <f t="shared" si="203"/>
        <v>46524</v>
      </c>
      <c r="B921" s="76"/>
      <c r="C921" s="15"/>
      <c r="D921" s="16"/>
      <c r="E921" s="11"/>
      <c r="F921" s="28"/>
      <c r="G921" s="34"/>
      <c r="H921" s="23"/>
      <c r="I921" s="20"/>
      <c r="J921" s="20"/>
      <c r="K921" s="20"/>
      <c r="L921" s="20"/>
      <c r="M921" s="20"/>
      <c r="N921" s="20"/>
      <c r="O921" s="34"/>
      <c r="P921" s="34"/>
      <c r="Q921" s="34"/>
      <c r="R921" s="34"/>
      <c r="S921" s="68">
        <f t="shared" si="213"/>
        <v>0</v>
      </c>
      <c r="T921" s="15"/>
      <c r="U921" s="16"/>
      <c r="V921" s="34"/>
      <c r="W921" s="34"/>
      <c r="X921" s="34"/>
      <c r="Y921" s="15"/>
      <c r="Z921" s="34"/>
      <c r="AA921" s="34"/>
      <c r="AB921" s="34"/>
      <c r="AC921" s="34"/>
      <c r="AD921" s="16"/>
      <c r="AE921" s="24">
        <f>SUMIFS(инфо!$D$15:$D$28,инфо!$A$15:$A$28,F921)</f>
        <v>0</v>
      </c>
      <c r="AF921" s="35">
        <f t="shared" si="204"/>
        <v>0</v>
      </c>
      <c r="AG921" s="12">
        <f t="shared" si="214"/>
        <v>0</v>
      </c>
      <c r="AH921" s="24">
        <f>SUMIFS(инфо!$E$15:$E$28,инфо!$A$15:$A$28,F921)</f>
        <v>0</v>
      </c>
      <c r="AI921" s="32">
        <f t="shared" si="205"/>
        <v>0</v>
      </c>
      <c r="AJ921" s="12">
        <f t="shared" si="215"/>
        <v>0</v>
      </c>
      <c r="AK921" s="24">
        <f>SUMIFS(инфо!$F$15:$F$28,инфо!$A$15:$A$28,F921)</f>
        <v>0</v>
      </c>
      <c r="AL921" s="32">
        <f t="shared" si="206"/>
        <v>0</v>
      </c>
      <c r="AM921" s="12">
        <f t="shared" si="209"/>
        <v>0</v>
      </c>
      <c r="AN921" s="24">
        <f>SUMIFS(инфо!$G$15:$G$28,инфо!$A$15:$A$28,F921)</f>
        <v>0</v>
      </c>
      <c r="AO921" s="32">
        <f t="shared" si="207"/>
        <v>0</v>
      </c>
      <c r="AP921" s="12">
        <f t="shared" si="210"/>
        <v>0</v>
      </c>
      <c r="AQ921" s="24">
        <f>SUMIFS(инфо!$H$15:$H$28,инфо!$A$15:$A$28,F921)</f>
        <v>0</v>
      </c>
      <c r="AR921" s="35">
        <f t="shared" si="208"/>
        <v>0</v>
      </c>
      <c r="AS921" s="12">
        <f t="shared" si="211"/>
        <v>0</v>
      </c>
      <c r="AT921" s="24">
        <f>SUMIFS(инфо!$I$15:$I$28,инфо!$A$15:$A$28,F921)</f>
        <v>0</v>
      </c>
      <c r="AU921" s="35">
        <f t="shared" si="216"/>
        <v>0</v>
      </c>
      <c r="AV921" s="12">
        <f t="shared" si="212"/>
        <v>0</v>
      </c>
      <c r="AX921" s="68">
        <f>SUMIFS(инфо!$C$15:$C$28,инфо!$A$15:$A$28,F921)*H920</f>
        <v>0</v>
      </c>
    </row>
    <row r="922" spans="1:50" x14ac:dyDescent="0.25">
      <c r="A922" s="70">
        <f t="shared" si="203"/>
        <v>46525</v>
      </c>
      <c r="B922" s="77"/>
      <c r="C922" s="17"/>
      <c r="D922" s="18"/>
      <c r="E922" s="11"/>
      <c r="F922" s="28"/>
      <c r="G922" s="19"/>
      <c r="H922" s="28"/>
      <c r="I922" s="20"/>
      <c r="J922" s="20"/>
      <c r="K922" s="20"/>
      <c r="L922" s="20"/>
      <c r="M922" s="20"/>
      <c r="N922" s="23"/>
      <c r="O922" s="19"/>
      <c r="P922" s="19"/>
      <c r="Q922" s="19"/>
      <c r="R922" s="19"/>
      <c r="S922" s="69">
        <f t="shared" si="213"/>
        <v>0</v>
      </c>
      <c r="T922" s="17"/>
      <c r="U922" s="18"/>
      <c r="V922" s="19"/>
      <c r="W922" s="19"/>
      <c r="X922" s="19"/>
      <c r="Y922" s="17"/>
      <c r="Z922" s="19"/>
      <c r="AA922" s="19"/>
      <c r="AB922" s="19"/>
      <c r="AC922" s="19"/>
      <c r="AD922" s="18"/>
      <c r="AE922" s="25">
        <f>SUMIFS(инфо!$D$15:$D$28,инфо!$A$15:$A$28,F922)</f>
        <v>0</v>
      </c>
      <c r="AF922" s="35">
        <f t="shared" si="204"/>
        <v>0</v>
      </c>
      <c r="AG922" s="14">
        <f t="shared" si="214"/>
        <v>0</v>
      </c>
      <c r="AH922" s="25">
        <f>SUMIFS(инфо!$E$15:$E$28,инфо!$A$15:$A$28,F922)</f>
        <v>0</v>
      </c>
      <c r="AI922" s="32">
        <f t="shared" si="205"/>
        <v>0</v>
      </c>
      <c r="AJ922" s="14">
        <f t="shared" si="215"/>
        <v>0</v>
      </c>
      <c r="AK922" s="25">
        <f>SUMIFS(инфо!$F$15:$F$28,инфо!$A$15:$A$28,F922)</f>
        <v>0</v>
      </c>
      <c r="AL922" s="32">
        <f t="shared" si="206"/>
        <v>0</v>
      </c>
      <c r="AM922" s="14">
        <f t="shared" si="209"/>
        <v>0</v>
      </c>
      <c r="AN922" s="25">
        <f>SUMIFS(инфо!$G$15:$G$28,инфо!$A$15:$A$28,F922)</f>
        <v>0</v>
      </c>
      <c r="AO922" s="32">
        <f t="shared" si="207"/>
        <v>0</v>
      </c>
      <c r="AP922" s="14">
        <f t="shared" si="210"/>
        <v>0</v>
      </c>
      <c r="AQ922" s="25">
        <f>SUMIFS(инфо!$H$15:$H$28,инфо!$A$15:$A$28,F922)</f>
        <v>0</v>
      </c>
      <c r="AR922" s="26">
        <f t="shared" si="208"/>
        <v>0</v>
      </c>
      <c r="AS922" s="14">
        <f t="shared" si="211"/>
        <v>0</v>
      </c>
      <c r="AT922" s="25">
        <f>SUMIFS(инфо!$I$15:$I$28,инфо!$A$15:$A$28,F922)</f>
        <v>0</v>
      </c>
      <c r="AU922" s="35">
        <f t="shared" si="216"/>
        <v>0</v>
      </c>
      <c r="AV922" s="14">
        <f t="shared" si="212"/>
        <v>0</v>
      </c>
      <c r="AX922" s="69">
        <f>SUMIFS(инфо!$C$15:$C$28,инфо!$A$15:$A$28,F922)*H921</f>
        <v>0</v>
      </c>
    </row>
    <row r="923" spans="1:50" x14ac:dyDescent="0.25">
      <c r="A923" s="70">
        <f t="shared" si="203"/>
        <v>46525</v>
      </c>
      <c r="B923" s="75"/>
      <c r="C923" s="29"/>
      <c r="D923" s="30"/>
      <c r="E923" s="11"/>
      <c r="F923" s="28"/>
      <c r="G923" s="27"/>
      <c r="H923" s="20"/>
      <c r="I923" s="20"/>
      <c r="J923" s="20"/>
      <c r="K923" s="20"/>
      <c r="L923" s="20"/>
      <c r="M923" s="20"/>
      <c r="N923" s="28"/>
      <c r="O923" s="27"/>
      <c r="P923" s="27"/>
      <c r="Q923" s="27"/>
      <c r="R923" s="27"/>
      <c r="S923" s="67">
        <f t="shared" si="213"/>
        <v>0</v>
      </c>
      <c r="T923" s="29"/>
      <c r="U923" s="30"/>
      <c r="V923" s="27"/>
      <c r="W923" s="27"/>
      <c r="X923" s="27"/>
      <c r="Y923" s="29"/>
      <c r="Z923" s="27"/>
      <c r="AA923" s="27"/>
      <c r="AB923" s="27"/>
      <c r="AC923" s="27"/>
      <c r="AD923" s="30"/>
      <c r="AE923" s="31">
        <f>SUMIFS(инфо!$D$15:$D$28,инфо!$A$15:$A$28,F923)</f>
        <v>0</v>
      </c>
      <c r="AF923" s="35">
        <f t="shared" si="204"/>
        <v>0</v>
      </c>
      <c r="AG923" s="33">
        <f t="shared" si="214"/>
        <v>0</v>
      </c>
      <c r="AH923" s="31">
        <f>SUMIFS(инфо!$E$15:$E$28,инфо!$A$15:$A$28,F923)</f>
        <v>0</v>
      </c>
      <c r="AI923" s="32">
        <f t="shared" si="205"/>
        <v>0</v>
      </c>
      <c r="AJ923" s="33">
        <f t="shared" si="215"/>
        <v>0</v>
      </c>
      <c r="AK923" s="31">
        <f>SUMIFS(инфо!$F$15:$F$28,инфо!$A$15:$A$28,F923)</f>
        <v>0</v>
      </c>
      <c r="AL923" s="32">
        <f t="shared" si="206"/>
        <v>0</v>
      </c>
      <c r="AM923" s="33">
        <f t="shared" si="209"/>
        <v>0</v>
      </c>
      <c r="AN923" s="31">
        <f>SUMIFS(инфо!$G$15:$G$28,инфо!$A$15:$A$28,F923)</f>
        <v>0</v>
      </c>
      <c r="AO923" s="32">
        <f t="shared" si="207"/>
        <v>0</v>
      </c>
      <c r="AP923" s="33">
        <f t="shared" si="210"/>
        <v>0</v>
      </c>
      <c r="AQ923" s="31">
        <f>SUMIFS(инфо!$H$15:$H$28,инфо!$A$15:$A$28,F923)</f>
        <v>0</v>
      </c>
      <c r="AR923" s="32">
        <f t="shared" si="208"/>
        <v>0</v>
      </c>
      <c r="AS923" s="33">
        <f t="shared" si="211"/>
        <v>0</v>
      </c>
      <c r="AT923" s="31">
        <f>SUMIFS(инфо!$I$15:$I$28,инфо!$A$15:$A$28,F923)</f>
        <v>0</v>
      </c>
      <c r="AU923" s="35">
        <f t="shared" si="216"/>
        <v>0</v>
      </c>
      <c r="AV923" s="33">
        <f t="shared" si="212"/>
        <v>0</v>
      </c>
      <c r="AX923" s="67">
        <f>SUMIFS(инфо!$C$15:$C$28,инфо!$A$15:$A$28,F923)*H922</f>
        <v>0</v>
      </c>
    </row>
    <row r="924" spans="1:50" x14ac:dyDescent="0.25">
      <c r="A924" s="70">
        <f t="shared" ref="A924:A987" si="217">A922+1</f>
        <v>46526</v>
      </c>
      <c r="B924" s="76"/>
      <c r="C924" s="15"/>
      <c r="D924" s="16"/>
      <c r="E924" s="11"/>
      <c r="F924" s="28"/>
      <c r="G924" s="34"/>
      <c r="H924" s="20"/>
      <c r="I924" s="20"/>
      <c r="J924" s="20"/>
      <c r="K924" s="20"/>
      <c r="L924" s="20"/>
      <c r="M924" s="20"/>
      <c r="N924" s="20"/>
      <c r="O924" s="34"/>
      <c r="P924" s="34"/>
      <c r="Q924" s="34"/>
      <c r="R924" s="34"/>
      <c r="S924" s="68">
        <f t="shared" si="213"/>
        <v>0</v>
      </c>
      <c r="T924" s="15"/>
      <c r="U924" s="16"/>
      <c r="V924" s="34"/>
      <c r="W924" s="34"/>
      <c r="X924" s="34"/>
      <c r="Y924" s="15"/>
      <c r="Z924" s="34"/>
      <c r="AA924" s="34"/>
      <c r="AB924" s="34"/>
      <c r="AC924" s="34"/>
      <c r="AD924" s="16"/>
      <c r="AE924" s="24">
        <f>SUMIFS(инфо!$D$15:$D$28,инфо!$A$15:$A$28,F924)</f>
        <v>0</v>
      </c>
      <c r="AF924" s="35">
        <f t="shared" si="204"/>
        <v>0</v>
      </c>
      <c r="AG924" s="12">
        <f t="shared" si="214"/>
        <v>0</v>
      </c>
      <c r="AH924" s="24">
        <f>SUMIFS(инфо!$E$15:$E$28,инфо!$A$15:$A$28,F924)</f>
        <v>0</v>
      </c>
      <c r="AI924" s="32">
        <f t="shared" si="205"/>
        <v>0</v>
      </c>
      <c r="AJ924" s="12">
        <f t="shared" si="215"/>
        <v>0</v>
      </c>
      <c r="AK924" s="24">
        <f>SUMIFS(инфо!$F$15:$F$28,инфо!$A$15:$A$28,F924)</f>
        <v>0</v>
      </c>
      <c r="AL924" s="32">
        <f t="shared" si="206"/>
        <v>0</v>
      </c>
      <c r="AM924" s="12">
        <f t="shared" si="209"/>
        <v>0</v>
      </c>
      <c r="AN924" s="24">
        <f>SUMIFS(инфо!$G$15:$G$28,инфо!$A$15:$A$28,F924)</f>
        <v>0</v>
      </c>
      <c r="AO924" s="32">
        <f t="shared" si="207"/>
        <v>0</v>
      </c>
      <c r="AP924" s="12">
        <f t="shared" si="210"/>
        <v>0</v>
      </c>
      <c r="AQ924" s="24">
        <f>SUMIFS(инфо!$H$15:$H$28,инфо!$A$15:$A$28,F924)</f>
        <v>0</v>
      </c>
      <c r="AR924" s="35">
        <f t="shared" si="208"/>
        <v>0</v>
      </c>
      <c r="AS924" s="12">
        <f t="shared" si="211"/>
        <v>0</v>
      </c>
      <c r="AT924" s="24">
        <f>SUMIFS(инфо!$I$15:$I$28,инфо!$A$15:$A$28,F924)</f>
        <v>0</v>
      </c>
      <c r="AU924" s="35">
        <f t="shared" si="216"/>
        <v>0</v>
      </c>
      <c r="AV924" s="12">
        <f t="shared" si="212"/>
        <v>0</v>
      </c>
      <c r="AX924" s="68">
        <f>SUMIFS(инфо!$C$15:$C$28,инфо!$A$15:$A$28,F924)*H923</f>
        <v>0</v>
      </c>
    </row>
    <row r="925" spans="1:50" x14ac:dyDescent="0.25">
      <c r="A925" s="70">
        <f t="shared" si="217"/>
        <v>46526</v>
      </c>
      <c r="B925" s="76"/>
      <c r="C925" s="15"/>
      <c r="D925" s="16"/>
      <c r="E925" s="11"/>
      <c r="F925" s="28"/>
      <c r="G925" s="34"/>
      <c r="H925" s="23"/>
      <c r="I925" s="20"/>
      <c r="J925" s="20"/>
      <c r="K925" s="20"/>
      <c r="L925" s="20"/>
      <c r="M925" s="20"/>
      <c r="N925" s="20"/>
      <c r="O925" s="34"/>
      <c r="P925" s="34"/>
      <c r="Q925" s="34"/>
      <c r="R925" s="34"/>
      <c r="S925" s="68">
        <f t="shared" si="213"/>
        <v>0</v>
      </c>
      <c r="T925" s="15"/>
      <c r="U925" s="16"/>
      <c r="V925" s="34"/>
      <c r="W925" s="34"/>
      <c r="X925" s="34"/>
      <c r="Y925" s="15"/>
      <c r="Z925" s="34"/>
      <c r="AA925" s="34"/>
      <c r="AB925" s="34"/>
      <c r="AC925" s="34"/>
      <c r="AD925" s="16"/>
      <c r="AE925" s="24">
        <f>SUMIFS(инфо!$D$15:$D$28,инфо!$A$15:$A$28,F925)</f>
        <v>0</v>
      </c>
      <c r="AF925" s="35">
        <f t="shared" si="204"/>
        <v>0</v>
      </c>
      <c r="AG925" s="12">
        <f t="shared" si="214"/>
        <v>0</v>
      </c>
      <c r="AH925" s="24">
        <f>SUMIFS(инфо!$E$15:$E$28,инфо!$A$15:$A$28,F925)</f>
        <v>0</v>
      </c>
      <c r="AI925" s="32">
        <f t="shared" si="205"/>
        <v>0</v>
      </c>
      <c r="AJ925" s="12">
        <f t="shared" si="215"/>
        <v>0</v>
      </c>
      <c r="AK925" s="24">
        <f>SUMIFS(инфо!$F$15:$F$28,инфо!$A$15:$A$28,F925)</f>
        <v>0</v>
      </c>
      <c r="AL925" s="32">
        <f t="shared" si="206"/>
        <v>0</v>
      </c>
      <c r="AM925" s="12">
        <f t="shared" si="209"/>
        <v>0</v>
      </c>
      <c r="AN925" s="24">
        <f>SUMIFS(инфо!$G$15:$G$28,инфо!$A$15:$A$28,F925)</f>
        <v>0</v>
      </c>
      <c r="AO925" s="32">
        <f t="shared" si="207"/>
        <v>0</v>
      </c>
      <c r="AP925" s="12">
        <f t="shared" si="210"/>
        <v>0</v>
      </c>
      <c r="AQ925" s="24">
        <f>SUMIFS(инфо!$H$15:$H$28,инфо!$A$15:$A$28,F925)</f>
        <v>0</v>
      </c>
      <c r="AR925" s="35">
        <f t="shared" si="208"/>
        <v>0</v>
      </c>
      <c r="AS925" s="12">
        <f t="shared" si="211"/>
        <v>0</v>
      </c>
      <c r="AT925" s="24">
        <f>SUMIFS(инфо!$I$15:$I$28,инфо!$A$15:$A$28,F925)</f>
        <v>0</v>
      </c>
      <c r="AU925" s="35">
        <f t="shared" si="216"/>
        <v>0</v>
      </c>
      <c r="AV925" s="12">
        <f t="shared" si="212"/>
        <v>0</v>
      </c>
      <c r="AX925" s="68">
        <f>SUMIFS(инфо!$C$15:$C$28,инфо!$A$15:$A$28,F925)*H924</f>
        <v>0</v>
      </c>
    </row>
    <row r="926" spans="1:50" x14ac:dyDescent="0.25">
      <c r="A926" s="70">
        <f t="shared" si="217"/>
        <v>46527</v>
      </c>
      <c r="B926" s="77"/>
      <c r="C926" s="17"/>
      <c r="D926" s="18"/>
      <c r="E926" s="11"/>
      <c r="F926" s="28"/>
      <c r="G926" s="19"/>
      <c r="H926" s="28"/>
      <c r="I926" s="20"/>
      <c r="J926" s="20"/>
      <c r="K926" s="20"/>
      <c r="L926" s="20"/>
      <c r="M926" s="20"/>
      <c r="N926" s="23"/>
      <c r="O926" s="19"/>
      <c r="P926" s="19"/>
      <c r="Q926" s="19"/>
      <c r="R926" s="19"/>
      <c r="S926" s="69">
        <f t="shared" si="213"/>
        <v>0</v>
      </c>
      <c r="T926" s="17"/>
      <c r="U926" s="18"/>
      <c r="V926" s="19"/>
      <c r="W926" s="19"/>
      <c r="X926" s="19"/>
      <c r="Y926" s="17"/>
      <c r="Z926" s="19"/>
      <c r="AA926" s="19"/>
      <c r="AB926" s="19"/>
      <c r="AC926" s="19"/>
      <c r="AD926" s="18"/>
      <c r="AE926" s="25">
        <f>SUMIFS(инфо!$D$15:$D$28,инфо!$A$15:$A$28,F926)</f>
        <v>0</v>
      </c>
      <c r="AF926" s="35">
        <f t="shared" si="204"/>
        <v>0</v>
      </c>
      <c r="AG926" s="14">
        <f t="shared" si="214"/>
        <v>0</v>
      </c>
      <c r="AH926" s="25">
        <f>SUMIFS(инфо!$E$15:$E$28,инфо!$A$15:$A$28,F926)</f>
        <v>0</v>
      </c>
      <c r="AI926" s="32">
        <f t="shared" si="205"/>
        <v>0</v>
      </c>
      <c r="AJ926" s="14">
        <f t="shared" si="215"/>
        <v>0</v>
      </c>
      <c r="AK926" s="25">
        <f>SUMIFS(инфо!$F$15:$F$28,инфо!$A$15:$A$28,F926)</f>
        <v>0</v>
      </c>
      <c r="AL926" s="32">
        <f t="shared" si="206"/>
        <v>0</v>
      </c>
      <c r="AM926" s="14">
        <f t="shared" si="209"/>
        <v>0</v>
      </c>
      <c r="AN926" s="25">
        <f>SUMIFS(инфо!$G$15:$G$28,инфо!$A$15:$A$28,F926)</f>
        <v>0</v>
      </c>
      <c r="AO926" s="32">
        <f t="shared" si="207"/>
        <v>0</v>
      </c>
      <c r="AP926" s="14">
        <f t="shared" si="210"/>
        <v>0</v>
      </c>
      <c r="AQ926" s="25">
        <f>SUMIFS(инфо!$H$15:$H$28,инфо!$A$15:$A$28,F926)</f>
        <v>0</v>
      </c>
      <c r="AR926" s="26">
        <f t="shared" si="208"/>
        <v>0</v>
      </c>
      <c r="AS926" s="14">
        <f t="shared" si="211"/>
        <v>0</v>
      </c>
      <c r="AT926" s="25">
        <f>SUMIFS(инфо!$I$15:$I$28,инфо!$A$15:$A$28,F926)</f>
        <v>0</v>
      </c>
      <c r="AU926" s="35">
        <f t="shared" si="216"/>
        <v>0</v>
      </c>
      <c r="AV926" s="14">
        <f t="shared" si="212"/>
        <v>0</v>
      </c>
      <c r="AX926" s="69">
        <f>SUMIFS(инфо!$C$15:$C$28,инфо!$A$15:$A$28,F926)*H925</f>
        <v>0</v>
      </c>
    </row>
    <row r="927" spans="1:50" x14ac:dyDescent="0.25">
      <c r="A927" s="70">
        <f t="shared" si="217"/>
        <v>46527</v>
      </c>
      <c r="B927" s="75"/>
      <c r="C927" s="29"/>
      <c r="D927" s="30"/>
      <c r="E927" s="11"/>
      <c r="F927" s="28"/>
      <c r="G927" s="27"/>
      <c r="H927" s="20"/>
      <c r="I927" s="20"/>
      <c r="J927" s="20"/>
      <c r="K927" s="20"/>
      <c r="L927" s="20"/>
      <c r="M927" s="20"/>
      <c r="N927" s="28"/>
      <c r="O927" s="27"/>
      <c r="P927" s="27"/>
      <c r="Q927" s="27"/>
      <c r="R927" s="27"/>
      <c r="S927" s="67">
        <f t="shared" si="213"/>
        <v>0</v>
      </c>
      <c r="T927" s="29"/>
      <c r="U927" s="30"/>
      <c r="V927" s="27"/>
      <c r="W927" s="27"/>
      <c r="X927" s="27"/>
      <c r="Y927" s="29"/>
      <c r="Z927" s="27"/>
      <c r="AA927" s="27"/>
      <c r="AB927" s="27"/>
      <c r="AC927" s="27"/>
      <c r="AD927" s="30"/>
      <c r="AE927" s="31">
        <f>SUMIFS(инфо!$D$15:$D$28,инфо!$A$15:$A$28,F927)</f>
        <v>0</v>
      </c>
      <c r="AF927" s="35">
        <f t="shared" si="204"/>
        <v>0</v>
      </c>
      <c r="AG927" s="33">
        <f t="shared" si="214"/>
        <v>0</v>
      </c>
      <c r="AH927" s="31">
        <f>SUMIFS(инфо!$E$15:$E$28,инфо!$A$15:$A$28,F927)</f>
        <v>0</v>
      </c>
      <c r="AI927" s="32">
        <f t="shared" si="205"/>
        <v>0</v>
      </c>
      <c r="AJ927" s="33">
        <f t="shared" si="215"/>
        <v>0</v>
      </c>
      <c r="AK927" s="31">
        <f>SUMIFS(инфо!$F$15:$F$28,инфо!$A$15:$A$28,F927)</f>
        <v>0</v>
      </c>
      <c r="AL927" s="32">
        <f t="shared" si="206"/>
        <v>0</v>
      </c>
      <c r="AM927" s="33">
        <f t="shared" si="209"/>
        <v>0</v>
      </c>
      <c r="AN927" s="31">
        <f>SUMIFS(инфо!$G$15:$G$28,инфо!$A$15:$A$28,F927)</f>
        <v>0</v>
      </c>
      <c r="AO927" s="32">
        <f t="shared" si="207"/>
        <v>0</v>
      </c>
      <c r="AP927" s="33">
        <f t="shared" si="210"/>
        <v>0</v>
      </c>
      <c r="AQ927" s="31">
        <f>SUMIFS(инфо!$H$15:$H$28,инфо!$A$15:$A$28,F927)</f>
        <v>0</v>
      </c>
      <c r="AR927" s="32">
        <f t="shared" si="208"/>
        <v>0</v>
      </c>
      <c r="AS927" s="33">
        <f t="shared" si="211"/>
        <v>0</v>
      </c>
      <c r="AT927" s="31">
        <f>SUMIFS(инфо!$I$15:$I$28,инфо!$A$15:$A$28,F927)</f>
        <v>0</v>
      </c>
      <c r="AU927" s="35">
        <f t="shared" si="216"/>
        <v>0</v>
      </c>
      <c r="AV927" s="33">
        <f t="shared" si="212"/>
        <v>0</v>
      </c>
      <c r="AX927" s="67">
        <f>SUMIFS(инфо!$C$15:$C$28,инфо!$A$15:$A$28,F927)*H926</f>
        <v>0</v>
      </c>
    </row>
    <row r="928" spans="1:50" x14ac:dyDescent="0.25">
      <c r="A928" s="70">
        <f t="shared" si="217"/>
        <v>46528</v>
      </c>
      <c r="B928" s="76"/>
      <c r="C928" s="15"/>
      <c r="D928" s="16"/>
      <c r="E928" s="11"/>
      <c r="F928" s="28"/>
      <c r="G928" s="34"/>
      <c r="H928" s="20"/>
      <c r="I928" s="20"/>
      <c r="J928" s="20"/>
      <c r="K928" s="20"/>
      <c r="L928" s="20"/>
      <c r="M928" s="20"/>
      <c r="N928" s="20"/>
      <c r="O928" s="34"/>
      <c r="P928" s="34"/>
      <c r="Q928" s="34"/>
      <c r="R928" s="34"/>
      <c r="S928" s="68">
        <f t="shared" si="213"/>
        <v>0</v>
      </c>
      <c r="T928" s="15"/>
      <c r="U928" s="16"/>
      <c r="V928" s="34"/>
      <c r="W928" s="34"/>
      <c r="X928" s="34"/>
      <c r="Y928" s="15"/>
      <c r="Z928" s="34"/>
      <c r="AA928" s="34"/>
      <c r="AB928" s="34"/>
      <c r="AC928" s="34"/>
      <c r="AD928" s="16"/>
      <c r="AE928" s="24">
        <f>SUMIFS(инфо!$D$15:$D$28,инфо!$A$15:$A$28,F928)</f>
        <v>0</v>
      </c>
      <c r="AF928" s="35">
        <f t="shared" si="204"/>
        <v>0</v>
      </c>
      <c r="AG928" s="12">
        <f t="shared" si="214"/>
        <v>0</v>
      </c>
      <c r="AH928" s="24">
        <f>SUMIFS(инфо!$E$15:$E$28,инфо!$A$15:$A$28,F928)</f>
        <v>0</v>
      </c>
      <c r="AI928" s="32">
        <f t="shared" si="205"/>
        <v>0</v>
      </c>
      <c r="AJ928" s="12">
        <f t="shared" si="215"/>
        <v>0</v>
      </c>
      <c r="AK928" s="24">
        <f>SUMIFS(инфо!$F$15:$F$28,инфо!$A$15:$A$28,F928)</f>
        <v>0</v>
      </c>
      <c r="AL928" s="32">
        <f t="shared" si="206"/>
        <v>0</v>
      </c>
      <c r="AM928" s="12">
        <f t="shared" si="209"/>
        <v>0</v>
      </c>
      <c r="AN928" s="24">
        <f>SUMIFS(инфо!$G$15:$G$28,инфо!$A$15:$A$28,F928)</f>
        <v>0</v>
      </c>
      <c r="AO928" s="32">
        <f t="shared" si="207"/>
        <v>0</v>
      </c>
      <c r="AP928" s="12">
        <f t="shared" si="210"/>
        <v>0</v>
      </c>
      <c r="AQ928" s="24">
        <f>SUMIFS(инфо!$H$15:$H$28,инфо!$A$15:$A$28,F928)</f>
        <v>0</v>
      </c>
      <c r="AR928" s="35">
        <f t="shared" si="208"/>
        <v>0</v>
      </c>
      <c r="AS928" s="12">
        <f t="shared" si="211"/>
        <v>0</v>
      </c>
      <c r="AT928" s="24">
        <f>SUMIFS(инфо!$I$15:$I$28,инфо!$A$15:$A$28,F928)</f>
        <v>0</v>
      </c>
      <c r="AU928" s="35">
        <f t="shared" si="216"/>
        <v>0</v>
      </c>
      <c r="AV928" s="12">
        <f t="shared" si="212"/>
        <v>0</v>
      </c>
      <c r="AX928" s="68">
        <f>SUMIFS(инфо!$C$15:$C$28,инфо!$A$15:$A$28,F928)*H927</f>
        <v>0</v>
      </c>
    </row>
    <row r="929" spans="1:50" x14ac:dyDescent="0.25">
      <c r="A929" s="70">
        <f t="shared" si="217"/>
        <v>46528</v>
      </c>
      <c r="B929" s="76"/>
      <c r="C929" s="15"/>
      <c r="D929" s="16"/>
      <c r="E929" s="11"/>
      <c r="F929" s="28"/>
      <c r="G929" s="34"/>
      <c r="H929" s="23"/>
      <c r="I929" s="20"/>
      <c r="J929" s="20"/>
      <c r="K929" s="20"/>
      <c r="L929" s="20"/>
      <c r="M929" s="20"/>
      <c r="N929" s="20"/>
      <c r="O929" s="34"/>
      <c r="P929" s="34"/>
      <c r="Q929" s="34"/>
      <c r="R929" s="34"/>
      <c r="S929" s="68">
        <f t="shared" si="213"/>
        <v>0</v>
      </c>
      <c r="T929" s="15"/>
      <c r="U929" s="16"/>
      <c r="V929" s="34"/>
      <c r="W929" s="34"/>
      <c r="X929" s="34"/>
      <c r="Y929" s="15"/>
      <c r="Z929" s="34"/>
      <c r="AA929" s="34"/>
      <c r="AB929" s="34"/>
      <c r="AC929" s="34"/>
      <c r="AD929" s="16"/>
      <c r="AE929" s="24">
        <f>SUMIFS(инфо!$D$15:$D$28,инфо!$A$15:$A$28,F929)</f>
        <v>0</v>
      </c>
      <c r="AF929" s="35">
        <f t="shared" si="204"/>
        <v>0</v>
      </c>
      <c r="AG929" s="12">
        <f t="shared" si="214"/>
        <v>0</v>
      </c>
      <c r="AH929" s="24">
        <f>SUMIFS(инфо!$E$15:$E$28,инфо!$A$15:$A$28,F929)</f>
        <v>0</v>
      </c>
      <c r="AI929" s="32">
        <f t="shared" si="205"/>
        <v>0</v>
      </c>
      <c r="AJ929" s="12">
        <f t="shared" si="215"/>
        <v>0</v>
      </c>
      <c r="AK929" s="24">
        <f>SUMIFS(инфо!$F$15:$F$28,инфо!$A$15:$A$28,F929)</f>
        <v>0</v>
      </c>
      <c r="AL929" s="32">
        <f t="shared" si="206"/>
        <v>0</v>
      </c>
      <c r="AM929" s="12">
        <f t="shared" si="209"/>
        <v>0</v>
      </c>
      <c r="AN929" s="24">
        <f>SUMIFS(инфо!$G$15:$G$28,инфо!$A$15:$A$28,F929)</f>
        <v>0</v>
      </c>
      <c r="AO929" s="32">
        <f t="shared" si="207"/>
        <v>0</v>
      </c>
      <c r="AP929" s="12">
        <f t="shared" si="210"/>
        <v>0</v>
      </c>
      <c r="AQ929" s="24">
        <f>SUMIFS(инфо!$H$15:$H$28,инфо!$A$15:$A$28,F929)</f>
        <v>0</v>
      </c>
      <c r="AR929" s="35">
        <f t="shared" si="208"/>
        <v>0</v>
      </c>
      <c r="AS929" s="12">
        <f t="shared" si="211"/>
        <v>0</v>
      </c>
      <c r="AT929" s="24">
        <f>SUMIFS(инфо!$I$15:$I$28,инфо!$A$15:$A$28,F929)</f>
        <v>0</v>
      </c>
      <c r="AU929" s="35">
        <f t="shared" si="216"/>
        <v>0</v>
      </c>
      <c r="AV929" s="12">
        <f t="shared" si="212"/>
        <v>0</v>
      </c>
      <c r="AX929" s="68">
        <f>SUMIFS(инфо!$C$15:$C$28,инфо!$A$15:$A$28,F929)*H928</f>
        <v>0</v>
      </c>
    </row>
    <row r="930" spans="1:50" x14ac:dyDescent="0.25">
      <c r="A930" s="70">
        <f t="shared" si="217"/>
        <v>46529</v>
      </c>
      <c r="B930" s="77"/>
      <c r="C930" s="17"/>
      <c r="D930" s="18"/>
      <c r="E930" s="11"/>
      <c r="F930" s="28"/>
      <c r="G930" s="19"/>
      <c r="H930" s="28"/>
      <c r="I930" s="20"/>
      <c r="J930" s="20"/>
      <c r="K930" s="20"/>
      <c r="L930" s="20"/>
      <c r="M930" s="20"/>
      <c r="N930" s="23"/>
      <c r="O930" s="19"/>
      <c r="P930" s="19"/>
      <c r="Q930" s="19"/>
      <c r="R930" s="19"/>
      <c r="S930" s="69">
        <f t="shared" si="213"/>
        <v>0</v>
      </c>
      <c r="T930" s="17"/>
      <c r="U930" s="18"/>
      <c r="V930" s="19"/>
      <c r="W930" s="19"/>
      <c r="X930" s="19"/>
      <c r="Y930" s="17"/>
      <c r="Z930" s="19"/>
      <c r="AA930" s="19"/>
      <c r="AB930" s="19"/>
      <c r="AC930" s="19"/>
      <c r="AD930" s="18"/>
      <c r="AE930" s="25">
        <f>SUMIFS(инфо!$D$15:$D$28,инфо!$A$15:$A$28,F930)</f>
        <v>0</v>
      </c>
      <c r="AF930" s="35">
        <f t="shared" si="204"/>
        <v>0</v>
      </c>
      <c r="AG930" s="14">
        <f t="shared" si="214"/>
        <v>0</v>
      </c>
      <c r="AH930" s="25">
        <f>SUMIFS(инфо!$E$15:$E$28,инфо!$A$15:$A$28,F930)</f>
        <v>0</v>
      </c>
      <c r="AI930" s="32">
        <f t="shared" si="205"/>
        <v>0</v>
      </c>
      <c r="AJ930" s="14">
        <f t="shared" si="215"/>
        <v>0</v>
      </c>
      <c r="AK930" s="25">
        <f>SUMIFS(инфо!$F$15:$F$28,инфо!$A$15:$A$28,F930)</f>
        <v>0</v>
      </c>
      <c r="AL930" s="32">
        <f t="shared" si="206"/>
        <v>0</v>
      </c>
      <c r="AM930" s="14">
        <f t="shared" si="209"/>
        <v>0</v>
      </c>
      <c r="AN930" s="25">
        <f>SUMIFS(инфо!$G$15:$G$28,инфо!$A$15:$A$28,F930)</f>
        <v>0</v>
      </c>
      <c r="AO930" s="32">
        <f t="shared" si="207"/>
        <v>0</v>
      </c>
      <c r="AP930" s="14">
        <f t="shared" si="210"/>
        <v>0</v>
      </c>
      <c r="AQ930" s="25">
        <f>SUMIFS(инфо!$H$15:$H$28,инфо!$A$15:$A$28,F930)</f>
        <v>0</v>
      </c>
      <c r="AR930" s="26">
        <f t="shared" si="208"/>
        <v>0</v>
      </c>
      <c r="AS930" s="14">
        <f t="shared" si="211"/>
        <v>0</v>
      </c>
      <c r="AT930" s="25">
        <f>SUMIFS(инфо!$I$15:$I$28,инфо!$A$15:$A$28,F930)</f>
        <v>0</v>
      </c>
      <c r="AU930" s="35">
        <f t="shared" si="216"/>
        <v>0</v>
      </c>
      <c r="AV930" s="14">
        <f t="shared" si="212"/>
        <v>0</v>
      </c>
      <c r="AX930" s="69">
        <f>SUMIFS(инфо!$C$15:$C$28,инфо!$A$15:$A$28,F930)*H929</f>
        <v>0</v>
      </c>
    </row>
    <row r="931" spans="1:50" x14ac:dyDescent="0.25">
      <c r="A931" s="70">
        <f t="shared" si="217"/>
        <v>46529</v>
      </c>
      <c r="B931" s="75"/>
      <c r="C931" s="29"/>
      <c r="D931" s="30"/>
      <c r="E931" s="11"/>
      <c r="F931" s="28"/>
      <c r="G931" s="27"/>
      <c r="H931" s="20"/>
      <c r="I931" s="20"/>
      <c r="J931" s="20"/>
      <c r="K931" s="20"/>
      <c r="L931" s="20"/>
      <c r="M931" s="20"/>
      <c r="N931" s="28"/>
      <c r="O931" s="27"/>
      <c r="P931" s="27"/>
      <c r="Q931" s="27"/>
      <c r="R931" s="27"/>
      <c r="S931" s="67">
        <f t="shared" si="213"/>
        <v>0</v>
      </c>
      <c r="T931" s="29"/>
      <c r="U931" s="30"/>
      <c r="V931" s="27"/>
      <c r="W931" s="27"/>
      <c r="X931" s="27"/>
      <c r="Y931" s="29"/>
      <c r="Z931" s="27"/>
      <c r="AA931" s="27"/>
      <c r="AB931" s="27"/>
      <c r="AC931" s="27"/>
      <c r="AD931" s="30"/>
      <c r="AE931" s="31">
        <f>SUMIFS(инфо!$D$15:$D$28,инфо!$A$15:$A$28,F931)</f>
        <v>0</v>
      </c>
      <c r="AF931" s="35">
        <f t="shared" si="204"/>
        <v>0</v>
      </c>
      <c r="AG931" s="33">
        <f t="shared" si="214"/>
        <v>0</v>
      </c>
      <c r="AH931" s="31">
        <f>SUMIFS(инфо!$E$15:$E$28,инфо!$A$15:$A$28,F931)</f>
        <v>0</v>
      </c>
      <c r="AI931" s="32">
        <f t="shared" si="205"/>
        <v>0</v>
      </c>
      <c r="AJ931" s="33">
        <f t="shared" si="215"/>
        <v>0</v>
      </c>
      <c r="AK931" s="31">
        <f>SUMIFS(инфо!$F$15:$F$28,инфо!$A$15:$A$28,F931)</f>
        <v>0</v>
      </c>
      <c r="AL931" s="32">
        <f t="shared" si="206"/>
        <v>0</v>
      </c>
      <c r="AM931" s="33">
        <f t="shared" si="209"/>
        <v>0</v>
      </c>
      <c r="AN931" s="31">
        <f>SUMIFS(инфо!$G$15:$G$28,инфо!$A$15:$A$28,F931)</f>
        <v>0</v>
      </c>
      <c r="AO931" s="32">
        <f t="shared" si="207"/>
        <v>0</v>
      </c>
      <c r="AP931" s="33">
        <f t="shared" si="210"/>
        <v>0</v>
      </c>
      <c r="AQ931" s="31">
        <f>SUMIFS(инфо!$H$15:$H$28,инфо!$A$15:$A$28,F931)</f>
        <v>0</v>
      </c>
      <c r="AR931" s="32">
        <f t="shared" si="208"/>
        <v>0</v>
      </c>
      <c r="AS931" s="33">
        <f t="shared" si="211"/>
        <v>0</v>
      </c>
      <c r="AT931" s="31">
        <f>SUMIFS(инфо!$I$15:$I$28,инфо!$A$15:$A$28,F931)</f>
        <v>0</v>
      </c>
      <c r="AU931" s="35">
        <f t="shared" si="216"/>
        <v>0</v>
      </c>
      <c r="AV931" s="33">
        <f t="shared" si="212"/>
        <v>0</v>
      </c>
      <c r="AX931" s="67">
        <f>SUMIFS(инфо!$C$15:$C$28,инфо!$A$15:$A$28,F931)*H930</f>
        <v>0</v>
      </c>
    </row>
    <row r="932" spans="1:50" x14ac:dyDescent="0.25">
      <c r="A932" s="70">
        <f t="shared" si="217"/>
        <v>46530</v>
      </c>
      <c r="B932" s="76"/>
      <c r="C932" s="15"/>
      <c r="D932" s="16"/>
      <c r="E932" s="11"/>
      <c r="F932" s="28"/>
      <c r="G932" s="34"/>
      <c r="H932" s="20"/>
      <c r="I932" s="20"/>
      <c r="J932" s="20"/>
      <c r="K932" s="20"/>
      <c r="L932" s="20"/>
      <c r="M932" s="20"/>
      <c r="N932" s="20"/>
      <c r="O932" s="34"/>
      <c r="P932" s="34"/>
      <c r="Q932" s="34"/>
      <c r="R932" s="34"/>
      <c r="S932" s="68">
        <f t="shared" si="213"/>
        <v>0</v>
      </c>
      <c r="T932" s="15"/>
      <c r="U932" s="16"/>
      <c r="V932" s="34"/>
      <c r="W932" s="34"/>
      <c r="X932" s="34"/>
      <c r="Y932" s="15"/>
      <c r="Z932" s="34"/>
      <c r="AA932" s="34"/>
      <c r="AB932" s="34"/>
      <c r="AC932" s="34"/>
      <c r="AD932" s="16"/>
      <c r="AE932" s="24">
        <f>SUMIFS(инфо!$D$15:$D$28,инфо!$A$15:$A$28,F932)</f>
        <v>0</v>
      </c>
      <c r="AF932" s="35">
        <f t="shared" si="204"/>
        <v>0</v>
      </c>
      <c r="AG932" s="12">
        <f t="shared" si="214"/>
        <v>0</v>
      </c>
      <c r="AH932" s="24">
        <f>SUMIFS(инфо!$E$15:$E$28,инфо!$A$15:$A$28,F932)</f>
        <v>0</v>
      </c>
      <c r="AI932" s="32">
        <f t="shared" si="205"/>
        <v>0</v>
      </c>
      <c r="AJ932" s="12">
        <f t="shared" si="215"/>
        <v>0</v>
      </c>
      <c r="AK932" s="24">
        <f>SUMIFS(инфо!$F$15:$F$28,инфо!$A$15:$A$28,F932)</f>
        <v>0</v>
      </c>
      <c r="AL932" s="32">
        <f t="shared" si="206"/>
        <v>0</v>
      </c>
      <c r="AM932" s="12">
        <f t="shared" si="209"/>
        <v>0</v>
      </c>
      <c r="AN932" s="24">
        <f>SUMIFS(инфо!$G$15:$G$28,инфо!$A$15:$A$28,F932)</f>
        <v>0</v>
      </c>
      <c r="AO932" s="32">
        <f t="shared" si="207"/>
        <v>0</v>
      </c>
      <c r="AP932" s="12">
        <f t="shared" si="210"/>
        <v>0</v>
      </c>
      <c r="AQ932" s="24">
        <f>SUMIFS(инфо!$H$15:$H$28,инфо!$A$15:$A$28,F932)</f>
        <v>0</v>
      </c>
      <c r="AR932" s="35">
        <f t="shared" si="208"/>
        <v>0</v>
      </c>
      <c r="AS932" s="12">
        <f t="shared" si="211"/>
        <v>0</v>
      </c>
      <c r="AT932" s="24">
        <f>SUMIFS(инфо!$I$15:$I$28,инфо!$A$15:$A$28,F932)</f>
        <v>0</v>
      </c>
      <c r="AU932" s="35">
        <f t="shared" si="216"/>
        <v>0</v>
      </c>
      <c r="AV932" s="12">
        <f t="shared" si="212"/>
        <v>0</v>
      </c>
      <c r="AX932" s="68">
        <f>SUMIFS(инфо!$C$15:$C$28,инфо!$A$15:$A$28,F932)*H931</f>
        <v>0</v>
      </c>
    </row>
    <row r="933" spans="1:50" x14ac:dyDescent="0.25">
      <c r="A933" s="70">
        <f t="shared" si="217"/>
        <v>46530</v>
      </c>
      <c r="B933" s="76"/>
      <c r="C933" s="15"/>
      <c r="D933" s="16"/>
      <c r="E933" s="11"/>
      <c r="F933" s="28"/>
      <c r="G933" s="34"/>
      <c r="H933" s="23"/>
      <c r="I933" s="20"/>
      <c r="J933" s="20"/>
      <c r="K933" s="20"/>
      <c r="L933" s="20"/>
      <c r="M933" s="20"/>
      <c r="N933" s="20"/>
      <c r="O933" s="34"/>
      <c r="P933" s="34"/>
      <c r="Q933" s="34"/>
      <c r="R933" s="34"/>
      <c r="S933" s="68">
        <f t="shared" si="213"/>
        <v>0</v>
      </c>
      <c r="T933" s="15"/>
      <c r="U933" s="16"/>
      <c r="V933" s="34"/>
      <c r="W933" s="34"/>
      <c r="X933" s="34"/>
      <c r="Y933" s="15"/>
      <c r="Z933" s="34"/>
      <c r="AA933" s="34"/>
      <c r="AB933" s="34"/>
      <c r="AC933" s="34"/>
      <c r="AD933" s="16"/>
      <c r="AE933" s="24">
        <f>SUMIFS(инфо!$D$15:$D$28,инфо!$A$15:$A$28,F933)</f>
        <v>0</v>
      </c>
      <c r="AF933" s="35">
        <f t="shared" si="204"/>
        <v>0</v>
      </c>
      <c r="AG933" s="12">
        <f t="shared" si="214"/>
        <v>0</v>
      </c>
      <c r="AH933" s="24">
        <f>SUMIFS(инфо!$E$15:$E$28,инфо!$A$15:$A$28,F933)</f>
        <v>0</v>
      </c>
      <c r="AI933" s="32">
        <f t="shared" si="205"/>
        <v>0</v>
      </c>
      <c r="AJ933" s="12">
        <f t="shared" si="215"/>
        <v>0</v>
      </c>
      <c r="AK933" s="24">
        <f>SUMIFS(инфо!$F$15:$F$28,инфо!$A$15:$A$28,F933)</f>
        <v>0</v>
      </c>
      <c r="AL933" s="32">
        <f t="shared" si="206"/>
        <v>0</v>
      </c>
      <c r="AM933" s="12">
        <f t="shared" si="209"/>
        <v>0</v>
      </c>
      <c r="AN933" s="24">
        <f>SUMIFS(инфо!$G$15:$G$28,инфо!$A$15:$A$28,F933)</f>
        <v>0</v>
      </c>
      <c r="AO933" s="32">
        <f t="shared" si="207"/>
        <v>0</v>
      </c>
      <c r="AP933" s="12">
        <f t="shared" si="210"/>
        <v>0</v>
      </c>
      <c r="AQ933" s="24">
        <f>SUMIFS(инфо!$H$15:$H$28,инфо!$A$15:$A$28,F933)</f>
        <v>0</v>
      </c>
      <c r="AR933" s="35">
        <f t="shared" si="208"/>
        <v>0</v>
      </c>
      <c r="AS933" s="12">
        <f t="shared" si="211"/>
        <v>0</v>
      </c>
      <c r="AT933" s="24">
        <f>SUMIFS(инфо!$I$15:$I$28,инфо!$A$15:$A$28,F933)</f>
        <v>0</v>
      </c>
      <c r="AU933" s="35">
        <f t="shared" si="216"/>
        <v>0</v>
      </c>
      <c r="AV933" s="12">
        <f t="shared" si="212"/>
        <v>0</v>
      </c>
      <c r="AX933" s="68">
        <f>SUMIFS(инфо!$C$15:$C$28,инфо!$A$15:$A$28,F933)*H932</f>
        <v>0</v>
      </c>
    </row>
    <row r="934" spans="1:50" x14ac:dyDescent="0.25">
      <c r="A934" s="70">
        <f t="shared" si="217"/>
        <v>46531</v>
      </c>
      <c r="B934" s="77"/>
      <c r="C934" s="17"/>
      <c r="D934" s="18"/>
      <c r="E934" s="11"/>
      <c r="F934" s="28"/>
      <c r="G934" s="19"/>
      <c r="H934" s="28"/>
      <c r="I934" s="20"/>
      <c r="J934" s="20"/>
      <c r="K934" s="20"/>
      <c r="L934" s="20"/>
      <c r="M934" s="20"/>
      <c r="N934" s="23"/>
      <c r="O934" s="19"/>
      <c r="P934" s="19"/>
      <c r="Q934" s="19"/>
      <c r="R934" s="19"/>
      <c r="S934" s="69">
        <f t="shared" si="213"/>
        <v>0</v>
      </c>
      <c r="T934" s="17"/>
      <c r="U934" s="18"/>
      <c r="V934" s="19"/>
      <c r="W934" s="19"/>
      <c r="X934" s="19"/>
      <c r="Y934" s="17"/>
      <c r="Z934" s="19"/>
      <c r="AA934" s="19"/>
      <c r="AB934" s="19"/>
      <c r="AC934" s="19"/>
      <c r="AD934" s="18"/>
      <c r="AE934" s="25">
        <f>SUMIFS(инфо!$D$15:$D$28,инфо!$A$15:$A$28,F934)</f>
        <v>0</v>
      </c>
      <c r="AF934" s="35">
        <f t="shared" si="204"/>
        <v>0</v>
      </c>
      <c r="AG934" s="14">
        <f t="shared" si="214"/>
        <v>0</v>
      </c>
      <c r="AH934" s="25">
        <f>SUMIFS(инфо!$E$15:$E$28,инфо!$A$15:$A$28,F934)</f>
        <v>0</v>
      </c>
      <c r="AI934" s="32">
        <f t="shared" si="205"/>
        <v>0</v>
      </c>
      <c r="AJ934" s="14">
        <f t="shared" si="215"/>
        <v>0</v>
      </c>
      <c r="AK934" s="25">
        <f>SUMIFS(инфо!$F$15:$F$28,инфо!$A$15:$A$28,F934)</f>
        <v>0</v>
      </c>
      <c r="AL934" s="32">
        <f t="shared" si="206"/>
        <v>0</v>
      </c>
      <c r="AM934" s="14">
        <f t="shared" si="209"/>
        <v>0</v>
      </c>
      <c r="AN934" s="25">
        <f>SUMIFS(инфо!$G$15:$G$28,инфо!$A$15:$A$28,F934)</f>
        <v>0</v>
      </c>
      <c r="AO934" s="32">
        <f t="shared" si="207"/>
        <v>0</v>
      </c>
      <c r="AP934" s="14">
        <f t="shared" si="210"/>
        <v>0</v>
      </c>
      <c r="AQ934" s="25">
        <f>SUMIFS(инфо!$H$15:$H$28,инфо!$A$15:$A$28,F934)</f>
        <v>0</v>
      </c>
      <c r="AR934" s="26">
        <f t="shared" si="208"/>
        <v>0</v>
      </c>
      <c r="AS934" s="14">
        <f t="shared" si="211"/>
        <v>0</v>
      </c>
      <c r="AT934" s="25">
        <f>SUMIFS(инфо!$I$15:$I$28,инфо!$A$15:$A$28,F934)</f>
        <v>0</v>
      </c>
      <c r="AU934" s="35">
        <f t="shared" si="216"/>
        <v>0</v>
      </c>
      <c r="AV934" s="14">
        <f t="shared" si="212"/>
        <v>0</v>
      </c>
      <c r="AX934" s="69">
        <f>SUMIFS(инфо!$C$15:$C$28,инфо!$A$15:$A$28,F934)*H933</f>
        <v>0</v>
      </c>
    </row>
    <row r="935" spans="1:50" x14ac:dyDescent="0.25">
      <c r="A935" s="70">
        <f t="shared" si="217"/>
        <v>46531</v>
      </c>
      <c r="B935" s="75"/>
      <c r="C935" s="29"/>
      <c r="D935" s="30"/>
      <c r="E935" s="11"/>
      <c r="F935" s="28"/>
      <c r="G935" s="27"/>
      <c r="H935" s="20"/>
      <c r="I935" s="20"/>
      <c r="J935" s="20"/>
      <c r="K935" s="20"/>
      <c r="L935" s="20"/>
      <c r="M935" s="20"/>
      <c r="N935" s="28"/>
      <c r="O935" s="27"/>
      <c r="P935" s="27"/>
      <c r="Q935" s="27"/>
      <c r="R935" s="27"/>
      <c r="S935" s="67">
        <f t="shared" si="213"/>
        <v>0</v>
      </c>
      <c r="T935" s="29"/>
      <c r="U935" s="30"/>
      <c r="V935" s="27"/>
      <c r="W935" s="27"/>
      <c r="X935" s="27"/>
      <c r="Y935" s="29"/>
      <c r="Z935" s="27"/>
      <c r="AA935" s="27"/>
      <c r="AB935" s="27"/>
      <c r="AC935" s="27"/>
      <c r="AD935" s="30"/>
      <c r="AE935" s="31">
        <f>SUMIFS(инфо!$D$15:$D$28,инфо!$A$15:$A$28,F935)</f>
        <v>0</v>
      </c>
      <c r="AF935" s="35">
        <f t="shared" si="204"/>
        <v>0</v>
      </c>
      <c r="AG935" s="33">
        <f t="shared" si="214"/>
        <v>0</v>
      </c>
      <c r="AH935" s="31">
        <f>SUMIFS(инфо!$E$15:$E$28,инфо!$A$15:$A$28,F935)</f>
        <v>0</v>
      </c>
      <c r="AI935" s="32">
        <f t="shared" si="205"/>
        <v>0</v>
      </c>
      <c r="AJ935" s="33">
        <f t="shared" si="215"/>
        <v>0</v>
      </c>
      <c r="AK935" s="31">
        <f>SUMIFS(инфо!$F$15:$F$28,инфо!$A$15:$A$28,F935)</f>
        <v>0</v>
      </c>
      <c r="AL935" s="32">
        <f t="shared" si="206"/>
        <v>0</v>
      </c>
      <c r="AM935" s="33">
        <f t="shared" si="209"/>
        <v>0</v>
      </c>
      <c r="AN935" s="31">
        <f>SUMIFS(инфо!$G$15:$G$28,инфо!$A$15:$A$28,F935)</f>
        <v>0</v>
      </c>
      <c r="AO935" s="32">
        <f t="shared" si="207"/>
        <v>0</v>
      </c>
      <c r="AP935" s="33">
        <f t="shared" si="210"/>
        <v>0</v>
      </c>
      <c r="AQ935" s="31">
        <f>SUMIFS(инфо!$H$15:$H$28,инфо!$A$15:$A$28,F935)</f>
        <v>0</v>
      </c>
      <c r="AR935" s="32">
        <f t="shared" si="208"/>
        <v>0</v>
      </c>
      <c r="AS935" s="33">
        <f t="shared" si="211"/>
        <v>0</v>
      </c>
      <c r="AT935" s="31">
        <f>SUMIFS(инфо!$I$15:$I$28,инфо!$A$15:$A$28,F935)</f>
        <v>0</v>
      </c>
      <c r="AU935" s="35">
        <f t="shared" si="216"/>
        <v>0</v>
      </c>
      <c r="AV935" s="33">
        <f t="shared" si="212"/>
        <v>0</v>
      </c>
      <c r="AX935" s="67">
        <f>SUMIFS(инфо!$C$15:$C$28,инфо!$A$15:$A$28,F935)*H934</f>
        <v>0</v>
      </c>
    </row>
    <row r="936" spans="1:50" x14ac:dyDescent="0.25">
      <c r="A936" s="70">
        <f t="shared" si="217"/>
        <v>46532</v>
      </c>
      <c r="B936" s="76"/>
      <c r="C936" s="15"/>
      <c r="D936" s="16"/>
      <c r="E936" s="11"/>
      <c r="F936" s="28"/>
      <c r="G936" s="34"/>
      <c r="H936" s="20"/>
      <c r="I936" s="20"/>
      <c r="J936" s="20"/>
      <c r="K936" s="20"/>
      <c r="L936" s="20"/>
      <c r="M936" s="20"/>
      <c r="N936" s="20"/>
      <c r="O936" s="34"/>
      <c r="P936" s="34"/>
      <c r="Q936" s="34"/>
      <c r="R936" s="34"/>
      <c r="S936" s="68">
        <f t="shared" si="213"/>
        <v>0</v>
      </c>
      <c r="T936" s="15"/>
      <c r="U936" s="16"/>
      <c r="V936" s="34"/>
      <c r="W936" s="34"/>
      <c r="X936" s="34"/>
      <c r="Y936" s="15"/>
      <c r="Z936" s="34"/>
      <c r="AA936" s="34"/>
      <c r="AB936" s="34"/>
      <c r="AC936" s="34"/>
      <c r="AD936" s="16"/>
      <c r="AE936" s="24">
        <f>SUMIFS(инфо!$D$15:$D$28,инфо!$A$15:$A$28,F936)</f>
        <v>0</v>
      </c>
      <c r="AF936" s="35">
        <f t="shared" si="204"/>
        <v>0</v>
      </c>
      <c r="AG936" s="12">
        <f t="shared" si="214"/>
        <v>0</v>
      </c>
      <c r="AH936" s="24">
        <f>SUMIFS(инфо!$E$15:$E$28,инфо!$A$15:$A$28,F936)</f>
        <v>0</v>
      </c>
      <c r="AI936" s="32">
        <f t="shared" si="205"/>
        <v>0</v>
      </c>
      <c r="AJ936" s="12">
        <f t="shared" si="215"/>
        <v>0</v>
      </c>
      <c r="AK936" s="24">
        <f>SUMIFS(инфо!$F$15:$F$28,инфо!$A$15:$A$28,F936)</f>
        <v>0</v>
      </c>
      <c r="AL936" s="32">
        <f t="shared" si="206"/>
        <v>0</v>
      </c>
      <c r="AM936" s="12">
        <f t="shared" si="209"/>
        <v>0</v>
      </c>
      <c r="AN936" s="24">
        <f>SUMIFS(инфо!$G$15:$G$28,инфо!$A$15:$A$28,F936)</f>
        <v>0</v>
      </c>
      <c r="AO936" s="32">
        <f t="shared" si="207"/>
        <v>0</v>
      </c>
      <c r="AP936" s="12">
        <f t="shared" si="210"/>
        <v>0</v>
      </c>
      <c r="AQ936" s="24">
        <f>SUMIFS(инфо!$H$15:$H$28,инфо!$A$15:$A$28,F936)</f>
        <v>0</v>
      </c>
      <c r="AR936" s="35">
        <f t="shared" si="208"/>
        <v>0</v>
      </c>
      <c r="AS936" s="12">
        <f t="shared" si="211"/>
        <v>0</v>
      </c>
      <c r="AT936" s="24">
        <f>SUMIFS(инфо!$I$15:$I$28,инфо!$A$15:$A$28,F936)</f>
        <v>0</v>
      </c>
      <c r="AU936" s="35">
        <f t="shared" si="216"/>
        <v>0</v>
      </c>
      <c r="AV936" s="12">
        <f t="shared" si="212"/>
        <v>0</v>
      </c>
      <c r="AX936" s="68">
        <f>SUMIFS(инфо!$C$15:$C$28,инфо!$A$15:$A$28,F936)*H935</f>
        <v>0</v>
      </c>
    </row>
    <row r="937" spans="1:50" x14ac:dyDescent="0.25">
      <c r="A937" s="70">
        <f t="shared" si="217"/>
        <v>46532</v>
      </c>
      <c r="B937" s="76"/>
      <c r="C937" s="15"/>
      <c r="D937" s="16"/>
      <c r="E937" s="11"/>
      <c r="F937" s="28"/>
      <c r="G937" s="34"/>
      <c r="H937" s="23"/>
      <c r="I937" s="20"/>
      <c r="J937" s="20"/>
      <c r="K937" s="20"/>
      <c r="L937" s="20"/>
      <c r="M937" s="20"/>
      <c r="N937" s="20"/>
      <c r="O937" s="34"/>
      <c r="P937" s="34"/>
      <c r="Q937" s="34"/>
      <c r="R937" s="34"/>
      <c r="S937" s="68">
        <f t="shared" si="213"/>
        <v>0</v>
      </c>
      <c r="T937" s="15"/>
      <c r="U937" s="16"/>
      <c r="V937" s="34"/>
      <c r="W937" s="34"/>
      <c r="X937" s="34"/>
      <c r="Y937" s="15"/>
      <c r="Z937" s="34"/>
      <c r="AA937" s="34"/>
      <c r="AB937" s="34"/>
      <c r="AC937" s="34"/>
      <c r="AD937" s="16"/>
      <c r="AE937" s="24">
        <f>SUMIFS(инфо!$D$15:$D$28,инфо!$A$15:$A$28,F937)</f>
        <v>0</v>
      </c>
      <c r="AF937" s="35">
        <f t="shared" si="204"/>
        <v>0</v>
      </c>
      <c r="AG937" s="12">
        <f t="shared" si="214"/>
        <v>0</v>
      </c>
      <c r="AH937" s="24">
        <f>SUMIFS(инфо!$E$15:$E$28,инфо!$A$15:$A$28,F937)</f>
        <v>0</v>
      </c>
      <c r="AI937" s="32">
        <f t="shared" si="205"/>
        <v>0</v>
      </c>
      <c r="AJ937" s="12">
        <f t="shared" si="215"/>
        <v>0</v>
      </c>
      <c r="AK937" s="24">
        <f>SUMIFS(инфо!$F$15:$F$28,инфо!$A$15:$A$28,F937)</f>
        <v>0</v>
      </c>
      <c r="AL937" s="32">
        <f t="shared" si="206"/>
        <v>0</v>
      </c>
      <c r="AM937" s="12">
        <f t="shared" si="209"/>
        <v>0</v>
      </c>
      <c r="AN937" s="24">
        <f>SUMIFS(инфо!$G$15:$G$28,инфо!$A$15:$A$28,F937)</f>
        <v>0</v>
      </c>
      <c r="AO937" s="32">
        <f t="shared" si="207"/>
        <v>0</v>
      </c>
      <c r="AP937" s="12">
        <f t="shared" si="210"/>
        <v>0</v>
      </c>
      <c r="AQ937" s="24">
        <f>SUMIFS(инфо!$H$15:$H$28,инфо!$A$15:$A$28,F937)</f>
        <v>0</v>
      </c>
      <c r="AR937" s="35">
        <f t="shared" si="208"/>
        <v>0</v>
      </c>
      <c r="AS937" s="12">
        <f t="shared" si="211"/>
        <v>0</v>
      </c>
      <c r="AT937" s="24">
        <f>SUMIFS(инфо!$I$15:$I$28,инфо!$A$15:$A$28,F937)</f>
        <v>0</v>
      </c>
      <c r="AU937" s="35">
        <f t="shared" si="216"/>
        <v>0</v>
      </c>
      <c r="AV937" s="12">
        <f t="shared" si="212"/>
        <v>0</v>
      </c>
      <c r="AX937" s="68">
        <f>SUMIFS(инфо!$C$15:$C$28,инфо!$A$15:$A$28,F937)*H936</f>
        <v>0</v>
      </c>
    </row>
    <row r="938" spans="1:50" x14ac:dyDescent="0.25">
      <c r="A938" s="70">
        <f t="shared" si="217"/>
        <v>46533</v>
      </c>
      <c r="B938" s="77"/>
      <c r="C938" s="17"/>
      <c r="D938" s="18"/>
      <c r="E938" s="11"/>
      <c r="F938" s="28"/>
      <c r="G938" s="19"/>
      <c r="H938" s="28"/>
      <c r="I938" s="20"/>
      <c r="J938" s="20"/>
      <c r="K938" s="20"/>
      <c r="L938" s="20"/>
      <c r="M938" s="20"/>
      <c r="N938" s="23"/>
      <c r="O938" s="19"/>
      <c r="P938" s="19"/>
      <c r="Q938" s="19"/>
      <c r="R938" s="19"/>
      <c r="S938" s="69">
        <f t="shared" si="213"/>
        <v>0</v>
      </c>
      <c r="T938" s="17"/>
      <c r="U938" s="18"/>
      <c r="V938" s="19"/>
      <c r="W938" s="19"/>
      <c r="X938" s="19"/>
      <c r="Y938" s="17"/>
      <c r="Z938" s="19"/>
      <c r="AA938" s="19"/>
      <c r="AB938" s="19"/>
      <c r="AC938" s="19"/>
      <c r="AD938" s="18"/>
      <c r="AE938" s="25">
        <f>SUMIFS(инфо!$D$15:$D$28,инфо!$A$15:$A$28,F938)</f>
        <v>0</v>
      </c>
      <c r="AF938" s="35">
        <f t="shared" si="204"/>
        <v>0</v>
      </c>
      <c r="AG938" s="14">
        <f t="shared" si="214"/>
        <v>0</v>
      </c>
      <c r="AH938" s="25">
        <f>SUMIFS(инфо!$E$15:$E$28,инфо!$A$15:$A$28,F938)</f>
        <v>0</v>
      </c>
      <c r="AI938" s="32">
        <f t="shared" si="205"/>
        <v>0</v>
      </c>
      <c r="AJ938" s="14">
        <f t="shared" si="215"/>
        <v>0</v>
      </c>
      <c r="AK938" s="25">
        <f>SUMIFS(инфо!$F$15:$F$28,инфо!$A$15:$A$28,F938)</f>
        <v>0</v>
      </c>
      <c r="AL938" s="32">
        <f t="shared" si="206"/>
        <v>0</v>
      </c>
      <c r="AM938" s="14">
        <f t="shared" si="209"/>
        <v>0</v>
      </c>
      <c r="AN938" s="25">
        <f>SUMIFS(инфо!$G$15:$G$28,инфо!$A$15:$A$28,F938)</f>
        <v>0</v>
      </c>
      <c r="AO938" s="32">
        <f t="shared" si="207"/>
        <v>0</v>
      </c>
      <c r="AP938" s="14">
        <f t="shared" si="210"/>
        <v>0</v>
      </c>
      <c r="AQ938" s="25">
        <f>SUMIFS(инфо!$H$15:$H$28,инфо!$A$15:$A$28,F938)</f>
        <v>0</v>
      </c>
      <c r="AR938" s="26">
        <f t="shared" si="208"/>
        <v>0</v>
      </c>
      <c r="AS938" s="14">
        <f t="shared" si="211"/>
        <v>0</v>
      </c>
      <c r="AT938" s="25">
        <f>SUMIFS(инфо!$I$15:$I$28,инфо!$A$15:$A$28,F938)</f>
        <v>0</v>
      </c>
      <c r="AU938" s="35">
        <f t="shared" si="216"/>
        <v>0</v>
      </c>
      <c r="AV938" s="14">
        <f t="shared" si="212"/>
        <v>0</v>
      </c>
      <c r="AX938" s="69">
        <f>SUMIFS(инфо!$C$15:$C$28,инфо!$A$15:$A$28,F938)*H937</f>
        <v>0</v>
      </c>
    </row>
    <row r="939" spans="1:50" x14ac:dyDescent="0.25">
      <c r="A939" s="70">
        <f t="shared" si="217"/>
        <v>46533</v>
      </c>
      <c r="B939" s="75"/>
      <c r="C939" s="29"/>
      <c r="D939" s="30"/>
      <c r="E939" s="11"/>
      <c r="F939" s="28"/>
      <c r="G939" s="27"/>
      <c r="H939" s="20"/>
      <c r="I939" s="20"/>
      <c r="J939" s="20"/>
      <c r="K939" s="20"/>
      <c r="L939" s="20"/>
      <c r="M939" s="20"/>
      <c r="N939" s="28"/>
      <c r="O939" s="27"/>
      <c r="P939" s="27"/>
      <c r="Q939" s="27"/>
      <c r="R939" s="27"/>
      <c r="S939" s="67">
        <f t="shared" si="213"/>
        <v>0</v>
      </c>
      <c r="T939" s="29"/>
      <c r="U939" s="30"/>
      <c r="V939" s="27"/>
      <c r="W939" s="27"/>
      <c r="X939" s="27"/>
      <c r="Y939" s="29"/>
      <c r="Z939" s="27"/>
      <c r="AA939" s="27"/>
      <c r="AB939" s="27"/>
      <c r="AC939" s="27"/>
      <c r="AD939" s="30"/>
      <c r="AE939" s="31">
        <f>SUMIFS(инфо!$D$15:$D$28,инфо!$A$15:$A$28,F939)</f>
        <v>0</v>
      </c>
      <c r="AF939" s="35">
        <f t="shared" si="204"/>
        <v>0</v>
      </c>
      <c r="AG939" s="33">
        <f t="shared" si="214"/>
        <v>0</v>
      </c>
      <c r="AH939" s="31">
        <f>SUMIFS(инфо!$E$15:$E$28,инфо!$A$15:$A$28,F939)</f>
        <v>0</v>
      </c>
      <c r="AI939" s="32">
        <f t="shared" si="205"/>
        <v>0</v>
      </c>
      <c r="AJ939" s="33">
        <f t="shared" si="215"/>
        <v>0</v>
      </c>
      <c r="AK939" s="31">
        <f>SUMIFS(инфо!$F$15:$F$28,инфо!$A$15:$A$28,F939)</f>
        <v>0</v>
      </c>
      <c r="AL939" s="32">
        <f t="shared" si="206"/>
        <v>0</v>
      </c>
      <c r="AM939" s="33">
        <f t="shared" si="209"/>
        <v>0</v>
      </c>
      <c r="AN939" s="31">
        <f>SUMIFS(инфо!$G$15:$G$28,инфо!$A$15:$A$28,F939)</f>
        <v>0</v>
      </c>
      <c r="AO939" s="32">
        <f t="shared" si="207"/>
        <v>0</v>
      </c>
      <c r="AP939" s="33">
        <f t="shared" si="210"/>
        <v>0</v>
      </c>
      <c r="AQ939" s="31">
        <f>SUMIFS(инфо!$H$15:$H$28,инфо!$A$15:$A$28,F939)</f>
        <v>0</v>
      </c>
      <c r="AR939" s="32">
        <f t="shared" si="208"/>
        <v>0</v>
      </c>
      <c r="AS939" s="33">
        <f t="shared" si="211"/>
        <v>0</v>
      </c>
      <c r="AT939" s="31">
        <f>SUMIFS(инфо!$I$15:$I$28,инфо!$A$15:$A$28,F939)</f>
        <v>0</v>
      </c>
      <c r="AU939" s="35">
        <f t="shared" si="216"/>
        <v>0</v>
      </c>
      <c r="AV939" s="33">
        <f t="shared" si="212"/>
        <v>0</v>
      </c>
      <c r="AX939" s="67">
        <f>SUMIFS(инфо!$C$15:$C$28,инфо!$A$15:$A$28,F939)*H938</f>
        <v>0</v>
      </c>
    </row>
    <row r="940" spans="1:50" x14ac:dyDescent="0.25">
      <c r="A940" s="70">
        <f t="shared" si="217"/>
        <v>46534</v>
      </c>
      <c r="B940" s="76"/>
      <c r="C940" s="15"/>
      <c r="D940" s="16"/>
      <c r="E940" s="11"/>
      <c r="F940" s="28"/>
      <c r="G940" s="34"/>
      <c r="H940" s="20"/>
      <c r="I940" s="20"/>
      <c r="J940" s="20"/>
      <c r="K940" s="20"/>
      <c r="L940" s="20"/>
      <c r="M940" s="20"/>
      <c r="N940" s="20"/>
      <c r="O940" s="34"/>
      <c r="P940" s="34"/>
      <c r="Q940" s="34"/>
      <c r="R940" s="34"/>
      <c r="S940" s="68">
        <f t="shared" si="213"/>
        <v>0</v>
      </c>
      <c r="T940" s="15"/>
      <c r="U940" s="16"/>
      <c r="V940" s="34"/>
      <c r="W940" s="34"/>
      <c r="X940" s="34"/>
      <c r="Y940" s="15"/>
      <c r="Z940" s="34"/>
      <c r="AA940" s="34"/>
      <c r="AB940" s="34"/>
      <c r="AC940" s="34"/>
      <c r="AD940" s="16"/>
      <c r="AE940" s="24">
        <f>SUMIFS(инфо!$D$15:$D$28,инфо!$A$15:$A$28,F940)</f>
        <v>0</v>
      </c>
      <c r="AF940" s="35">
        <f t="shared" si="204"/>
        <v>0</v>
      </c>
      <c r="AG940" s="12">
        <f t="shared" si="214"/>
        <v>0</v>
      </c>
      <c r="AH940" s="24">
        <f>SUMIFS(инфо!$E$15:$E$28,инфо!$A$15:$A$28,F940)</f>
        <v>0</v>
      </c>
      <c r="AI940" s="32">
        <f t="shared" si="205"/>
        <v>0</v>
      </c>
      <c r="AJ940" s="12">
        <f t="shared" si="215"/>
        <v>0</v>
      </c>
      <c r="AK940" s="24">
        <f>SUMIFS(инфо!$F$15:$F$28,инфо!$A$15:$A$28,F940)</f>
        <v>0</v>
      </c>
      <c r="AL940" s="32">
        <f t="shared" si="206"/>
        <v>0</v>
      </c>
      <c r="AM940" s="12">
        <f t="shared" si="209"/>
        <v>0</v>
      </c>
      <c r="AN940" s="24">
        <f>SUMIFS(инфо!$G$15:$G$28,инфо!$A$15:$A$28,F940)</f>
        <v>0</v>
      </c>
      <c r="AO940" s="32">
        <f t="shared" si="207"/>
        <v>0</v>
      </c>
      <c r="AP940" s="12">
        <f t="shared" si="210"/>
        <v>0</v>
      </c>
      <c r="AQ940" s="24">
        <f>SUMIFS(инфо!$H$15:$H$28,инфо!$A$15:$A$28,F940)</f>
        <v>0</v>
      </c>
      <c r="AR940" s="35">
        <f t="shared" si="208"/>
        <v>0</v>
      </c>
      <c r="AS940" s="12">
        <f t="shared" si="211"/>
        <v>0</v>
      </c>
      <c r="AT940" s="24">
        <f>SUMIFS(инфо!$I$15:$I$28,инфо!$A$15:$A$28,F940)</f>
        <v>0</v>
      </c>
      <c r="AU940" s="35">
        <f t="shared" si="216"/>
        <v>0</v>
      </c>
      <c r="AV940" s="12">
        <f t="shared" si="212"/>
        <v>0</v>
      </c>
      <c r="AX940" s="68">
        <f>SUMIFS(инфо!$C$15:$C$28,инфо!$A$15:$A$28,F940)*H939</f>
        <v>0</v>
      </c>
    </row>
    <row r="941" spans="1:50" x14ac:dyDescent="0.25">
      <c r="A941" s="70">
        <f t="shared" si="217"/>
        <v>46534</v>
      </c>
      <c r="B941" s="76"/>
      <c r="C941" s="15"/>
      <c r="D941" s="16"/>
      <c r="E941" s="11"/>
      <c r="F941" s="28"/>
      <c r="G941" s="34"/>
      <c r="H941" s="23"/>
      <c r="I941" s="20"/>
      <c r="J941" s="20"/>
      <c r="K941" s="20"/>
      <c r="L941" s="20"/>
      <c r="M941" s="20"/>
      <c r="N941" s="20"/>
      <c r="O941" s="34"/>
      <c r="P941" s="34"/>
      <c r="Q941" s="34"/>
      <c r="R941" s="34"/>
      <c r="S941" s="68">
        <f t="shared" si="213"/>
        <v>0</v>
      </c>
      <c r="T941" s="15"/>
      <c r="U941" s="16"/>
      <c r="V941" s="34"/>
      <c r="W941" s="34"/>
      <c r="X941" s="34"/>
      <c r="Y941" s="15"/>
      <c r="Z941" s="34"/>
      <c r="AA941" s="34"/>
      <c r="AB941" s="34"/>
      <c r="AC941" s="34"/>
      <c r="AD941" s="16"/>
      <c r="AE941" s="24">
        <f>SUMIFS(инфо!$D$15:$D$28,инфо!$A$15:$A$28,F941)</f>
        <v>0</v>
      </c>
      <c r="AF941" s="35">
        <f t="shared" ref="AF941:AF1004" si="218">IF(H941=0,0,N941/H941)</f>
        <v>0</v>
      </c>
      <c r="AG941" s="12">
        <f t="shared" si="214"/>
        <v>0</v>
      </c>
      <c r="AH941" s="24">
        <f>SUMIFS(инфо!$E$15:$E$28,инфо!$A$15:$A$28,F941)</f>
        <v>0</v>
      </c>
      <c r="AI941" s="32">
        <f t="shared" ref="AI941:AI1004" si="219">IF(H941=0,0,S941/H941)</f>
        <v>0</v>
      </c>
      <c r="AJ941" s="12">
        <f t="shared" si="215"/>
        <v>0</v>
      </c>
      <c r="AK941" s="24">
        <f>SUMIFS(инфо!$F$15:$F$28,инфо!$A$15:$A$28,F941)</f>
        <v>0</v>
      </c>
      <c r="AL941" s="32">
        <f t="shared" ref="AL941:AL1004" si="220">IF(H941=0,0,Y941/H941)</f>
        <v>0</v>
      </c>
      <c r="AM941" s="12">
        <f t="shared" si="209"/>
        <v>0</v>
      </c>
      <c r="AN941" s="24">
        <f>SUMIFS(инфо!$G$15:$G$28,инфо!$A$15:$A$28,F941)</f>
        <v>0</v>
      </c>
      <c r="AO941" s="32">
        <f t="shared" ref="AO941:AO1004" si="221">IF(H941=0,0,AA941/H941)</f>
        <v>0</v>
      </c>
      <c r="AP941" s="12">
        <f t="shared" si="210"/>
        <v>0</v>
      </c>
      <c r="AQ941" s="24">
        <f>SUMIFS(инфо!$H$15:$H$28,инфо!$A$15:$A$28,F941)</f>
        <v>0</v>
      </c>
      <c r="AR941" s="35">
        <f t="shared" si="208"/>
        <v>0</v>
      </c>
      <c r="AS941" s="12">
        <f t="shared" si="211"/>
        <v>0</v>
      </c>
      <c r="AT941" s="24">
        <f>SUMIFS(инфо!$I$15:$I$28,инфо!$A$15:$A$28,F941)</f>
        <v>0</v>
      </c>
      <c r="AU941" s="35">
        <f t="shared" si="216"/>
        <v>0</v>
      </c>
      <c r="AV941" s="12">
        <f t="shared" si="212"/>
        <v>0</v>
      </c>
      <c r="AX941" s="68">
        <f>SUMIFS(инфо!$C$15:$C$28,инфо!$A$15:$A$28,F941)*H940</f>
        <v>0</v>
      </c>
    </row>
    <row r="942" spans="1:50" x14ac:dyDescent="0.25">
      <c r="A942" s="70">
        <f t="shared" si="217"/>
        <v>46535</v>
      </c>
      <c r="B942" s="77"/>
      <c r="C942" s="17"/>
      <c r="D942" s="18"/>
      <c r="E942" s="11"/>
      <c r="F942" s="28"/>
      <c r="G942" s="19"/>
      <c r="H942" s="28"/>
      <c r="I942" s="20"/>
      <c r="J942" s="20"/>
      <c r="K942" s="20"/>
      <c r="L942" s="20"/>
      <c r="M942" s="20"/>
      <c r="N942" s="23"/>
      <c r="O942" s="19"/>
      <c r="P942" s="19"/>
      <c r="Q942" s="19"/>
      <c r="R942" s="19"/>
      <c r="S942" s="69">
        <f t="shared" si="213"/>
        <v>0</v>
      </c>
      <c r="T942" s="17"/>
      <c r="U942" s="18"/>
      <c r="V942" s="19"/>
      <c r="W942" s="19"/>
      <c r="X942" s="19"/>
      <c r="Y942" s="17"/>
      <c r="Z942" s="19"/>
      <c r="AA942" s="19"/>
      <c r="AB942" s="19"/>
      <c r="AC942" s="19"/>
      <c r="AD942" s="18"/>
      <c r="AE942" s="25">
        <f>SUMIFS(инфо!$D$15:$D$28,инфо!$A$15:$A$28,F942)</f>
        <v>0</v>
      </c>
      <c r="AF942" s="35">
        <f t="shared" si="218"/>
        <v>0</v>
      </c>
      <c r="AG942" s="14">
        <f t="shared" si="214"/>
        <v>0</v>
      </c>
      <c r="AH942" s="25">
        <f>SUMIFS(инфо!$E$15:$E$28,инфо!$A$15:$A$28,F942)</f>
        <v>0</v>
      </c>
      <c r="AI942" s="32">
        <f t="shared" si="219"/>
        <v>0</v>
      </c>
      <c r="AJ942" s="14">
        <f t="shared" si="215"/>
        <v>0</v>
      </c>
      <c r="AK942" s="25">
        <f>SUMIFS(инфо!$F$15:$F$28,инфо!$A$15:$A$28,F942)</f>
        <v>0</v>
      </c>
      <c r="AL942" s="32">
        <f t="shared" si="220"/>
        <v>0</v>
      </c>
      <c r="AM942" s="14">
        <f t="shared" si="209"/>
        <v>0</v>
      </c>
      <c r="AN942" s="25">
        <f>SUMIFS(инфо!$G$15:$G$28,инфо!$A$15:$A$28,F942)</f>
        <v>0</v>
      </c>
      <c r="AO942" s="32">
        <f t="shared" si="221"/>
        <v>0</v>
      </c>
      <c r="AP942" s="14">
        <f t="shared" si="210"/>
        <v>0</v>
      </c>
      <c r="AQ942" s="25">
        <f>SUMIFS(инфо!$H$15:$H$28,инфо!$A$15:$A$28,F942)</f>
        <v>0</v>
      </c>
      <c r="AR942" s="26">
        <f t="shared" ref="AR942:AR1005" si="222">IF(H941=0,0,AC942/H941)</f>
        <v>0</v>
      </c>
      <c r="AS942" s="14">
        <f t="shared" si="211"/>
        <v>0</v>
      </c>
      <c r="AT942" s="25">
        <f>SUMIFS(инфо!$I$15:$I$28,инфо!$A$15:$A$28,F942)</f>
        <v>0</v>
      </c>
      <c r="AU942" s="35">
        <f t="shared" si="216"/>
        <v>0</v>
      </c>
      <c r="AV942" s="14">
        <f t="shared" si="212"/>
        <v>0</v>
      </c>
      <c r="AX942" s="69">
        <f>SUMIFS(инфо!$C$15:$C$28,инфо!$A$15:$A$28,F942)*H941</f>
        <v>0</v>
      </c>
    </row>
    <row r="943" spans="1:50" x14ac:dyDescent="0.25">
      <c r="A943" s="70">
        <f t="shared" si="217"/>
        <v>46535</v>
      </c>
      <c r="B943" s="75"/>
      <c r="C943" s="29"/>
      <c r="D943" s="30"/>
      <c r="E943" s="11"/>
      <c r="F943" s="28"/>
      <c r="G943" s="27"/>
      <c r="H943" s="20"/>
      <c r="I943" s="20"/>
      <c r="J943" s="20"/>
      <c r="K943" s="20"/>
      <c r="L943" s="20"/>
      <c r="M943" s="20"/>
      <c r="N943" s="28"/>
      <c r="O943" s="27"/>
      <c r="P943" s="27"/>
      <c r="Q943" s="27"/>
      <c r="R943" s="27"/>
      <c r="S943" s="67">
        <f t="shared" si="213"/>
        <v>0</v>
      </c>
      <c r="T943" s="29"/>
      <c r="U943" s="30"/>
      <c r="V943" s="27"/>
      <c r="W943" s="27"/>
      <c r="X943" s="27"/>
      <c r="Y943" s="29"/>
      <c r="Z943" s="27"/>
      <c r="AA943" s="27"/>
      <c r="AB943" s="27"/>
      <c r="AC943" s="27"/>
      <c r="AD943" s="30"/>
      <c r="AE943" s="31">
        <f>SUMIFS(инфо!$D$15:$D$28,инфо!$A$15:$A$28,F943)</f>
        <v>0</v>
      </c>
      <c r="AF943" s="35">
        <f t="shared" si="218"/>
        <v>0</v>
      </c>
      <c r="AG943" s="33">
        <f t="shared" si="214"/>
        <v>0</v>
      </c>
      <c r="AH943" s="31">
        <f>SUMIFS(инфо!$E$15:$E$28,инфо!$A$15:$A$28,F943)</f>
        <v>0</v>
      </c>
      <c r="AI943" s="32">
        <f t="shared" si="219"/>
        <v>0</v>
      </c>
      <c r="AJ943" s="33">
        <f t="shared" si="215"/>
        <v>0</v>
      </c>
      <c r="AK943" s="31">
        <f>SUMIFS(инфо!$F$15:$F$28,инфо!$A$15:$A$28,F943)</f>
        <v>0</v>
      </c>
      <c r="AL943" s="32">
        <f t="shared" si="220"/>
        <v>0</v>
      </c>
      <c r="AM943" s="33">
        <f t="shared" ref="AM943:AM1006" si="223">AL943-AK943</f>
        <v>0</v>
      </c>
      <c r="AN943" s="31">
        <f>SUMIFS(инфо!$G$15:$G$28,инфо!$A$15:$A$28,F943)</f>
        <v>0</v>
      </c>
      <c r="AO943" s="32">
        <f t="shared" si="221"/>
        <v>0</v>
      </c>
      <c r="AP943" s="33">
        <f t="shared" ref="AP943:AP1006" si="224">AO943-AN943</f>
        <v>0</v>
      </c>
      <c r="AQ943" s="31">
        <f>SUMIFS(инфо!$H$15:$H$28,инфо!$A$15:$A$28,F943)</f>
        <v>0</v>
      </c>
      <c r="AR943" s="32">
        <f t="shared" si="222"/>
        <v>0</v>
      </c>
      <c r="AS943" s="33">
        <f t="shared" ref="AS943:AS1006" si="225">AR943-AQ943</f>
        <v>0</v>
      </c>
      <c r="AT943" s="31">
        <f>SUMIFS(инфо!$I$15:$I$28,инфо!$A$15:$A$28,F943)</f>
        <v>0</v>
      </c>
      <c r="AU943" s="35">
        <f t="shared" si="216"/>
        <v>0</v>
      </c>
      <c r="AV943" s="33">
        <f t="shared" ref="AV943:AV1006" si="226">AU943-AT943</f>
        <v>0</v>
      </c>
      <c r="AX943" s="67">
        <f>SUMIFS(инфо!$C$15:$C$28,инфо!$A$15:$A$28,F943)*H942</f>
        <v>0</v>
      </c>
    </row>
    <row r="944" spans="1:50" x14ac:dyDescent="0.25">
      <c r="A944" s="70">
        <f t="shared" si="217"/>
        <v>46536</v>
      </c>
      <c r="B944" s="76"/>
      <c r="C944" s="15"/>
      <c r="D944" s="16"/>
      <c r="E944" s="11"/>
      <c r="F944" s="28"/>
      <c r="G944" s="34"/>
      <c r="H944" s="20"/>
      <c r="I944" s="20"/>
      <c r="J944" s="20"/>
      <c r="K944" s="20"/>
      <c r="L944" s="20"/>
      <c r="M944" s="20"/>
      <c r="N944" s="20"/>
      <c r="O944" s="34"/>
      <c r="P944" s="34"/>
      <c r="Q944" s="34"/>
      <c r="R944" s="34"/>
      <c r="S944" s="68">
        <f t="shared" ref="S944:S1007" si="227">SUM(O944:R944)</f>
        <v>0</v>
      </c>
      <c r="T944" s="15"/>
      <c r="U944" s="16"/>
      <c r="V944" s="34"/>
      <c r="W944" s="34"/>
      <c r="X944" s="34"/>
      <c r="Y944" s="15"/>
      <c r="Z944" s="34"/>
      <c r="AA944" s="34"/>
      <c r="AB944" s="34"/>
      <c r="AC944" s="34"/>
      <c r="AD944" s="16"/>
      <c r="AE944" s="24">
        <f>SUMIFS(инфо!$D$15:$D$28,инфо!$A$15:$A$28,F944)</f>
        <v>0</v>
      </c>
      <c r="AF944" s="35">
        <f t="shared" si="218"/>
        <v>0</v>
      </c>
      <c r="AG944" s="12">
        <f t="shared" si="214"/>
        <v>0</v>
      </c>
      <c r="AH944" s="24">
        <f>SUMIFS(инфо!$E$15:$E$28,инфо!$A$15:$A$28,F944)</f>
        <v>0</v>
      </c>
      <c r="AI944" s="32">
        <f t="shared" si="219"/>
        <v>0</v>
      </c>
      <c r="AJ944" s="12">
        <f t="shared" si="215"/>
        <v>0</v>
      </c>
      <c r="AK944" s="24">
        <f>SUMIFS(инфо!$F$15:$F$28,инфо!$A$15:$A$28,F944)</f>
        <v>0</v>
      </c>
      <c r="AL944" s="32">
        <f t="shared" si="220"/>
        <v>0</v>
      </c>
      <c r="AM944" s="12">
        <f t="shared" si="223"/>
        <v>0</v>
      </c>
      <c r="AN944" s="24">
        <f>SUMIFS(инфо!$G$15:$G$28,инфо!$A$15:$A$28,F944)</f>
        <v>0</v>
      </c>
      <c r="AO944" s="32">
        <f t="shared" si="221"/>
        <v>0</v>
      </c>
      <c r="AP944" s="12">
        <f t="shared" si="224"/>
        <v>0</v>
      </c>
      <c r="AQ944" s="24">
        <f>SUMIFS(инфо!$H$15:$H$28,инфо!$A$15:$A$28,F944)</f>
        <v>0</v>
      </c>
      <c r="AR944" s="35">
        <f t="shared" si="222"/>
        <v>0</v>
      </c>
      <c r="AS944" s="12">
        <f t="shared" si="225"/>
        <v>0</v>
      </c>
      <c r="AT944" s="24">
        <f>SUMIFS(инфо!$I$15:$I$28,инфо!$A$15:$A$28,F944)</f>
        <v>0</v>
      </c>
      <c r="AU944" s="35">
        <f t="shared" si="216"/>
        <v>0</v>
      </c>
      <c r="AV944" s="12">
        <f t="shared" si="226"/>
        <v>0</v>
      </c>
      <c r="AX944" s="68">
        <f>SUMIFS(инфо!$C$15:$C$28,инфо!$A$15:$A$28,F944)*H943</f>
        <v>0</v>
      </c>
    </row>
    <row r="945" spans="1:50" x14ac:dyDescent="0.25">
      <c r="A945" s="70">
        <f t="shared" si="217"/>
        <v>46536</v>
      </c>
      <c r="B945" s="76"/>
      <c r="C945" s="15"/>
      <c r="D945" s="16"/>
      <c r="E945" s="11"/>
      <c r="F945" s="28"/>
      <c r="G945" s="34"/>
      <c r="H945" s="23"/>
      <c r="I945" s="20"/>
      <c r="J945" s="20"/>
      <c r="K945" s="20"/>
      <c r="L945" s="20"/>
      <c r="M945" s="20"/>
      <c r="N945" s="20"/>
      <c r="O945" s="34"/>
      <c r="P945" s="34"/>
      <c r="Q945" s="34"/>
      <c r="R945" s="34"/>
      <c r="S945" s="68">
        <f t="shared" si="227"/>
        <v>0</v>
      </c>
      <c r="T945" s="15"/>
      <c r="U945" s="16"/>
      <c r="V945" s="34"/>
      <c r="W945" s="34"/>
      <c r="X945" s="34"/>
      <c r="Y945" s="15"/>
      <c r="Z945" s="34"/>
      <c r="AA945" s="34"/>
      <c r="AB945" s="34"/>
      <c r="AC945" s="34"/>
      <c r="AD945" s="16"/>
      <c r="AE945" s="24">
        <f>SUMIFS(инфо!$D$15:$D$28,инфо!$A$15:$A$28,F945)</f>
        <v>0</v>
      </c>
      <c r="AF945" s="35">
        <f t="shared" si="218"/>
        <v>0</v>
      </c>
      <c r="AG945" s="12">
        <f t="shared" si="214"/>
        <v>0</v>
      </c>
      <c r="AH945" s="24">
        <f>SUMIFS(инфо!$E$15:$E$28,инфо!$A$15:$A$28,F945)</f>
        <v>0</v>
      </c>
      <c r="AI945" s="32">
        <f t="shared" si="219"/>
        <v>0</v>
      </c>
      <c r="AJ945" s="12">
        <f t="shared" si="215"/>
        <v>0</v>
      </c>
      <c r="AK945" s="24">
        <f>SUMIFS(инфо!$F$15:$F$28,инфо!$A$15:$A$28,F945)</f>
        <v>0</v>
      </c>
      <c r="AL945" s="32">
        <f t="shared" si="220"/>
        <v>0</v>
      </c>
      <c r="AM945" s="12">
        <f t="shared" si="223"/>
        <v>0</v>
      </c>
      <c r="AN945" s="24">
        <f>SUMIFS(инфо!$G$15:$G$28,инфо!$A$15:$A$28,F945)</f>
        <v>0</v>
      </c>
      <c r="AO945" s="32">
        <f t="shared" si="221"/>
        <v>0</v>
      </c>
      <c r="AP945" s="12">
        <f t="shared" si="224"/>
        <v>0</v>
      </c>
      <c r="AQ945" s="24">
        <f>SUMIFS(инфо!$H$15:$H$28,инфо!$A$15:$A$28,F945)</f>
        <v>0</v>
      </c>
      <c r="AR945" s="35">
        <f t="shared" si="222"/>
        <v>0</v>
      </c>
      <c r="AS945" s="12">
        <f t="shared" si="225"/>
        <v>0</v>
      </c>
      <c r="AT945" s="24">
        <f>SUMIFS(инфо!$I$15:$I$28,инфо!$A$15:$A$28,F945)</f>
        <v>0</v>
      </c>
      <c r="AU945" s="35">
        <f t="shared" si="216"/>
        <v>0</v>
      </c>
      <c r="AV945" s="12">
        <f t="shared" si="226"/>
        <v>0</v>
      </c>
      <c r="AX945" s="68">
        <f>SUMIFS(инфо!$C$15:$C$28,инфо!$A$15:$A$28,F945)*H944</f>
        <v>0</v>
      </c>
    </row>
    <row r="946" spans="1:50" x14ac:dyDescent="0.25">
      <c r="A946" s="70">
        <f t="shared" si="217"/>
        <v>46537</v>
      </c>
      <c r="B946" s="77"/>
      <c r="C946" s="17"/>
      <c r="D946" s="18"/>
      <c r="E946" s="11"/>
      <c r="F946" s="28"/>
      <c r="G946" s="19"/>
      <c r="H946" s="28"/>
      <c r="I946" s="20"/>
      <c r="J946" s="20"/>
      <c r="K946" s="20"/>
      <c r="L946" s="20"/>
      <c r="M946" s="20"/>
      <c r="N946" s="23"/>
      <c r="O946" s="19"/>
      <c r="P946" s="19"/>
      <c r="Q946" s="19"/>
      <c r="R946" s="19"/>
      <c r="S946" s="69">
        <f t="shared" si="227"/>
        <v>0</v>
      </c>
      <c r="T946" s="17"/>
      <c r="U946" s="18"/>
      <c r="V946" s="19"/>
      <c r="W946" s="19"/>
      <c r="X946" s="19"/>
      <c r="Y946" s="17"/>
      <c r="Z946" s="19"/>
      <c r="AA946" s="19"/>
      <c r="AB946" s="19"/>
      <c r="AC946" s="19"/>
      <c r="AD946" s="18"/>
      <c r="AE946" s="25">
        <f>SUMIFS(инфо!$D$15:$D$28,инфо!$A$15:$A$28,F946)</f>
        <v>0</v>
      </c>
      <c r="AF946" s="35">
        <f t="shared" si="218"/>
        <v>0</v>
      </c>
      <c r="AG946" s="14">
        <f t="shared" si="214"/>
        <v>0</v>
      </c>
      <c r="AH946" s="25">
        <f>SUMIFS(инфо!$E$15:$E$28,инфо!$A$15:$A$28,F946)</f>
        <v>0</v>
      </c>
      <c r="AI946" s="32">
        <f t="shared" si="219"/>
        <v>0</v>
      </c>
      <c r="AJ946" s="14">
        <f t="shared" si="215"/>
        <v>0</v>
      </c>
      <c r="AK946" s="25">
        <f>SUMIFS(инфо!$F$15:$F$28,инфо!$A$15:$A$28,F946)</f>
        <v>0</v>
      </c>
      <c r="AL946" s="32">
        <f t="shared" si="220"/>
        <v>0</v>
      </c>
      <c r="AM946" s="14">
        <f t="shared" si="223"/>
        <v>0</v>
      </c>
      <c r="AN946" s="25">
        <f>SUMIFS(инфо!$G$15:$G$28,инфо!$A$15:$A$28,F946)</f>
        <v>0</v>
      </c>
      <c r="AO946" s="32">
        <f t="shared" si="221"/>
        <v>0</v>
      </c>
      <c r="AP946" s="14">
        <f t="shared" si="224"/>
        <v>0</v>
      </c>
      <c r="AQ946" s="25">
        <f>SUMIFS(инфо!$H$15:$H$28,инфо!$A$15:$A$28,F946)</f>
        <v>0</v>
      </c>
      <c r="AR946" s="26">
        <f t="shared" si="222"/>
        <v>0</v>
      </c>
      <c r="AS946" s="14">
        <f t="shared" si="225"/>
        <v>0</v>
      </c>
      <c r="AT946" s="25">
        <f>SUMIFS(инфо!$I$15:$I$28,инфо!$A$15:$A$28,F946)</f>
        <v>0</v>
      </c>
      <c r="AU946" s="35">
        <f t="shared" si="216"/>
        <v>0</v>
      </c>
      <c r="AV946" s="14">
        <f t="shared" si="226"/>
        <v>0</v>
      </c>
      <c r="AX946" s="69">
        <f>SUMIFS(инфо!$C$15:$C$28,инфо!$A$15:$A$28,F946)*H945</f>
        <v>0</v>
      </c>
    </row>
    <row r="947" spans="1:50" x14ac:dyDescent="0.25">
      <c r="A947" s="70">
        <f t="shared" si="217"/>
        <v>46537</v>
      </c>
      <c r="B947" s="75"/>
      <c r="C947" s="29"/>
      <c r="D947" s="30"/>
      <c r="E947" s="11"/>
      <c r="F947" s="28"/>
      <c r="G947" s="27"/>
      <c r="H947" s="20"/>
      <c r="I947" s="20"/>
      <c r="J947" s="20"/>
      <c r="K947" s="20"/>
      <c r="L947" s="20"/>
      <c r="M947" s="20"/>
      <c r="N947" s="28"/>
      <c r="O947" s="27"/>
      <c r="P947" s="27"/>
      <c r="Q947" s="27"/>
      <c r="R947" s="27"/>
      <c r="S947" s="67">
        <f t="shared" si="227"/>
        <v>0</v>
      </c>
      <c r="T947" s="29"/>
      <c r="U947" s="30"/>
      <c r="V947" s="27"/>
      <c r="W947" s="27"/>
      <c r="X947" s="27"/>
      <c r="Y947" s="29"/>
      <c r="Z947" s="27"/>
      <c r="AA947" s="27"/>
      <c r="AB947" s="27"/>
      <c r="AC947" s="27"/>
      <c r="AD947" s="30"/>
      <c r="AE947" s="31">
        <f>SUMIFS(инфо!$D$15:$D$28,инфо!$A$15:$A$28,F947)</f>
        <v>0</v>
      </c>
      <c r="AF947" s="35">
        <f t="shared" si="218"/>
        <v>0</v>
      </c>
      <c r="AG947" s="33">
        <f t="shared" si="214"/>
        <v>0</v>
      </c>
      <c r="AH947" s="31">
        <f>SUMIFS(инфо!$E$15:$E$28,инфо!$A$15:$A$28,F947)</f>
        <v>0</v>
      </c>
      <c r="AI947" s="32">
        <f t="shared" si="219"/>
        <v>0</v>
      </c>
      <c r="AJ947" s="33">
        <f t="shared" si="215"/>
        <v>0</v>
      </c>
      <c r="AK947" s="31">
        <f>SUMIFS(инфо!$F$15:$F$28,инфо!$A$15:$A$28,F947)</f>
        <v>0</v>
      </c>
      <c r="AL947" s="32">
        <f t="shared" si="220"/>
        <v>0</v>
      </c>
      <c r="AM947" s="33">
        <f t="shared" si="223"/>
        <v>0</v>
      </c>
      <c r="AN947" s="31">
        <f>SUMIFS(инфо!$G$15:$G$28,инфо!$A$15:$A$28,F947)</f>
        <v>0</v>
      </c>
      <c r="AO947" s="32">
        <f t="shared" si="221"/>
        <v>0</v>
      </c>
      <c r="AP947" s="33">
        <f t="shared" si="224"/>
        <v>0</v>
      </c>
      <c r="AQ947" s="31">
        <f>SUMIFS(инфо!$H$15:$H$28,инфо!$A$15:$A$28,F947)</f>
        <v>0</v>
      </c>
      <c r="AR947" s="32">
        <f t="shared" si="222"/>
        <v>0</v>
      </c>
      <c r="AS947" s="33">
        <f t="shared" si="225"/>
        <v>0</v>
      </c>
      <c r="AT947" s="31">
        <f>SUMIFS(инфо!$I$15:$I$28,инфо!$A$15:$A$28,F947)</f>
        <v>0</v>
      </c>
      <c r="AU947" s="35">
        <f t="shared" si="216"/>
        <v>0</v>
      </c>
      <c r="AV947" s="33">
        <f t="shared" si="226"/>
        <v>0</v>
      </c>
      <c r="AX947" s="67">
        <f>SUMIFS(инфо!$C$15:$C$28,инфо!$A$15:$A$28,F947)*H946</f>
        <v>0</v>
      </c>
    </row>
    <row r="948" spans="1:50" x14ac:dyDescent="0.25">
      <c r="A948" s="70">
        <f t="shared" si="217"/>
        <v>46538</v>
      </c>
      <c r="B948" s="76"/>
      <c r="C948" s="15"/>
      <c r="D948" s="16"/>
      <c r="E948" s="11"/>
      <c r="F948" s="28"/>
      <c r="G948" s="34"/>
      <c r="H948" s="20"/>
      <c r="I948" s="20"/>
      <c r="J948" s="20"/>
      <c r="K948" s="20"/>
      <c r="L948" s="20"/>
      <c r="M948" s="20"/>
      <c r="N948" s="20"/>
      <c r="O948" s="34"/>
      <c r="P948" s="34"/>
      <c r="Q948" s="34"/>
      <c r="R948" s="34"/>
      <c r="S948" s="68">
        <f t="shared" si="227"/>
        <v>0</v>
      </c>
      <c r="T948" s="15"/>
      <c r="U948" s="16"/>
      <c r="V948" s="34"/>
      <c r="W948" s="34"/>
      <c r="X948" s="34"/>
      <c r="Y948" s="15"/>
      <c r="Z948" s="34"/>
      <c r="AA948" s="34"/>
      <c r="AB948" s="34"/>
      <c r="AC948" s="34"/>
      <c r="AD948" s="16"/>
      <c r="AE948" s="24">
        <f>SUMIFS(инфо!$D$15:$D$28,инфо!$A$15:$A$28,F948)</f>
        <v>0</v>
      </c>
      <c r="AF948" s="35">
        <f t="shared" si="218"/>
        <v>0</v>
      </c>
      <c r="AG948" s="12">
        <f t="shared" si="214"/>
        <v>0</v>
      </c>
      <c r="AH948" s="24">
        <f>SUMIFS(инфо!$E$15:$E$28,инфо!$A$15:$A$28,F948)</f>
        <v>0</v>
      </c>
      <c r="AI948" s="32">
        <f t="shared" si="219"/>
        <v>0</v>
      </c>
      <c r="AJ948" s="12">
        <f t="shared" si="215"/>
        <v>0</v>
      </c>
      <c r="AK948" s="24">
        <f>SUMIFS(инфо!$F$15:$F$28,инфо!$A$15:$A$28,F948)</f>
        <v>0</v>
      </c>
      <c r="AL948" s="32">
        <f t="shared" si="220"/>
        <v>0</v>
      </c>
      <c r="AM948" s="12">
        <f t="shared" si="223"/>
        <v>0</v>
      </c>
      <c r="AN948" s="24">
        <f>SUMIFS(инфо!$G$15:$G$28,инфо!$A$15:$A$28,F948)</f>
        <v>0</v>
      </c>
      <c r="AO948" s="32">
        <f t="shared" si="221"/>
        <v>0</v>
      </c>
      <c r="AP948" s="12">
        <f t="shared" si="224"/>
        <v>0</v>
      </c>
      <c r="AQ948" s="24">
        <f>SUMIFS(инфо!$H$15:$H$28,инфо!$A$15:$A$28,F948)</f>
        <v>0</v>
      </c>
      <c r="AR948" s="35">
        <f t="shared" si="222"/>
        <v>0</v>
      </c>
      <c r="AS948" s="12">
        <f t="shared" si="225"/>
        <v>0</v>
      </c>
      <c r="AT948" s="24">
        <f>SUMIFS(инфо!$I$15:$I$28,инфо!$A$15:$A$28,F948)</f>
        <v>0</v>
      </c>
      <c r="AU948" s="35">
        <f t="shared" si="216"/>
        <v>0</v>
      </c>
      <c r="AV948" s="12">
        <f t="shared" si="226"/>
        <v>0</v>
      </c>
      <c r="AX948" s="68">
        <f>SUMIFS(инфо!$C$15:$C$28,инфо!$A$15:$A$28,F948)*H947</f>
        <v>0</v>
      </c>
    </row>
    <row r="949" spans="1:50" x14ac:dyDescent="0.25">
      <c r="A949" s="70">
        <f t="shared" si="217"/>
        <v>46538</v>
      </c>
      <c r="B949" s="76"/>
      <c r="C949" s="15"/>
      <c r="D949" s="16"/>
      <c r="E949" s="11"/>
      <c r="F949" s="28"/>
      <c r="G949" s="34"/>
      <c r="H949" s="23"/>
      <c r="I949" s="20"/>
      <c r="J949" s="20"/>
      <c r="K949" s="20"/>
      <c r="L949" s="20"/>
      <c r="M949" s="20"/>
      <c r="N949" s="20"/>
      <c r="O949" s="34"/>
      <c r="P949" s="34"/>
      <c r="Q949" s="34"/>
      <c r="R949" s="34"/>
      <c r="S949" s="68">
        <f t="shared" si="227"/>
        <v>0</v>
      </c>
      <c r="T949" s="15"/>
      <c r="U949" s="16"/>
      <c r="V949" s="34"/>
      <c r="W949" s="34"/>
      <c r="X949" s="34"/>
      <c r="Y949" s="15"/>
      <c r="Z949" s="34"/>
      <c r="AA949" s="34"/>
      <c r="AB949" s="34"/>
      <c r="AC949" s="34"/>
      <c r="AD949" s="16"/>
      <c r="AE949" s="24">
        <f>SUMIFS(инфо!$D$15:$D$28,инфо!$A$15:$A$28,F949)</f>
        <v>0</v>
      </c>
      <c r="AF949" s="35">
        <f t="shared" si="218"/>
        <v>0</v>
      </c>
      <c r="AG949" s="12">
        <f t="shared" si="214"/>
        <v>0</v>
      </c>
      <c r="AH949" s="24">
        <f>SUMIFS(инфо!$E$15:$E$28,инфо!$A$15:$A$28,F949)</f>
        <v>0</v>
      </c>
      <c r="AI949" s="32">
        <f t="shared" si="219"/>
        <v>0</v>
      </c>
      <c r="AJ949" s="12">
        <f t="shared" si="215"/>
        <v>0</v>
      </c>
      <c r="AK949" s="24">
        <f>SUMIFS(инфо!$F$15:$F$28,инфо!$A$15:$A$28,F949)</f>
        <v>0</v>
      </c>
      <c r="AL949" s="32">
        <f t="shared" si="220"/>
        <v>0</v>
      </c>
      <c r="AM949" s="12">
        <f t="shared" si="223"/>
        <v>0</v>
      </c>
      <c r="AN949" s="24">
        <f>SUMIFS(инфо!$G$15:$G$28,инфо!$A$15:$A$28,F949)</f>
        <v>0</v>
      </c>
      <c r="AO949" s="32">
        <f t="shared" si="221"/>
        <v>0</v>
      </c>
      <c r="AP949" s="12">
        <f t="shared" si="224"/>
        <v>0</v>
      </c>
      <c r="AQ949" s="24">
        <f>SUMIFS(инфо!$H$15:$H$28,инфо!$A$15:$A$28,F949)</f>
        <v>0</v>
      </c>
      <c r="AR949" s="35">
        <f t="shared" si="222"/>
        <v>0</v>
      </c>
      <c r="AS949" s="12">
        <f t="shared" si="225"/>
        <v>0</v>
      </c>
      <c r="AT949" s="24">
        <f>SUMIFS(инфо!$I$15:$I$28,инфо!$A$15:$A$28,F949)</f>
        <v>0</v>
      </c>
      <c r="AU949" s="35">
        <f t="shared" si="216"/>
        <v>0</v>
      </c>
      <c r="AV949" s="12">
        <f t="shared" si="226"/>
        <v>0</v>
      </c>
      <c r="AX949" s="68">
        <f>SUMIFS(инфо!$C$15:$C$28,инфо!$A$15:$A$28,F949)*H948</f>
        <v>0</v>
      </c>
    </row>
    <row r="950" spans="1:50" x14ac:dyDescent="0.25">
      <c r="A950" s="70">
        <f t="shared" si="217"/>
        <v>46539</v>
      </c>
      <c r="B950" s="77"/>
      <c r="C950" s="17"/>
      <c r="D950" s="18"/>
      <c r="E950" s="11"/>
      <c r="F950" s="28"/>
      <c r="G950" s="19"/>
      <c r="H950" s="28"/>
      <c r="I950" s="20"/>
      <c r="J950" s="20"/>
      <c r="K950" s="20"/>
      <c r="L950" s="20"/>
      <c r="M950" s="20"/>
      <c r="N950" s="23"/>
      <c r="O950" s="19"/>
      <c r="P950" s="19"/>
      <c r="Q950" s="19"/>
      <c r="R950" s="19"/>
      <c r="S950" s="69">
        <f t="shared" si="227"/>
        <v>0</v>
      </c>
      <c r="T950" s="17"/>
      <c r="U950" s="18"/>
      <c r="V950" s="19"/>
      <c r="W950" s="19"/>
      <c r="X950" s="19"/>
      <c r="Y950" s="17"/>
      <c r="Z950" s="19"/>
      <c r="AA950" s="19"/>
      <c r="AB950" s="19"/>
      <c r="AC950" s="19"/>
      <c r="AD950" s="18"/>
      <c r="AE950" s="25">
        <f>SUMIFS(инфо!$D$15:$D$28,инфо!$A$15:$A$28,F950)</f>
        <v>0</v>
      </c>
      <c r="AF950" s="35">
        <f t="shared" si="218"/>
        <v>0</v>
      </c>
      <c r="AG950" s="14">
        <f t="shared" si="214"/>
        <v>0</v>
      </c>
      <c r="AH950" s="25">
        <f>SUMIFS(инфо!$E$15:$E$28,инфо!$A$15:$A$28,F950)</f>
        <v>0</v>
      </c>
      <c r="AI950" s="32">
        <f t="shared" si="219"/>
        <v>0</v>
      </c>
      <c r="AJ950" s="14">
        <f t="shared" si="215"/>
        <v>0</v>
      </c>
      <c r="AK950" s="25">
        <f>SUMIFS(инфо!$F$15:$F$28,инфо!$A$15:$A$28,F950)</f>
        <v>0</v>
      </c>
      <c r="AL950" s="32">
        <f t="shared" si="220"/>
        <v>0</v>
      </c>
      <c r="AM950" s="14">
        <f t="shared" si="223"/>
        <v>0</v>
      </c>
      <c r="AN950" s="25">
        <f>SUMIFS(инфо!$G$15:$G$28,инфо!$A$15:$A$28,F950)</f>
        <v>0</v>
      </c>
      <c r="AO950" s="32">
        <f t="shared" si="221"/>
        <v>0</v>
      </c>
      <c r="AP950" s="14">
        <f t="shared" si="224"/>
        <v>0</v>
      </c>
      <c r="AQ950" s="25">
        <f>SUMIFS(инфо!$H$15:$H$28,инфо!$A$15:$A$28,F950)</f>
        <v>0</v>
      </c>
      <c r="AR950" s="26">
        <f t="shared" si="222"/>
        <v>0</v>
      </c>
      <c r="AS950" s="14">
        <f t="shared" si="225"/>
        <v>0</v>
      </c>
      <c r="AT950" s="25">
        <f>SUMIFS(инфо!$I$15:$I$28,инфо!$A$15:$A$28,F950)</f>
        <v>0</v>
      </c>
      <c r="AU950" s="35">
        <f t="shared" si="216"/>
        <v>0</v>
      </c>
      <c r="AV950" s="14">
        <f t="shared" si="226"/>
        <v>0</v>
      </c>
      <c r="AX950" s="69">
        <f>SUMIFS(инфо!$C$15:$C$28,инфо!$A$15:$A$28,F950)*H949</f>
        <v>0</v>
      </c>
    </row>
    <row r="951" spans="1:50" x14ac:dyDescent="0.25">
      <c r="A951" s="70">
        <f t="shared" si="217"/>
        <v>46539</v>
      </c>
      <c r="B951" s="75"/>
      <c r="C951" s="29"/>
      <c r="D951" s="30"/>
      <c r="E951" s="11"/>
      <c r="F951" s="28"/>
      <c r="G951" s="27"/>
      <c r="H951" s="20"/>
      <c r="I951" s="20"/>
      <c r="J951" s="20"/>
      <c r="K951" s="20"/>
      <c r="L951" s="20"/>
      <c r="M951" s="20"/>
      <c r="N951" s="28"/>
      <c r="O951" s="27"/>
      <c r="P951" s="27"/>
      <c r="Q951" s="27"/>
      <c r="R951" s="27"/>
      <c r="S951" s="67">
        <f t="shared" si="227"/>
        <v>0</v>
      </c>
      <c r="T951" s="29"/>
      <c r="U951" s="30"/>
      <c r="V951" s="27"/>
      <c r="W951" s="27"/>
      <c r="X951" s="27"/>
      <c r="Y951" s="29"/>
      <c r="Z951" s="27"/>
      <c r="AA951" s="27"/>
      <c r="AB951" s="27"/>
      <c r="AC951" s="27"/>
      <c r="AD951" s="30"/>
      <c r="AE951" s="31">
        <f>SUMIFS(инфо!$D$15:$D$28,инфо!$A$15:$A$28,F951)</f>
        <v>0</v>
      </c>
      <c r="AF951" s="35">
        <f t="shared" si="218"/>
        <v>0</v>
      </c>
      <c r="AG951" s="33">
        <f t="shared" si="214"/>
        <v>0</v>
      </c>
      <c r="AH951" s="31">
        <f>SUMIFS(инфо!$E$15:$E$28,инфо!$A$15:$A$28,F951)</f>
        <v>0</v>
      </c>
      <c r="AI951" s="32">
        <f t="shared" si="219"/>
        <v>0</v>
      </c>
      <c r="AJ951" s="33">
        <f t="shared" si="215"/>
        <v>0</v>
      </c>
      <c r="AK951" s="31">
        <f>SUMIFS(инфо!$F$15:$F$28,инфо!$A$15:$A$28,F951)</f>
        <v>0</v>
      </c>
      <c r="AL951" s="32">
        <f t="shared" si="220"/>
        <v>0</v>
      </c>
      <c r="AM951" s="33">
        <f t="shared" si="223"/>
        <v>0</v>
      </c>
      <c r="AN951" s="31">
        <f>SUMIFS(инфо!$G$15:$G$28,инфо!$A$15:$A$28,F951)</f>
        <v>0</v>
      </c>
      <c r="AO951" s="32">
        <f t="shared" si="221"/>
        <v>0</v>
      </c>
      <c r="AP951" s="33">
        <f t="shared" si="224"/>
        <v>0</v>
      </c>
      <c r="AQ951" s="31">
        <f>SUMIFS(инфо!$H$15:$H$28,инфо!$A$15:$A$28,F951)</f>
        <v>0</v>
      </c>
      <c r="AR951" s="32">
        <f t="shared" si="222"/>
        <v>0</v>
      </c>
      <c r="AS951" s="33">
        <f t="shared" si="225"/>
        <v>0</v>
      </c>
      <c r="AT951" s="31">
        <f>SUMIFS(инфо!$I$15:$I$28,инфо!$A$15:$A$28,F951)</f>
        <v>0</v>
      </c>
      <c r="AU951" s="35">
        <f t="shared" si="216"/>
        <v>0</v>
      </c>
      <c r="AV951" s="33">
        <f t="shared" si="226"/>
        <v>0</v>
      </c>
      <c r="AX951" s="67">
        <f>SUMIFS(инфо!$C$15:$C$28,инфо!$A$15:$A$28,F951)*H950</f>
        <v>0</v>
      </c>
    </row>
    <row r="952" spans="1:50" x14ac:dyDescent="0.25">
      <c r="A952" s="70">
        <f t="shared" si="217"/>
        <v>46540</v>
      </c>
      <c r="B952" s="76"/>
      <c r="C952" s="15"/>
      <c r="D952" s="16"/>
      <c r="E952" s="11"/>
      <c r="F952" s="28"/>
      <c r="G952" s="34"/>
      <c r="H952" s="20"/>
      <c r="I952" s="20"/>
      <c r="J952" s="20"/>
      <c r="K952" s="20"/>
      <c r="L952" s="20"/>
      <c r="M952" s="20"/>
      <c r="N952" s="20"/>
      <c r="O952" s="34"/>
      <c r="P952" s="34"/>
      <c r="Q952" s="34"/>
      <c r="R952" s="34"/>
      <c r="S952" s="68">
        <f t="shared" si="227"/>
        <v>0</v>
      </c>
      <c r="T952" s="15"/>
      <c r="U952" s="16"/>
      <c r="V952" s="34"/>
      <c r="W952" s="34"/>
      <c r="X952" s="34"/>
      <c r="Y952" s="15"/>
      <c r="Z952" s="34"/>
      <c r="AA952" s="34"/>
      <c r="AB952" s="34"/>
      <c r="AC952" s="34"/>
      <c r="AD952" s="16"/>
      <c r="AE952" s="24">
        <f>SUMIFS(инфо!$D$15:$D$28,инфо!$A$15:$A$28,F952)</f>
        <v>0</v>
      </c>
      <c r="AF952" s="35">
        <f t="shared" si="218"/>
        <v>0</v>
      </c>
      <c r="AG952" s="12">
        <f t="shared" si="214"/>
        <v>0</v>
      </c>
      <c r="AH952" s="24">
        <f>SUMIFS(инфо!$E$15:$E$28,инфо!$A$15:$A$28,F952)</f>
        <v>0</v>
      </c>
      <c r="AI952" s="32">
        <f t="shared" si="219"/>
        <v>0</v>
      </c>
      <c r="AJ952" s="12">
        <f t="shared" si="215"/>
        <v>0</v>
      </c>
      <c r="AK952" s="24">
        <f>SUMIFS(инфо!$F$15:$F$28,инфо!$A$15:$A$28,F952)</f>
        <v>0</v>
      </c>
      <c r="AL952" s="32">
        <f t="shared" si="220"/>
        <v>0</v>
      </c>
      <c r="AM952" s="12">
        <f t="shared" si="223"/>
        <v>0</v>
      </c>
      <c r="AN952" s="24">
        <f>SUMIFS(инфо!$G$15:$G$28,инфо!$A$15:$A$28,F952)</f>
        <v>0</v>
      </c>
      <c r="AO952" s="32">
        <f t="shared" si="221"/>
        <v>0</v>
      </c>
      <c r="AP952" s="12">
        <f t="shared" si="224"/>
        <v>0</v>
      </c>
      <c r="AQ952" s="24">
        <f>SUMIFS(инфо!$H$15:$H$28,инфо!$A$15:$A$28,F952)</f>
        <v>0</v>
      </c>
      <c r="AR952" s="35">
        <f t="shared" si="222"/>
        <v>0</v>
      </c>
      <c r="AS952" s="12">
        <f t="shared" si="225"/>
        <v>0</v>
      </c>
      <c r="AT952" s="24">
        <f>SUMIFS(инфо!$I$15:$I$28,инфо!$A$15:$A$28,F952)</f>
        <v>0</v>
      </c>
      <c r="AU952" s="35">
        <f t="shared" si="216"/>
        <v>0</v>
      </c>
      <c r="AV952" s="12">
        <f t="shared" si="226"/>
        <v>0</v>
      </c>
      <c r="AX952" s="68">
        <f>SUMIFS(инфо!$C$15:$C$28,инфо!$A$15:$A$28,F952)*H951</f>
        <v>0</v>
      </c>
    </row>
    <row r="953" spans="1:50" x14ac:dyDescent="0.25">
      <c r="A953" s="70">
        <f t="shared" si="217"/>
        <v>46540</v>
      </c>
      <c r="B953" s="76"/>
      <c r="C953" s="15"/>
      <c r="D953" s="16"/>
      <c r="E953" s="11"/>
      <c r="F953" s="28"/>
      <c r="G953" s="34"/>
      <c r="H953" s="23"/>
      <c r="I953" s="20"/>
      <c r="J953" s="20"/>
      <c r="K953" s="20"/>
      <c r="L953" s="20"/>
      <c r="M953" s="20"/>
      <c r="N953" s="20"/>
      <c r="O953" s="34"/>
      <c r="P953" s="34"/>
      <c r="Q953" s="34"/>
      <c r="R953" s="34"/>
      <c r="S953" s="68">
        <f t="shared" si="227"/>
        <v>0</v>
      </c>
      <c r="T953" s="15"/>
      <c r="U953" s="16"/>
      <c r="V953" s="34"/>
      <c r="W953" s="34"/>
      <c r="X953" s="34"/>
      <c r="Y953" s="15"/>
      <c r="Z953" s="34"/>
      <c r="AA953" s="34"/>
      <c r="AB953" s="34"/>
      <c r="AC953" s="34"/>
      <c r="AD953" s="16"/>
      <c r="AE953" s="24">
        <f>SUMIFS(инфо!$D$15:$D$28,инфо!$A$15:$A$28,F953)</f>
        <v>0</v>
      </c>
      <c r="AF953" s="35">
        <f t="shared" si="218"/>
        <v>0</v>
      </c>
      <c r="AG953" s="12">
        <f t="shared" si="214"/>
        <v>0</v>
      </c>
      <c r="AH953" s="24">
        <f>SUMIFS(инфо!$E$15:$E$28,инфо!$A$15:$A$28,F953)</f>
        <v>0</v>
      </c>
      <c r="AI953" s="32">
        <f t="shared" si="219"/>
        <v>0</v>
      </c>
      <c r="AJ953" s="12">
        <f t="shared" si="215"/>
        <v>0</v>
      </c>
      <c r="AK953" s="24">
        <f>SUMIFS(инфо!$F$15:$F$28,инфо!$A$15:$A$28,F953)</f>
        <v>0</v>
      </c>
      <c r="AL953" s="32">
        <f t="shared" si="220"/>
        <v>0</v>
      </c>
      <c r="AM953" s="12">
        <f t="shared" si="223"/>
        <v>0</v>
      </c>
      <c r="AN953" s="24">
        <f>SUMIFS(инфо!$G$15:$G$28,инфо!$A$15:$A$28,F953)</f>
        <v>0</v>
      </c>
      <c r="AO953" s="32">
        <f t="shared" si="221"/>
        <v>0</v>
      </c>
      <c r="AP953" s="12">
        <f t="shared" si="224"/>
        <v>0</v>
      </c>
      <c r="AQ953" s="24">
        <f>SUMIFS(инфо!$H$15:$H$28,инфо!$A$15:$A$28,F953)</f>
        <v>0</v>
      </c>
      <c r="AR953" s="35">
        <f t="shared" si="222"/>
        <v>0</v>
      </c>
      <c r="AS953" s="12">
        <f t="shared" si="225"/>
        <v>0</v>
      </c>
      <c r="AT953" s="24">
        <f>SUMIFS(инфо!$I$15:$I$28,инфо!$A$15:$A$28,F953)</f>
        <v>0</v>
      </c>
      <c r="AU953" s="35">
        <f t="shared" si="216"/>
        <v>0</v>
      </c>
      <c r="AV953" s="12">
        <f t="shared" si="226"/>
        <v>0</v>
      </c>
      <c r="AX953" s="68">
        <f>SUMIFS(инфо!$C$15:$C$28,инфо!$A$15:$A$28,F953)*H952</f>
        <v>0</v>
      </c>
    </row>
    <row r="954" spans="1:50" x14ac:dyDescent="0.25">
      <c r="A954" s="70">
        <f t="shared" si="217"/>
        <v>46541</v>
      </c>
      <c r="B954" s="77"/>
      <c r="C954" s="17"/>
      <c r="D954" s="18"/>
      <c r="E954" s="11"/>
      <c r="F954" s="28"/>
      <c r="G954" s="19"/>
      <c r="H954" s="28"/>
      <c r="I954" s="20"/>
      <c r="J954" s="20"/>
      <c r="K954" s="20"/>
      <c r="L954" s="20"/>
      <c r="M954" s="20"/>
      <c r="N954" s="23"/>
      <c r="O954" s="19"/>
      <c r="P954" s="19"/>
      <c r="Q954" s="19"/>
      <c r="R954" s="19"/>
      <c r="S954" s="69">
        <f t="shared" si="227"/>
        <v>0</v>
      </c>
      <c r="T954" s="17"/>
      <c r="U954" s="18"/>
      <c r="V954" s="19"/>
      <c r="W954" s="19"/>
      <c r="X954" s="19"/>
      <c r="Y954" s="17"/>
      <c r="Z954" s="19"/>
      <c r="AA954" s="19"/>
      <c r="AB954" s="19"/>
      <c r="AC954" s="19"/>
      <c r="AD954" s="18"/>
      <c r="AE954" s="25">
        <f>SUMIFS(инфо!$D$15:$D$28,инфо!$A$15:$A$28,F954)</f>
        <v>0</v>
      </c>
      <c r="AF954" s="35">
        <f t="shared" si="218"/>
        <v>0</v>
      </c>
      <c r="AG954" s="14">
        <f t="shared" si="214"/>
        <v>0</v>
      </c>
      <c r="AH954" s="25">
        <f>SUMIFS(инфо!$E$15:$E$28,инфо!$A$15:$A$28,F954)</f>
        <v>0</v>
      </c>
      <c r="AI954" s="32">
        <f t="shared" si="219"/>
        <v>0</v>
      </c>
      <c r="AJ954" s="14">
        <f t="shared" si="215"/>
        <v>0</v>
      </c>
      <c r="AK954" s="25">
        <f>SUMIFS(инфо!$F$15:$F$28,инфо!$A$15:$A$28,F954)</f>
        <v>0</v>
      </c>
      <c r="AL954" s="32">
        <f t="shared" si="220"/>
        <v>0</v>
      </c>
      <c r="AM954" s="14">
        <f t="shared" si="223"/>
        <v>0</v>
      </c>
      <c r="AN954" s="25">
        <f>SUMIFS(инфо!$G$15:$G$28,инфо!$A$15:$A$28,F954)</f>
        <v>0</v>
      </c>
      <c r="AO954" s="32">
        <f t="shared" si="221"/>
        <v>0</v>
      </c>
      <c r="AP954" s="14">
        <f t="shared" si="224"/>
        <v>0</v>
      </c>
      <c r="AQ954" s="25">
        <f>SUMIFS(инфо!$H$15:$H$28,инфо!$A$15:$A$28,F954)</f>
        <v>0</v>
      </c>
      <c r="AR954" s="26">
        <f t="shared" si="222"/>
        <v>0</v>
      </c>
      <c r="AS954" s="14">
        <f t="shared" si="225"/>
        <v>0</v>
      </c>
      <c r="AT954" s="25">
        <f>SUMIFS(инфо!$I$15:$I$28,инфо!$A$15:$A$28,F954)</f>
        <v>0</v>
      </c>
      <c r="AU954" s="35">
        <f t="shared" si="216"/>
        <v>0</v>
      </c>
      <c r="AV954" s="14">
        <f t="shared" si="226"/>
        <v>0</v>
      </c>
      <c r="AX954" s="69">
        <f>SUMIFS(инфо!$C$15:$C$28,инфо!$A$15:$A$28,F954)*H953</f>
        <v>0</v>
      </c>
    </row>
    <row r="955" spans="1:50" x14ac:dyDescent="0.25">
      <c r="A955" s="70">
        <f t="shared" si="217"/>
        <v>46541</v>
      </c>
      <c r="B955" s="75"/>
      <c r="C955" s="29"/>
      <c r="D955" s="30"/>
      <c r="E955" s="11"/>
      <c r="F955" s="28"/>
      <c r="G955" s="27"/>
      <c r="H955" s="20"/>
      <c r="I955" s="20"/>
      <c r="J955" s="20"/>
      <c r="K955" s="20"/>
      <c r="L955" s="20"/>
      <c r="M955" s="20"/>
      <c r="N955" s="28"/>
      <c r="O955" s="27"/>
      <c r="P955" s="27"/>
      <c r="Q955" s="27"/>
      <c r="R955" s="27"/>
      <c r="S955" s="67">
        <f t="shared" si="227"/>
        <v>0</v>
      </c>
      <c r="T955" s="29"/>
      <c r="U955" s="30"/>
      <c r="V955" s="27"/>
      <c r="W955" s="27"/>
      <c r="X955" s="27"/>
      <c r="Y955" s="29"/>
      <c r="Z955" s="27"/>
      <c r="AA955" s="27"/>
      <c r="AB955" s="27"/>
      <c r="AC955" s="27"/>
      <c r="AD955" s="30"/>
      <c r="AE955" s="31">
        <f>SUMIFS(инфо!$D$15:$D$28,инфо!$A$15:$A$28,F955)</f>
        <v>0</v>
      </c>
      <c r="AF955" s="35">
        <f t="shared" si="218"/>
        <v>0</v>
      </c>
      <c r="AG955" s="33">
        <f t="shared" si="214"/>
        <v>0</v>
      </c>
      <c r="AH955" s="31">
        <f>SUMIFS(инфо!$E$15:$E$28,инфо!$A$15:$A$28,F955)</f>
        <v>0</v>
      </c>
      <c r="AI955" s="32">
        <f t="shared" si="219"/>
        <v>0</v>
      </c>
      <c r="AJ955" s="33">
        <f t="shared" si="215"/>
        <v>0</v>
      </c>
      <c r="AK955" s="31">
        <f>SUMIFS(инфо!$F$15:$F$28,инфо!$A$15:$A$28,F955)</f>
        <v>0</v>
      </c>
      <c r="AL955" s="32">
        <f t="shared" si="220"/>
        <v>0</v>
      </c>
      <c r="AM955" s="33">
        <f t="shared" si="223"/>
        <v>0</v>
      </c>
      <c r="AN955" s="31">
        <f>SUMIFS(инфо!$G$15:$G$28,инфо!$A$15:$A$28,F955)</f>
        <v>0</v>
      </c>
      <c r="AO955" s="32">
        <f t="shared" si="221"/>
        <v>0</v>
      </c>
      <c r="AP955" s="33">
        <f t="shared" si="224"/>
        <v>0</v>
      </c>
      <c r="AQ955" s="31">
        <f>SUMIFS(инфо!$H$15:$H$28,инфо!$A$15:$A$28,F955)</f>
        <v>0</v>
      </c>
      <c r="AR955" s="32">
        <f t="shared" si="222"/>
        <v>0</v>
      </c>
      <c r="AS955" s="33">
        <f t="shared" si="225"/>
        <v>0</v>
      </c>
      <c r="AT955" s="31">
        <f>SUMIFS(инфо!$I$15:$I$28,инфо!$A$15:$A$28,F955)</f>
        <v>0</v>
      </c>
      <c r="AU955" s="35">
        <f t="shared" si="216"/>
        <v>0</v>
      </c>
      <c r="AV955" s="33">
        <f t="shared" si="226"/>
        <v>0</v>
      </c>
      <c r="AX955" s="67">
        <f>SUMIFS(инфо!$C$15:$C$28,инфо!$A$15:$A$28,F955)*H954</f>
        <v>0</v>
      </c>
    </row>
    <row r="956" spans="1:50" x14ac:dyDescent="0.25">
      <c r="A956" s="70">
        <f t="shared" si="217"/>
        <v>46542</v>
      </c>
      <c r="B956" s="76"/>
      <c r="C956" s="15"/>
      <c r="D956" s="16"/>
      <c r="E956" s="11"/>
      <c r="F956" s="28"/>
      <c r="G956" s="34"/>
      <c r="H956" s="20"/>
      <c r="I956" s="20"/>
      <c r="J956" s="20"/>
      <c r="K956" s="20"/>
      <c r="L956" s="20"/>
      <c r="M956" s="20"/>
      <c r="N956" s="20"/>
      <c r="O956" s="34"/>
      <c r="P956" s="34"/>
      <c r="Q956" s="34"/>
      <c r="R956" s="34"/>
      <c r="S956" s="68">
        <f t="shared" si="227"/>
        <v>0</v>
      </c>
      <c r="T956" s="15"/>
      <c r="U956" s="16"/>
      <c r="V956" s="34"/>
      <c r="W956" s="34"/>
      <c r="X956" s="34"/>
      <c r="Y956" s="15"/>
      <c r="Z956" s="34"/>
      <c r="AA956" s="34"/>
      <c r="AB956" s="34"/>
      <c r="AC956" s="34"/>
      <c r="AD956" s="16"/>
      <c r="AE956" s="24">
        <f>SUMIFS(инфо!$D$15:$D$28,инфо!$A$15:$A$28,F956)</f>
        <v>0</v>
      </c>
      <c r="AF956" s="35">
        <f t="shared" si="218"/>
        <v>0</v>
      </c>
      <c r="AG956" s="12">
        <f t="shared" si="214"/>
        <v>0</v>
      </c>
      <c r="AH956" s="24">
        <f>SUMIFS(инфо!$E$15:$E$28,инфо!$A$15:$A$28,F956)</f>
        <v>0</v>
      </c>
      <c r="AI956" s="32">
        <f t="shared" si="219"/>
        <v>0</v>
      </c>
      <c r="AJ956" s="12">
        <f t="shared" si="215"/>
        <v>0</v>
      </c>
      <c r="AK956" s="24">
        <f>SUMIFS(инфо!$F$15:$F$28,инфо!$A$15:$A$28,F956)</f>
        <v>0</v>
      </c>
      <c r="AL956" s="32">
        <f t="shared" si="220"/>
        <v>0</v>
      </c>
      <c r="AM956" s="12">
        <f t="shared" si="223"/>
        <v>0</v>
      </c>
      <c r="AN956" s="24">
        <f>SUMIFS(инфо!$G$15:$G$28,инфо!$A$15:$A$28,F956)</f>
        <v>0</v>
      </c>
      <c r="AO956" s="32">
        <f t="shared" si="221"/>
        <v>0</v>
      </c>
      <c r="AP956" s="12">
        <f t="shared" si="224"/>
        <v>0</v>
      </c>
      <c r="AQ956" s="24">
        <f>SUMIFS(инфо!$H$15:$H$28,инфо!$A$15:$A$28,F956)</f>
        <v>0</v>
      </c>
      <c r="AR956" s="35">
        <f t="shared" si="222"/>
        <v>0</v>
      </c>
      <c r="AS956" s="12">
        <f t="shared" si="225"/>
        <v>0</v>
      </c>
      <c r="AT956" s="24">
        <f>SUMIFS(инфо!$I$15:$I$28,инфо!$A$15:$A$28,F956)</f>
        <v>0</v>
      </c>
      <c r="AU956" s="35">
        <f t="shared" si="216"/>
        <v>0</v>
      </c>
      <c r="AV956" s="12">
        <f t="shared" si="226"/>
        <v>0</v>
      </c>
      <c r="AX956" s="68">
        <f>SUMIFS(инфо!$C$15:$C$28,инфо!$A$15:$A$28,F956)*H955</f>
        <v>0</v>
      </c>
    </row>
    <row r="957" spans="1:50" x14ac:dyDescent="0.25">
      <c r="A957" s="70">
        <f t="shared" si="217"/>
        <v>46542</v>
      </c>
      <c r="B957" s="76"/>
      <c r="C957" s="15"/>
      <c r="D957" s="16"/>
      <c r="E957" s="11"/>
      <c r="F957" s="28"/>
      <c r="G957" s="34"/>
      <c r="H957" s="23"/>
      <c r="I957" s="20"/>
      <c r="J957" s="20"/>
      <c r="K957" s="20"/>
      <c r="L957" s="20"/>
      <c r="M957" s="20"/>
      <c r="N957" s="20"/>
      <c r="O957" s="34"/>
      <c r="P957" s="34"/>
      <c r="Q957" s="34"/>
      <c r="R957" s="34"/>
      <c r="S957" s="68">
        <f t="shared" si="227"/>
        <v>0</v>
      </c>
      <c r="T957" s="15"/>
      <c r="U957" s="16"/>
      <c r="V957" s="34"/>
      <c r="W957" s="34"/>
      <c r="X957" s="34"/>
      <c r="Y957" s="15"/>
      <c r="Z957" s="34"/>
      <c r="AA957" s="34"/>
      <c r="AB957" s="34"/>
      <c r="AC957" s="34"/>
      <c r="AD957" s="16"/>
      <c r="AE957" s="24">
        <f>SUMIFS(инфо!$D$15:$D$28,инфо!$A$15:$A$28,F957)</f>
        <v>0</v>
      </c>
      <c r="AF957" s="35">
        <f t="shared" si="218"/>
        <v>0</v>
      </c>
      <c r="AG957" s="12">
        <f t="shared" ref="AG957:AG1020" si="228">AF957-AE957</f>
        <v>0</v>
      </c>
      <c r="AH957" s="24">
        <f>SUMIFS(инфо!$E$15:$E$28,инфо!$A$15:$A$28,F957)</f>
        <v>0</v>
      </c>
      <c r="AI957" s="32">
        <f t="shared" si="219"/>
        <v>0</v>
      </c>
      <c r="AJ957" s="12">
        <f t="shared" ref="AJ957:AJ1020" si="229">AI957-AH957</f>
        <v>0</v>
      </c>
      <c r="AK957" s="24">
        <f>SUMIFS(инфо!$F$15:$F$28,инфо!$A$15:$A$28,F957)</f>
        <v>0</v>
      </c>
      <c r="AL957" s="32">
        <f t="shared" si="220"/>
        <v>0</v>
      </c>
      <c r="AM957" s="12">
        <f t="shared" si="223"/>
        <v>0</v>
      </c>
      <c r="AN957" s="24">
        <f>SUMIFS(инфо!$G$15:$G$28,инфо!$A$15:$A$28,F957)</f>
        <v>0</v>
      </c>
      <c r="AO957" s="32">
        <f t="shared" si="221"/>
        <v>0</v>
      </c>
      <c r="AP957" s="12">
        <f t="shared" si="224"/>
        <v>0</v>
      </c>
      <c r="AQ957" s="24">
        <f>SUMIFS(инфо!$H$15:$H$28,инфо!$A$15:$A$28,F957)</f>
        <v>0</v>
      </c>
      <c r="AR957" s="35">
        <f t="shared" si="222"/>
        <v>0</v>
      </c>
      <c r="AS957" s="12">
        <f t="shared" si="225"/>
        <v>0</v>
      </c>
      <c r="AT957" s="24">
        <f>SUMIFS(инфо!$I$15:$I$28,инфо!$A$15:$A$28,F957)</f>
        <v>0</v>
      </c>
      <c r="AU957" s="35">
        <f t="shared" si="216"/>
        <v>0</v>
      </c>
      <c r="AV957" s="12">
        <f t="shared" si="226"/>
        <v>0</v>
      </c>
      <c r="AX957" s="68">
        <f>SUMIFS(инфо!$C$15:$C$28,инфо!$A$15:$A$28,F957)*H956</f>
        <v>0</v>
      </c>
    </row>
    <row r="958" spans="1:50" x14ac:dyDescent="0.25">
      <c r="A958" s="70">
        <f t="shared" si="217"/>
        <v>46543</v>
      </c>
      <c r="B958" s="77"/>
      <c r="C958" s="17"/>
      <c r="D958" s="18"/>
      <c r="E958" s="11"/>
      <c r="F958" s="28"/>
      <c r="G958" s="19"/>
      <c r="H958" s="28"/>
      <c r="I958" s="20"/>
      <c r="J958" s="20"/>
      <c r="K958" s="20"/>
      <c r="L958" s="20"/>
      <c r="M958" s="20"/>
      <c r="N958" s="23"/>
      <c r="O958" s="19"/>
      <c r="P958" s="19"/>
      <c r="Q958" s="19"/>
      <c r="R958" s="19"/>
      <c r="S958" s="69">
        <f t="shared" si="227"/>
        <v>0</v>
      </c>
      <c r="T958" s="17"/>
      <c r="U958" s="18"/>
      <c r="V958" s="19"/>
      <c r="W958" s="19"/>
      <c r="X958" s="19"/>
      <c r="Y958" s="17"/>
      <c r="Z958" s="19"/>
      <c r="AA958" s="19"/>
      <c r="AB958" s="19"/>
      <c r="AC958" s="19"/>
      <c r="AD958" s="18"/>
      <c r="AE958" s="25">
        <f>SUMIFS(инфо!$D$15:$D$28,инфо!$A$15:$A$28,F958)</f>
        <v>0</v>
      </c>
      <c r="AF958" s="35">
        <f t="shared" si="218"/>
        <v>0</v>
      </c>
      <c r="AG958" s="14">
        <f t="shared" si="228"/>
        <v>0</v>
      </c>
      <c r="AH958" s="25">
        <f>SUMIFS(инфо!$E$15:$E$28,инфо!$A$15:$A$28,F958)</f>
        <v>0</v>
      </c>
      <c r="AI958" s="32">
        <f t="shared" si="219"/>
        <v>0</v>
      </c>
      <c r="AJ958" s="14">
        <f t="shared" si="229"/>
        <v>0</v>
      </c>
      <c r="AK958" s="25">
        <f>SUMIFS(инфо!$F$15:$F$28,инфо!$A$15:$A$28,F958)</f>
        <v>0</v>
      </c>
      <c r="AL958" s="32">
        <f t="shared" si="220"/>
        <v>0</v>
      </c>
      <c r="AM958" s="14">
        <f t="shared" si="223"/>
        <v>0</v>
      </c>
      <c r="AN958" s="25">
        <f>SUMIFS(инфо!$G$15:$G$28,инфо!$A$15:$A$28,F958)</f>
        <v>0</v>
      </c>
      <c r="AO958" s="32">
        <f t="shared" si="221"/>
        <v>0</v>
      </c>
      <c r="AP958" s="14">
        <f t="shared" si="224"/>
        <v>0</v>
      </c>
      <c r="AQ958" s="25">
        <f>SUMIFS(инфо!$H$15:$H$28,инфо!$A$15:$A$28,F958)</f>
        <v>0</v>
      </c>
      <c r="AR958" s="26">
        <f t="shared" si="222"/>
        <v>0</v>
      </c>
      <c r="AS958" s="14">
        <f t="shared" si="225"/>
        <v>0</v>
      </c>
      <c r="AT958" s="25">
        <f>SUMIFS(инфо!$I$15:$I$28,инфо!$A$15:$A$28,F958)</f>
        <v>0</v>
      </c>
      <c r="AU958" s="35">
        <f t="shared" si="216"/>
        <v>0</v>
      </c>
      <c r="AV958" s="14">
        <f t="shared" si="226"/>
        <v>0</v>
      </c>
      <c r="AX958" s="69">
        <f>SUMIFS(инфо!$C$15:$C$28,инфо!$A$15:$A$28,F958)*H957</f>
        <v>0</v>
      </c>
    </row>
    <row r="959" spans="1:50" x14ac:dyDescent="0.25">
      <c r="A959" s="70">
        <f t="shared" si="217"/>
        <v>46543</v>
      </c>
      <c r="B959" s="75"/>
      <c r="C959" s="29"/>
      <c r="D959" s="30"/>
      <c r="E959" s="11"/>
      <c r="F959" s="28"/>
      <c r="G959" s="27"/>
      <c r="H959" s="20"/>
      <c r="I959" s="20"/>
      <c r="J959" s="20"/>
      <c r="K959" s="20"/>
      <c r="L959" s="20"/>
      <c r="M959" s="20"/>
      <c r="N959" s="28"/>
      <c r="O959" s="27"/>
      <c r="P959" s="27"/>
      <c r="Q959" s="27"/>
      <c r="R959" s="27"/>
      <c r="S959" s="67">
        <f t="shared" si="227"/>
        <v>0</v>
      </c>
      <c r="T959" s="29"/>
      <c r="U959" s="30"/>
      <c r="V959" s="27"/>
      <c r="W959" s="27"/>
      <c r="X959" s="27"/>
      <c r="Y959" s="29"/>
      <c r="Z959" s="27"/>
      <c r="AA959" s="27"/>
      <c r="AB959" s="27"/>
      <c r="AC959" s="27"/>
      <c r="AD959" s="30"/>
      <c r="AE959" s="31">
        <f>SUMIFS(инфо!$D$15:$D$28,инфо!$A$15:$A$28,F959)</f>
        <v>0</v>
      </c>
      <c r="AF959" s="35">
        <f t="shared" si="218"/>
        <v>0</v>
      </c>
      <c r="AG959" s="33">
        <f t="shared" si="228"/>
        <v>0</v>
      </c>
      <c r="AH959" s="31">
        <f>SUMIFS(инфо!$E$15:$E$28,инфо!$A$15:$A$28,F959)</f>
        <v>0</v>
      </c>
      <c r="AI959" s="32">
        <f t="shared" si="219"/>
        <v>0</v>
      </c>
      <c r="AJ959" s="33">
        <f t="shared" si="229"/>
        <v>0</v>
      </c>
      <c r="AK959" s="31">
        <f>SUMIFS(инфо!$F$15:$F$28,инфо!$A$15:$A$28,F959)</f>
        <v>0</v>
      </c>
      <c r="AL959" s="32">
        <f t="shared" si="220"/>
        <v>0</v>
      </c>
      <c r="AM959" s="33">
        <f t="shared" si="223"/>
        <v>0</v>
      </c>
      <c r="AN959" s="31">
        <f>SUMIFS(инфо!$G$15:$G$28,инфо!$A$15:$A$28,F959)</f>
        <v>0</v>
      </c>
      <c r="AO959" s="32">
        <f t="shared" si="221"/>
        <v>0</v>
      </c>
      <c r="AP959" s="33">
        <f t="shared" si="224"/>
        <v>0</v>
      </c>
      <c r="AQ959" s="31">
        <f>SUMIFS(инфо!$H$15:$H$28,инфо!$A$15:$A$28,F959)</f>
        <v>0</v>
      </c>
      <c r="AR959" s="32">
        <f t="shared" si="222"/>
        <v>0</v>
      </c>
      <c r="AS959" s="33">
        <f t="shared" si="225"/>
        <v>0</v>
      </c>
      <c r="AT959" s="31">
        <f>SUMIFS(инфо!$I$15:$I$28,инфо!$A$15:$A$28,F959)</f>
        <v>0</v>
      </c>
      <c r="AU959" s="35">
        <f t="shared" si="216"/>
        <v>0</v>
      </c>
      <c r="AV959" s="33">
        <f t="shared" si="226"/>
        <v>0</v>
      </c>
      <c r="AX959" s="67">
        <f>SUMIFS(инфо!$C$15:$C$28,инфо!$A$15:$A$28,F959)*H958</f>
        <v>0</v>
      </c>
    </row>
    <row r="960" spans="1:50" x14ac:dyDescent="0.25">
      <c r="A960" s="70">
        <f t="shared" si="217"/>
        <v>46544</v>
      </c>
      <c r="B960" s="76"/>
      <c r="C960" s="15"/>
      <c r="D960" s="16"/>
      <c r="E960" s="11"/>
      <c r="F960" s="28"/>
      <c r="G960" s="34"/>
      <c r="H960" s="20"/>
      <c r="I960" s="20"/>
      <c r="J960" s="20"/>
      <c r="K960" s="20"/>
      <c r="L960" s="20"/>
      <c r="M960" s="20"/>
      <c r="N960" s="20"/>
      <c r="O960" s="34"/>
      <c r="P960" s="34"/>
      <c r="Q960" s="34"/>
      <c r="R960" s="34"/>
      <c r="S960" s="68">
        <f t="shared" si="227"/>
        <v>0</v>
      </c>
      <c r="T960" s="15"/>
      <c r="U960" s="16"/>
      <c r="V960" s="34"/>
      <c r="W960" s="34"/>
      <c r="X960" s="34"/>
      <c r="Y960" s="15"/>
      <c r="Z960" s="34"/>
      <c r="AA960" s="34"/>
      <c r="AB960" s="34"/>
      <c r="AC960" s="34"/>
      <c r="AD960" s="16"/>
      <c r="AE960" s="24">
        <f>SUMIFS(инфо!$D$15:$D$28,инфо!$A$15:$A$28,F960)</f>
        <v>0</v>
      </c>
      <c r="AF960" s="35">
        <f t="shared" si="218"/>
        <v>0</v>
      </c>
      <c r="AG960" s="12">
        <f t="shared" si="228"/>
        <v>0</v>
      </c>
      <c r="AH960" s="24">
        <f>SUMIFS(инфо!$E$15:$E$28,инфо!$A$15:$A$28,F960)</f>
        <v>0</v>
      </c>
      <c r="AI960" s="32">
        <f t="shared" si="219"/>
        <v>0</v>
      </c>
      <c r="AJ960" s="12">
        <f t="shared" si="229"/>
        <v>0</v>
      </c>
      <c r="AK960" s="24">
        <f>SUMIFS(инфо!$F$15:$F$28,инфо!$A$15:$A$28,F960)</f>
        <v>0</v>
      </c>
      <c r="AL960" s="32">
        <f t="shared" si="220"/>
        <v>0</v>
      </c>
      <c r="AM960" s="12">
        <f t="shared" si="223"/>
        <v>0</v>
      </c>
      <c r="AN960" s="24">
        <f>SUMIFS(инфо!$G$15:$G$28,инфо!$A$15:$A$28,F960)</f>
        <v>0</v>
      </c>
      <c r="AO960" s="32">
        <f t="shared" si="221"/>
        <v>0</v>
      </c>
      <c r="AP960" s="12">
        <f t="shared" si="224"/>
        <v>0</v>
      </c>
      <c r="AQ960" s="24">
        <f>SUMIFS(инфо!$H$15:$H$28,инфо!$A$15:$A$28,F960)</f>
        <v>0</v>
      </c>
      <c r="AR960" s="35">
        <f t="shared" si="222"/>
        <v>0</v>
      </c>
      <c r="AS960" s="12">
        <f t="shared" si="225"/>
        <v>0</v>
      </c>
      <c r="AT960" s="24">
        <f>SUMIFS(инфо!$I$15:$I$28,инфо!$A$15:$A$28,F960)</f>
        <v>0</v>
      </c>
      <c r="AU960" s="35">
        <f t="shared" si="216"/>
        <v>0</v>
      </c>
      <c r="AV960" s="12">
        <f t="shared" si="226"/>
        <v>0</v>
      </c>
      <c r="AX960" s="68">
        <f>SUMIFS(инфо!$C$15:$C$28,инфо!$A$15:$A$28,F960)*H959</f>
        <v>0</v>
      </c>
    </row>
    <row r="961" spans="1:50" x14ac:dyDescent="0.25">
      <c r="A961" s="70">
        <f t="shared" si="217"/>
        <v>46544</v>
      </c>
      <c r="B961" s="76"/>
      <c r="C961" s="15"/>
      <c r="D961" s="16"/>
      <c r="E961" s="11"/>
      <c r="F961" s="28"/>
      <c r="G961" s="34"/>
      <c r="H961" s="23"/>
      <c r="I961" s="20"/>
      <c r="J961" s="20"/>
      <c r="K961" s="20"/>
      <c r="L961" s="20"/>
      <c r="M961" s="20"/>
      <c r="N961" s="20"/>
      <c r="O961" s="34"/>
      <c r="P961" s="34"/>
      <c r="Q961" s="34"/>
      <c r="R961" s="34"/>
      <c r="S961" s="68">
        <f t="shared" si="227"/>
        <v>0</v>
      </c>
      <c r="T961" s="15"/>
      <c r="U961" s="16"/>
      <c r="V961" s="34"/>
      <c r="W961" s="34"/>
      <c r="X961" s="34"/>
      <c r="Y961" s="15"/>
      <c r="Z961" s="34"/>
      <c r="AA961" s="34"/>
      <c r="AB961" s="34"/>
      <c r="AC961" s="34"/>
      <c r="AD961" s="16"/>
      <c r="AE961" s="24">
        <f>SUMIFS(инфо!$D$15:$D$28,инфо!$A$15:$A$28,F961)</f>
        <v>0</v>
      </c>
      <c r="AF961" s="35">
        <f t="shared" si="218"/>
        <v>0</v>
      </c>
      <c r="AG961" s="12">
        <f t="shared" si="228"/>
        <v>0</v>
      </c>
      <c r="AH961" s="24">
        <f>SUMIFS(инфо!$E$15:$E$28,инфо!$A$15:$A$28,F961)</f>
        <v>0</v>
      </c>
      <c r="AI961" s="32">
        <f t="shared" si="219"/>
        <v>0</v>
      </c>
      <c r="AJ961" s="12">
        <f t="shared" si="229"/>
        <v>0</v>
      </c>
      <c r="AK961" s="24">
        <f>SUMIFS(инфо!$F$15:$F$28,инфо!$A$15:$A$28,F961)</f>
        <v>0</v>
      </c>
      <c r="AL961" s="32">
        <f t="shared" si="220"/>
        <v>0</v>
      </c>
      <c r="AM961" s="12">
        <f t="shared" si="223"/>
        <v>0</v>
      </c>
      <c r="AN961" s="24">
        <f>SUMIFS(инфо!$G$15:$G$28,инфо!$A$15:$A$28,F961)</f>
        <v>0</v>
      </c>
      <c r="AO961" s="32">
        <f t="shared" si="221"/>
        <v>0</v>
      </c>
      <c r="AP961" s="12">
        <f t="shared" si="224"/>
        <v>0</v>
      </c>
      <c r="AQ961" s="24">
        <f>SUMIFS(инфо!$H$15:$H$28,инфо!$A$15:$A$28,F961)</f>
        <v>0</v>
      </c>
      <c r="AR961" s="35">
        <f t="shared" si="222"/>
        <v>0</v>
      </c>
      <c r="AS961" s="12">
        <f t="shared" si="225"/>
        <v>0</v>
      </c>
      <c r="AT961" s="24">
        <f>SUMIFS(инфо!$I$15:$I$28,инфо!$A$15:$A$28,F961)</f>
        <v>0</v>
      </c>
      <c r="AU961" s="35">
        <f t="shared" si="216"/>
        <v>0</v>
      </c>
      <c r="AV961" s="12">
        <f t="shared" si="226"/>
        <v>0</v>
      </c>
      <c r="AX961" s="68">
        <f>SUMIFS(инфо!$C$15:$C$28,инфо!$A$15:$A$28,F961)*H960</f>
        <v>0</v>
      </c>
    </row>
    <row r="962" spans="1:50" x14ac:dyDescent="0.25">
      <c r="A962" s="70">
        <f t="shared" si="217"/>
        <v>46545</v>
      </c>
      <c r="B962" s="77"/>
      <c r="C962" s="17"/>
      <c r="D962" s="18"/>
      <c r="E962" s="11"/>
      <c r="F962" s="28"/>
      <c r="G962" s="19"/>
      <c r="H962" s="28"/>
      <c r="I962" s="20"/>
      <c r="J962" s="20"/>
      <c r="K962" s="20"/>
      <c r="L962" s="20"/>
      <c r="M962" s="20"/>
      <c r="N962" s="23"/>
      <c r="O962" s="19"/>
      <c r="P962" s="19"/>
      <c r="Q962" s="19"/>
      <c r="R962" s="19"/>
      <c r="S962" s="69">
        <f t="shared" si="227"/>
        <v>0</v>
      </c>
      <c r="T962" s="17"/>
      <c r="U962" s="18"/>
      <c r="V962" s="19"/>
      <c r="W962" s="19"/>
      <c r="X962" s="19"/>
      <c r="Y962" s="17"/>
      <c r="Z962" s="19"/>
      <c r="AA962" s="19"/>
      <c r="AB962" s="19"/>
      <c r="AC962" s="19"/>
      <c r="AD962" s="18"/>
      <c r="AE962" s="25">
        <f>SUMIFS(инфо!$D$15:$D$28,инфо!$A$15:$A$28,F962)</f>
        <v>0</v>
      </c>
      <c r="AF962" s="35">
        <f t="shared" si="218"/>
        <v>0</v>
      </c>
      <c r="AG962" s="14">
        <f t="shared" si="228"/>
        <v>0</v>
      </c>
      <c r="AH962" s="25">
        <f>SUMIFS(инфо!$E$15:$E$28,инфо!$A$15:$A$28,F962)</f>
        <v>0</v>
      </c>
      <c r="AI962" s="32">
        <f t="shared" si="219"/>
        <v>0</v>
      </c>
      <c r="AJ962" s="14">
        <f t="shared" si="229"/>
        <v>0</v>
      </c>
      <c r="AK962" s="25">
        <f>SUMIFS(инфо!$F$15:$F$28,инфо!$A$15:$A$28,F962)</f>
        <v>0</v>
      </c>
      <c r="AL962" s="32">
        <f t="shared" si="220"/>
        <v>0</v>
      </c>
      <c r="AM962" s="14">
        <f t="shared" si="223"/>
        <v>0</v>
      </c>
      <c r="AN962" s="25">
        <f>SUMIFS(инфо!$G$15:$G$28,инфо!$A$15:$A$28,F962)</f>
        <v>0</v>
      </c>
      <c r="AO962" s="32">
        <f t="shared" si="221"/>
        <v>0</v>
      </c>
      <c r="AP962" s="14">
        <f t="shared" si="224"/>
        <v>0</v>
      </c>
      <c r="AQ962" s="25">
        <f>SUMIFS(инфо!$H$15:$H$28,инфо!$A$15:$A$28,F962)</f>
        <v>0</v>
      </c>
      <c r="AR962" s="26">
        <f t="shared" si="222"/>
        <v>0</v>
      </c>
      <c r="AS962" s="14">
        <f t="shared" si="225"/>
        <v>0</v>
      </c>
      <c r="AT962" s="25">
        <f>SUMIFS(инфо!$I$15:$I$28,инфо!$A$15:$A$28,F962)</f>
        <v>0</v>
      </c>
      <c r="AU962" s="35">
        <f t="shared" si="216"/>
        <v>0</v>
      </c>
      <c r="AV962" s="14">
        <f t="shared" si="226"/>
        <v>0</v>
      </c>
      <c r="AX962" s="69">
        <f>SUMIFS(инфо!$C$15:$C$28,инфо!$A$15:$A$28,F962)*H961</f>
        <v>0</v>
      </c>
    </row>
    <row r="963" spans="1:50" x14ac:dyDescent="0.25">
      <c r="A963" s="70">
        <f t="shared" si="217"/>
        <v>46545</v>
      </c>
      <c r="B963" s="75"/>
      <c r="C963" s="29"/>
      <c r="D963" s="30"/>
      <c r="E963" s="11"/>
      <c r="F963" s="28"/>
      <c r="G963" s="27"/>
      <c r="H963" s="20"/>
      <c r="I963" s="20"/>
      <c r="J963" s="20"/>
      <c r="K963" s="20"/>
      <c r="L963" s="20"/>
      <c r="M963" s="20"/>
      <c r="N963" s="28"/>
      <c r="O963" s="27"/>
      <c r="P963" s="27"/>
      <c r="Q963" s="27"/>
      <c r="R963" s="27"/>
      <c r="S963" s="67">
        <f t="shared" si="227"/>
        <v>0</v>
      </c>
      <c r="T963" s="29"/>
      <c r="U963" s="30"/>
      <c r="V963" s="27"/>
      <c r="W963" s="27"/>
      <c r="X963" s="27"/>
      <c r="Y963" s="29"/>
      <c r="Z963" s="27"/>
      <c r="AA963" s="27"/>
      <c r="AB963" s="27"/>
      <c r="AC963" s="27"/>
      <c r="AD963" s="30"/>
      <c r="AE963" s="31">
        <f>SUMIFS(инфо!$D$15:$D$28,инфо!$A$15:$A$28,F963)</f>
        <v>0</v>
      </c>
      <c r="AF963" s="35">
        <f t="shared" si="218"/>
        <v>0</v>
      </c>
      <c r="AG963" s="33">
        <f t="shared" si="228"/>
        <v>0</v>
      </c>
      <c r="AH963" s="31">
        <f>SUMIFS(инфо!$E$15:$E$28,инфо!$A$15:$A$28,F963)</f>
        <v>0</v>
      </c>
      <c r="AI963" s="32">
        <f t="shared" si="219"/>
        <v>0</v>
      </c>
      <c r="AJ963" s="33">
        <f t="shared" si="229"/>
        <v>0</v>
      </c>
      <c r="AK963" s="31">
        <f>SUMIFS(инфо!$F$15:$F$28,инфо!$A$15:$A$28,F963)</f>
        <v>0</v>
      </c>
      <c r="AL963" s="32">
        <f t="shared" si="220"/>
        <v>0</v>
      </c>
      <c r="AM963" s="33">
        <f t="shared" si="223"/>
        <v>0</v>
      </c>
      <c r="AN963" s="31">
        <f>SUMIFS(инфо!$G$15:$G$28,инфо!$A$15:$A$28,F963)</f>
        <v>0</v>
      </c>
      <c r="AO963" s="32">
        <f t="shared" si="221"/>
        <v>0</v>
      </c>
      <c r="AP963" s="33">
        <f t="shared" si="224"/>
        <v>0</v>
      </c>
      <c r="AQ963" s="31">
        <f>SUMIFS(инфо!$H$15:$H$28,инфо!$A$15:$A$28,F963)</f>
        <v>0</v>
      </c>
      <c r="AR963" s="32">
        <f t="shared" si="222"/>
        <v>0</v>
      </c>
      <c r="AS963" s="33">
        <f t="shared" si="225"/>
        <v>0</v>
      </c>
      <c r="AT963" s="31">
        <f>SUMIFS(инфо!$I$15:$I$28,инфо!$A$15:$A$28,F963)</f>
        <v>0</v>
      </c>
      <c r="AU963" s="35">
        <f t="shared" si="216"/>
        <v>0</v>
      </c>
      <c r="AV963" s="33">
        <f t="shared" si="226"/>
        <v>0</v>
      </c>
      <c r="AX963" s="67">
        <f>SUMIFS(инфо!$C$15:$C$28,инфо!$A$15:$A$28,F963)*H962</f>
        <v>0</v>
      </c>
    </row>
    <row r="964" spans="1:50" x14ac:dyDescent="0.25">
      <c r="A964" s="70">
        <f t="shared" si="217"/>
        <v>46546</v>
      </c>
      <c r="B964" s="76"/>
      <c r="C964" s="15"/>
      <c r="D964" s="16"/>
      <c r="E964" s="11"/>
      <c r="F964" s="28"/>
      <c r="G964" s="34"/>
      <c r="H964" s="20"/>
      <c r="I964" s="20"/>
      <c r="J964" s="20"/>
      <c r="K964" s="20"/>
      <c r="L964" s="20"/>
      <c r="M964" s="20"/>
      <c r="N964" s="20"/>
      <c r="O964" s="34"/>
      <c r="P964" s="34"/>
      <c r="Q964" s="34"/>
      <c r="R964" s="34"/>
      <c r="S964" s="68">
        <f t="shared" si="227"/>
        <v>0</v>
      </c>
      <c r="T964" s="15"/>
      <c r="U964" s="16"/>
      <c r="V964" s="34"/>
      <c r="W964" s="34"/>
      <c r="X964" s="34"/>
      <c r="Y964" s="15"/>
      <c r="Z964" s="34"/>
      <c r="AA964" s="34"/>
      <c r="AB964" s="34"/>
      <c r="AC964" s="34"/>
      <c r="AD964" s="16"/>
      <c r="AE964" s="24">
        <f>SUMIFS(инфо!$D$15:$D$28,инфо!$A$15:$A$28,F964)</f>
        <v>0</v>
      </c>
      <c r="AF964" s="35">
        <f t="shared" si="218"/>
        <v>0</v>
      </c>
      <c r="AG964" s="12">
        <f t="shared" si="228"/>
        <v>0</v>
      </c>
      <c r="AH964" s="24">
        <f>SUMIFS(инфо!$E$15:$E$28,инфо!$A$15:$A$28,F964)</f>
        <v>0</v>
      </c>
      <c r="AI964" s="32">
        <f t="shared" si="219"/>
        <v>0</v>
      </c>
      <c r="AJ964" s="12">
        <f t="shared" si="229"/>
        <v>0</v>
      </c>
      <c r="AK964" s="24">
        <f>SUMIFS(инфо!$F$15:$F$28,инфо!$A$15:$A$28,F964)</f>
        <v>0</v>
      </c>
      <c r="AL964" s="32">
        <f t="shared" si="220"/>
        <v>0</v>
      </c>
      <c r="AM964" s="12">
        <f t="shared" si="223"/>
        <v>0</v>
      </c>
      <c r="AN964" s="24">
        <f>SUMIFS(инфо!$G$15:$G$28,инфо!$A$15:$A$28,F964)</f>
        <v>0</v>
      </c>
      <c r="AO964" s="32">
        <f t="shared" si="221"/>
        <v>0</v>
      </c>
      <c r="AP964" s="12">
        <f t="shared" si="224"/>
        <v>0</v>
      </c>
      <c r="AQ964" s="24">
        <f>SUMIFS(инфо!$H$15:$H$28,инфо!$A$15:$A$28,F964)</f>
        <v>0</v>
      </c>
      <c r="AR964" s="35">
        <f t="shared" si="222"/>
        <v>0</v>
      </c>
      <c r="AS964" s="12">
        <f t="shared" si="225"/>
        <v>0</v>
      </c>
      <c r="AT964" s="24">
        <f>SUMIFS(инфо!$I$15:$I$28,инфо!$A$15:$A$28,F964)</f>
        <v>0</v>
      </c>
      <c r="AU964" s="35">
        <f t="shared" si="216"/>
        <v>0</v>
      </c>
      <c r="AV964" s="12">
        <f t="shared" si="226"/>
        <v>0</v>
      </c>
      <c r="AX964" s="68">
        <f>SUMIFS(инфо!$C$15:$C$28,инфо!$A$15:$A$28,F964)*H963</f>
        <v>0</v>
      </c>
    </row>
    <row r="965" spans="1:50" x14ac:dyDescent="0.25">
      <c r="A965" s="70">
        <f t="shared" si="217"/>
        <v>46546</v>
      </c>
      <c r="B965" s="76"/>
      <c r="C965" s="15"/>
      <c r="D965" s="16"/>
      <c r="E965" s="11"/>
      <c r="F965" s="28"/>
      <c r="G965" s="34"/>
      <c r="H965" s="23"/>
      <c r="I965" s="20"/>
      <c r="J965" s="20"/>
      <c r="K965" s="20"/>
      <c r="L965" s="20"/>
      <c r="M965" s="20"/>
      <c r="N965" s="20"/>
      <c r="O965" s="34"/>
      <c r="P965" s="34"/>
      <c r="Q965" s="34"/>
      <c r="R965" s="34"/>
      <c r="S965" s="68">
        <f t="shared" si="227"/>
        <v>0</v>
      </c>
      <c r="T965" s="15"/>
      <c r="U965" s="16"/>
      <c r="V965" s="34"/>
      <c r="W965" s="34"/>
      <c r="X965" s="34"/>
      <c r="Y965" s="15"/>
      <c r="Z965" s="34"/>
      <c r="AA965" s="34"/>
      <c r="AB965" s="34"/>
      <c r="AC965" s="34"/>
      <c r="AD965" s="16"/>
      <c r="AE965" s="24">
        <f>SUMIFS(инфо!$D$15:$D$28,инфо!$A$15:$A$28,F965)</f>
        <v>0</v>
      </c>
      <c r="AF965" s="35">
        <f t="shared" si="218"/>
        <v>0</v>
      </c>
      <c r="AG965" s="12">
        <f t="shared" si="228"/>
        <v>0</v>
      </c>
      <c r="AH965" s="24">
        <f>SUMIFS(инфо!$E$15:$E$28,инфо!$A$15:$A$28,F965)</f>
        <v>0</v>
      </c>
      <c r="AI965" s="32">
        <f t="shared" si="219"/>
        <v>0</v>
      </c>
      <c r="AJ965" s="12">
        <f t="shared" si="229"/>
        <v>0</v>
      </c>
      <c r="AK965" s="24">
        <f>SUMIFS(инфо!$F$15:$F$28,инфо!$A$15:$A$28,F965)</f>
        <v>0</v>
      </c>
      <c r="AL965" s="32">
        <f t="shared" si="220"/>
        <v>0</v>
      </c>
      <c r="AM965" s="12">
        <f t="shared" si="223"/>
        <v>0</v>
      </c>
      <c r="AN965" s="24">
        <f>SUMIFS(инфо!$G$15:$G$28,инфо!$A$15:$A$28,F965)</f>
        <v>0</v>
      </c>
      <c r="AO965" s="32">
        <f t="shared" si="221"/>
        <v>0</v>
      </c>
      <c r="AP965" s="12">
        <f t="shared" si="224"/>
        <v>0</v>
      </c>
      <c r="AQ965" s="24">
        <f>SUMIFS(инфо!$H$15:$H$28,инфо!$A$15:$A$28,F965)</f>
        <v>0</v>
      </c>
      <c r="AR965" s="35">
        <f t="shared" si="222"/>
        <v>0</v>
      </c>
      <c r="AS965" s="12">
        <f t="shared" si="225"/>
        <v>0</v>
      </c>
      <c r="AT965" s="24">
        <f>SUMIFS(инфо!$I$15:$I$28,инфо!$A$15:$A$28,F965)</f>
        <v>0</v>
      </c>
      <c r="AU965" s="35">
        <f t="shared" si="216"/>
        <v>0</v>
      </c>
      <c r="AV965" s="12">
        <f t="shared" si="226"/>
        <v>0</v>
      </c>
      <c r="AX965" s="68">
        <f>SUMIFS(инфо!$C$15:$C$28,инфо!$A$15:$A$28,F965)*H964</f>
        <v>0</v>
      </c>
    </row>
    <row r="966" spans="1:50" x14ac:dyDescent="0.25">
      <c r="A966" s="70">
        <f t="shared" si="217"/>
        <v>46547</v>
      </c>
      <c r="B966" s="77"/>
      <c r="C966" s="17"/>
      <c r="D966" s="18"/>
      <c r="E966" s="11"/>
      <c r="F966" s="28"/>
      <c r="G966" s="19"/>
      <c r="H966" s="28"/>
      <c r="I966" s="20"/>
      <c r="J966" s="20"/>
      <c r="K966" s="20"/>
      <c r="L966" s="20"/>
      <c r="M966" s="20"/>
      <c r="N966" s="23"/>
      <c r="O966" s="19"/>
      <c r="P966" s="19"/>
      <c r="Q966" s="19"/>
      <c r="R966" s="19"/>
      <c r="S966" s="69">
        <f t="shared" si="227"/>
        <v>0</v>
      </c>
      <c r="T966" s="17"/>
      <c r="U966" s="18"/>
      <c r="V966" s="19"/>
      <c r="W966" s="19"/>
      <c r="X966" s="19"/>
      <c r="Y966" s="17"/>
      <c r="Z966" s="19"/>
      <c r="AA966" s="19"/>
      <c r="AB966" s="19"/>
      <c r="AC966" s="19"/>
      <c r="AD966" s="18"/>
      <c r="AE966" s="25">
        <f>SUMIFS(инфо!$D$15:$D$28,инфо!$A$15:$A$28,F966)</f>
        <v>0</v>
      </c>
      <c r="AF966" s="35">
        <f t="shared" si="218"/>
        <v>0</v>
      </c>
      <c r="AG966" s="14">
        <f t="shared" si="228"/>
        <v>0</v>
      </c>
      <c r="AH966" s="25">
        <f>SUMIFS(инфо!$E$15:$E$28,инфо!$A$15:$A$28,F966)</f>
        <v>0</v>
      </c>
      <c r="AI966" s="32">
        <f t="shared" si="219"/>
        <v>0</v>
      </c>
      <c r="AJ966" s="14">
        <f t="shared" si="229"/>
        <v>0</v>
      </c>
      <c r="AK966" s="25">
        <f>SUMIFS(инфо!$F$15:$F$28,инфо!$A$15:$A$28,F966)</f>
        <v>0</v>
      </c>
      <c r="AL966" s="32">
        <f t="shared" si="220"/>
        <v>0</v>
      </c>
      <c r="AM966" s="14">
        <f t="shared" si="223"/>
        <v>0</v>
      </c>
      <c r="AN966" s="25">
        <f>SUMIFS(инфо!$G$15:$G$28,инфо!$A$15:$A$28,F966)</f>
        <v>0</v>
      </c>
      <c r="AO966" s="32">
        <f t="shared" si="221"/>
        <v>0</v>
      </c>
      <c r="AP966" s="14">
        <f t="shared" si="224"/>
        <v>0</v>
      </c>
      <c r="AQ966" s="25">
        <f>SUMIFS(инфо!$H$15:$H$28,инфо!$A$15:$A$28,F966)</f>
        <v>0</v>
      </c>
      <c r="AR966" s="26">
        <f t="shared" si="222"/>
        <v>0</v>
      </c>
      <c r="AS966" s="14">
        <f t="shared" si="225"/>
        <v>0</v>
      </c>
      <c r="AT966" s="25">
        <f>SUMIFS(инфо!$I$15:$I$28,инфо!$A$15:$A$28,F966)</f>
        <v>0</v>
      </c>
      <c r="AU966" s="35">
        <f t="shared" si="216"/>
        <v>0</v>
      </c>
      <c r="AV966" s="14">
        <f t="shared" si="226"/>
        <v>0</v>
      </c>
      <c r="AX966" s="69">
        <f>SUMIFS(инфо!$C$15:$C$28,инфо!$A$15:$A$28,F966)*H965</f>
        <v>0</v>
      </c>
    </row>
    <row r="967" spans="1:50" x14ac:dyDescent="0.25">
      <c r="A967" s="70">
        <f t="shared" si="217"/>
        <v>46547</v>
      </c>
      <c r="B967" s="75"/>
      <c r="C967" s="29"/>
      <c r="D967" s="30"/>
      <c r="E967" s="11"/>
      <c r="F967" s="28"/>
      <c r="G967" s="27"/>
      <c r="H967" s="20"/>
      <c r="I967" s="20"/>
      <c r="J967" s="20"/>
      <c r="K967" s="20"/>
      <c r="L967" s="20"/>
      <c r="M967" s="20"/>
      <c r="N967" s="28"/>
      <c r="O967" s="27"/>
      <c r="P967" s="27"/>
      <c r="Q967" s="27"/>
      <c r="R967" s="27"/>
      <c r="S967" s="67">
        <f t="shared" si="227"/>
        <v>0</v>
      </c>
      <c r="T967" s="29"/>
      <c r="U967" s="30"/>
      <c r="V967" s="27"/>
      <c r="W967" s="27"/>
      <c r="X967" s="27"/>
      <c r="Y967" s="29"/>
      <c r="Z967" s="27"/>
      <c r="AA967" s="27"/>
      <c r="AB967" s="27"/>
      <c r="AC967" s="27"/>
      <c r="AD967" s="30"/>
      <c r="AE967" s="31">
        <f>SUMIFS(инфо!$D$15:$D$28,инфо!$A$15:$A$28,F967)</f>
        <v>0</v>
      </c>
      <c r="AF967" s="35">
        <f t="shared" si="218"/>
        <v>0</v>
      </c>
      <c r="AG967" s="33">
        <f t="shared" si="228"/>
        <v>0</v>
      </c>
      <c r="AH967" s="31">
        <f>SUMIFS(инфо!$E$15:$E$28,инфо!$A$15:$A$28,F967)</f>
        <v>0</v>
      </c>
      <c r="AI967" s="32">
        <f t="shared" si="219"/>
        <v>0</v>
      </c>
      <c r="AJ967" s="33">
        <f t="shared" si="229"/>
        <v>0</v>
      </c>
      <c r="AK967" s="31">
        <f>SUMIFS(инфо!$F$15:$F$28,инфо!$A$15:$A$28,F967)</f>
        <v>0</v>
      </c>
      <c r="AL967" s="32">
        <f t="shared" si="220"/>
        <v>0</v>
      </c>
      <c r="AM967" s="33">
        <f t="shared" si="223"/>
        <v>0</v>
      </c>
      <c r="AN967" s="31">
        <f>SUMIFS(инфо!$G$15:$G$28,инфо!$A$15:$A$28,F967)</f>
        <v>0</v>
      </c>
      <c r="AO967" s="32">
        <f t="shared" si="221"/>
        <v>0</v>
      </c>
      <c r="AP967" s="33">
        <f t="shared" si="224"/>
        <v>0</v>
      </c>
      <c r="AQ967" s="31">
        <f>SUMIFS(инфо!$H$15:$H$28,инфо!$A$15:$A$28,F967)</f>
        <v>0</v>
      </c>
      <c r="AR967" s="32">
        <f t="shared" si="222"/>
        <v>0</v>
      </c>
      <c r="AS967" s="33">
        <f t="shared" si="225"/>
        <v>0</v>
      </c>
      <c r="AT967" s="31">
        <f>SUMIFS(инфо!$I$15:$I$28,инфо!$A$15:$A$28,F967)</f>
        <v>0</v>
      </c>
      <c r="AU967" s="35">
        <f t="shared" si="216"/>
        <v>0</v>
      </c>
      <c r="AV967" s="33">
        <f t="shared" si="226"/>
        <v>0</v>
      </c>
      <c r="AX967" s="67">
        <f>SUMIFS(инфо!$C$15:$C$28,инфо!$A$15:$A$28,F967)*H966</f>
        <v>0</v>
      </c>
    </row>
    <row r="968" spans="1:50" x14ac:dyDescent="0.25">
      <c r="A968" s="70">
        <f t="shared" si="217"/>
        <v>46548</v>
      </c>
      <c r="B968" s="76"/>
      <c r="C968" s="15"/>
      <c r="D968" s="16"/>
      <c r="E968" s="11"/>
      <c r="F968" s="28"/>
      <c r="G968" s="34"/>
      <c r="H968" s="20"/>
      <c r="I968" s="20"/>
      <c r="J968" s="20"/>
      <c r="K968" s="20"/>
      <c r="L968" s="20"/>
      <c r="M968" s="20"/>
      <c r="N968" s="20"/>
      <c r="O968" s="34"/>
      <c r="P968" s="34"/>
      <c r="Q968" s="34"/>
      <c r="R968" s="34"/>
      <c r="S968" s="68">
        <f t="shared" si="227"/>
        <v>0</v>
      </c>
      <c r="T968" s="15"/>
      <c r="U968" s="16"/>
      <c r="V968" s="34"/>
      <c r="W968" s="34"/>
      <c r="X968" s="34"/>
      <c r="Y968" s="15"/>
      <c r="Z968" s="34"/>
      <c r="AA968" s="34"/>
      <c r="AB968" s="34"/>
      <c r="AC968" s="34"/>
      <c r="AD968" s="16"/>
      <c r="AE968" s="24">
        <f>SUMIFS(инфо!$D$15:$D$28,инфо!$A$15:$A$28,F968)</f>
        <v>0</v>
      </c>
      <c r="AF968" s="35">
        <f t="shared" si="218"/>
        <v>0</v>
      </c>
      <c r="AG968" s="12">
        <f t="shared" si="228"/>
        <v>0</v>
      </c>
      <c r="AH968" s="24">
        <f>SUMIFS(инфо!$E$15:$E$28,инфо!$A$15:$A$28,F968)</f>
        <v>0</v>
      </c>
      <c r="AI968" s="32">
        <f t="shared" si="219"/>
        <v>0</v>
      </c>
      <c r="AJ968" s="12">
        <f t="shared" si="229"/>
        <v>0</v>
      </c>
      <c r="AK968" s="24">
        <f>SUMIFS(инфо!$F$15:$F$28,инфо!$A$15:$A$28,F968)</f>
        <v>0</v>
      </c>
      <c r="AL968" s="32">
        <f t="shared" si="220"/>
        <v>0</v>
      </c>
      <c r="AM968" s="12">
        <f t="shared" si="223"/>
        <v>0</v>
      </c>
      <c r="AN968" s="24">
        <f>SUMIFS(инфо!$G$15:$G$28,инфо!$A$15:$A$28,F968)</f>
        <v>0</v>
      </c>
      <c r="AO968" s="32">
        <f t="shared" si="221"/>
        <v>0</v>
      </c>
      <c r="AP968" s="12">
        <f t="shared" si="224"/>
        <v>0</v>
      </c>
      <c r="AQ968" s="24">
        <f>SUMIFS(инфо!$H$15:$H$28,инфо!$A$15:$A$28,F968)</f>
        <v>0</v>
      </c>
      <c r="AR968" s="35">
        <f t="shared" si="222"/>
        <v>0</v>
      </c>
      <c r="AS968" s="12">
        <f t="shared" si="225"/>
        <v>0</v>
      </c>
      <c r="AT968" s="24">
        <f>SUMIFS(инфо!$I$15:$I$28,инфо!$A$15:$A$28,F968)</f>
        <v>0</v>
      </c>
      <c r="AU968" s="35">
        <f t="shared" si="216"/>
        <v>0</v>
      </c>
      <c r="AV968" s="12">
        <f t="shared" si="226"/>
        <v>0</v>
      </c>
      <c r="AX968" s="68">
        <f>SUMIFS(инфо!$C$15:$C$28,инфо!$A$15:$A$28,F968)*H967</f>
        <v>0</v>
      </c>
    </row>
    <row r="969" spans="1:50" x14ac:dyDescent="0.25">
      <c r="A969" s="70">
        <f t="shared" si="217"/>
        <v>46548</v>
      </c>
      <c r="B969" s="76"/>
      <c r="C969" s="15"/>
      <c r="D969" s="16"/>
      <c r="E969" s="11"/>
      <c r="F969" s="28"/>
      <c r="G969" s="34"/>
      <c r="H969" s="23"/>
      <c r="I969" s="20"/>
      <c r="J969" s="20"/>
      <c r="K969" s="20"/>
      <c r="L969" s="20"/>
      <c r="M969" s="20"/>
      <c r="N969" s="20"/>
      <c r="O969" s="34"/>
      <c r="P969" s="34"/>
      <c r="Q969" s="34"/>
      <c r="R969" s="34"/>
      <c r="S969" s="68">
        <f t="shared" si="227"/>
        <v>0</v>
      </c>
      <c r="T969" s="15"/>
      <c r="U969" s="16"/>
      <c r="V969" s="34"/>
      <c r="W969" s="34"/>
      <c r="X969" s="34"/>
      <c r="Y969" s="15"/>
      <c r="Z969" s="34"/>
      <c r="AA969" s="34"/>
      <c r="AB969" s="34"/>
      <c r="AC969" s="34"/>
      <c r="AD969" s="16"/>
      <c r="AE969" s="24">
        <f>SUMIFS(инфо!$D$15:$D$28,инфо!$A$15:$A$28,F969)</f>
        <v>0</v>
      </c>
      <c r="AF969" s="35">
        <f t="shared" si="218"/>
        <v>0</v>
      </c>
      <c r="AG969" s="12">
        <f t="shared" si="228"/>
        <v>0</v>
      </c>
      <c r="AH969" s="24">
        <f>SUMIFS(инфо!$E$15:$E$28,инфо!$A$15:$A$28,F969)</f>
        <v>0</v>
      </c>
      <c r="AI969" s="32">
        <f t="shared" si="219"/>
        <v>0</v>
      </c>
      <c r="AJ969" s="12">
        <f t="shared" si="229"/>
        <v>0</v>
      </c>
      <c r="AK969" s="24">
        <f>SUMIFS(инфо!$F$15:$F$28,инфо!$A$15:$A$28,F969)</f>
        <v>0</v>
      </c>
      <c r="AL969" s="32">
        <f t="shared" si="220"/>
        <v>0</v>
      </c>
      <c r="AM969" s="12">
        <f t="shared" si="223"/>
        <v>0</v>
      </c>
      <c r="AN969" s="24">
        <f>SUMIFS(инфо!$G$15:$G$28,инфо!$A$15:$A$28,F969)</f>
        <v>0</v>
      </c>
      <c r="AO969" s="32">
        <f t="shared" si="221"/>
        <v>0</v>
      </c>
      <c r="AP969" s="12">
        <f t="shared" si="224"/>
        <v>0</v>
      </c>
      <c r="AQ969" s="24">
        <f>SUMIFS(инфо!$H$15:$H$28,инфо!$A$15:$A$28,F969)</f>
        <v>0</v>
      </c>
      <c r="AR969" s="35">
        <f t="shared" si="222"/>
        <v>0</v>
      </c>
      <c r="AS969" s="12">
        <f t="shared" si="225"/>
        <v>0</v>
      </c>
      <c r="AT969" s="24">
        <f>SUMIFS(инфо!$I$15:$I$28,инфо!$A$15:$A$28,F969)</f>
        <v>0</v>
      </c>
      <c r="AU969" s="35">
        <f t="shared" ref="AU969:AU1032" si="230">IF(H969=0,0,AD969/H969)</f>
        <v>0</v>
      </c>
      <c r="AV969" s="12">
        <f t="shared" si="226"/>
        <v>0</v>
      </c>
      <c r="AX969" s="68">
        <f>SUMIFS(инфо!$C$15:$C$28,инфо!$A$15:$A$28,F969)*H968</f>
        <v>0</v>
      </c>
    </row>
    <row r="970" spans="1:50" x14ac:dyDescent="0.25">
      <c r="A970" s="70">
        <f t="shared" si="217"/>
        <v>46549</v>
      </c>
      <c r="B970" s="77"/>
      <c r="C970" s="17"/>
      <c r="D970" s="18"/>
      <c r="E970" s="11"/>
      <c r="F970" s="28"/>
      <c r="G970" s="19"/>
      <c r="H970" s="28"/>
      <c r="I970" s="20"/>
      <c r="J970" s="20"/>
      <c r="K970" s="20"/>
      <c r="L970" s="20"/>
      <c r="M970" s="20"/>
      <c r="N970" s="23"/>
      <c r="O970" s="19"/>
      <c r="P970" s="19"/>
      <c r="Q970" s="19"/>
      <c r="R970" s="19"/>
      <c r="S970" s="69">
        <f t="shared" si="227"/>
        <v>0</v>
      </c>
      <c r="T970" s="17"/>
      <c r="U970" s="18"/>
      <c r="V970" s="19"/>
      <c r="W970" s="19"/>
      <c r="X970" s="19"/>
      <c r="Y970" s="17"/>
      <c r="Z970" s="19"/>
      <c r="AA970" s="19"/>
      <c r="AB970" s="19"/>
      <c r="AC970" s="19"/>
      <c r="AD970" s="18"/>
      <c r="AE970" s="25">
        <f>SUMIFS(инфо!$D$15:$D$28,инфо!$A$15:$A$28,F970)</f>
        <v>0</v>
      </c>
      <c r="AF970" s="35">
        <f t="shared" si="218"/>
        <v>0</v>
      </c>
      <c r="AG970" s="14">
        <f t="shared" si="228"/>
        <v>0</v>
      </c>
      <c r="AH970" s="25">
        <f>SUMIFS(инфо!$E$15:$E$28,инфо!$A$15:$A$28,F970)</f>
        <v>0</v>
      </c>
      <c r="AI970" s="32">
        <f t="shared" si="219"/>
        <v>0</v>
      </c>
      <c r="AJ970" s="14">
        <f t="shared" si="229"/>
        <v>0</v>
      </c>
      <c r="AK970" s="25">
        <f>SUMIFS(инфо!$F$15:$F$28,инфо!$A$15:$A$28,F970)</f>
        <v>0</v>
      </c>
      <c r="AL970" s="32">
        <f t="shared" si="220"/>
        <v>0</v>
      </c>
      <c r="AM970" s="14">
        <f t="shared" si="223"/>
        <v>0</v>
      </c>
      <c r="AN970" s="25">
        <f>SUMIFS(инфо!$G$15:$G$28,инфо!$A$15:$A$28,F970)</f>
        <v>0</v>
      </c>
      <c r="AO970" s="32">
        <f t="shared" si="221"/>
        <v>0</v>
      </c>
      <c r="AP970" s="14">
        <f t="shared" si="224"/>
        <v>0</v>
      </c>
      <c r="AQ970" s="25">
        <f>SUMIFS(инфо!$H$15:$H$28,инфо!$A$15:$A$28,F970)</f>
        <v>0</v>
      </c>
      <c r="AR970" s="26">
        <f t="shared" si="222"/>
        <v>0</v>
      </c>
      <c r="AS970" s="14">
        <f t="shared" si="225"/>
        <v>0</v>
      </c>
      <c r="AT970" s="25">
        <f>SUMIFS(инфо!$I$15:$I$28,инфо!$A$15:$A$28,F970)</f>
        <v>0</v>
      </c>
      <c r="AU970" s="35">
        <f t="shared" si="230"/>
        <v>0</v>
      </c>
      <c r="AV970" s="14">
        <f t="shared" si="226"/>
        <v>0</v>
      </c>
      <c r="AX970" s="69">
        <f>SUMIFS(инфо!$C$15:$C$28,инфо!$A$15:$A$28,F970)*H969</f>
        <v>0</v>
      </c>
    </row>
    <row r="971" spans="1:50" x14ac:dyDescent="0.25">
      <c r="A971" s="70">
        <f t="shared" si="217"/>
        <v>46549</v>
      </c>
      <c r="B971" s="75"/>
      <c r="C971" s="29"/>
      <c r="D971" s="30"/>
      <c r="E971" s="11"/>
      <c r="F971" s="28"/>
      <c r="G971" s="27"/>
      <c r="H971" s="20"/>
      <c r="I971" s="20"/>
      <c r="J971" s="20"/>
      <c r="K971" s="20"/>
      <c r="L971" s="20"/>
      <c r="M971" s="20"/>
      <c r="N971" s="28"/>
      <c r="O971" s="27"/>
      <c r="P971" s="27"/>
      <c r="Q971" s="27"/>
      <c r="R971" s="27"/>
      <c r="S971" s="67">
        <f t="shared" si="227"/>
        <v>0</v>
      </c>
      <c r="T971" s="29"/>
      <c r="U971" s="30"/>
      <c r="V971" s="27"/>
      <c r="W971" s="27"/>
      <c r="X971" s="27"/>
      <c r="Y971" s="29"/>
      <c r="Z971" s="27"/>
      <c r="AA971" s="27"/>
      <c r="AB971" s="27"/>
      <c r="AC971" s="27"/>
      <c r="AD971" s="30"/>
      <c r="AE971" s="31">
        <f>SUMIFS(инфо!$D$15:$D$28,инфо!$A$15:$A$28,F971)</f>
        <v>0</v>
      </c>
      <c r="AF971" s="35">
        <f t="shared" si="218"/>
        <v>0</v>
      </c>
      <c r="AG971" s="33">
        <f t="shared" si="228"/>
        <v>0</v>
      </c>
      <c r="AH971" s="31">
        <f>SUMIFS(инфо!$E$15:$E$28,инфо!$A$15:$A$28,F971)</f>
        <v>0</v>
      </c>
      <c r="AI971" s="32">
        <f t="shared" si="219"/>
        <v>0</v>
      </c>
      <c r="AJ971" s="33">
        <f t="shared" si="229"/>
        <v>0</v>
      </c>
      <c r="AK971" s="31">
        <f>SUMIFS(инфо!$F$15:$F$28,инфо!$A$15:$A$28,F971)</f>
        <v>0</v>
      </c>
      <c r="AL971" s="32">
        <f t="shared" si="220"/>
        <v>0</v>
      </c>
      <c r="AM971" s="33">
        <f t="shared" si="223"/>
        <v>0</v>
      </c>
      <c r="AN971" s="31">
        <f>SUMIFS(инфо!$G$15:$G$28,инфо!$A$15:$A$28,F971)</f>
        <v>0</v>
      </c>
      <c r="AO971" s="32">
        <f t="shared" si="221"/>
        <v>0</v>
      </c>
      <c r="AP971" s="33">
        <f t="shared" si="224"/>
        <v>0</v>
      </c>
      <c r="AQ971" s="31">
        <f>SUMIFS(инфо!$H$15:$H$28,инфо!$A$15:$A$28,F971)</f>
        <v>0</v>
      </c>
      <c r="AR971" s="32">
        <f t="shared" si="222"/>
        <v>0</v>
      </c>
      <c r="AS971" s="33">
        <f t="shared" si="225"/>
        <v>0</v>
      </c>
      <c r="AT971" s="31">
        <f>SUMIFS(инфо!$I$15:$I$28,инфо!$A$15:$A$28,F971)</f>
        <v>0</v>
      </c>
      <c r="AU971" s="35">
        <f t="shared" si="230"/>
        <v>0</v>
      </c>
      <c r="AV971" s="33">
        <f t="shared" si="226"/>
        <v>0</v>
      </c>
      <c r="AX971" s="67">
        <f>SUMIFS(инфо!$C$15:$C$28,инфо!$A$15:$A$28,F971)*H970</f>
        <v>0</v>
      </c>
    </row>
    <row r="972" spans="1:50" x14ac:dyDescent="0.25">
      <c r="A972" s="70">
        <f t="shared" si="217"/>
        <v>46550</v>
      </c>
      <c r="B972" s="76"/>
      <c r="C972" s="15"/>
      <c r="D972" s="16"/>
      <c r="E972" s="11"/>
      <c r="F972" s="28"/>
      <c r="G972" s="34"/>
      <c r="H972" s="20"/>
      <c r="I972" s="20"/>
      <c r="J972" s="20"/>
      <c r="K972" s="20"/>
      <c r="L972" s="20"/>
      <c r="M972" s="20"/>
      <c r="N972" s="20"/>
      <c r="O972" s="34"/>
      <c r="P972" s="34"/>
      <c r="Q972" s="34"/>
      <c r="R972" s="34"/>
      <c r="S972" s="68">
        <f t="shared" si="227"/>
        <v>0</v>
      </c>
      <c r="T972" s="15"/>
      <c r="U972" s="16"/>
      <c r="V972" s="34"/>
      <c r="W972" s="34"/>
      <c r="X972" s="34"/>
      <c r="Y972" s="15"/>
      <c r="Z972" s="34"/>
      <c r="AA972" s="34"/>
      <c r="AB972" s="34"/>
      <c r="AC972" s="34"/>
      <c r="AD972" s="16"/>
      <c r="AE972" s="24">
        <f>SUMIFS(инфо!$D$15:$D$28,инфо!$A$15:$A$28,F972)</f>
        <v>0</v>
      </c>
      <c r="AF972" s="35">
        <f t="shared" si="218"/>
        <v>0</v>
      </c>
      <c r="AG972" s="12">
        <f t="shared" si="228"/>
        <v>0</v>
      </c>
      <c r="AH972" s="24">
        <f>SUMIFS(инфо!$E$15:$E$28,инфо!$A$15:$A$28,F972)</f>
        <v>0</v>
      </c>
      <c r="AI972" s="32">
        <f t="shared" si="219"/>
        <v>0</v>
      </c>
      <c r="AJ972" s="12">
        <f t="shared" si="229"/>
        <v>0</v>
      </c>
      <c r="AK972" s="24">
        <f>SUMIFS(инфо!$F$15:$F$28,инфо!$A$15:$A$28,F972)</f>
        <v>0</v>
      </c>
      <c r="AL972" s="32">
        <f t="shared" si="220"/>
        <v>0</v>
      </c>
      <c r="AM972" s="12">
        <f t="shared" si="223"/>
        <v>0</v>
      </c>
      <c r="AN972" s="24">
        <f>SUMIFS(инфо!$G$15:$G$28,инфо!$A$15:$A$28,F972)</f>
        <v>0</v>
      </c>
      <c r="AO972" s="32">
        <f t="shared" si="221"/>
        <v>0</v>
      </c>
      <c r="AP972" s="12">
        <f t="shared" si="224"/>
        <v>0</v>
      </c>
      <c r="AQ972" s="24">
        <f>SUMIFS(инфо!$H$15:$H$28,инфо!$A$15:$A$28,F972)</f>
        <v>0</v>
      </c>
      <c r="AR972" s="35">
        <f t="shared" si="222"/>
        <v>0</v>
      </c>
      <c r="AS972" s="12">
        <f t="shared" si="225"/>
        <v>0</v>
      </c>
      <c r="AT972" s="24">
        <f>SUMIFS(инфо!$I$15:$I$28,инфо!$A$15:$A$28,F972)</f>
        <v>0</v>
      </c>
      <c r="AU972" s="35">
        <f t="shared" si="230"/>
        <v>0</v>
      </c>
      <c r="AV972" s="12">
        <f t="shared" si="226"/>
        <v>0</v>
      </c>
      <c r="AX972" s="68">
        <f>SUMIFS(инфо!$C$15:$C$28,инфо!$A$15:$A$28,F972)*H971</f>
        <v>0</v>
      </c>
    </row>
    <row r="973" spans="1:50" x14ac:dyDescent="0.25">
      <c r="A973" s="70">
        <f t="shared" si="217"/>
        <v>46550</v>
      </c>
      <c r="B973" s="76"/>
      <c r="C973" s="15"/>
      <c r="D973" s="16"/>
      <c r="E973" s="11"/>
      <c r="F973" s="28"/>
      <c r="G973" s="34"/>
      <c r="H973" s="23"/>
      <c r="I973" s="20"/>
      <c r="J973" s="20"/>
      <c r="K973" s="20"/>
      <c r="L973" s="20"/>
      <c r="M973" s="20"/>
      <c r="N973" s="20"/>
      <c r="O973" s="34"/>
      <c r="P973" s="34"/>
      <c r="Q973" s="34"/>
      <c r="R973" s="34"/>
      <c r="S973" s="68">
        <f t="shared" si="227"/>
        <v>0</v>
      </c>
      <c r="T973" s="15"/>
      <c r="U973" s="16"/>
      <c r="V973" s="34"/>
      <c r="W973" s="34"/>
      <c r="X973" s="34"/>
      <c r="Y973" s="15"/>
      <c r="Z973" s="34"/>
      <c r="AA973" s="34"/>
      <c r="AB973" s="34"/>
      <c r="AC973" s="34"/>
      <c r="AD973" s="16"/>
      <c r="AE973" s="24">
        <f>SUMIFS(инфо!$D$15:$D$28,инфо!$A$15:$A$28,F973)</f>
        <v>0</v>
      </c>
      <c r="AF973" s="35">
        <f t="shared" si="218"/>
        <v>0</v>
      </c>
      <c r="AG973" s="12">
        <f t="shared" si="228"/>
        <v>0</v>
      </c>
      <c r="AH973" s="24">
        <f>SUMIFS(инфо!$E$15:$E$28,инфо!$A$15:$A$28,F973)</f>
        <v>0</v>
      </c>
      <c r="AI973" s="32">
        <f t="shared" si="219"/>
        <v>0</v>
      </c>
      <c r="AJ973" s="12">
        <f t="shared" si="229"/>
        <v>0</v>
      </c>
      <c r="AK973" s="24">
        <f>SUMIFS(инфо!$F$15:$F$28,инфо!$A$15:$A$28,F973)</f>
        <v>0</v>
      </c>
      <c r="AL973" s="32">
        <f t="shared" si="220"/>
        <v>0</v>
      </c>
      <c r="AM973" s="12">
        <f t="shared" si="223"/>
        <v>0</v>
      </c>
      <c r="AN973" s="24">
        <f>SUMIFS(инфо!$G$15:$G$28,инфо!$A$15:$A$28,F973)</f>
        <v>0</v>
      </c>
      <c r="AO973" s="32">
        <f t="shared" si="221"/>
        <v>0</v>
      </c>
      <c r="AP973" s="12">
        <f t="shared" si="224"/>
        <v>0</v>
      </c>
      <c r="AQ973" s="24">
        <f>SUMIFS(инфо!$H$15:$H$28,инфо!$A$15:$A$28,F973)</f>
        <v>0</v>
      </c>
      <c r="AR973" s="35">
        <f t="shared" si="222"/>
        <v>0</v>
      </c>
      <c r="AS973" s="12">
        <f t="shared" si="225"/>
        <v>0</v>
      </c>
      <c r="AT973" s="24">
        <f>SUMIFS(инфо!$I$15:$I$28,инфо!$A$15:$A$28,F973)</f>
        <v>0</v>
      </c>
      <c r="AU973" s="35">
        <f t="shared" si="230"/>
        <v>0</v>
      </c>
      <c r="AV973" s="12">
        <f t="shared" si="226"/>
        <v>0</v>
      </c>
      <c r="AX973" s="68">
        <f>SUMIFS(инфо!$C$15:$C$28,инфо!$A$15:$A$28,F973)*H972</f>
        <v>0</v>
      </c>
    </row>
    <row r="974" spans="1:50" x14ac:dyDescent="0.25">
      <c r="A974" s="70">
        <f t="shared" si="217"/>
        <v>46551</v>
      </c>
      <c r="B974" s="77"/>
      <c r="C974" s="17"/>
      <c r="D974" s="18"/>
      <c r="E974" s="11"/>
      <c r="F974" s="28"/>
      <c r="G974" s="19"/>
      <c r="H974" s="28"/>
      <c r="I974" s="20"/>
      <c r="J974" s="20"/>
      <c r="K974" s="20"/>
      <c r="L974" s="20"/>
      <c r="M974" s="20"/>
      <c r="N974" s="23"/>
      <c r="O974" s="19"/>
      <c r="P974" s="19"/>
      <c r="Q974" s="19"/>
      <c r="R974" s="19"/>
      <c r="S974" s="69">
        <f t="shared" si="227"/>
        <v>0</v>
      </c>
      <c r="T974" s="17"/>
      <c r="U974" s="18"/>
      <c r="V974" s="19"/>
      <c r="W974" s="19"/>
      <c r="X974" s="19"/>
      <c r="Y974" s="17"/>
      <c r="Z974" s="19"/>
      <c r="AA974" s="19"/>
      <c r="AB974" s="19"/>
      <c r="AC974" s="19"/>
      <c r="AD974" s="18"/>
      <c r="AE974" s="25">
        <f>SUMIFS(инфо!$D$15:$D$28,инфо!$A$15:$A$28,F974)</f>
        <v>0</v>
      </c>
      <c r="AF974" s="35">
        <f t="shared" si="218"/>
        <v>0</v>
      </c>
      <c r="AG974" s="14">
        <f t="shared" si="228"/>
        <v>0</v>
      </c>
      <c r="AH974" s="25">
        <f>SUMIFS(инфо!$E$15:$E$28,инфо!$A$15:$A$28,F974)</f>
        <v>0</v>
      </c>
      <c r="AI974" s="32">
        <f t="shared" si="219"/>
        <v>0</v>
      </c>
      <c r="AJ974" s="14">
        <f t="shared" si="229"/>
        <v>0</v>
      </c>
      <c r="AK974" s="25">
        <f>SUMIFS(инфо!$F$15:$F$28,инфо!$A$15:$A$28,F974)</f>
        <v>0</v>
      </c>
      <c r="AL974" s="32">
        <f t="shared" si="220"/>
        <v>0</v>
      </c>
      <c r="AM974" s="14">
        <f t="shared" si="223"/>
        <v>0</v>
      </c>
      <c r="AN974" s="25">
        <f>SUMIFS(инфо!$G$15:$G$28,инфо!$A$15:$A$28,F974)</f>
        <v>0</v>
      </c>
      <c r="AO974" s="32">
        <f t="shared" si="221"/>
        <v>0</v>
      </c>
      <c r="AP974" s="14">
        <f t="shared" si="224"/>
        <v>0</v>
      </c>
      <c r="AQ974" s="25">
        <f>SUMIFS(инфо!$H$15:$H$28,инфо!$A$15:$A$28,F974)</f>
        <v>0</v>
      </c>
      <c r="AR974" s="26">
        <f t="shared" si="222"/>
        <v>0</v>
      </c>
      <c r="AS974" s="14">
        <f t="shared" si="225"/>
        <v>0</v>
      </c>
      <c r="AT974" s="25">
        <f>SUMIFS(инфо!$I$15:$I$28,инфо!$A$15:$A$28,F974)</f>
        <v>0</v>
      </c>
      <c r="AU974" s="35">
        <f t="shared" si="230"/>
        <v>0</v>
      </c>
      <c r="AV974" s="14">
        <f t="shared" si="226"/>
        <v>0</v>
      </c>
      <c r="AX974" s="69">
        <f>SUMIFS(инфо!$C$15:$C$28,инфо!$A$15:$A$28,F974)*H973</f>
        <v>0</v>
      </c>
    </row>
    <row r="975" spans="1:50" x14ac:dyDescent="0.25">
      <c r="A975" s="70">
        <f t="shared" si="217"/>
        <v>46551</v>
      </c>
      <c r="B975" s="75"/>
      <c r="C975" s="29"/>
      <c r="D975" s="30"/>
      <c r="E975" s="11"/>
      <c r="F975" s="28"/>
      <c r="G975" s="27"/>
      <c r="H975" s="20"/>
      <c r="I975" s="20"/>
      <c r="J975" s="20"/>
      <c r="K975" s="20"/>
      <c r="L975" s="20"/>
      <c r="M975" s="20"/>
      <c r="N975" s="28"/>
      <c r="O975" s="27"/>
      <c r="P975" s="27"/>
      <c r="Q975" s="27"/>
      <c r="R975" s="27"/>
      <c r="S975" s="67">
        <f t="shared" si="227"/>
        <v>0</v>
      </c>
      <c r="T975" s="29"/>
      <c r="U975" s="30"/>
      <c r="V975" s="27"/>
      <c r="W975" s="27"/>
      <c r="X975" s="27"/>
      <c r="Y975" s="29"/>
      <c r="Z975" s="27"/>
      <c r="AA975" s="27"/>
      <c r="AB975" s="27"/>
      <c r="AC975" s="27"/>
      <c r="AD975" s="30"/>
      <c r="AE975" s="31">
        <f>SUMIFS(инфо!$D$15:$D$28,инфо!$A$15:$A$28,F975)</f>
        <v>0</v>
      </c>
      <c r="AF975" s="35">
        <f t="shared" si="218"/>
        <v>0</v>
      </c>
      <c r="AG975" s="33">
        <f t="shared" si="228"/>
        <v>0</v>
      </c>
      <c r="AH975" s="31">
        <f>SUMIFS(инфо!$E$15:$E$28,инфо!$A$15:$A$28,F975)</f>
        <v>0</v>
      </c>
      <c r="AI975" s="32">
        <f t="shared" si="219"/>
        <v>0</v>
      </c>
      <c r="AJ975" s="33">
        <f t="shared" si="229"/>
        <v>0</v>
      </c>
      <c r="AK975" s="31">
        <f>SUMIFS(инфо!$F$15:$F$28,инфо!$A$15:$A$28,F975)</f>
        <v>0</v>
      </c>
      <c r="AL975" s="32">
        <f t="shared" si="220"/>
        <v>0</v>
      </c>
      <c r="AM975" s="33">
        <f t="shared" si="223"/>
        <v>0</v>
      </c>
      <c r="AN975" s="31">
        <f>SUMIFS(инфо!$G$15:$G$28,инфо!$A$15:$A$28,F975)</f>
        <v>0</v>
      </c>
      <c r="AO975" s="32">
        <f t="shared" si="221"/>
        <v>0</v>
      </c>
      <c r="AP975" s="33">
        <f t="shared" si="224"/>
        <v>0</v>
      </c>
      <c r="AQ975" s="31">
        <f>SUMIFS(инфо!$H$15:$H$28,инфо!$A$15:$A$28,F975)</f>
        <v>0</v>
      </c>
      <c r="AR975" s="32">
        <f t="shared" si="222"/>
        <v>0</v>
      </c>
      <c r="AS975" s="33">
        <f t="shared" si="225"/>
        <v>0</v>
      </c>
      <c r="AT975" s="31">
        <f>SUMIFS(инфо!$I$15:$I$28,инфо!$A$15:$A$28,F975)</f>
        <v>0</v>
      </c>
      <c r="AU975" s="35">
        <f t="shared" si="230"/>
        <v>0</v>
      </c>
      <c r="AV975" s="33">
        <f t="shared" si="226"/>
        <v>0</v>
      </c>
      <c r="AX975" s="67">
        <f>SUMIFS(инфо!$C$15:$C$28,инфо!$A$15:$A$28,F975)*H974</f>
        <v>0</v>
      </c>
    </row>
    <row r="976" spans="1:50" x14ac:dyDescent="0.25">
      <c r="A976" s="70">
        <f t="shared" si="217"/>
        <v>46552</v>
      </c>
      <c r="B976" s="76"/>
      <c r="C976" s="15"/>
      <c r="D976" s="16"/>
      <c r="E976" s="11"/>
      <c r="F976" s="28"/>
      <c r="G976" s="34"/>
      <c r="H976" s="20"/>
      <c r="I976" s="20"/>
      <c r="J976" s="20"/>
      <c r="K976" s="20"/>
      <c r="L976" s="20"/>
      <c r="M976" s="20"/>
      <c r="N976" s="20"/>
      <c r="O976" s="34"/>
      <c r="P976" s="34"/>
      <c r="Q976" s="34"/>
      <c r="R976" s="34"/>
      <c r="S976" s="68">
        <f t="shared" si="227"/>
        <v>0</v>
      </c>
      <c r="T976" s="15"/>
      <c r="U976" s="16"/>
      <c r="V976" s="34"/>
      <c r="W976" s="34"/>
      <c r="X976" s="34"/>
      <c r="Y976" s="15"/>
      <c r="Z976" s="34"/>
      <c r="AA976" s="34"/>
      <c r="AB976" s="34"/>
      <c r="AC976" s="34"/>
      <c r="AD976" s="16"/>
      <c r="AE976" s="24">
        <f>SUMIFS(инфо!$D$15:$D$28,инфо!$A$15:$A$28,F976)</f>
        <v>0</v>
      </c>
      <c r="AF976" s="35">
        <f t="shared" si="218"/>
        <v>0</v>
      </c>
      <c r="AG976" s="12">
        <f t="shared" si="228"/>
        <v>0</v>
      </c>
      <c r="AH976" s="24">
        <f>SUMIFS(инфо!$E$15:$E$28,инфо!$A$15:$A$28,F976)</f>
        <v>0</v>
      </c>
      <c r="AI976" s="32">
        <f t="shared" si="219"/>
        <v>0</v>
      </c>
      <c r="AJ976" s="12">
        <f t="shared" si="229"/>
        <v>0</v>
      </c>
      <c r="AK976" s="24">
        <f>SUMIFS(инфо!$F$15:$F$28,инфо!$A$15:$A$28,F976)</f>
        <v>0</v>
      </c>
      <c r="AL976" s="32">
        <f t="shared" si="220"/>
        <v>0</v>
      </c>
      <c r="AM976" s="12">
        <f t="shared" si="223"/>
        <v>0</v>
      </c>
      <c r="AN976" s="24">
        <f>SUMIFS(инфо!$G$15:$G$28,инфо!$A$15:$A$28,F976)</f>
        <v>0</v>
      </c>
      <c r="AO976" s="32">
        <f t="shared" si="221"/>
        <v>0</v>
      </c>
      <c r="AP976" s="12">
        <f t="shared" si="224"/>
        <v>0</v>
      </c>
      <c r="AQ976" s="24">
        <f>SUMIFS(инфо!$H$15:$H$28,инфо!$A$15:$A$28,F976)</f>
        <v>0</v>
      </c>
      <c r="AR976" s="35">
        <f t="shared" si="222"/>
        <v>0</v>
      </c>
      <c r="AS976" s="12">
        <f t="shared" si="225"/>
        <v>0</v>
      </c>
      <c r="AT976" s="24">
        <f>SUMIFS(инфо!$I$15:$I$28,инфо!$A$15:$A$28,F976)</f>
        <v>0</v>
      </c>
      <c r="AU976" s="35">
        <f t="shared" si="230"/>
        <v>0</v>
      </c>
      <c r="AV976" s="12">
        <f t="shared" si="226"/>
        <v>0</v>
      </c>
      <c r="AX976" s="68">
        <f>SUMIFS(инфо!$C$15:$C$28,инфо!$A$15:$A$28,F976)*H975</f>
        <v>0</v>
      </c>
    </row>
    <row r="977" spans="1:50" x14ac:dyDescent="0.25">
      <c r="A977" s="70">
        <f t="shared" si="217"/>
        <v>46552</v>
      </c>
      <c r="B977" s="76"/>
      <c r="C977" s="15"/>
      <c r="D977" s="16"/>
      <c r="E977" s="11"/>
      <c r="F977" s="28"/>
      <c r="G977" s="34"/>
      <c r="H977" s="23"/>
      <c r="I977" s="20"/>
      <c r="J977" s="20"/>
      <c r="K977" s="20"/>
      <c r="L977" s="20"/>
      <c r="M977" s="20"/>
      <c r="N977" s="20"/>
      <c r="O977" s="34"/>
      <c r="P977" s="34"/>
      <c r="Q977" s="34"/>
      <c r="R977" s="34"/>
      <c r="S977" s="68">
        <f t="shared" si="227"/>
        <v>0</v>
      </c>
      <c r="T977" s="15"/>
      <c r="U977" s="16"/>
      <c r="V977" s="34"/>
      <c r="W977" s="34"/>
      <c r="X977" s="34"/>
      <c r="Y977" s="15"/>
      <c r="Z977" s="34"/>
      <c r="AA977" s="34"/>
      <c r="AB977" s="34"/>
      <c r="AC977" s="34"/>
      <c r="AD977" s="16"/>
      <c r="AE977" s="24">
        <f>SUMIFS(инфо!$D$15:$D$28,инфо!$A$15:$A$28,F977)</f>
        <v>0</v>
      </c>
      <c r="AF977" s="35">
        <f t="shared" si="218"/>
        <v>0</v>
      </c>
      <c r="AG977" s="12">
        <f t="shared" si="228"/>
        <v>0</v>
      </c>
      <c r="AH977" s="24">
        <f>SUMIFS(инфо!$E$15:$E$28,инфо!$A$15:$A$28,F977)</f>
        <v>0</v>
      </c>
      <c r="AI977" s="32">
        <f t="shared" si="219"/>
        <v>0</v>
      </c>
      <c r="AJ977" s="12">
        <f t="shared" si="229"/>
        <v>0</v>
      </c>
      <c r="AK977" s="24">
        <f>SUMIFS(инфо!$F$15:$F$28,инфо!$A$15:$A$28,F977)</f>
        <v>0</v>
      </c>
      <c r="AL977" s="32">
        <f t="shared" si="220"/>
        <v>0</v>
      </c>
      <c r="AM977" s="12">
        <f t="shared" si="223"/>
        <v>0</v>
      </c>
      <c r="AN977" s="24">
        <f>SUMIFS(инфо!$G$15:$G$28,инфо!$A$15:$A$28,F977)</f>
        <v>0</v>
      </c>
      <c r="AO977" s="32">
        <f t="shared" si="221"/>
        <v>0</v>
      </c>
      <c r="AP977" s="12">
        <f t="shared" si="224"/>
        <v>0</v>
      </c>
      <c r="AQ977" s="24">
        <f>SUMIFS(инфо!$H$15:$H$28,инфо!$A$15:$A$28,F977)</f>
        <v>0</v>
      </c>
      <c r="AR977" s="35">
        <f t="shared" si="222"/>
        <v>0</v>
      </c>
      <c r="AS977" s="12">
        <f t="shared" si="225"/>
        <v>0</v>
      </c>
      <c r="AT977" s="24">
        <f>SUMIFS(инфо!$I$15:$I$28,инфо!$A$15:$A$28,F977)</f>
        <v>0</v>
      </c>
      <c r="AU977" s="35">
        <f t="shared" si="230"/>
        <v>0</v>
      </c>
      <c r="AV977" s="12">
        <f t="shared" si="226"/>
        <v>0</v>
      </c>
      <c r="AX977" s="68">
        <f>SUMIFS(инфо!$C$15:$C$28,инфо!$A$15:$A$28,F977)*H976</f>
        <v>0</v>
      </c>
    </row>
    <row r="978" spans="1:50" x14ac:dyDescent="0.25">
      <c r="A978" s="70">
        <f t="shared" si="217"/>
        <v>46553</v>
      </c>
      <c r="B978" s="77"/>
      <c r="C978" s="17"/>
      <c r="D978" s="18"/>
      <c r="E978" s="11"/>
      <c r="F978" s="28"/>
      <c r="G978" s="19"/>
      <c r="H978" s="28"/>
      <c r="I978" s="20"/>
      <c r="J978" s="20"/>
      <c r="K978" s="20"/>
      <c r="L978" s="20"/>
      <c r="M978" s="20"/>
      <c r="N978" s="23"/>
      <c r="O978" s="19"/>
      <c r="P978" s="19"/>
      <c r="Q978" s="19"/>
      <c r="R978" s="19"/>
      <c r="S978" s="69">
        <f t="shared" si="227"/>
        <v>0</v>
      </c>
      <c r="T978" s="17"/>
      <c r="U978" s="18"/>
      <c r="V978" s="19"/>
      <c r="W978" s="19"/>
      <c r="X978" s="19"/>
      <c r="Y978" s="17"/>
      <c r="Z978" s="19"/>
      <c r="AA978" s="19"/>
      <c r="AB978" s="19"/>
      <c r="AC978" s="19"/>
      <c r="AD978" s="18"/>
      <c r="AE978" s="25">
        <f>SUMIFS(инфо!$D$15:$D$28,инфо!$A$15:$A$28,F978)</f>
        <v>0</v>
      </c>
      <c r="AF978" s="35">
        <f t="shared" si="218"/>
        <v>0</v>
      </c>
      <c r="AG978" s="14">
        <f t="shared" si="228"/>
        <v>0</v>
      </c>
      <c r="AH978" s="25">
        <f>SUMIFS(инфо!$E$15:$E$28,инфо!$A$15:$A$28,F978)</f>
        <v>0</v>
      </c>
      <c r="AI978" s="32">
        <f t="shared" si="219"/>
        <v>0</v>
      </c>
      <c r="AJ978" s="14">
        <f t="shared" si="229"/>
        <v>0</v>
      </c>
      <c r="AK978" s="25">
        <f>SUMIFS(инфо!$F$15:$F$28,инфо!$A$15:$A$28,F978)</f>
        <v>0</v>
      </c>
      <c r="AL978" s="32">
        <f t="shared" si="220"/>
        <v>0</v>
      </c>
      <c r="AM978" s="14">
        <f t="shared" si="223"/>
        <v>0</v>
      </c>
      <c r="AN978" s="25">
        <f>SUMIFS(инфо!$G$15:$G$28,инфо!$A$15:$A$28,F978)</f>
        <v>0</v>
      </c>
      <c r="AO978" s="32">
        <f t="shared" si="221"/>
        <v>0</v>
      </c>
      <c r="AP978" s="14">
        <f t="shared" si="224"/>
        <v>0</v>
      </c>
      <c r="AQ978" s="25">
        <f>SUMIFS(инфо!$H$15:$H$28,инфо!$A$15:$A$28,F978)</f>
        <v>0</v>
      </c>
      <c r="AR978" s="26">
        <f t="shared" si="222"/>
        <v>0</v>
      </c>
      <c r="AS978" s="14">
        <f t="shared" si="225"/>
        <v>0</v>
      </c>
      <c r="AT978" s="25">
        <f>SUMIFS(инфо!$I$15:$I$28,инфо!$A$15:$A$28,F978)</f>
        <v>0</v>
      </c>
      <c r="AU978" s="35">
        <f t="shared" si="230"/>
        <v>0</v>
      </c>
      <c r="AV978" s="14">
        <f t="shared" si="226"/>
        <v>0</v>
      </c>
      <c r="AX978" s="69">
        <f>SUMIFS(инфо!$C$15:$C$28,инфо!$A$15:$A$28,F978)*H977</f>
        <v>0</v>
      </c>
    </row>
    <row r="979" spans="1:50" x14ac:dyDescent="0.25">
      <c r="A979" s="70">
        <f t="shared" si="217"/>
        <v>46553</v>
      </c>
      <c r="B979" s="75"/>
      <c r="C979" s="29"/>
      <c r="D979" s="30"/>
      <c r="E979" s="11"/>
      <c r="F979" s="28"/>
      <c r="G979" s="27"/>
      <c r="H979" s="20"/>
      <c r="I979" s="20"/>
      <c r="J979" s="20"/>
      <c r="K979" s="20"/>
      <c r="L979" s="20"/>
      <c r="M979" s="20"/>
      <c r="N979" s="28"/>
      <c r="O979" s="27"/>
      <c r="P979" s="27"/>
      <c r="Q979" s="27"/>
      <c r="R979" s="27"/>
      <c r="S979" s="67">
        <f t="shared" si="227"/>
        <v>0</v>
      </c>
      <c r="T979" s="29"/>
      <c r="U979" s="30"/>
      <c r="V979" s="27"/>
      <c r="W979" s="27"/>
      <c r="X979" s="27"/>
      <c r="Y979" s="29"/>
      <c r="Z979" s="27"/>
      <c r="AA979" s="27"/>
      <c r="AB979" s="27"/>
      <c r="AC979" s="27"/>
      <c r="AD979" s="30"/>
      <c r="AE979" s="31">
        <f>SUMIFS(инфо!$D$15:$D$28,инфо!$A$15:$A$28,F979)</f>
        <v>0</v>
      </c>
      <c r="AF979" s="35">
        <f t="shared" si="218"/>
        <v>0</v>
      </c>
      <c r="AG979" s="33">
        <f t="shared" si="228"/>
        <v>0</v>
      </c>
      <c r="AH979" s="31">
        <f>SUMIFS(инфо!$E$15:$E$28,инфо!$A$15:$A$28,F979)</f>
        <v>0</v>
      </c>
      <c r="AI979" s="32">
        <f t="shared" si="219"/>
        <v>0</v>
      </c>
      <c r="AJ979" s="33">
        <f t="shared" si="229"/>
        <v>0</v>
      </c>
      <c r="AK979" s="31">
        <f>SUMIFS(инфо!$F$15:$F$28,инфо!$A$15:$A$28,F979)</f>
        <v>0</v>
      </c>
      <c r="AL979" s="32">
        <f t="shared" si="220"/>
        <v>0</v>
      </c>
      <c r="AM979" s="33">
        <f t="shared" si="223"/>
        <v>0</v>
      </c>
      <c r="AN979" s="31">
        <f>SUMIFS(инфо!$G$15:$G$28,инфо!$A$15:$A$28,F979)</f>
        <v>0</v>
      </c>
      <c r="AO979" s="32">
        <f t="shared" si="221"/>
        <v>0</v>
      </c>
      <c r="AP979" s="33">
        <f t="shared" si="224"/>
        <v>0</v>
      </c>
      <c r="AQ979" s="31">
        <f>SUMIFS(инфо!$H$15:$H$28,инфо!$A$15:$A$28,F979)</f>
        <v>0</v>
      </c>
      <c r="AR979" s="32">
        <f t="shared" si="222"/>
        <v>0</v>
      </c>
      <c r="AS979" s="33">
        <f t="shared" si="225"/>
        <v>0</v>
      </c>
      <c r="AT979" s="31">
        <f>SUMIFS(инфо!$I$15:$I$28,инфо!$A$15:$A$28,F979)</f>
        <v>0</v>
      </c>
      <c r="AU979" s="35">
        <f t="shared" si="230"/>
        <v>0</v>
      </c>
      <c r="AV979" s="33">
        <f t="shared" si="226"/>
        <v>0</v>
      </c>
      <c r="AX979" s="67">
        <f>SUMIFS(инфо!$C$15:$C$28,инфо!$A$15:$A$28,F979)*H978</f>
        <v>0</v>
      </c>
    </row>
    <row r="980" spans="1:50" x14ac:dyDescent="0.25">
      <c r="A980" s="70">
        <f t="shared" si="217"/>
        <v>46554</v>
      </c>
      <c r="B980" s="76"/>
      <c r="C980" s="15"/>
      <c r="D980" s="16"/>
      <c r="E980" s="11"/>
      <c r="F980" s="28"/>
      <c r="G980" s="34"/>
      <c r="H980" s="20"/>
      <c r="I980" s="20"/>
      <c r="J980" s="20"/>
      <c r="K980" s="20"/>
      <c r="L980" s="20"/>
      <c r="M980" s="20"/>
      <c r="N980" s="20"/>
      <c r="O980" s="34"/>
      <c r="P980" s="34"/>
      <c r="Q980" s="34"/>
      <c r="R980" s="34"/>
      <c r="S980" s="68">
        <f t="shared" si="227"/>
        <v>0</v>
      </c>
      <c r="T980" s="15"/>
      <c r="U980" s="16"/>
      <c r="V980" s="34"/>
      <c r="W980" s="34"/>
      <c r="X980" s="34"/>
      <c r="Y980" s="15"/>
      <c r="Z980" s="34"/>
      <c r="AA980" s="34"/>
      <c r="AB980" s="34"/>
      <c r="AC980" s="34"/>
      <c r="AD980" s="16"/>
      <c r="AE980" s="24">
        <f>SUMIFS(инфо!$D$15:$D$28,инфо!$A$15:$A$28,F980)</f>
        <v>0</v>
      </c>
      <c r="AF980" s="35">
        <f t="shared" si="218"/>
        <v>0</v>
      </c>
      <c r="AG980" s="12">
        <f t="shared" si="228"/>
        <v>0</v>
      </c>
      <c r="AH980" s="24">
        <f>SUMIFS(инфо!$E$15:$E$28,инфо!$A$15:$A$28,F980)</f>
        <v>0</v>
      </c>
      <c r="AI980" s="32">
        <f t="shared" si="219"/>
        <v>0</v>
      </c>
      <c r="AJ980" s="12">
        <f t="shared" si="229"/>
        <v>0</v>
      </c>
      <c r="AK980" s="24">
        <f>SUMIFS(инфо!$F$15:$F$28,инфо!$A$15:$A$28,F980)</f>
        <v>0</v>
      </c>
      <c r="AL980" s="32">
        <f t="shared" si="220"/>
        <v>0</v>
      </c>
      <c r="AM980" s="12">
        <f t="shared" si="223"/>
        <v>0</v>
      </c>
      <c r="AN980" s="24">
        <f>SUMIFS(инфо!$G$15:$G$28,инфо!$A$15:$A$28,F980)</f>
        <v>0</v>
      </c>
      <c r="AO980" s="32">
        <f t="shared" si="221"/>
        <v>0</v>
      </c>
      <c r="AP980" s="12">
        <f t="shared" si="224"/>
        <v>0</v>
      </c>
      <c r="AQ980" s="24">
        <f>SUMIFS(инфо!$H$15:$H$28,инфо!$A$15:$A$28,F980)</f>
        <v>0</v>
      </c>
      <c r="AR980" s="35">
        <f t="shared" si="222"/>
        <v>0</v>
      </c>
      <c r="AS980" s="12">
        <f t="shared" si="225"/>
        <v>0</v>
      </c>
      <c r="AT980" s="24">
        <f>SUMIFS(инфо!$I$15:$I$28,инфо!$A$15:$A$28,F980)</f>
        <v>0</v>
      </c>
      <c r="AU980" s="35">
        <f t="shared" si="230"/>
        <v>0</v>
      </c>
      <c r="AV980" s="12">
        <f t="shared" si="226"/>
        <v>0</v>
      </c>
      <c r="AX980" s="68">
        <f>SUMIFS(инфо!$C$15:$C$28,инфо!$A$15:$A$28,F980)*H979</f>
        <v>0</v>
      </c>
    </row>
    <row r="981" spans="1:50" x14ac:dyDescent="0.25">
      <c r="A981" s="70">
        <f t="shared" si="217"/>
        <v>46554</v>
      </c>
      <c r="B981" s="76"/>
      <c r="C981" s="15"/>
      <c r="D981" s="16"/>
      <c r="E981" s="11"/>
      <c r="F981" s="28"/>
      <c r="G981" s="34"/>
      <c r="H981" s="23"/>
      <c r="I981" s="20"/>
      <c r="J981" s="20"/>
      <c r="K981" s="20"/>
      <c r="L981" s="20"/>
      <c r="M981" s="20"/>
      <c r="N981" s="20"/>
      <c r="O981" s="34"/>
      <c r="P981" s="34"/>
      <c r="Q981" s="34"/>
      <c r="R981" s="34"/>
      <c r="S981" s="68">
        <f t="shared" si="227"/>
        <v>0</v>
      </c>
      <c r="T981" s="15"/>
      <c r="U981" s="16"/>
      <c r="V981" s="34"/>
      <c r="W981" s="34"/>
      <c r="X981" s="34"/>
      <c r="Y981" s="15"/>
      <c r="Z981" s="34"/>
      <c r="AA981" s="34"/>
      <c r="AB981" s="34"/>
      <c r="AC981" s="34"/>
      <c r="AD981" s="16"/>
      <c r="AE981" s="24">
        <f>SUMIFS(инфо!$D$15:$D$28,инфо!$A$15:$A$28,F981)</f>
        <v>0</v>
      </c>
      <c r="AF981" s="35">
        <f t="shared" si="218"/>
        <v>0</v>
      </c>
      <c r="AG981" s="12">
        <f t="shared" si="228"/>
        <v>0</v>
      </c>
      <c r="AH981" s="24">
        <f>SUMIFS(инфо!$E$15:$E$28,инфо!$A$15:$A$28,F981)</f>
        <v>0</v>
      </c>
      <c r="AI981" s="32">
        <f t="shared" si="219"/>
        <v>0</v>
      </c>
      <c r="AJ981" s="12">
        <f t="shared" si="229"/>
        <v>0</v>
      </c>
      <c r="AK981" s="24">
        <f>SUMIFS(инфо!$F$15:$F$28,инфо!$A$15:$A$28,F981)</f>
        <v>0</v>
      </c>
      <c r="AL981" s="32">
        <f t="shared" si="220"/>
        <v>0</v>
      </c>
      <c r="AM981" s="12">
        <f t="shared" si="223"/>
        <v>0</v>
      </c>
      <c r="AN981" s="24">
        <f>SUMIFS(инфо!$G$15:$G$28,инфо!$A$15:$A$28,F981)</f>
        <v>0</v>
      </c>
      <c r="AO981" s="32">
        <f t="shared" si="221"/>
        <v>0</v>
      </c>
      <c r="AP981" s="12">
        <f t="shared" si="224"/>
        <v>0</v>
      </c>
      <c r="AQ981" s="24">
        <f>SUMIFS(инфо!$H$15:$H$28,инфо!$A$15:$A$28,F981)</f>
        <v>0</v>
      </c>
      <c r="AR981" s="35">
        <f t="shared" si="222"/>
        <v>0</v>
      </c>
      <c r="AS981" s="12">
        <f t="shared" si="225"/>
        <v>0</v>
      </c>
      <c r="AT981" s="24">
        <f>SUMIFS(инфо!$I$15:$I$28,инфо!$A$15:$A$28,F981)</f>
        <v>0</v>
      </c>
      <c r="AU981" s="35">
        <f t="shared" si="230"/>
        <v>0</v>
      </c>
      <c r="AV981" s="12">
        <f t="shared" si="226"/>
        <v>0</v>
      </c>
      <c r="AX981" s="68">
        <f>SUMIFS(инфо!$C$15:$C$28,инфо!$A$15:$A$28,F981)*H980</f>
        <v>0</v>
      </c>
    </row>
    <row r="982" spans="1:50" x14ac:dyDescent="0.25">
      <c r="A982" s="70">
        <f t="shared" si="217"/>
        <v>46555</v>
      </c>
      <c r="B982" s="77"/>
      <c r="C982" s="17"/>
      <c r="D982" s="18"/>
      <c r="E982" s="11"/>
      <c r="F982" s="28"/>
      <c r="G982" s="19"/>
      <c r="H982" s="28"/>
      <c r="I982" s="20"/>
      <c r="J982" s="20"/>
      <c r="K982" s="20"/>
      <c r="L982" s="20"/>
      <c r="M982" s="20"/>
      <c r="N982" s="23"/>
      <c r="O982" s="19"/>
      <c r="P982" s="19"/>
      <c r="Q982" s="19"/>
      <c r="R982" s="19"/>
      <c r="S982" s="69">
        <f t="shared" si="227"/>
        <v>0</v>
      </c>
      <c r="T982" s="17"/>
      <c r="U982" s="18"/>
      <c r="V982" s="19"/>
      <c r="W982" s="19"/>
      <c r="X982" s="19"/>
      <c r="Y982" s="17"/>
      <c r="Z982" s="19"/>
      <c r="AA982" s="19"/>
      <c r="AB982" s="19"/>
      <c r="AC982" s="19"/>
      <c r="AD982" s="18"/>
      <c r="AE982" s="25">
        <f>SUMIFS(инфо!$D$15:$D$28,инфо!$A$15:$A$28,F982)</f>
        <v>0</v>
      </c>
      <c r="AF982" s="35">
        <f t="shared" si="218"/>
        <v>0</v>
      </c>
      <c r="AG982" s="14">
        <f t="shared" si="228"/>
        <v>0</v>
      </c>
      <c r="AH982" s="25">
        <f>SUMIFS(инфо!$E$15:$E$28,инфо!$A$15:$A$28,F982)</f>
        <v>0</v>
      </c>
      <c r="AI982" s="32">
        <f t="shared" si="219"/>
        <v>0</v>
      </c>
      <c r="AJ982" s="14">
        <f t="shared" si="229"/>
        <v>0</v>
      </c>
      <c r="AK982" s="25">
        <f>SUMIFS(инфо!$F$15:$F$28,инфо!$A$15:$A$28,F982)</f>
        <v>0</v>
      </c>
      <c r="AL982" s="32">
        <f t="shared" si="220"/>
        <v>0</v>
      </c>
      <c r="AM982" s="14">
        <f t="shared" si="223"/>
        <v>0</v>
      </c>
      <c r="AN982" s="25">
        <f>SUMIFS(инфо!$G$15:$G$28,инфо!$A$15:$A$28,F982)</f>
        <v>0</v>
      </c>
      <c r="AO982" s="32">
        <f t="shared" si="221"/>
        <v>0</v>
      </c>
      <c r="AP982" s="14">
        <f t="shared" si="224"/>
        <v>0</v>
      </c>
      <c r="AQ982" s="25">
        <f>SUMIFS(инфо!$H$15:$H$28,инфо!$A$15:$A$28,F982)</f>
        <v>0</v>
      </c>
      <c r="AR982" s="26">
        <f t="shared" si="222"/>
        <v>0</v>
      </c>
      <c r="AS982" s="14">
        <f t="shared" si="225"/>
        <v>0</v>
      </c>
      <c r="AT982" s="25">
        <f>SUMIFS(инфо!$I$15:$I$28,инфо!$A$15:$A$28,F982)</f>
        <v>0</v>
      </c>
      <c r="AU982" s="35">
        <f t="shared" si="230"/>
        <v>0</v>
      </c>
      <c r="AV982" s="14">
        <f t="shared" si="226"/>
        <v>0</v>
      </c>
      <c r="AX982" s="69">
        <f>SUMIFS(инфо!$C$15:$C$28,инфо!$A$15:$A$28,F982)*H981</f>
        <v>0</v>
      </c>
    </row>
    <row r="983" spans="1:50" x14ac:dyDescent="0.25">
      <c r="A983" s="70">
        <f t="shared" si="217"/>
        <v>46555</v>
      </c>
      <c r="B983" s="75"/>
      <c r="C983" s="29"/>
      <c r="D983" s="30"/>
      <c r="E983" s="11"/>
      <c r="F983" s="28"/>
      <c r="G983" s="27"/>
      <c r="H983" s="20"/>
      <c r="I983" s="20"/>
      <c r="J983" s="20"/>
      <c r="K983" s="20"/>
      <c r="L983" s="20"/>
      <c r="M983" s="20"/>
      <c r="N983" s="28"/>
      <c r="O983" s="27"/>
      <c r="P983" s="27"/>
      <c r="Q983" s="27"/>
      <c r="R983" s="27"/>
      <c r="S983" s="67">
        <f t="shared" si="227"/>
        <v>0</v>
      </c>
      <c r="T983" s="29"/>
      <c r="U983" s="30"/>
      <c r="V983" s="27"/>
      <c r="W983" s="27"/>
      <c r="X983" s="27"/>
      <c r="Y983" s="29"/>
      <c r="Z983" s="27"/>
      <c r="AA983" s="27"/>
      <c r="AB983" s="27"/>
      <c r="AC983" s="27"/>
      <c r="AD983" s="30"/>
      <c r="AE983" s="31">
        <f>SUMIFS(инфо!$D$15:$D$28,инфо!$A$15:$A$28,F983)</f>
        <v>0</v>
      </c>
      <c r="AF983" s="35">
        <f t="shared" si="218"/>
        <v>0</v>
      </c>
      <c r="AG983" s="33">
        <f t="shared" si="228"/>
        <v>0</v>
      </c>
      <c r="AH983" s="31">
        <f>SUMIFS(инфо!$E$15:$E$28,инфо!$A$15:$A$28,F983)</f>
        <v>0</v>
      </c>
      <c r="AI983" s="32">
        <f t="shared" si="219"/>
        <v>0</v>
      </c>
      <c r="AJ983" s="33">
        <f t="shared" si="229"/>
        <v>0</v>
      </c>
      <c r="AK983" s="31">
        <f>SUMIFS(инфо!$F$15:$F$28,инфо!$A$15:$A$28,F983)</f>
        <v>0</v>
      </c>
      <c r="AL983" s="32">
        <f t="shared" si="220"/>
        <v>0</v>
      </c>
      <c r="AM983" s="33">
        <f t="shared" si="223"/>
        <v>0</v>
      </c>
      <c r="AN983" s="31">
        <f>SUMIFS(инфо!$G$15:$G$28,инфо!$A$15:$A$28,F983)</f>
        <v>0</v>
      </c>
      <c r="AO983" s="32">
        <f t="shared" si="221"/>
        <v>0</v>
      </c>
      <c r="AP983" s="33">
        <f t="shared" si="224"/>
        <v>0</v>
      </c>
      <c r="AQ983" s="31">
        <f>SUMIFS(инфо!$H$15:$H$28,инфо!$A$15:$A$28,F983)</f>
        <v>0</v>
      </c>
      <c r="AR983" s="32">
        <f t="shared" si="222"/>
        <v>0</v>
      </c>
      <c r="AS983" s="33">
        <f t="shared" si="225"/>
        <v>0</v>
      </c>
      <c r="AT983" s="31">
        <f>SUMIFS(инфо!$I$15:$I$28,инфо!$A$15:$A$28,F983)</f>
        <v>0</v>
      </c>
      <c r="AU983" s="35">
        <f t="shared" si="230"/>
        <v>0</v>
      </c>
      <c r="AV983" s="33">
        <f t="shared" si="226"/>
        <v>0</v>
      </c>
      <c r="AX983" s="67">
        <f>SUMIFS(инфо!$C$15:$C$28,инфо!$A$15:$A$28,F983)*H982</f>
        <v>0</v>
      </c>
    </row>
    <row r="984" spans="1:50" x14ac:dyDescent="0.25">
      <c r="A984" s="70">
        <f t="shared" si="217"/>
        <v>46556</v>
      </c>
      <c r="B984" s="76"/>
      <c r="C984" s="15"/>
      <c r="D984" s="16"/>
      <c r="E984" s="11"/>
      <c r="F984" s="28"/>
      <c r="G984" s="34"/>
      <c r="H984" s="20"/>
      <c r="I984" s="20"/>
      <c r="J984" s="20"/>
      <c r="K984" s="20"/>
      <c r="L984" s="20"/>
      <c r="M984" s="20"/>
      <c r="N984" s="20"/>
      <c r="O984" s="34"/>
      <c r="P984" s="34"/>
      <c r="Q984" s="34"/>
      <c r="R984" s="34"/>
      <c r="S984" s="68">
        <f t="shared" si="227"/>
        <v>0</v>
      </c>
      <c r="T984" s="15"/>
      <c r="U984" s="16"/>
      <c r="V984" s="34"/>
      <c r="W984" s="34"/>
      <c r="X984" s="34"/>
      <c r="Y984" s="15"/>
      <c r="Z984" s="34"/>
      <c r="AA984" s="34"/>
      <c r="AB984" s="34"/>
      <c r="AC984" s="34"/>
      <c r="AD984" s="16"/>
      <c r="AE984" s="24">
        <f>SUMIFS(инфо!$D$15:$D$28,инфо!$A$15:$A$28,F984)</f>
        <v>0</v>
      </c>
      <c r="AF984" s="35">
        <f t="shared" si="218"/>
        <v>0</v>
      </c>
      <c r="AG984" s="12">
        <f t="shared" si="228"/>
        <v>0</v>
      </c>
      <c r="AH984" s="24">
        <f>SUMIFS(инфо!$E$15:$E$28,инфо!$A$15:$A$28,F984)</f>
        <v>0</v>
      </c>
      <c r="AI984" s="32">
        <f t="shared" si="219"/>
        <v>0</v>
      </c>
      <c r="AJ984" s="12">
        <f t="shared" si="229"/>
        <v>0</v>
      </c>
      <c r="AK984" s="24">
        <f>SUMIFS(инфо!$F$15:$F$28,инфо!$A$15:$A$28,F984)</f>
        <v>0</v>
      </c>
      <c r="AL984" s="32">
        <f t="shared" si="220"/>
        <v>0</v>
      </c>
      <c r="AM984" s="12">
        <f t="shared" si="223"/>
        <v>0</v>
      </c>
      <c r="AN984" s="24">
        <f>SUMIFS(инфо!$G$15:$G$28,инфо!$A$15:$A$28,F984)</f>
        <v>0</v>
      </c>
      <c r="AO984" s="32">
        <f t="shared" si="221"/>
        <v>0</v>
      </c>
      <c r="AP984" s="12">
        <f t="shared" si="224"/>
        <v>0</v>
      </c>
      <c r="AQ984" s="24">
        <f>SUMIFS(инфо!$H$15:$H$28,инфо!$A$15:$A$28,F984)</f>
        <v>0</v>
      </c>
      <c r="AR984" s="35">
        <f t="shared" si="222"/>
        <v>0</v>
      </c>
      <c r="AS984" s="12">
        <f t="shared" si="225"/>
        <v>0</v>
      </c>
      <c r="AT984" s="24">
        <f>SUMIFS(инфо!$I$15:$I$28,инфо!$A$15:$A$28,F984)</f>
        <v>0</v>
      </c>
      <c r="AU984" s="35">
        <f t="shared" si="230"/>
        <v>0</v>
      </c>
      <c r="AV984" s="12">
        <f t="shared" si="226"/>
        <v>0</v>
      </c>
      <c r="AX984" s="68">
        <f>SUMIFS(инфо!$C$15:$C$28,инфо!$A$15:$A$28,F984)*H983</f>
        <v>0</v>
      </c>
    </row>
    <row r="985" spans="1:50" x14ac:dyDescent="0.25">
      <c r="A985" s="70">
        <f t="shared" si="217"/>
        <v>46556</v>
      </c>
      <c r="B985" s="76"/>
      <c r="C985" s="15"/>
      <c r="D985" s="16"/>
      <c r="E985" s="11"/>
      <c r="F985" s="28"/>
      <c r="G985" s="34"/>
      <c r="H985" s="23"/>
      <c r="I985" s="20"/>
      <c r="J985" s="20"/>
      <c r="K985" s="20"/>
      <c r="L985" s="20"/>
      <c r="M985" s="20"/>
      <c r="N985" s="20"/>
      <c r="O985" s="34"/>
      <c r="P985" s="34"/>
      <c r="Q985" s="34"/>
      <c r="R985" s="34"/>
      <c r="S985" s="68">
        <f t="shared" si="227"/>
        <v>0</v>
      </c>
      <c r="T985" s="15"/>
      <c r="U985" s="16"/>
      <c r="V985" s="34"/>
      <c r="W985" s="34"/>
      <c r="X985" s="34"/>
      <c r="Y985" s="15"/>
      <c r="Z985" s="34"/>
      <c r="AA985" s="34"/>
      <c r="AB985" s="34"/>
      <c r="AC985" s="34"/>
      <c r="AD985" s="16"/>
      <c r="AE985" s="24">
        <f>SUMIFS(инфо!$D$15:$D$28,инфо!$A$15:$A$28,F985)</f>
        <v>0</v>
      </c>
      <c r="AF985" s="35">
        <f t="shared" si="218"/>
        <v>0</v>
      </c>
      <c r="AG985" s="12">
        <f t="shared" si="228"/>
        <v>0</v>
      </c>
      <c r="AH985" s="24">
        <f>SUMIFS(инфо!$E$15:$E$28,инфо!$A$15:$A$28,F985)</f>
        <v>0</v>
      </c>
      <c r="AI985" s="32">
        <f t="shared" si="219"/>
        <v>0</v>
      </c>
      <c r="AJ985" s="12">
        <f t="shared" si="229"/>
        <v>0</v>
      </c>
      <c r="AK985" s="24">
        <f>SUMIFS(инфо!$F$15:$F$28,инфо!$A$15:$A$28,F985)</f>
        <v>0</v>
      </c>
      <c r="AL985" s="32">
        <f t="shared" si="220"/>
        <v>0</v>
      </c>
      <c r="AM985" s="12">
        <f t="shared" si="223"/>
        <v>0</v>
      </c>
      <c r="AN985" s="24">
        <f>SUMIFS(инфо!$G$15:$G$28,инфо!$A$15:$A$28,F985)</f>
        <v>0</v>
      </c>
      <c r="AO985" s="32">
        <f t="shared" si="221"/>
        <v>0</v>
      </c>
      <c r="AP985" s="12">
        <f t="shared" si="224"/>
        <v>0</v>
      </c>
      <c r="AQ985" s="24">
        <f>SUMIFS(инфо!$H$15:$H$28,инфо!$A$15:$A$28,F985)</f>
        <v>0</v>
      </c>
      <c r="AR985" s="35">
        <f t="shared" si="222"/>
        <v>0</v>
      </c>
      <c r="AS985" s="12">
        <f t="shared" si="225"/>
        <v>0</v>
      </c>
      <c r="AT985" s="24">
        <f>SUMIFS(инфо!$I$15:$I$28,инфо!$A$15:$A$28,F985)</f>
        <v>0</v>
      </c>
      <c r="AU985" s="35">
        <f t="shared" si="230"/>
        <v>0</v>
      </c>
      <c r="AV985" s="12">
        <f t="shared" si="226"/>
        <v>0</v>
      </c>
      <c r="AX985" s="68">
        <f>SUMIFS(инфо!$C$15:$C$28,инфо!$A$15:$A$28,F985)*H984</f>
        <v>0</v>
      </c>
    </row>
    <row r="986" spans="1:50" x14ac:dyDescent="0.25">
      <c r="A986" s="70">
        <f t="shared" si="217"/>
        <v>46557</v>
      </c>
      <c r="B986" s="77"/>
      <c r="C986" s="17"/>
      <c r="D986" s="18"/>
      <c r="E986" s="11"/>
      <c r="F986" s="28"/>
      <c r="G986" s="19"/>
      <c r="H986" s="28"/>
      <c r="I986" s="20"/>
      <c r="J986" s="20"/>
      <c r="K986" s="20"/>
      <c r="L986" s="20"/>
      <c r="M986" s="20"/>
      <c r="N986" s="23"/>
      <c r="O986" s="19"/>
      <c r="P986" s="19"/>
      <c r="Q986" s="19"/>
      <c r="R986" s="19"/>
      <c r="S986" s="69">
        <f t="shared" si="227"/>
        <v>0</v>
      </c>
      <c r="T986" s="17"/>
      <c r="U986" s="18"/>
      <c r="V986" s="19"/>
      <c r="W986" s="19"/>
      <c r="X986" s="19"/>
      <c r="Y986" s="17"/>
      <c r="Z986" s="19"/>
      <c r="AA986" s="19"/>
      <c r="AB986" s="19"/>
      <c r="AC986" s="19"/>
      <c r="AD986" s="18"/>
      <c r="AE986" s="25">
        <f>SUMIFS(инфо!$D$15:$D$28,инфо!$A$15:$A$28,F986)</f>
        <v>0</v>
      </c>
      <c r="AF986" s="35">
        <f t="shared" si="218"/>
        <v>0</v>
      </c>
      <c r="AG986" s="14">
        <f t="shared" si="228"/>
        <v>0</v>
      </c>
      <c r="AH986" s="25">
        <f>SUMIFS(инфо!$E$15:$E$28,инфо!$A$15:$A$28,F986)</f>
        <v>0</v>
      </c>
      <c r="AI986" s="32">
        <f t="shared" si="219"/>
        <v>0</v>
      </c>
      <c r="AJ986" s="14">
        <f t="shared" si="229"/>
        <v>0</v>
      </c>
      <c r="AK986" s="25">
        <f>SUMIFS(инфо!$F$15:$F$28,инфо!$A$15:$A$28,F986)</f>
        <v>0</v>
      </c>
      <c r="AL986" s="32">
        <f t="shared" si="220"/>
        <v>0</v>
      </c>
      <c r="AM986" s="14">
        <f t="shared" si="223"/>
        <v>0</v>
      </c>
      <c r="AN986" s="25">
        <f>SUMIFS(инфо!$G$15:$G$28,инфо!$A$15:$A$28,F986)</f>
        <v>0</v>
      </c>
      <c r="AO986" s="32">
        <f t="shared" si="221"/>
        <v>0</v>
      </c>
      <c r="AP986" s="14">
        <f t="shared" si="224"/>
        <v>0</v>
      </c>
      <c r="AQ986" s="25">
        <f>SUMIFS(инфо!$H$15:$H$28,инфо!$A$15:$A$28,F986)</f>
        <v>0</v>
      </c>
      <c r="AR986" s="26">
        <f t="shared" si="222"/>
        <v>0</v>
      </c>
      <c r="AS986" s="14">
        <f t="shared" si="225"/>
        <v>0</v>
      </c>
      <c r="AT986" s="25">
        <f>SUMIFS(инфо!$I$15:$I$28,инфо!$A$15:$A$28,F986)</f>
        <v>0</v>
      </c>
      <c r="AU986" s="35">
        <f t="shared" si="230"/>
        <v>0</v>
      </c>
      <c r="AV986" s="14">
        <f t="shared" si="226"/>
        <v>0</v>
      </c>
      <c r="AX986" s="69">
        <f>SUMIFS(инфо!$C$15:$C$28,инфо!$A$15:$A$28,F986)*H985</f>
        <v>0</v>
      </c>
    </row>
    <row r="987" spans="1:50" x14ac:dyDescent="0.25">
      <c r="A987" s="70">
        <f t="shared" si="217"/>
        <v>46557</v>
      </c>
      <c r="B987" s="75"/>
      <c r="C987" s="29"/>
      <c r="D987" s="30"/>
      <c r="E987" s="11"/>
      <c r="F987" s="28"/>
      <c r="G987" s="27"/>
      <c r="H987" s="20"/>
      <c r="I987" s="20"/>
      <c r="J987" s="20"/>
      <c r="K987" s="20"/>
      <c r="L987" s="20"/>
      <c r="M987" s="20"/>
      <c r="N987" s="28"/>
      <c r="O987" s="27"/>
      <c r="P987" s="27"/>
      <c r="Q987" s="27"/>
      <c r="R987" s="27"/>
      <c r="S987" s="67">
        <f t="shared" si="227"/>
        <v>0</v>
      </c>
      <c r="T987" s="29"/>
      <c r="U987" s="30"/>
      <c r="V987" s="27"/>
      <c r="W987" s="27"/>
      <c r="X987" s="27"/>
      <c r="Y987" s="29"/>
      <c r="Z987" s="27"/>
      <c r="AA987" s="27"/>
      <c r="AB987" s="27"/>
      <c r="AC987" s="27"/>
      <c r="AD987" s="30"/>
      <c r="AE987" s="31">
        <f>SUMIFS(инфо!$D$15:$D$28,инфо!$A$15:$A$28,F987)</f>
        <v>0</v>
      </c>
      <c r="AF987" s="35">
        <f t="shared" si="218"/>
        <v>0</v>
      </c>
      <c r="AG987" s="33">
        <f t="shared" si="228"/>
        <v>0</v>
      </c>
      <c r="AH987" s="31">
        <f>SUMIFS(инфо!$E$15:$E$28,инфо!$A$15:$A$28,F987)</f>
        <v>0</v>
      </c>
      <c r="AI987" s="32">
        <f t="shared" si="219"/>
        <v>0</v>
      </c>
      <c r="AJ987" s="33">
        <f t="shared" si="229"/>
        <v>0</v>
      </c>
      <c r="AK987" s="31">
        <f>SUMIFS(инфо!$F$15:$F$28,инфо!$A$15:$A$28,F987)</f>
        <v>0</v>
      </c>
      <c r="AL987" s="32">
        <f t="shared" si="220"/>
        <v>0</v>
      </c>
      <c r="AM987" s="33">
        <f t="shared" si="223"/>
        <v>0</v>
      </c>
      <c r="AN987" s="31">
        <f>SUMIFS(инфо!$G$15:$G$28,инфо!$A$15:$A$28,F987)</f>
        <v>0</v>
      </c>
      <c r="AO987" s="32">
        <f t="shared" si="221"/>
        <v>0</v>
      </c>
      <c r="AP987" s="33">
        <f t="shared" si="224"/>
        <v>0</v>
      </c>
      <c r="AQ987" s="31">
        <f>SUMIFS(инфо!$H$15:$H$28,инфо!$A$15:$A$28,F987)</f>
        <v>0</v>
      </c>
      <c r="AR987" s="32">
        <f t="shared" si="222"/>
        <v>0</v>
      </c>
      <c r="AS987" s="33">
        <f t="shared" si="225"/>
        <v>0</v>
      </c>
      <c r="AT987" s="31">
        <f>SUMIFS(инфо!$I$15:$I$28,инфо!$A$15:$A$28,F987)</f>
        <v>0</v>
      </c>
      <c r="AU987" s="35">
        <f t="shared" si="230"/>
        <v>0</v>
      </c>
      <c r="AV987" s="33">
        <f t="shared" si="226"/>
        <v>0</v>
      </c>
      <c r="AX987" s="67">
        <f>SUMIFS(инфо!$C$15:$C$28,инфо!$A$15:$A$28,F987)*H986</f>
        <v>0</v>
      </c>
    </row>
    <row r="988" spans="1:50" x14ac:dyDescent="0.25">
      <c r="A988" s="70">
        <f t="shared" ref="A988:A1051" si="231">A986+1</f>
        <v>46558</v>
      </c>
      <c r="B988" s="76"/>
      <c r="C988" s="15"/>
      <c r="D988" s="16"/>
      <c r="E988" s="11"/>
      <c r="F988" s="28"/>
      <c r="G988" s="34"/>
      <c r="H988" s="20"/>
      <c r="I988" s="20"/>
      <c r="J988" s="20"/>
      <c r="K988" s="20"/>
      <c r="L988" s="20"/>
      <c r="M988" s="20"/>
      <c r="N988" s="20"/>
      <c r="O988" s="34"/>
      <c r="P988" s="34"/>
      <c r="Q988" s="34"/>
      <c r="R988" s="34"/>
      <c r="S988" s="68">
        <f t="shared" si="227"/>
        <v>0</v>
      </c>
      <c r="T988" s="15"/>
      <c r="U988" s="16"/>
      <c r="V988" s="34"/>
      <c r="W988" s="34"/>
      <c r="X988" s="34"/>
      <c r="Y988" s="15"/>
      <c r="Z988" s="34"/>
      <c r="AA988" s="34"/>
      <c r="AB988" s="34"/>
      <c r="AC988" s="34"/>
      <c r="AD988" s="16"/>
      <c r="AE988" s="24">
        <f>SUMIFS(инфо!$D$15:$D$28,инфо!$A$15:$A$28,F988)</f>
        <v>0</v>
      </c>
      <c r="AF988" s="35">
        <f t="shared" si="218"/>
        <v>0</v>
      </c>
      <c r="AG988" s="12">
        <f t="shared" si="228"/>
        <v>0</v>
      </c>
      <c r="AH988" s="24">
        <f>SUMIFS(инфо!$E$15:$E$28,инфо!$A$15:$A$28,F988)</f>
        <v>0</v>
      </c>
      <c r="AI988" s="32">
        <f t="shared" si="219"/>
        <v>0</v>
      </c>
      <c r="AJ988" s="12">
        <f t="shared" si="229"/>
        <v>0</v>
      </c>
      <c r="AK988" s="24">
        <f>SUMIFS(инфо!$F$15:$F$28,инфо!$A$15:$A$28,F988)</f>
        <v>0</v>
      </c>
      <c r="AL988" s="32">
        <f t="shared" si="220"/>
        <v>0</v>
      </c>
      <c r="AM988" s="12">
        <f t="shared" si="223"/>
        <v>0</v>
      </c>
      <c r="AN988" s="24">
        <f>SUMIFS(инфо!$G$15:$G$28,инфо!$A$15:$A$28,F988)</f>
        <v>0</v>
      </c>
      <c r="AO988" s="32">
        <f t="shared" si="221"/>
        <v>0</v>
      </c>
      <c r="AP988" s="12">
        <f t="shared" si="224"/>
        <v>0</v>
      </c>
      <c r="AQ988" s="24">
        <f>SUMIFS(инфо!$H$15:$H$28,инфо!$A$15:$A$28,F988)</f>
        <v>0</v>
      </c>
      <c r="AR988" s="35">
        <f t="shared" si="222"/>
        <v>0</v>
      </c>
      <c r="AS988" s="12">
        <f t="shared" si="225"/>
        <v>0</v>
      </c>
      <c r="AT988" s="24">
        <f>SUMIFS(инфо!$I$15:$I$28,инфо!$A$15:$A$28,F988)</f>
        <v>0</v>
      </c>
      <c r="AU988" s="35">
        <f t="shared" si="230"/>
        <v>0</v>
      </c>
      <c r="AV988" s="12">
        <f t="shared" si="226"/>
        <v>0</v>
      </c>
      <c r="AX988" s="68">
        <f>SUMIFS(инфо!$C$15:$C$28,инфо!$A$15:$A$28,F988)*H987</f>
        <v>0</v>
      </c>
    </row>
    <row r="989" spans="1:50" x14ac:dyDescent="0.25">
      <c r="A989" s="70">
        <f t="shared" si="231"/>
        <v>46558</v>
      </c>
      <c r="B989" s="76"/>
      <c r="C989" s="15"/>
      <c r="D989" s="16"/>
      <c r="E989" s="11"/>
      <c r="F989" s="28"/>
      <c r="G989" s="34"/>
      <c r="H989" s="23"/>
      <c r="I989" s="20"/>
      <c r="J989" s="20"/>
      <c r="K989" s="20"/>
      <c r="L989" s="20"/>
      <c r="M989" s="20"/>
      <c r="N989" s="20"/>
      <c r="O989" s="34"/>
      <c r="P989" s="34"/>
      <c r="Q989" s="34"/>
      <c r="R989" s="34"/>
      <c r="S989" s="68">
        <f t="shared" si="227"/>
        <v>0</v>
      </c>
      <c r="T989" s="15"/>
      <c r="U989" s="16"/>
      <c r="V989" s="34"/>
      <c r="W989" s="34"/>
      <c r="X989" s="34"/>
      <c r="Y989" s="15"/>
      <c r="Z989" s="34"/>
      <c r="AA989" s="34"/>
      <c r="AB989" s="34"/>
      <c r="AC989" s="34"/>
      <c r="AD989" s="16"/>
      <c r="AE989" s="24">
        <f>SUMIFS(инфо!$D$15:$D$28,инфо!$A$15:$A$28,F989)</f>
        <v>0</v>
      </c>
      <c r="AF989" s="35">
        <f t="shared" si="218"/>
        <v>0</v>
      </c>
      <c r="AG989" s="12">
        <f t="shared" si="228"/>
        <v>0</v>
      </c>
      <c r="AH989" s="24">
        <f>SUMIFS(инфо!$E$15:$E$28,инфо!$A$15:$A$28,F989)</f>
        <v>0</v>
      </c>
      <c r="AI989" s="32">
        <f t="shared" si="219"/>
        <v>0</v>
      </c>
      <c r="AJ989" s="12">
        <f t="shared" si="229"/>
        <v>0</v>
      </c>
      <c r="AK989" s="24">
        <f>SUMIFS(инфо!$F$15:$F$28,инфо!$A$15:$A$28,F989)</f>
        <v>0</v>
      </c>
      <c r="AL989" s="32">
        <f t="shared" si="220"/>
        <v>0</v>
      </c>
      <c r="AM989" s="12">
        <f t="shared" si="223"/>
        <v>0</v>
      </c>
      <c r="AN989" s="24">
        <f>SUMIFS(инфо!$G$15:$G$28,инфо!$A$15:$A$28,F989)</f>
        <v>0</v>
      </c>
      <c r="AO989" s="32">
        <f t="shared" si="221"/>
        <v>0</v>
      </c>
      <c r="AP989" s="12">
        <f t="shared" si="224"/>
        <v>0</v>
      </c>
      <c r="AQ989" s="24">
        <f>SUMIFS(инфо!$H$15:$H$28,инфо!$A$15:$A$28,F989)</f>
        <v>0</v>
      </c>
      <c r="AR989" s="35">
        <f t="shared" si="222"/>
        <v>0</v>
      </c>
      <c r="AS989" s="12">
        <f t="shared" si="225"/>
        <v>0</v>
      </c>
      <c r="AT989" s="24">
        <f>SUMIFS(инфо!$I$15:$I$28,инфо!$A$15:$A$28,F989)</f>
        <v>0</v>
      </c>
      <c r="AU989" s="35">
        <f t="shared" si="230"/>
        <v>0</v>
      </c>
      <c r="AV989" s="12">
        <f t="shared" si="226"/>
        <v>0</v>
      </c>
      <c r="AX989" s="68">
        <f>SUMIFS(инфо!$C$15:$C$28,инфо!$A$15:$A$28,F989)*H988</f>
        <v>0</v>
      </c>
    </row>
    <row r="990" spans="1:50" x14ac:dyDescent="0.25">
      <c r="A990" s="70">
        <f t="shared" si="231"/>
        <v>46559</v>
      </c>
      <c r="B990" s="77"/>
      <c r="C990" s="17"/>
      <c r="D990" s="18"/>
      <c r="E990" s="11"/>
      <c r="F990" s="28"/>
      <c r="G990" s="19"/>
      <c r="H990" s="28"/>
      <c r="I990" s="20"/>
      <c r="J990" s="20"/>
      <c r="K990" s="20"/>
      <c r="L990" s="20"/>
      <c r="M990" s="20"/>
      <c r="N990" s="23"/>
      <c r="O990" s="19"/>
      <c r="P990" s="19"/>
      <c r="Q990" s="19"/>
      <c r="R990" s="19"/>
      <c r="S990" s="69">
        <f t="shared" si="227"/>
        <v>0</v>
      </c>
      <c r="T990" s="17"/>
      <c r="U990" s="18"/>
      <c r="V990" s="19"/>
      <c r="W990" s="19"/>
      <c r="X990" s="19"/>
      <c r="Y990" s="17"/>
      <c r="Z990" s="19"/>
      <c r="AA990" s="19"/>
      <c r="AB990" s="19"/>
      <c r="AC990" s="19"/>
      <c r="AD990" s="18"/>
      <c r="AE990" s="25">
        <f>SUMIFS(инфо!$D$15:$D$28,инфо!$A$15:$A$28,F990)</f>
        <v>0</v>
      </c>
      <c r="AF990" s="35">
        <f t="shared" si="218"/>
        <v>0</v>
      </c>
      <c r="AG990" s="14">
        <f t="shared" si="228"/>
        <v>0</v>
      </c>
      <c r="AH990" s="25">
        <f>SUMIFS(инфо!$E$15:$E$28,инфо!$A$15:$A$28,F990)</f>
        <v>0</v>
      </c>
      <c r="AI990" s="32">
        <f t="shared" si="219"/>
        <v>0</v>
      </c>
      <c r="AJ990" s="14">
        <f t="shared" si="229"/>
        <v>0</v>
      </c>
      <c r="AK990" s="25">
        <f>SUMIFS(инфо!$F$15:$F$28,инфо!$A$15:$A$28,F990)</f>
        <v>0</v>
      </c>
      <c r="AL990" s="32">
        <f t="shared" si="220"/>
        <v>0</v>
      </c>
      <c r="AM990" s="14">
        <f t="shared" si="223"/>
        <v>0</v>
      </c>
      <c r="AN990" s="25">
        <f>SUMIFS(инфо!$G$15:$G$28,инфо!$A$15:$A$28,F990)</f>
        <v>0</v>
      </c>
      <c r="AO990" s="32">
        <f t="shared" si="221"/>
        <v>0</v>
      </c>
      <c r="AP990" s="14">
        <f t="shared" si="224"/>
        <v>0</v>
      </c>
      <c r="AQ990" s="25">
        <f>SUMIFS(инфо!$H$15:$H$28,инфо!$A$15:$A$28,F990)</f>
        <v>0</v>
      </c>
      <c r="AR990" s="26">
        <f t="shared" si="222"/>
        <v>0</v>
      </c>
      <c r="AS990" s="14">
        <f t="shared" si="225"/>
        <v>0</v>
      </c>
      <c r="AT990" s="25">
        <f>SUMIFS(инфо!$I$15:$I$28,инфо!$A$15:$A$28,F990)</f>
        <v>0</v>
      </c>
      <c r="AU990" s="35">
        <f t="shared" si="230"/>
        <v>0</v>
      </c>
      <c r="AV990" s="14">
        <f t="shared" si="226"/>
        <v>0</v>
      </c>
      <c r="AX990" s="69">
        <f>SUMIFS(инфо!$C$15:$C$28,инфо!$A$15:$A$28,F990)*H989</f>
        <v>0</v>
      </c>
    </row>
    <row r="991" spans="1:50" x14ac:dyDescent="0.25">
      <c r="A991" s="70">
        <f t="shared" si="231"/>
        <v>46559</v>
      </c>
      <c r="B991" s="75"/>
      <c r="C991" s="29"/>
      <c r="D991" s="30"/>
      <c r="E991" s="11"/>
      <c r="F991" s="28"/>
      <c r="G991" s="27"/>
      <c r="H991" s="20"/>
      <c r="I991" s="20"/>
      <c r="J991" s="20"/>
      <c r="K991" s="20"/>
      <c r="L991" s="20"/>
      <c r="M991" s="20"/>
      <c r="N991" s="28"/>
      <c r="O991" s="27"/>
      <c r="P991" s="27"/>
      <c r="Q991" s="27"/>
      <c r="R991" s="27"/>
      <c r="S991" s="67">
        <f t="shared" si="227"/>
        <v>0</v>
      </c>
      <c r="T991" s="29"/>
      <c r="U991" s="30"/>
      <c r="V991" s="27"/>
      <c r="W991" s="27"/>
      <c r="X991" s="27"/>
      <c r="Y991" s="29"/>
      <c r="Z991" s="27"/>
      <c r="AA991" s="27"/>
      <c r="AB991" s="27"/>
      <c r="AC991" s="27"/>
      <c r="AD991" s="30"/>
      <c r="AE991" s="31">
        <f>SUMIFS(инфо!$D$15:$D$28,инфо!$A$15:$A$28,F991)</f>
        <v>0</v>
      </c>
      <c r="AF991" s="35">
        <f t="shared" si="218"/>
        <v>0</v>
      </c>
      <c r="AG991" s="33">
        <f t="shared" si="228"/>
        <v>0</v>
      </c>
      <c r="AH991" s="31">
        <f>SUMIFS(инфо!$E$15:$E$28,инфо!$A$15:$A$28,F991)</f>
        <v>0</v>
      </c>
      <c r="AI991" s="32">
        <f t="shared" si="219"/>
        <v>0</v>
      </c>
      <c r="AJ991" s="33">
        <f t="shared" si="229"/>
        <v>0</v>
      </c>
      <c r="AK991" s="31">
        <f>SUMIFS(инфо!$F$15:$F$28,инфо!$A$15:$A$28,F991)</f>
        <v>0</v>
      </c>
      <c r="AL991" s="32">
        <f t="shared" si="220"/>
        <v>0</v>
      </c>
      <c r="AM991" s="33">
        <f t="shared" si="223"/>
        <v>0</v>
      </c>
      <c r="AN991" s="31">
        <f>SUMIFS(инфо!$G$15:$G$28,инфо!$A$15:$A$28,F991)</f>
        <v>0</v>
      </c>
      <c r="AO991" s="32">
        <f t="shared" si="221"/>
        <v>0</v>
      </c>
      <c r="AP991" s="33">
        <f t="shared" si="224"/>
        <v>0</v>
      </c>
      <c r="AQ991" s="31">
        <f>SUMIFS(инфо!$H$15:$H$28,инфо!$A$15:$A$28,F991)</f>
        <v>0</v>
      </c>
      <c r="AR991" s="32">
        <f t="shared" si="222"/>
        <v>0</v>
      </c>
      <c r="AS991" s="33">
        <f t="shared" si="225"/>
        <v>0</v>
      </c>
      <c r="AT991" s="31">
        <f>SUMIFS(инфо!$I$15:$I$28,инфо!$A$15:$A$28,F991)</f>
        <v>0</v>
      </c>
      <c r="AU991" s="35">
        <f t="shared" si="230"/>
        <v>0</v>
      </c>
      <c r="AV991" s="33">
        <f t="shared" si="226"/>
        <v>0</v>
      </c>
      <c r="AX991" s="67">
        <f>SUMIFS(инфо!$C$15:$C$28,инфо!$A$15:$A$28,F991)*H990</f>
        <v>0</v>
      </c>
    </row>
    <row r="992" spans="1:50" x14ac:dyDescent="0.25">
      <c r="A992" s="70">
        <f t="shared" si="231"/>
        <v>46560</v>
      </c>
      <c r="B992" s="76"/>
      <c r="C992" s="15"/>
      <c r="D992" s="16"/>
      <c r="E992" s="11"/>
      <c r="F992" s="28"/>
      <c r="G992" s="34"/>
      <c r="H992" s="20"/>
      <c r="I992" s="20"/>
      <c r="J992" s="20"/>
      <c r="K992" s="20"/>
      <c r="L992" s="20"/>
      <c r="M992" s="20"/>
      <c r="N992" s="20"/>
      <c r="O992" s="34"/>
      <c r="P992" s="34"/>
      <c r="Q992" s="34"/>
      <c r="R992" s="34"/>
      <c r="S992" s="68">
        <f t="shared" si="227"/>
        <v>0</v>
      </c>
      <c r="T992" s="15"/>
      <c r="U992" s="16"/>
      <c r="V992" s="34"/>
      <c r="W992" s="34"/>
      <c r="X992" s="34"/>
      <c r="Y992" s="15"/>
      <c r="Z992" s="34"/>
      <c r="AA992" s="34"/>
      <c r="AB992" s="34"/>
      <c r="AC992" s="34"/>
      <c r="AD992" s="16"/>
      <c r="AE992" s="24">
        <f>SUMIFS(инфо!$D$15:$D$28,инфо!$A$15:$A$28,F992)</f>
        <v>0</v>
      </c>
      <c r="AF992" s="35">
        <f t="shared" si="218"/>
        <v>0</v>
      </c>
      <c r="AG992" s="12">
        <f t="shared" si="228"/>
        <v>0</v>
      </c>
      <c r="AH992" s="24">
        <f>SUMIFS(инфо!$E$15:$E$28,инфо!$A$15:$A$28,F992)</f>
        <v>0</v>
      </c>
      <c r="AI992" s="32">
        <f t="shared" si="219"/>
        <v>0</v>
      </c>
      <c r="AJ992" s="12">
        <f t="shared" si="229"/>
        <v>0</v>
      </c>
      <c r="AK992" s="24">
        <f>SUMIFS(инфо!$F$15:$F$28,инфо!$A$15:$A$28,F992)</f>
        <v>0</v>
      </c>
      <c r="AL992" s="32">
        <f t="shared" si="220"/>
        <v>0</v>
      </c>
      <c r="AM992" s="12">
        <f t="shared" si="223"/>
        <v>0</v>
      </c>
      <c r="AN992" s="24">
        <f>SUMIFS(инфо!$G$15:$G$28,инфо!$A$15:$A$28,F992)</f>
        <v>0</v>
      </c>
      <c r="AO992" s="32">
        <f t="shared" si="221"/>
        <v>0</v>
      </c>
      <c r="AP992" s="12">
        <f t="shared" si="224"/>
        <v>0</v>
      </c>
      <c r="AQ992" s="24">
        <f>SUMIFS(инфо!$H$15:$H$28,инфо!$A$15:$A$28,F992)</f>
        <v>0</v>
      </c>
      <c r="AR992" s="35">
        <f t="shared" si="222"/>
        <v>0</v>
      </c>
      <c r="AS992" s="12">
        <f t="shared" si="225"/>
        <v>0</v>
      </c>
      <c r="AT992" s="24">
        <f>SUMIFS(инфо!$I$15:$I$28,инфо!$A$15:$A$28,F992)</f>
        <v>0</v>
      </c>
      <c r="AU992" s="35">
        <f t="shared" si="230"/>
        <v>0</v>
      </c>
      <c r="AV992" s="12">
        <f t="shared" si="226"/>
        <v>0</v>
      </c>
      <c r="AX992" s="68">
        <f>SUMIFS(инфо!$C$15:$C$28,инфо!$A$15:$A$28,F992)*H991</f>
        <v>0</v>
      </c>
    </row>
    <row r="993" spans="1:50" x14ac:dyDescent="0.25">
      <c r="A993" s="70">
        <f t="shared" si="231"/>
        <v>46560</v>
      </c>
      <c r="B993" s="76"/>
      <c r="C993" s="15"/>
      <c r="D993" s="16"/>
      <c r="E993" s="11"/>
      <c r="F993" s="28"/>
      <c r="G993" s="34"/>
      <c r="H993" s="23"/>
      <c r="I993" s="20"/>
      <c r="J993" s="20"/>
      <c r="K993" s="20"/>
      <c r="L993" s="20"/>
      <c r="M993" s="20"/>
      <c r="N993" s="20"/>
      <c r="O993" s="34"/>
      <c r="P993" s="34"/>
      <c r="Q993" s="34"/>
      <c r="R993" s="34"/>
      <c r="S993" s="68">
        <f t="shared" si="227"/>
        <v>0</v>
      </c>
      <c r="T993" s="15"/>
      <c r="U993" s="16"/>
      <c r="V993" s="34"/>
      <c r="W993" s="34"/>
      <c r="X993" s="34"/>
      <c r="Y993" s="15"/>
      <c r="Z993" s="34"/>
      <c r="AA993" s="34"/>
      <c r="AB993" s="34"/>
      <c r="AC993" s="34"/>
      <c r="AD993" s="16"/>
      <c r="AE993" s="24">
        <f>SUMIFS(инфо!$D$15:$D$28,инфо!$A$15:$A$28,F993)</f>
        <v>0</v>
      </c>
      <c r="AF993" s="35">
        <f t="shared" si="218"/>
        <v>0</v>
      </c>
      <c r="AG993" s="12">
        <f t="shared" si="228"/>
        <v>0</v>
      </c>
      <c r="AH993" s="24">
        <f>SUMIFS(инфо!$E$15:$E$28,инфо!$A$15:$A$28,F993)</f>
        <v>0</v>
      </c>
      <c r="AI993" s="32">
        <f t="shared" si="219"/>
        <v>0</v>
      </c>
      <c r="AJ993" s="12">
        <f t="shared" si="229"/>
        <v>0</v>
      </c>
      <c r="AK993" s="24">
        <f>SUMIFS(инфо!$F$15:$F$28,инфо!$A$15:$A$28,F993)</f>
        <v>0</v>
      </c>
      <c r="AL993" s="32">
        <f t="shared" si="220"/>
        <v>0</v>
      </c>
      <c r="AM993" s="12">
        <f t="shared" si="223"/>
        <v>0</v>
      </c>
      <c r="AN993" s="24">
        <f>SUMIFS(инфо!$G$15:$G$28,инфо!$A$15:$A$28,F993)</f>
        <v>0</v>
      </c>
      <c r="AO993" s="32">
        <f t="shared" si="221"/>
        <v>0</v>
      </c>
      <c r="AP993" s="12">
        <f t="shared" si="224"/>
        <v>0</v>
      </c>
      <c r="AQ993" s="24">
        <f>SUMIFS(инфо!$H$15:$H$28,инфо!$A$15:$A$28,F993)</f>
        <v>0</v>
      </c>
      <c r="AR993" s="35">
        <f t="shared" si="222"/>
        <v>0</v>
      </c>
      <c r="AS993" s="12">
        <f t="shared" si="225"/>
        <v>0</v>
      </c>
      <c r="AT993" s="24">
        <f>SUMIFS(инфо!$I$15:$I$28,инфо!$A$15:$A$28,F993)</f>
        <v>0</v>
      </c>
      <c r="AU993" s="35">
        <f t="shared" si="230"/>
        <v>0</v>
      </c>
      <c r="AV993" s="12">
        <f t="shared" si="226"/>
        <v>0</v>
      </c>
      <c r="AX993" s="68">
        <f>SUMIFS(инфо!$C$15:$C$28,инфо!$A$15:$A$28,F993)*H992</f>
        <v>0</v>
      </c>
    </row>
    <row r="994" spans="1:50" x14ac:dyDescent="0.25">
      <c r="A994" s="70">
        <f t="shared" si="231"/>
        <v>46561</v>
      </c>
      <c r="B994" s="77"/>
      <c r="C994" s="17"/>
      <c r="D994" s="18"/>
      <c r="E994" s="11"/>
      <c r="F994" s="28"/>
      <c r="G994" s="19"/>
      <c r="H994" s="28"/>
      <c r="I994" s="20"/>
      <c r="J994" s="20"/>
      <c r="K994" s="20"/>
      <c r="L994" s="20"/>
      <c r="M994" s="20"/>
      <c r="N994" s="23"/>
      <c r="O994" s="19"/>
      <c r="P994" s="19"/>
      <c r="Q994" s="19"/>
      <c r="R994" s="19"/>
      <c r="S994" s="69">
        <f t="shared" si="227"/>
        <v>0</v>
      </c>
      <c r="T994" s="17"/>
      <c r="U994" s="18"/>
      <c r="V994" s="19"/>
      <c r="W994" s="19"/>
      <c r="X994" s="19"/>
      <c r="Y994" s="17"/>
      <c r="Z994" s="19"/>
      <c r="AA994" s="19"/>
      <c r="AB994" s="19"/>
      <c r="AC994" s="19"/>
      <c r="AD994" s="18"/>
      <c r="AE994" s="25">
        <f>SUMIFS(инфо!$D$15:$D$28,инфо!$A$15:$A$28,F994)</f>
        <v>0</v>
      </c>
      <c r="AF994" s="35">
        <f t="shared" si="218"/>
        <v>0</v>
      </c>
      <c r="AG994" s="14">
        <f t="shared" si="228"/>
        <v>0</v>
      </c>
      <c r="AH994" s="25">
        <f>SUMIFS(инфо!$E$15:$E$28,инфо!$A$15:$A$28,F994)</f>
        <v>0</v>
      </c>
      <c r="AI994" s="32">
        <f t="shared" si="219"/>
        <v>0</v>
      </c>
      <c r="AJ994" s="14">
        <f t="shared" si="229"/>
        <v>0</v>
      </c>
      <c r="AK994" s="25">
        <f>SUMIFS(инфо!$F$15:$F$28,инфо!$A$15:$A$28,F994)</f>
        <v>0</v>
      </c>
      <c r="AL994" s="32">
        <f t="shared" si="220"/>
        <v>0</v>
      </c>
      <c r="AM994" s="14">
        <f t="shared" si="223"/>
        <v>0</v>
      </c>
      <c r="AN994" s="25">
        <f>SUMIFS(инфо!$G$15:$G$28,инфо!$A$15:$A$28,F994)</f>
        <v>0</v>
      </c>
      <c r="AO994" s="32">
        <f t="shared" si="221"/>
        <v>0</v>
      </c>
      <c r="AP994" s="14">
        <f t="shared" si="224"/>
        <v>0</v>
      </c>
      <c r="AQ994" s="25">
        <f>SUMIFS(инфо!$H$15:$H$28,инфо!$A$15:$A$28,F994)</f>
        <v>0</v>
      </c>
      <c r="AR994" s="26">
        <f t="shared" si="222"/>
        <v>0</v>
      </c>
      <c r="AS994" s="14">
        <f t="shared" si="225"/>
        <v>0</v>
      </c>
      <c r="AT994" s="25">
        <f>SUMIFS(инфо!$I$15:$I$28,инфо!$A$15:$A$28,F994)</f>
        <v>0</v>
      </c>
      <c r="AU994" s="35">
        <f t="shared" si="230"/>
        <v>0</v>
      </c>
      <c r="AV994" s="14">
        <f t="shared" si="226"/>
        <v>0</v>
      </c>
      <c r="AX994" s="69">
        <f>SUMIFS(инфо!$C$15:$C$28,инфо!$A$15:$A$28,F994)*H993</f>
        <v>0</v>
      </c>
    </row>
    <row r="995" spans="1:50" x14ac:dyDescent="0.25">
      <c r="A995" s="70">
        <f t="shared" si="231"/>
        <v>46561</v>
      </c>
      <c r="B995" s="75"/>
      <c r="C995" s="29"/>
      <c r="D995" s="30"/>
      <c r="E995" s="11"/>
      <c r="F995" s="28"/>
      <c r="G995" s="27"/>
      <c r="H995" s="20"/>
      <c r="I995" s="20"/>
      <c r="J995" s="20"/>
      <c r="K995" s="20"/>
      <c r="L995" s="20"/>
      <c r="M995" s="20"/>
      <c r="N995" s="28"/>
      <c r="O995" s="27"/>
      <c r="P995" s="27"/>
      <c r="Q995" s="27"/>
      <c r="R995" s="27"/>
      <c r="S995" s="67">
        <f t="shared" si="227"/>
        <v>0</v>
      </c>
      <c r="T995" s="29"/>
      <c r="U995" s="30"/>
      <c r="V995" s="27"/>
      <c r="W995" s="27"/>
      <c r="X995" s="27"/>
      <c r="Y995" s="29"/>
      <c r="Z995" s="27"/>
      <c r="AA995" s="27"/>
      <c r="AB995" s="27"/>
      <c r="AC995" s="27"/>
      <c r="AD995" s="30"/>
      <c r="AE995" s="31">
        <f>SUMIFS(инфо!$D$15:$D$28,инфо!$A$15:$A$28,F995)</f>
        <v>0</v>
      </c>
      <c r="AF995" s="35">
        <f t="shared" si="218"/>
        <v>0</v>
      </c>
      <c r="AG995" s="33">
        <f t="shared" si="228"/>
        <v>0</v>
      </c>
      <c r="AH995" s="31">
        <f>SUMIFS(инфо!$E$15:$E$28,инфо!$A$15:$A$28,F995)</f>
        <v>0</v>
      </c>
      <c r="AI995" s="32">
        <f t="shared" si="219"/>
        <v>0</v>
      </c>
      <c r="AJ995" s="33">
        <f t="shared" si="229"/>
        <v>0</v>
      </c>
      <c r="AK995" s="31">
        <f>SUMIFS(инфо!$F$15:$F$28,инфо!$A$15:$A$28,F995)</f>
        <v>0</v>
      </c>
      <c r="AL995" s="32">
        <f t="shared" si="220"/>
        <v>0</v>
      </c>
      <c r="AM995" s="33">
        <f t="shared" si="223"/>
        <v>0</v>
      </c>
      <c r="AN995" s="31">
        <f>SUMIFS(инфо!$G$15:$G$28,инфо!$A$15:$A$28,F995)</f>
        <v>0</v>
      </c>
      <c r="AO995" s="32">
        <f t="shared" si="221"/>
        <v>0</v>
      </c>
      <c r="AP995" s="33">
        <f t="shared" si="224"/>
        <v>0</v>
      </c>
      <c r="AQ995" s="31">
        <f>SUMIFS(инфо!$H$15:$H$28,инфо!$A$15:$A$28,F995)</f>
        <v>0</v>
      </c>
      <c r="AR995" s="32">
        <f t="shared" si="222"/>
        <v>0</v>
      </c>
      <c r="AS995" s="33">
        <f t="shared" si="225"/>
        <v>0</v>
      </c>
      <c r="AT995" s="31">
        <f>SUMIFS(инфо!$I$15:$I$28,инфо!$A$15:$A$28,F995)</f>
        <v>0</v>
      </c>
      <c r="AU995" s="35">
        <f t="shared" si="230"/>
        <v>0</v>
      </c>
      <c r="AV995" s="33">
        <f t="shared" si="226"/>
        <v>0</v>
      </c>
      <c r="AX995" s="67">
        <f>SUMIFS(инфо!$C$15:$C$28,инфо!$A$15:$A$28,F995)*H994</f>
        <v>0</v>
      </c>
    </row>
    <row r="996" spans="1:50" x14ac:dyDescent="0.25">
      <c r="A996" s="70">
        <f t="shared" si="231"/>
        <v>46562</v>
      </c>
      <c r="B996" s="76"/>
      <c r="C996" s="15"/>
      <c r="D996" s="16"/>
      <c r="E996" s="11"/>
      <c r="F996" s="28"/>
      <c r="G996" s="34"/>
      <c r="H996" s="20"/>
      <c r="I996" s="20"/>
      <c r="J996" s="20"/>
      <c r="K996" s="20"/>
      <c r="L996" s="20"/>
      <c r="M996" s="20"/>
      <c r="N996" s="20"/>
      <c r="O996" s="34"/>
      <c r="P996" s="34"/>
      <c r="Q996" s="34"/>
      <c r="R996" s="34"/>
      <c r="S996" s="68">
        <f t="shared" si="227"/>
        <v>0</v>
      </c>
      <c r="T996" s="15"/>
      <c r="U996" s="16"/>
      <c r="V996" s="34"/>
      <c r="W996" s="34"/>
      <c r="X996" s="34"/>
      <c r="Y996" s="15"/>
      <c r="Z996" s="34"/>
      <c r="AA996" s="34"/>
      <c r="AB996" s="34"/>
      <c r="AC996" s="34"/>
      <c r="AD996" s="16"/>
      <c r="AE996" s="24">
        <f>SUMIFS(инфо!$D$15:$D$28,инфо!$A$15:$A$28,F996)</f>
        <v>0</v>
      </c>
      <c r="AF996" s="35">
        <f t="shared" si="218"/>
        <v>0</v>
      </c>
      <c r="AG996" s="12">
        <f t="shared" si="228"/>
        <v>0</v>
      </c>
      <c r="AH996" s="24">
        <f>SUMIFS(инфо!$E$15:$E$28,инфо!$A$15:$A$28,F996)</f>
        <v>0</v>
      </c>
      <c r="AI996" s="32">
        <f t="shared" si="219"/>
        <v>0</v>
      </c>
      <c r="AJ996" s="12">
        <f t="shared" si="229"/>
        <v>0</v>
      </c>
      <c r="AK996" s="24">
        <f>SUMIFS(инфо!$F$15:$F$28,инфо!$A$15:$A$28,F996)</f>
        <v>0</v>
      </c>
      <c r="AL996" s="32">
        <f t="shared" si="220"/>
        <v>0</v>
      </c>
      <c r="AM996" s="12">
        <f t="shared" si="223"/>
        <v>0</v>
      </c>
      <c r="AN996" s="24">
        <f>SUMIFS(инфо!$G$15:$G$28,инфо!$A$15:$A$28,F996)</f>
        <v>0</v>
      </c>
      <c r="AO996" s="32">
        <f t="shared" si="221"/>
        <v>0</v>
      </c>
      <c r="AP996" s="12">
        <f t="shared" si="224"/>
        <v>0</v>
      </c>
      <c r="AQ996" s="24">
        <f>SUMIFS(инфо!$H$15:$H$28,инфо!$A$15:$A$28,F996)</f>
        <v>0</v>
      </c>
      <c r="AR996" s="35">
        <f t="shared" si="222"/>
        <v>0</v>
      </c>
      <c r="AS996" s="12">
        <f t="shared" si="225"/>
        <v>0</v>
      </c>
      <c r="AT996" s="24">
        <f>SUMIFS(инфо!$I$15:$I$28,инфо!$A$15:$A$28,F996)</f>
        <v>0</v>
      </c>
      <c r="AU996" s="35">
        <f t="shared" si="230"/>
        <v>0</v>
      </c>
      <c r="AV996" s="12">
        <f t="shared" si="226"/>
        <v>0</v>
      </c>
      <c r="AX996" s="68">
        <f>SUMIFS(инфо!$C$15:$C$28,инфо!$A$15:$A$28,F996)*H995</f>
        <v>0</v>
      </c>
    </row>
    <row r="997" spans="1:50" x14ac:dyDescent="0.25">
      <c r="A997" s="70">
        <f t="shared" si="231"/>
        <v>46562</v>
      </c>
      <c r="B997" s="76"/>
      <c r="C997" s="15"/>
      <c r="D997" s="16"/>
      <c r="E997" s="11"/>
      <c r="F997" s="28"/>
      <c r="G997" s="34"/>
      <c r="H997" s="23"/>
      <c r="I997" s="20"/>
      <c r="J997" s="20"/>
      <c r="K997" s="20"/>
      <c r="L997" s="20"/>
      <c r="M997" s="20"/>
      <c r="N997" s="20"/>
      <c r="O997" s="34"/>
      <c r="P997" s="34"/>
      <c r="Q997" s="34"/>
      <c r="R997" s="34"/>
      <c r="S997" s="68">
        <f t="shared" si="227"/>
        <v>0</v>
      </c>
      <c r="T997" s="15"/>
      <c r="U997" s="16"/>
      <c r="V997" s="34"/>
      <c r="W997" s="34"/>
      <c r="X997" s="34"/>
      <c r="Y997" s="15"/>
      <c r="Z997" s="34"/>
      <c r="AA997" s="34"/>
      <c r="AB997" s="34"/>
      <c r="AC997" s="34"/>
      <c r="AD997" s="16"/>
      <c r="AE997" s="24">
        <f>SUMIFS(инфо!$D$15:$D$28,инфо!$A$15:$A$28,F997)</f>
        <v>0</v>
      </c>
      <c r="AF997" s="35">
        <f t="shared" si="218"/>
        <v>0</v>
      </c>
      <c r="AG997" s="12">
        <f t="shared" si="228"/>
        <v>0</v>
      </c>
      <c r="AH997" s="24">
        <f>SUMIFS(инфо!$E$15:$E$28,инфо!$A$15:$A$28,F997)</f>
        <v>0</v>
      </c>
      <c r="AI997" s="32">
        <f t="shared" si="219"/>
        <v>0</v>
      </c>
      <c r="AJ997" s="12">
        <f t="shared" si="229"/>
        <v>0</v>
      </c>
      <c r="AK997" s="24">
        <f>SUMIFS(инфо!$F$15:$F$28,инфо!$A$15:$A$28,F997)</f>
        <v>0</v>
      </c>
      <c r="AL997" s="32">
        <f t="shared" si="220"/>
        <v>0</v>
      </c>
      <c r="AM997" s="12">
        <f t="shared" si="223"/>
        <v>0</v>
      </c>
      <c r="AN997" s="24">
        <f>SUMIFS(инфо!$G$15:$G$28,инфо!$A$15:$A$28,F997)</f>
        <v>0</v>
      </c>
      <c r="AO997" s="32">
        <f t="shared" si="221"/>
        <v>0</v>
      </c>
      <c r="AP997" s="12">
        <f t="shared" si="224"/>
        <v>0</v>
      </c>
      <c r="AQ997" s="24">
        <f>SUMIFS(инфо!$H$15:$H$28,инфо!$A$15:$A$28,F997)</f>
        <v>0</v>
      </c>
      <c r="AR997" s="35">
        <f t="shared" si="222"/>
        <v>0</v>
      </c>
      <c r="AS997" s="12">
        <f t="shared" si="225"/>
        <v>0</v>
      </c>
      <c r="AT997" s="24">
        <f>SUMIFS(инфо!$I$15:$I$28,инфо!$A$15:$A$28,F997)</f>
        <v>0</v>
      </c>
      <c r="AU997" s="35">
        <f t="shared" si="230"/>
        <v>0</v>
      </c>
      <c r="AV997" s="12">
        <f t="shared" si="226"/>
        <v>0</v>
      </c>
      <c r="AX997" s="68">
        <f>SUMIFS(инфо!$C$15:$C$28,инфо!$A$15:$A$28,F997)*H996</f>
        <v>0</v>
      </c>
    </row>
    <row r="998" spans="1:50" x14ac:dyDescent="0.25">
      <c r="A998" s="70">
        <f t="shared" si="231"/>
        <v>46563</v>
      </c>
      <c r="B998" s="77"/>
      <c r="C998" s="17"/>
      <c r="D998" s="18"/>
      <c r="E998" s="11"/>
      <c r="F998" s="28"/>
      <c r="G998" s="19"/>
      <c r="H998" s="28"/>
      <c r="I998" s="20"/>
      <c r="J998" s="20"/>
      <c r="K998" s="20"/>
      <c r="L998" s="20"/>
      <c r="M998" s="20"/>
      <c r="N998" s="23"/>
      <c r="O998" s="19"/>
      <c r="P998" s="19"/>
      <c r="Q998" s="19"/>
      <c r="R998" s="19"/>
      <c r="S998" s="69">
        <f t="shared" si="227"/>
        <v>0</v>
      </c>
      <c r="T998" s="17"/>
      <c r="U998" s="18"/>
      <c r="V998" s="19"/>
      <c r="W998" s="19"/>
      <c r="X998" s="19"/>
      <c r="Y998" s="17"/>
      <c r="Z998" s="19"/>
      <c r="AA998" s="19"/>
      <c r="AB998" s="19"/>
      <c r="AC998" s="19"/>
      <c r="AD998" s="18"/>
      <c r="AE998" s="25">
        <f>SUMIFS(инфо!$D$15:$D$28,инфо!$A$15:$A$28,F998)</f>
        <v>0</v>
      </c>
      <c r="AF998" s="35">
        <f t="shared" si="218"/>
        <v>0</v>
      </c>
      <c r="AG998" s="14">
        <f t="shared" si="228"/>
        <v>0</v>
      </c>
      <c r="AH998" s="25">
        <f>SUMIFS(инфо!$E$15:$E$28,инфо!$A$15:$A$28,F998)</f>
        <v>0</v>
      </c>
      <c r="AI998" s="32">
        <f t="shared" si="219"/>
        <v>0</v>
      </c>
      <c r="AJ998" s="14">
        <f t="shared" si="229"/>
        <v>0</v>
      </c>
      <c r="AK998" s="25">
        <f>SUMIFS(инфо!$F$15:$F$28,инфо!$A$15:$A$28,F998)</f>
        <v>0</v>
      </c>
      <c r="AL998" s="32">
        <f t="shared" si="220"/>
        <v>0</v>
      </c>
      <c r="AM998" s="14">
        <f t="shared" si="223"/>
        <v>0</v>
      </c>
      <c r="AN998" s="25">
        <f>SUMIFS(инфо!$G$15:$G$28,инфо!$A$15:$A$28,F998)</f>
        <v>0</v>
      </c>
      <c r="AO998" s="32">
        <f t="shared" si="221"/>
        <v>0</v>
      </c>
      <c r="AP998" s="14">
        <f t="shared" si="224"/>
        <v>0</v>
      </c>
      <c r="AQ998" s="25">
        <f>SUMIFS(инфо!$H$15:$H$28,инфо!$A$15:$A$28,F998)</f>
        <v>0</v>
      </c>
      <c r="AR998" s="26">
        <f t="shared" si="222"/>
        <v>0</v>
      </c>
      <c r="AS998" s="14">
        <f t="shared" si="225"/>
        <v>0</v>
      </c>
      <c r="AT998" s="25">
        <f>SUMIFS(инфо!$I$15:$I$28,инфо!$A$15:$A$28,F998)</f>
        <v>0</v>
      </c>
      <c r="AU998" s="35">
        <f t="shared" si="230"/>
        <v>0</v>
      </c>
      <c r="AV998" s="14">
        <f t="shared" si="226"/>
        <v>0</v>
      </c>
      <c r="AX998" s="69">
        <f>SUMIFS(инфо!$C$15:$C$28,инфо!$A$15:$A$28,F998)*H997</f>
        <v>0</v>
      </c>
    </row>
    <row r="999" spans="1:50" x14ac:dyDescent="0.25">
      <c r="A999" s="70">
        <f t="shared" si="231"/>
        <v>46563</v>
      </c>
      <c r="B999" s="75"/>
      <c r="C999" s="29"/>
      <c r="D999" s="30"/>
      <c r="E999" s="11"/>
      <c r="F999" s="28"/>
      <c r="G999" s="27"/>
      <c r="H999" s="20"/>
      <c r="I999" s="20"/>
      <c r="J999" s="20"/>
      <c r="K999" s="20"/>
      <c r="L999" s="20"/>
      <c r="M999" s="20"/>
      <c r="N999" s="28"/>
      <c r="O999" s="27"/>
      <c r="P999" s="27"/>
      <c r="Q999" s="27"/>
      <c r="R999" s="27"/>
      <c r="S999" s="67">
        <f t="shared" si="227"/>
        <v>0</v>
      </c>
      <c r="T999" s="29"/>
      <c r="U999" s="30"/>
      <c r="V999" s="27"/>
      <c r="W999" s="27"/>
      <c r="X999" s="27"/>
      <c r="Y999" s="29"/>
      <c r="Z999" s="27"/>
      <c r="AA999" s="27"/>
      <c r="AB999" s="27"/>
      <c r="AC999" s="27"/>
      <c r="AD999" s="30"/>
      <c r="AE999" s="31">
        <f>SUMIFS(инфо!$D$15:$D$28,инфо!$A$15:$A$28,F999)</f>
        <v>0</v>
      </c>
      <c r="AF999" s="35">
        <f t="shared" si="218"/>
        <v>0</v>
      </c>
      <c r="AG999" s="33">
        <f t="shared" si="228"/>
        <v>0</v>
      </c>
      <c r="AH999" s="31">
        <f>SUMIFS(инфо!$E$15:$E$28,инфо!$A$15:$A$28,F999)</f>
        <v>0</v>
      </c>
      <c r="AI999" s="32">
        <f t="shared" si="219"/>
        <v>0</v>
      </c>
      <c r="AJ999" s="33">
        <f t="shared" si="229"/>
        <v>0</v>
      </c>
      <c r="AK999" s="31">
        <f>SUMIFS(инфо!$F$15:$F$28,инфо!$A$15:$A$28,F999)</f>
        <v>0</v>
      </c>
      <c r="AL999" s="32">
        <f t="shared" si="220"/>
        <v>0</v>
      </c>
      <c r="AM999" s="33">
        <f t="shared" si="223"/>
        <v>0</v>
      </c>
      <c r="AN999" s="31">
        <f>SUMIFS(инфо!$G$15:$G$28,инфо!$A$15:$A$28,F999)</f>
        <v>0</v>
      </c>
      <c r="AO999" s="32">
        <f t="shared" si="221"/>
        <v>0</v>
      </c>
      <c r="AP999" s="33">
        <f t="shared" si="224"/>
        <v>0</v>
      </c>
      <c r="AQ999" s="31">
        <f>SUMIFS(инфо!$H$15:$H$28,инфо!$A$15:$A$28,F999)</f>
        <v>0</v>
      </c>
      <c r="AR999" s="32">
        <f t="shared" si="222"/>
        <v>0</v>
      </c>
      <c r="AS999" s="33">
        <f t="shared" si="225"/>
        <v>0</v>
      </c>
      <c r="AT999" s="31">
        <f>SUMIFS(инфо!$I$15:$I$28,инфо!$A$15:$A$28,F999)</f>
        <v>0</v>
      </c>
      <c r="AU999" s="35">
        <f t="shared" si="230"/>
        <v>0</v>
      </c>
      <c r="AV999" s="33">
        <f t="shared" si="226"/>
        <v>0</v>
      </c>
      <c r="AX999" s="67">
        <f>SUMIFS(инфо!$C$15:$C$28,инфо!$A$15:$A$28,F999)*H998</f>
        <v>0</v>
      </c>
    </row>
    <row r="1000" spans="1:50" x14ac:dyDescent="0.25">
      <c r="A1000" s="70">
        <f t="shared" si="231"/>
        <v>46564</v>
      </c>
      <c r="B1000" s="76"/>
      <c r="C1000" s="15"/>
      <c r="D1000" s="16"/>
      <c r="E1000" s="11"/>
      <c r="F1000" s="28"/>
      <c r="G1000" s="34"/>
      <c r="H1000" s="20"/>
      <c r="I1000" s="20"/>
      <c r="J1000" s="20"/>
      <c r="K1000" s="20"/>
      <c r="L1000" s="20"/>
      <c r="M1000" s="20"/>
      <c r="N1000" s="20"/>
      <c r="O1000" s="34"/>
      <c r="P1000" s="34"/>
      <c r="Q1000" s="34"/>
      <c r="R1000" s="34"/>
      <c r="S1000" s="68">
        <f t="shared" si="227"/>
        <v>0</v>
      </c>
      <c r="T1000" s="15"/>
      <c r="U1000" s="16"/>
      <c r="V1000" s="34"/>
      <c r="W1000" s="34"/>
      <c r="X1000" s="34"/>
      <c r="Y1000" s="15"/>
      <c r="Z1000" s="34"/>
      <c r="AA1000" s="34"/>
      <c r="AB1000" s="34"/>
      <c r="AC1000" s="34"/>
      <c r="AD1000" s="16"/>
      <c r="AE1000" s="24">
        <f>SUMIFS(инфо!$D$15:$D$28,инфо!$A$15:$A$28,F1000)</f>
        <v>0</v>
      </c>
      <c r="AF1000" s="35">
        <f t="shared" si="218"/>
        <v>0</v>
      </c>
      <c r="AG1000" s="12">
        <f t="shared" si="228"/>
        <v>0</v>
      </c>
      <c r="AH1000" s="24">
        <f>SUMIFS(инфо!$E$15:$E$28,инфо!$A$15:$A$28,F1000)</f>
        <v>0</v>
      </c>
      <c r="AI1000" s="32">
        <f t="shared" si="219"/>
        <v>0</v>
      </c>
      <c r="AJ1000" s="12">
        <f t="shared" si="229"/>
        <v>0</v>
      </c>
      <c r="AK1000" s="24">
        <f>SUMIFS(инфо!$F$15:$F$28,инфо!$A$15:$A$28,F1000)</f>
        <v>0</v>
      </c>
      <c r="AL1000" s="32">
        <f t="shared" si="220"/>
        <v>0</v>
      </c>
      <c r="AM1000" s="12">
        <f t="shared" si="223"/>
        <v>0</v>
      </c>
      <c r="AN1000" s="24">
        <f>SUMIFS(инфо!$G$15:$G$28,инфо!$A$15:$A$28,F1000)</f>
        <v>0</v>
      </c>
      <c r="AO1000" s="32">
        <f t="shared" si="221"/>
        <v>0</v>
      </c>
      <c r="AP1000" s="12">
        <f t="shared" si="224"/>
        <v>0</v>
      </c>
      <c r="AQ1000" s="24">
        <f>SUMIFS(инфо!$H$15:$H$28,инфо!$A$15:$A$28,F1000)</f>
        <v>0</v>
      </c>
      <c r="AR1000" s="35">
        <f t="shared" si="222"/>
        <v>0</v>
      </c>
      <c r="AS1000" s="12">
        <f t="shared" si="225"/>
        <v>0</v>
      </c>
      <c r="AT1000" s="24">
        <f>SUMIFS(инфо!$I$15:$I$28,инфо!$A$15:$A$28,F1000)</f>
        <v>0</v>
      </c>
      <c r="AU1000" s="35">
        <f t="shared" si="230"/>
        <v>0</v>
      </c>
      <c r="AV1000" s="12">
        <f t="shared" si="226"/>
        <v>0</v>
      </c>
      <c r="AX1000" s="68">
        <f>SUMIFS(инфо!$C$15:$C$28,инфо!$A$15:$A$28,F1000)*H999</f>
        <v>0</v>
      </c>
    </row>
    <row r="1001" spans="1:50" x14ac:dyDescent="0.25">
      <c r="A1001" s="70">
        <f t="shared" si="231"/>
        <v>46564</v>
      </c>
      <c r="B1001" s="76"/>
      <c r="C1001" s="15"/>
      <c r="D1001" s="16"/>
      <c r="E1001" s="11"/>
      <c r="F1001" s="28"/>
      <c r="G1001" s="34"/>
      <c r="H1001" s="23"/>
      <c r="I1001" s="20"/>
      <c r="J1001" s="20"/>
      <c r="K1001" s="20"/>
      <c r="L1001" s="20"/>
      <c r="M1001" s="20"/>
      <c r="N1001" s="20"/>
      <c r="O1001" s="34"/>
      <c r="P1001" s="34"/>
      <c r="Q1001" s="34"/>
      <c r="R1001" s="34"/>
      <c r="S1001" s="68">
        <f t="shared" si="227"/>
        <v>0</v>
      </c>
      <c r="T1001" s="15"/>
      <c r="U1001" s="16"/>
      <c r="V1001" s="34"/>
      <c r="W1001" s="34"/>
      <c r="X1001" s="34"/>
      <c r="Y1001" s="15"/>
      <c r="Z1001" s="34"/>
      <c r="AA1001" s="34"/>
      <c r="AB1001" s="34"/>
      <c r="AC1001" s="34"/>
      <c r="AD1001" s="16"/>
      <c r="AE1001" s="24">
        <f>SUMIFS(инфо!$D$15:$D$28,инфо!$A$15:$A$28,F1001)</f>
        <v>0</v>
      </c>
      <c r="AF1001" s="35">
        <f t="shared" si="218"/>
        <v>0</v>
      </c>
      <c r="AG1001" s="12">
        <f t="shared" si="228"/>
        <v>0</v>
      </c>
      <c r="AH1001" s="24">
        <f>SUMIFS(инфо!$E$15:$E$28,инфо!$A$15:$A$28,F1001)</f>
        <v>0</v>
      </c>
      <c r="AI1001" s="32">
        <f t="shared" si="219"/>
        <v>0</v>
      </c>
      <c r="AJ1001" s="12">
        <f t="shared" si="229"/>
        <v>0</v>
      </c>
      <c r="AK1001" s="24">
        <f>SUMIFS(инфо!$F$15:$F$28,инфо!$A$15:$A$28,F1001)</f>
        <v>0</v>
      </c>
      <c r="AL1001" s="32">
        <f t="shared" si="220"/>
        <v>0</v>
      </c>
      <c r="AM1001" s="12">
        <f t="shared" si="223"/>
        <v>0</v>
      </c>
      <c r="AN1001" s="24">
        <f>SUMIFS(инфо!$G$15:$G$28,инфо!$A$15:$A$28,F1001)</f>
        <v>0</v>
      </c>
      <c r="AO1001" s="32">
        <f t="shared" si="221"/>
        <v>0</v>
      </c>
      <c r="AP1001" s="12">
        <f t="shared" si="224"/>
        <v>0</v>
      </c>
      <c r="AQ1001" s="24">
        <f>SUMIFS(инфо!$H$15:$H$28,инфо!$A$15:$A$28,F1001)</f>
        <v>0</v>
      </c>
      <c r="AR1001" s="35">
        <f t="shared" si="222"/>
        <v>0</v>
      </c>
      <c r="AS1001" s="12">
        <f t="shared" si="225"/>
        <v>0</v>
      </c>
      <c r="AT1001" s="24">
        <f>SUMIFS(инфо!$I$15:$I$28,инфо!$A$15:$A$28,F1001)</f>
        <v>0</v>
      </c>
      <c r="AU1001" s="35">
        <f t="shared" si="230"/>
        <v>0</v>
      </c>
      <c r="AV1001" s="12">
        <f t="shared" si="226"/>
        <v>0</v>
      </c>
      <c r="AX1001" s="68">
        <f>SUMIFS(инфо!$C$15:$C$28,инфо!$A$15:$A$28,F1001)*H1000</f>
        <v>0</v>
      </c>
    </row>
    <row r="1002" spans="1:50" x14ac:dyDescent="0.25">
      <c r="A1002" s="70">
        <f t="shared" si="231"/>
        <v>46565</v>
      </c>
      <c r="B1002" s="77"/>
      <c r="C1002" s="17"/>
      <c r="D1002" s="18"/>
      <c r="E1002" s="11"/>
      <c r="F1002" s="28"/>
      <c r="G1002" s="19"/>
      <c r="H1002" s="28"/>
      <c r="I1002" s="20"/>
      <c r="J1002" s="20"/>
      <c r="K1002" s="20"/>
      <c r="L1002" s="20"/>
      <c r="M1002" s="20"/>
      <c r="N1002" s="23"/>
      <c r="O1002" s="19"/>
      <c r="P1002" s="19"/>
      <c r="Q1002" s="19"/>
      <c r="R1002" s="19"/>
      <c r="S1002" s="69">
        <f t="shared" si="227"/>
        <v>0</v>
      </c>
      <c r="T1002" s="17"/>
      <c r="U1002" s="18"/>
      <c r="V1002" s="19"/>
      <c r="W1002" s="19"/>
      <c r="X1002" s="19"/>
      <c r="Y1002" s="17"/>
      <c r="Z1002" s="19"/>
      <c r="AA1002" s="19"/>
      <c r="AB1002" s="19"/>
      <c r="AC1002" s="19"/>
      <c r="AD1002" s="18"/>
      <c r="AE1002" s="25">
        <f>SUMIFS(инфо!$D$15:$D$28,инфо!$A$15:$A$28,F1002)</f>
        <v>0</v>
      </c>
      <c r="AF1002" s="35">
        <f t="shared" si="218"/>
        <v>0</v>
      </c>
      <c r="AG1002" s="14">
        <f t="shared" si="228"/>
        <v>0</v>
      </c>
      <c r="AH1002" s="25">
        <f>SUMIFS(инфо!$E$15:$E$28,инфо!$A$15:$A$28,F1002)</f>
        <v>0</v>
      </c>
      <c r="AI1002" s="32">
        <f t="shared" si="219"/>
        <v>0</v>
      </c>
      <c r="AJ1002" s="14">
        <f t="shared" si="229"/>
        <v>0</v>
      </c>
      <c r="AK1002" s="25">
        <f>SUMIFS(инфо!$F$15:$F$28,инфо!$A$15:$A$28,F1002)</f>
        <v>0</v>
      </c>
      <c r="AL1002" s="32">
        <f t="shared" si="220"/>
        <v>0</v>
      </c>
      <c r="AM1002" s="14">
        <f t="shared" si="223"/>
        <v>0</v>
      </c>
      <c r="AN1002" s="25">
        <f>SUMIFS(инфо!$G$15:$G$28,инфо!$A$15:$A$28,F1002)</f>
        <v>0</v>
      </c>
      <c r="AO1002" s="32">
        <f t="shared" si="221"/>
        <v>0</v>
      </c>
      <c r="AP1002" s="14">
        <f t="shared" si="224"/>
        <v>0</v>
      </c>
      <c r="AQ1002" s="25">
        <f>SUMIFS(инфо!$H$15:$H$28,инфо!$A$15:$A$28,F1002)</f>
        <v>0</v>
      </c>
      <c r="AR1002" s="26">
        <f t="shared" si="222"/>
        <v>0</v>
      </c>
      <c r="AS1002" s="14">
        <f t="shared" si="225"/>
        <v>0</v>
      </c>
      <c r="AT1002" s="25">
        <f>SUMIFS(инфо!$I$15:$I$28,инфо!$A$15:$A$28,F1002)</f>
        <v>0</v>
      </c>
      <c r="AU1002" s="35">
        <f t="shared" si="230"/>
        <v>0</v>
      </c>
      <c r="AV1002" s="14">
        <f t="shared" si="226"/>
        <v>0</v>
      </c>
      <c r="AX1002" s="69">
        <f>SUMIFS(инфо!$C$15:$C$28,инфо!$A$15:$A$28,F1002)*H1001</f>
        <v>0</v>
      </c>
    </row>
    <row r="1003" spans="1:50" x14ac:dyDescent="0.25">
      <c r="A1003" s="70">
        <f t="shared" si="231"/>
        <v>46565</v>
      </c>
      <c r="B1003" s="75"/>
      <c r="C1003" s="29"/>
      <c r="D1003" s="30"/>
      <c r="E1003" s="11"/>
      <c r="F1003" s="28"/>
      <c r="G1003" s="27"/>
      <c r="H1003" s="20"/>
      <c r="I1003" s="20"/>
      <c r="J1003" s="20"/>
      <c r="K1003" s="20"/>
      <c r="L1003" s="20"/>
      <c r="M1003" s="20"/>
      <c r="N1003" s="28"/>
      <c r="O1003" s="27"/>
      <c r="P1003" s="27"/>
      <c r="Q1003" s="27"/>
      <c r="R1003" s="27"/>
      <c r="S1003" s="67">
        <f t="shared" si="227"/>
        <v>0</v>
      </c>
      <c r="T1003" s="29"/>
      <c r="U1003" s="30"/>
      <c r="V1003" s="27"/>
      <c r="W1003" s="27"/>
      <c r="X1003" s="27"/>
      <c r="Y1003" s="29"/>
      <c r="Z1003" s="27"/>
      <c r="AA1003" s="27"/>
      <c r="AB1003" s="27"/>
      <c r="AC1003" s="27"/>
      <c r="AD1003" s="30"/>
      <c r="AE1003" s="31">
        <f>SUMIFS(инфо!$D$15:$D$28,инфо!$A$15:$A$28,F1003)</f>
        <v>0</v>
      </c>
      <c r="AF1003" s="35">
        <f t="shared" si="218"/>
        <v>0</v>
      </c>
      <c r="AG1003" s="33">
        <f t="shared" si="228"/>
        <v>0</v>
      </c>
      <c r="AH1003" s="31">
        <f>SUMIFS(инфо!$E$15:$E$28,инфо!$A$15:$A$28,F1003)</f>
        <v>0</v>
      </c>
      <c r="AI1003" s="32">
        <f t="shared" si="219"/>
        <v>0</v>
      </c>
      <c r="AJ1003" s="33">
        <f t="shared" si="229"/>
        <v>0</v>
      </c>
      <c r="AK1003" s="31">
        <f>SUMIFS(инфо!$F$15:$F$28,инфо!$A$15:$A$28,F1003)</f>
        <v>0</v>
      </c>
      <c r="AL1003" s="32">
        <f t="shared" si="220"/>
        <v>0</v>
      </c>
      <c r="AM1003" s="33">
        <f t="shared" si="223"/>
        <v>0</v>
      </c>
      <c r="AN1003" s="31">
        <f>SUMIFS(инфо!$G$15:$G$28,инфо!$A$15:$A$28,F1003)</f>
        <v>0</v>
      </c>
      <c r="AO1003" s="32">
        <f t="shared" si="221"/>
        <v>0</v>
      </c>
      <c r="AP1003" s="33">
        <f t="shared" si="224"/>
        <v>0</v>
      </c>
      <c r="AQ1003" s="31">
        <f>SUMIFS(инфо!$H$15:$H$28,инфо!$A$15:$A$28,F1003)</f>
        <v>0</v>
      </c>
      <c r="AR1003" s="32">
        <f t="shared" si="222"/>
        <v>0</v>
      </c>
      <c r="AS1003" s="33">
        <f t="shared" si="225"/>
        <v>0</v>
      </c>
      <c r="AT1003" s="31">
        <f>SUMIFS(инфо!$I$15:$I$28,инфо!$A$15:$A$28,F1003)</f>
        <v>0</v>
      </c>
      <c r="AU1003" s="35">
        <f t="shared" si="230"/>
        <v>0</v>
      </c>
      <c r="AV1003" s="33">
        <f t="shared" si="226"/>
        <v>0</v>
      </c>
      <c r="AX1003" s="67">
        <f>SUMIFS(инфо!$C$15:$C$28,инфо!$A$15:$A$28,F1003)*H1002</f>
        <v>0</v>
      </c>
    </row>
    <row r="1004" spans="1:50" x14ac:dyDescent="0.25">
      <c r="A1004" s="70">
        <f t="shared" si="231"/>
        <v>46566</v>
      </c>
      <c r="B1004" s="76"/>
      <c r="C1004" s="15"/>
      <c r="D1004" s="16"/>
      <c r="E1004" s="11"/>
      <c r="F1004" s="28"/>
      <c r="G1004" s="34"/>
      <c r="H1004" s="20"/>
      <c r="I1004" s="20"/>
      <c r="J1004" s="20"/>
      <c r="K1004" s="20"/>
      <c r="L1004" s="20"/>
      <c r="M1004" s="20"/>
      <c r="N1004" s="20"/>
      <c r="O1004" s="34"/>
      <c r="P1004" s="34"/>
      <c r="Q1004" s="34"/>
      <c r="R1004" s="34"/>
      <c r="S1004" s="68">
        <f t="shared" si="227"/>
        <v>0</v>
      </c>
      <c r="T1004" s="15"/>
      <c r="U1004" s="16"/>
      <c r="V1004" s="34"/>
      <c r="W1004" s="34"/>
      <c r="X1004" s="34"/>
      <c r="Y1004" s="15"/>
      <c r="Z1004" s="34"/>
      <c r="AA1004" s="34"/>
      <c r="AB1004" s="34"/>
      <c r="AC1004" s="34"/>
      <c r="AD1004" s="16"/>
      <c r="AE1004" s="24">
        <f>SUMIFS(инфо!$D$15:$D$28,инфо!$A$15:$A$28,F1004)</f>
        <v>0</v>
      </c>
      <c r="AF1004" s="35">
        <f t="shared" si="218"/>
        <v>0</v>
      </c>
      <c r="AG1004" s="12">
        <f t="shared" si="228"/>
        <v>0</v>
      </c>
      <c r="AH1004" s="24">
        <f>SUMIFS(инфо!$E$15:$E$28,инфо!$A$15:$A$28,F1004)</f>
        <v>0</v>
      </c>
      <c r="AI1004" s="32">
        <f t="shared" si="219"/>
        <v>0</v>
      </c>
      <c r="AJ1004" s="12">
        <f t="shared" si="229"/>
        <v>0</v>
      </c>
      <c r="AK1004" s="24">
        <f>SUMIFS(инфо!$F$15:$F$28,инфо!$A$15:$A$28,F1004)</f>
        <v>0</v>
      </c>
      <c r="AL1004" s="32">
        <f t="shared" si="220"/>
        <v>0</v>
      </c>
      <c r="AM1004" s="12">
        <f t="shared" si="223"/>
        <v>0</v>
      </c>
      <c r="AN1004" s="24">
        <f>SUMIFS(инфо!$G$15:$G$28,инфо!$A$15:$A$28,F1004)</f>
        <v>0</v>
      </c>
      <c r="AO1004" s="32">
        <f t="shared" si="221"/>
        <v>0</v>
      </c>
      <c r="AP1004" s="12">
        <f t="shared" si="224"/>
        <v>0</v>
      </c>
      <c r="AQ1004" s="24">
        <f>SUMIFS(инфо!$H$15:$H$28,инфо!$A$15:$A$28,F1004)</f>
        <v>0</v>
      </c>
      <c r="AR1004" s="35">
        <f t="shared" si="222"/>
        <v>0</v>
      </c>
      <c r="AS1004" s="12">
        <f t="shared" si="225"/>
        <v>0</v>
      </c>
      <c r="AT1004" s="24">
        <f>SUMIFS(инфо!$I$15:$I$28,инфо!$A$15:$A$28,F1004)</f>
        <v>0</v>
      </c>
      <c r="AU1004" s="35">
        <f t="shared" si="230"/>
        <v>0</v>
      </c>
      <c r="AV1004" s="12">
        <f t="shared" si="226"/>
        <v>0</v>
      </c>
      <c r="AX1004" s="68">
        <f>SUMIFS(инфо!$C$15:$C$28,инфо!$A$15:$A$28,F1004)*H1003</f>
        <v>0</v>
      </c>
    </row>
    <row r="1005" spans="1:50" x14ac:dyDescent="0.25">
      <c r="A1005" s="70">
        <f t="shared" si="231"/>
        <v>46566</v>
      </c>
      <c r="B1005" s="76"/>
      <c r="C1005" s="15"/>
      <c r="D1005" s="16"/>
      <c r="E1005" s="11"/>
      <c r="F1005" s="28"/>
      <c r="G1005" s="34"/>
      <c r="H1005" s="23"/>
      <c r="I1005" s="20"/>
      <c r="J1005" s="20"/>
      <c r="K1005" s="20"/>
      <c r="L1005" s="20"/>
      <c r="M1005" s="20"/>
      <c r="N1005" s="20"/>
      <c r="O1005" s="34"/>
      <c r="P1005" s="34"/>
      <c r="Q1005" s="34"/>
      <c r="R1005" s="34"/>
      <c r="S1005" s="68">
        <f t="shared" si="227"/>
        <v>0</v>
      </c>
      <c r="T1005" s="15"/>
      <c r="U1005" s="16"/>
      <c r="V1005" s="34"/>
      <c r="W1005" s="34"/>
      <c r="X1005" s="34"/>
      <c r="Y1005" s="15"/>
      <c r="Z1005" s="34"/>
      <c r="AA1005" s="34"/>
      <c r="AB1005" s="34"/>
      <c r="AC1005" s="34"/>
      <c r="AD1005" s="16"/>
      <c r="AE1005" s="24">
        <f>SUMIFS(инфо!$D$15:$D$28,инфо!$A$15:$A$28,F1005)</f>
        <v>0</v>
      </c>
      <c r="AF1005" s="35">
        <f t="shared" ref="AF1005:AF1068" si="232">IF(H1005=0,0,N1005/H1005)</f>
        <v>0</v>
      </c>
      <c r="AG1005" s="12">
        <f t="shared" si="228"/>
        <v>0</v>
      </c>
      <c r="AH1005" s="24">
        <f>SUMIFS(инфо!$E$15:$E$28,инфо!$A$15:$A$28,F1005)</f>
        <v>0</v>
      </c>
      <c r="AI1005" s="32">
        <f t="shared" ref="AI1005:AI1038" si="233">IF(H1005=0,0,S1005/H1005)</f>
        <v>0</v>
      </c>
      <c r="AJ1005" s="12">
        <f t="shared" si="229"/>
        <v>0</v>
      </c>
      <c r="AK1005" s="24">
        <f>SUMIFS(инфо!$F$15:$F$28,инфо!$A$15:$A$28,F1005)</f>
        <v>0</v>
      </c>
      <c r="AL1005" s="32">
        <f t="shared" ref="AL1005:AL1068" si="234">IF(H1005=0,0,Y1005/H1005)</f>
        <v>0</v>
      </c>
      <c r="AM1005" s="12">
        <f t="shared" si="223"/>
        <v>0</v>
      </c>
      <c r="AN1005" s="24">
        <f>SUMIFS(инфо!$G$15:$G$28,инфо!$A$15:$A$28,F1005)</f>
        <v>0</v>
      </c>
      <c r="AO1005" s="32">
        <f t="shared" ref="AO1005:AO1068" si="235">IF(H1005=0,0,AA1005/H1005)</f>
        <v>0</v>
      </c>
      <c r="AP1005" s="12">
        <f t="shared" si="224"/>
        <v>0</v>
      </c>
      <c r="AQ1005" s="24">
        <f>SUMIFS(инфо!$H$15:$H$28,инфо!$A$15:$A$28,F1005)</f>
        <v>0</v>
      </c>
      <c r="AR1005" s="35">
        <f t="shared" si="222"/>
        <v>0</v>
      </c>
      <c r="AS1005" s="12">
        <f t="shared" si="225"/>
        <v>0</v>
      </c>
      <c r="AT1005" s="24">
        <f>SUMIFS(инфо!$I$15:$I$28,инфо!$A$15:$A$28,F1005)</f>
        <v>0</v>
      </c>
      <c r="AU1005" s="35">
        <f t="shared" si="230"/>
        <v>0</v>
      </c>
      <c r="AV1005" s="12">
        <f t="shared" si="226"/>
        <v>0</v>
      </c>
      <c r="AX1005" s="68">
        <f>SUMIFS(инфо!$C$15:$C$28,инфо!$A$15:$A$28,F1005)*H1004</f>
        <v>0</v>
      </c>
    </row>
    <row r="1006" spans="1:50" x14ac:dyDescent="0.25">
      <c r="A1006" s="70">
        <f t="shared" si="231"/>
        <v>46567</v>
      </c>
      <c r="B1006" s="77"/>
      <c r="C1006" s="17"/>
      <c r="D1006" s="18"/>
      <c r="E1006" s="11"/>
      <c r="F1006" s="28"/>
      <c r="G1006" s="19"/>
      <c r="H1006" s="28"/>
      <c r="I1006" s="20"/>
      <c r="J1006" s="20"/>
      <c r="K1006" s="20"/>
      <c r="L1006" s="20"/>
      <c r="M1006" s="20"/>
      <c r="N1006" s="23"/>
      <c r="O1006" s="19"/>
      <c r="P1006" s="19"/>
      <c r="Q1006" s="19"/>
      <c r="R1006" s="19"/>
      <c r="S1006" s="69">
        <f t="shared" si="227"/>
        <v>0</v>
      </c>
      <c r="T1006" s="17"/>
      <c r="U1006" s="18"/>
      <c r="V1006" s="19"/>
      <c r="W1006" s="19"/>
      <c r="X1006" s="19"/>
      <c r="Y1006" s="17"/>
      <c r="Z1006" s="19"/>
      <c r="AA1006" s="19"/>
      <c r="AB1006" s="19"/>
      <c r="AC1006" s="19"/>
      <c r="AD1006" s="18"/>
      <c r="AE1006" s="25">
        <f>SUMIFS(инфо!$D$15:$D$28,инфо!$A$15:$A$28,F1006)</f>
        <v>0</v>
      </c>
      <c r="AF1006" s="35">
        <f t="shared" si="232"/>
        <v>0</v>
      </c>
      <c r="AG1006" s="14">
        <f t="shared" si="228"/>
        <v>0</v>
      </c>
      <c r="AH1006" s="25">
        <f>SUMIFS(инфо!$E$15:$E$28,инфо!$A$15:$A$28,F1006)</f>
        <v>0</v>
      </c>
      <c r="AI1006" s="32">
        <f t="shared" si="233"/>
        <v>0</v>
      </c>
      <c r="AJ1006" s="14">
        <f t="shared" si="229"/>
        <v>0</v>
      </c>
      <c r="AK1006" s="25">
        <f>SUMIFS(инфо!$F$15:$F$28,инфо!$A$15:$A$28,F1006)</f>
        <v>0</v>
      </c>
      <c r="AL1006" s="32">
        <f t="shared" si="234"/>
        <v>0</v>
      </c>
      <c r="AM1006" s="14">
        <f t="shared" si="223"/>
        <v>0</v>
      </c>
      <c r="AN1006" s="25">
        <f>SUMIFS(инфо!$G$15:$G$28,инфо!$A$15:$A$28,F1006)</f>
        <v>0</v>
      </c>
      <c r="AO1006" s="32">
        <f t="shared" si="235"/>
        <v>0</v>
      </c>
      <c r="AP1006" s="14">
        <f t="shared" si="224"/>
        <v>0</v>
      </c>
      <c r="AQ1006" s="25">
        <f>SUMIFS(инфо!$H$15:$H$28,инфо!$A$15:$A$28,F1006)</f>
        <v>0</v>
      </c>
      <c r="AR1006" s="26">
        <f t="shared" ref="AR1006:AR1069" si="236">IF(H1005=0,0,AC1006/H1005)</f>
        <v>0</v>
      </c>
      <c r="AS1006" s="14">
        <f t="shared" si="225"/>
        <v>0</v>
      </c>
      <c r="AT1006" s="25">
        <f>SUMIFS(инфо!$I$15:$I$28,инфо!$A$15:$A$28,F1006)</f>
        <v>0</v>
      </c>
      <c r="AU1006" s="35">
        <f t="shared" si="230"/>
        <v>0</v>
      </c>
      <c r="AV1006" s="14">
        <f t="shared" si="226"/>
        <v>0</v>
      </c>
      <c r="AX1006" s="69">
        <f>SUMIFS(инфо!$C$15:$C$28,инфо!$A$15:$A$28,F1006)*H1005</f>
        <v>0</v>
      </c>
    </row>
    <row r="1007" spans="1:50" x14ac:dyDescent="0.25">
      <c r="A1007" s="70">
        <f t="shared" si="231"/>
        <v>46567</v>
      </c>
      <c r="B1007" s="75"/>
      <c r="C1007" s="29"/>
      <c r="D1007" s="30"/>
      <c r="E1007" s="11"/>
      <c r="F1007" s="28"/>
      <c r="G1007" s="27"/>
      <c r="H1007" s="20"/>
      <c r="I1007" s="20"/>
      <c r="J1007" s="20"/>
      <c r="K1007" s="20"/>
      <c r="L1007" s="20"/>
      <c r="M1007" s="20"/>
      <c r="N1007" s="28"/>
      <c r="O1007" s="27"/>
      <c r="P1007" s="27"/>
      <c r="Q1007" s="27"/>
      <c r="R1007" s="27"/>
      <c r="S1007" s="67">
        <f t="shared" si="227"/>
        <v>0</v>
      </c>
      <c r="T1007" s="29"/>
      <c r="U1007" s="30"/>
      <c r="V1007" s="27"/>
      <c r="W1007" s="27"/>
      <c r="X1007" s="27"/>
      <c r="Y1007" s="29"/>
      <c r="Z1007" s="27"/>
      <c r="AA1007" s="27"/>
      <c r="AB1007" s="27"/>
      <c r="AC1007" s="27"/>
      <c r="AD1007" s="30"/>
      <c r="AE1007" s="31">
        <f>SUMIFS(инфо!$D$15:$D$28,инфо!$A$15:$A$28,F1007)</f>
        <v>0</v>
      </c>
      <c r="AF1007" s="35">
        <f t="shared" si="232"/>
        <v>0</v>
      </c>
      <c r="AG1007" s="33">
        <f t="shared" si="228"/>
        <v>0</v>
      </c>
      <c r="AH1007" s="31">
        <f>SUMIFS(инфо!$E$15:$E$28,инфо!$A$15:$A$28,F1007)</f>
        <v>0</v>
      </c>
      <c r="AI1007" s="32">
        <f t="shared" si="233"/>
        <v>0</v>
      </c>
      <c r="AJ1007" s="33">
        <f t="shared" si="229"/>
        <v>0</v>
      </c>
      <c r="AK1007" s="31">
        <f>SUMIFS(инфо!$F$15:$F$28,инфо!$A$15:$A$28,F1007)</f>
        <v>0</v>
      </c>
      <c r="AL1007" s="32">
        <f t="shared" si="234"/>
        <v>0</v>
      </c>
      <c r="AM1007" s="33">
        <f t="shared" ref="AM1007:AM1070" si="237">AL1007-AK1007</f>
        <v>0</v>
      </c>
      <c r="AN1007" s="31">
        <f>SUMIFS(инфо!$G$15:$G$28,инфо!$A$15:$A$28,F1007)</f>
        <v>0</v>
      </c>
      <c r="AO1007" s="32">
        <f t="shared" si="235"/>
        <v>0</v>
      </c>
      <c r="AP1007" s="33">
        <f t="shared" ref="AP1007:AP1070" si="238">AO1007-AN1007</f>
        <v>0</v>
      </c>
      <c r="AQ1007" s="31">
        <f>SUMIFS(инфо!$H$15:$H$28,инфо!$A$15:$A$28,F1007)</f>
        <v>0</v>
      </c>
      <c r="AR1007" s="32">
        <f t="shared" si="236"/>
        <v>0</v>
      </c>
      <c r="AS1007" s="33">
        <f t="shared" ref="AS1007:AS1070" si="239">AR1007-AQ1007</f>
        <v>0</v>
      </c>
      <c r="AT1007" s="31">
        <f>SUMIFS(инфо!$I$15:$I$28,инфо!$A$15:$A$28,F1007)</f>
        <v>0</v>
      </c>
      <c r="AU1007" s="35">
        <f t="shared" si="230"/>
        <v>0</v>
      </c>
      <c r="AV1007" s="33">
        <f t="shared" ref="AV1007:AV1070" si="240">AU1007-AT1007</f>
        <v>0</v>
      </c>
      <c r="AX1007" s="67">
        <f>SUMIFS(инфо!$C$15:$C$28,инфо!$A$15:$A$28,F1007)*H1006</f>
        <v>0</v>
      </c>
    </row>
    <row r="1008" spans="1:50" x14ac:dyDescent="0.25">
      <c r="A1008" s="70">
        <f t="shared" si="231"/>
        <v>46568</v>
      </c>
      <c r="B1008" s="76"/>
      <c r="C1008" s="15"/>
      <c r="D1008" s="16"/>
      <c r="E1008" s="11"/>
      <c r="F1008" s="28"/>
      <c r="G1008" s="34"/>
      <c r="H1008" s="20"/>
      <c r="I1008" s="20"/>
      <c r="J1008" s="20"/>
      <c r="K1008" s="20"/>
      <c r="L1008" s="20"/>
      <c r="M1008" s="20"/>
      <c r="N1008" s="20"/>
      <c r="O1008" s="34"/>
      <c r="P1008" s="34"/>
      <c r="Q1008" s="34"/>
      <c r="R1008" s="34"/>
      <c r="S1008" s="68">
        <f t="shared" ref="S1008:S1071" si="241">SUM(O1008:R1008)</f>
        <v>0</v>
      </c>
      <c r="T1008" s="15"/>
      <c r="U1008" s="16"/>
      <c r="V1008" s="34"/>
      <c r="W1008" s="34"/>
      <c r="X1008" s="34"/>
      <c r="Y1008" s="15"/>
      <c r="Z1008" s="34"/>
      <c r="AA1008" s="34"/>
      <c r="AB1008" s="34"/>
      <c r="AC1008" s="34"/>
      <c r="AD1008" s="16"/>
      <c r="AE1008" s="24">
        <f>SUMIFS(инфо!$D$15:$D$28,инфо!$A$15:$A$28,F1008)</f>
        <v>0</v>
      </c>
      <c r="AF1008" s="35">
        <f t="shared" si="232"/>
        <v>0</v>
      </c>
      <c r="AG1008" s="12">
        <f t="shared" si="228"/>
        <v>0</v>
      </c>
      <c r="AH1008" s="24">
        <f>SUMIFS(инфо!$E$15:$E$28,инфо!$A$15:$A$28,F1008)</f>
        <v>0</v>
      </c>
      <c r="AI1008" s="32">
        <f t="shared" si="233"/>
        <v>0</v>
      </c>
      <c r="AJ1008" s="12">
        <f t="shared" si="229"/>
        <v>0</v>
      </c>
      <c r="AK1008" s="24">
        <f>SUMIFS(инфо!$F$15:$F$28,инфо!$A$15:$A$28,F1008)</f>
        <v>0</v>
      </c>
      <c r="AL1008" s="32">
        <f t="shared" si="234"/>
        <v>0</v>
      </c>
      <c r="AM1008" s="12">
        <f t="shared" si="237"/>
        <v>0</v>
      </c>
      <c r="AN1008" s="24">
        <f>SUMIFS(инфо!$G$15:$G$28,инфо!$A$15:$A$28,F1008)</f>
        <v>0</v>
      </c>
      <c r="AO1008" s="32">
        <f t="shared" si="235"/>
        <v>0</v>
      </c>
      <c r="AP1008" s="12">
        <f t="shared" si="238"/>
        <v>0</v>
      </c>
      <c r="AQ1008" s="24">
        <f>SUMIFS(инфо!$H$15:$H$28,инфо!$A$15:$A$28,F1008)</f>
        <v>0</v>
      </c>
      <c r="AR1008" s="35">
        <f t="shared" si="236"/>
        <v>0</v>
      </c>
      <c r="AS1008" s="12">
        <f t="shared" si="239"/>
        <v>0</v>
      </c>
      <c r="AT1008" s="24">
        <f>SUMIFS(инфо!$I$15:$I$28,инфо!$A$15:$A$28,F1008)</f>
        <v>0</v>
      </c>
      <c r="AU1008" s="35">
        <f t="shared" si="230"/>
        <v>0</v>
      </c>
      <c r="AV1008" s="12">
        <f t="shared" si="240"/>
        <v>0</v>
      </c>
      <c r="AX1008" s="68">
        <f>SUMIFS(инфо!$C$15:$C$28,инфо!$A$15:$A$28,F1008)*H1007</f>
        <v>0</v>
      </c>
    </row>
    <row r="1009" spans="1:50" x14ac:dyDescent="0.25">
      <c r="A1009" s="70">
        <f t="shared" si="231"/>
        <v>46568</v>
      </c>
      <c r="B1009" s="76"/>
      <c r="C1009" s="15"/>
      <c r="D1009" s="16"/>
      <c r="E1009" s="11"/>
      <c r="F1009" s="28"/>
      <c r="G1009" s="34"/>
      <c r="H1009" s="23"/>
      <c r="I1009" s="20"/>
      <c r="J1009" s="20"/>
      <c r="K1009" s="20"/>
      <c r="L1009" s="20"/>
      <c r="M1009" s="20"/>
      <c r="N1009" s="20"/>
      <c r="O1009" s="34"/>
      <c r="P1009" s="34"/>
      <c r="Q1009" s="34"/>
      <c r="R1009" s="34"/>
      <c r="S1009" s="68">
        <f t="shared" si="241"/>
        <v>0</v>
      </c>
      <c r="T1009" s="15"/>
      <c r="U1009" s="16"/>
      <c r="V1009" s="34"/>
      <c r="W1009" s="34"/>
      <c r="X1009" s="34"/>
      <c r="Y1009" s="15"/>
      <c r="Z1009" s="34"/>
      <c r="AA1009" s="34"/>
      <c r="AB1009" s="34"/>
      <c r="AC1009" s="34"/>
      <c r="AD1009" s="16"/>
      <c r="AE1009" s="24">
        <f>SUMIFS(инфо!$D$15:$D$28,инфо!$A$15:$A$28,F1009)</f>
        <v>0</v>
      </c>
      <c r="AF1009" s="35">
        <f t="shared" si="232"/>
        <v>0</v>
      </c>
      <c r="AG1009" s="12">
        <f t="shared" si="228"/>
        <v>0</v>
      </c>
      <c r="AH1009" s="24">
        <f>SUMIFS(инфо!$E$15:$E$28,инфо!$A$15:$A$28,F1009)</f>
        <v>0</v>
      </c>
      <c r="AI1009" s="32">
        <f t="shared" si="233"/>
        <v>0</v>
      </c>
      <c r="AJ1009" s="12">
        <f t="shared" si="229"/>
        <v>0</v>
      </c>
      <c r="AK1009" s="24">
        <f>SUMIFS(инфо!$F$15:$F$28,инфо!$A$15:$A$28,F1009)</f>
        <v>0</v>
      </c>
      <c r="AL1009" s="32">
        <f t="shared" si="234"/>
        <v>0</v>
      </c>
      <c r="AM1009" s="12">
        <f t="shared" si="237"/>
        <v>0</v>
      </c>
      <c r="AN1009" s="24">
        <f>SUMIFS(инфо!$G$15:$G$28,инфо!$A$15:$A$28,F1009)</f>
        <v>0</v>
      </c>
      <c r="AO1009" s="32">
        <f t="shared" si="235"/>
        <v>0</v>
      </c>
      <c r="AP1009" s="12">
        <f t="shared" si="238"/>
        <v>0</v>
      </c>
      <c r="AQ1009" s="24">
        <f>SUMIFS(инфо!$H$15:$H$28,инфо!$A$15:$A$28,F1009)</f>
        <v>0</v>
      </c>
      <c r="AR1009" s="35">
        <f t="shared" si="236"/>
        <v>0</v>
      </c>
      <c r="AS1009" s="12">
        <f t="shared" si="239"/>
        <v>0</v>
      </c>
      <c r="AT1009" s="24">
        <f>SUMIFS(инфо!$I$15:$I$28,инфо!$A$15:$A$28,F1009)</f>
        <v>0</v>
      </c>
      <c r="AU1009" s="35">
        <f t="shared" si="230"/>
        <v>0</v>
      </c>
      <c r="AV1009" s="12">
        <f t="shared" si="240"/>
        <v>0</v>
      </c>
      <c r="AX1009" s="68">
        <f>SUMIFS(инфо!$C$15:$C$28,инфо!$A$15:$A$28,F1009)*H1008</f>
        <v>0</v>
      </c>
    </row>
    <row r="1010" spans="1:50" x14ac:dyDescent="0.25">
      <c r="A1010" s="70">
        <f t="shared" si="231"/>
        <v>46569</v>
      </c>
      <c r="B1010" s="77"/>
      <c r="C1010" s="17"/>
      <c r="D1010" s="18"/>
      <c r="E1010" s="11"/>
      <c r="F1010" s="28"/>
      <c r="G1010" s="19"/>
      <c r="H1010" s="28"/>
      <c r="I1010" s="20"/>
      <c r="J1010" s="20"/>
      <c r="K1010" s="20"/>
      <c r="L1010" s="20"/>
      <c r="M1010" s="20"/>
      <c r="N1010" s="23"/>
      <c r="O1010" s="19"/>
      <c r="P1010" s="19"/>
      <c r="Q1010" s="19"/>
      <c r="R1010" s="19"/>
      <c r="S1010" s="69">
        <f t="shared" si="241"/>
        <v>0</v>
      </c>
      <c r="T1010" s="17"/>
      <c r="U1010" s="18"/>
      <c r="V1010" s="19"/>
      <c r="W1010" s="19"/>
      <c r="X1010" s="19"/>
      <c r="Y1010" s="17"/>
      <c r="Z1010" s="19"/>
      <c r="AA1010" s="19"/>
      <c r="AB1010" s="19"/>
      <c r="AC1010" s="19"/>
      <c r="AD1010" s="18"/>
      <c r="AE1010" s="25">
        <f>SUMIFS(инфо!$D$15:$D$28,инфо!$A$15:$A$28,F1010)</f>
        <v>0</v>
      </c>
      <c r="AF1010" s="35">
        <f t="shared" si="232"/>
        <v>0</v>
      </c>
      <c r="AG1010" s="14">
        <f t="shared" si="228"/>
        <v>0</v>
      </c>
      <c r="AH1010" s="25">
        <f>SUMIFS(инфо!$E$15:$E$28,инфо!$A$15:$A$28,F1010)</f>
        <v>0</v>
      </c>
      <c r="AI1010" s="32">
        <f t="shared" si="233"/>
        <v>0</v>
      </c>
      <c r="AJ1010" s="14">
        <f t="shared" si="229"/>
        <v>0</v>
      </c>
      <c r="AK1010" s="25">
        <f>SUMIFS(инфо!$F$15:$F$28,инфо!$A$15:$A$28,F1010)</f>
        <v>0</v>
      </c>
      <c r="AL1010" s="32">
        <f t="shared" si="234"/>
        <v>0</v>
      </c>
      <c r="AM1010" s="14">
        <f t="shared" si="237"/>
        <v>0</v>
      </c>
      <c r="AN1010" s="25">
        <f>SUMIFS(инфо!$G$15:$G$28,инфо!$A$15:$A$28,F1010)</f>
        <v>0</v>
      </c>
      <c r="AO1010" s="32">
        <f t="shared" si="235"/>
        <v>0</v>
      </c>
      <c r="AP1010" s="14">
        <f t="shared" si="238"/>
        <v>0</v>
      </c>
      <c r="AQ1010" s="25">
        <f>SUMIFS(инфо!$H$15:$H$28,инфо!$A$15:$A$28,F1010)</f>
        <v>0</v>
      </c>
      <c r="AR1010" s="26">
        <f t="shared" si="236"/>
        <v>0</v>
      </c>
      <c r="AS1010" s="14">
        <f t="shared" si="239"/>
        <v>0</v>
      </c>
      <c r="AT1010" s="25">
        <f>SUMIFS(инфо!$I$15:$I$28,инфо!$A$15:$A$28,F1010)</f>
        <v>0</v>
      </c>
      <c r="AU1010" s="35">
        <f t="shared" si="230"/>
        <v>0</v>
      </c>
      <c r="AV1010" s="14">
        <f t="shared" si="240"/>
        <v>0</v>
      </c>
      <c r="AX1010" s="69">
        <f>SUMIFS(инфо!$C$15:$C$28,инфо!$A$15:$A$28,F1010)*H1009</f>
        <v>0</v>
      </c>
    </row>
    <row r="1011" spans="1:50" x14ac:dyDescent="0.25">
      <c r="A1011" s="70">
        <f t="shared" si="231"/>
        <v>46569</v>
      </c>
      <c r="B1011" s="75"/>
      <c r="C1011" s="29"/>
      <c r="D1011" s="30"/>
      <c r="E1011" s="11"/>
      <c r="F1011" s="28"/>
      <c r="G1011" s="27"/>
      <c r="H1011" s="20"/>
      <c r="I1011" s="20"/>
      <c r="J1011" s="20"/>
      <c r="K1011" s="20"/>
      <c r="L1011" s="20"/>
      <c r="M1011" s="20"/>
      <c r="N1011" s="28"/>
      <c r="O1011" s="27"/>
      <c r="P1011" s="27"/>
      <c r="Q1011" s="27"/>
      <c r="R1011" s="27"/>
      <c r="S1011" s="67">
        <f t="shared" si="241"/>
        <v>0</v>
      </c>
      <c r="T1011" s="29"/>
      <c r="U1011" s="30"/>
      <c r="V1011" s="27"/>
      <c r="W1011" s="27"/>
      <c r="X1011" s="27"/>
      <c r="Y1011" s="29"/>
      <c r="Z1011" s="27"/>
      <c r="AA1011" s="27"/>
      <c r="AB1011" s="27"/>
      <c r="AC1011" s="27"/>
      <c r="AD1011" s="30"/>
      <c r="AE1011" s="31">
        <f>SUMIFS(инфо!$D$15:$D$28,инфо!$A$15:$A$28,F1011)</f>
        <v>0</v>
      </c>
      <c r="AF1011" s="35">
        <f t="shared" si="232"/>
        <v>0</v>
      </c>
      <c r="AG1011" s="33">
        <f t="shared" si="228"/>
        <v>0</v>
      </c>
      <c r="AH1011" s="31">
        <f>SUMIFS(инфо!$E$15:$E$28,инфо!$A$15:$A$28,F1011)</f>
        <v>0</v>
      </c>
      <c r="AI1011" s="32">
        <f t="shared" si="233"/>
        <v>0</v>
      </c>
      <c r="AJ1011" s="33">
        <f t="shared" si="229"/>
        <v>0</v>
      </c>
      <c r="AK1011" s="31">
        <f>SUMIFS(инфо!$F$15:$F$28,инфо!$A$15:$A$28,F1011)</f>
        <v>0</v>
      </c>
      <c r="AL1011" s="32">
        <f t="shared" si="234"/>
        <v>0</v>
      </c>
      <c r="AM1011" s="33">
        <f t="shared" si="237"/>
        <v>0</v>
      </c>
      <c r="AN1011" s="31">
        <f>SUMIFS(инфо!$G$15:$G$28,инфо!$A$15:$A$28,F1011)</f>
        <v>0</v>
      </c>
      <c r="AO1011" s="32">
        <f t="shared" si="235"/>
        <v>0</v>
      </c>
      <c r="AP1011" s="33">
        <f t="shared" si="238"/>
        <v>0</v>
      </c>
      <c r="AQ1011" s="31">
        <f>SUMIFS(инфо!$H$15:$H$28,инфо!$A$15:$A$28,F1011)</f>
        <v>0</v>
      </c>
      <c r="AR1011" s="32">
        <f t="shared" si="236"/>
        <v>0</v>
      </c>
      <c r="AS1011" s="33">
        <f t="shared" si="239"/>
        <v>0</v>
      </c>
      <c r="AT1011" s="31">
        <f>SUMIFS(инфо!$I$15:$I$28,инфо!$A$15:$A$28,F1011)</f>
        <v>0</v>
      </c>
      <c r="AU1011" s="35">
        <f t="shared" si="230"/>
        <v>0</v>
      </c>
      <c r="AV1011" s="33">
        <f t="shared" si="240"/>
        <v>0</v>
      </c>
      <c r="AX1011" s="67">
        <f>SUMIFS(инфо!$C$15:$C$28,инфо!$A$15:$A$28,F1011)*H1010</f>
        <v>0</v>
      </c>
    </row>
    <row r="1012" spans="1:50" x14ac:dyDescent="0.25">
      <c r="A1012" s="70">
        <f t="shared" si="231"/>
        <v>46570</v>
      </c>
      <c r="B1012" s="76"/>
      <c r="C1012" s="15"/>
      <c r="D1012" s="16"/>
      <c r="E1012" s="11"/>
      <c r="F1012" s="28"/>
      <c r="G1012" s="34"/>
      <c r="H1012" s="20"/>
      <c r="I1012" s="20"/>
      <c r="J1012" s="20"/>
      <c r="K1012" s="20"/>
      <c r="L1012" s="20"/>
      <c r="M1012" s="20"/>
      <c r="N1012" s="20"/>
      <c r="O1012" s="34"/>
      <c r="P1012" s="34"/>
      <c r="Q1012" s="34"/>
      <c r="R1012" s="34"/>
      <c r="S1012" s="68">
        <f t="shared" si="241"/>
        <v>0</v>
      </c>
      <c r="T1012" s="15"/>
      <c r="U1012" s="16"/>
      <c r="V1012" s="34"/>
      <c r="W1012" s="34"/>
      <c r="X1012" s="34"/>
      <c r="Y1012" s="15"/>
      <c r="Z1012" s="34"/>
      <c r="AA1012" s="34"/>
      <c r="AB1012" s="34"/>
      <c r="AC1012" s="34"/>
      <c r="AD1012" s="16"/>
      <c r="AE1012" s="24">
        <f>SUMIFS(инфо!$D$15:$D$28,инфо!$A$15:$A$28,F1012)</f>
        <v>0</v>
      </c>
      <c r="AF1012" s="35">
        <f t="shared" si="232"/>
        <v>0</v>
      </c>
      <c r="AG1012" s="12">
        <f t="shared" si="228"/>
        <v>0</v>
      </c>
      <c r="AH1012" s="24">
        <f>SUMIFS(инфо!$E$15:$E$28,инфо!$A$15:$A$28,F1012)</f>
        <v>0</v>
      </c>
      <c r="AI1012" s="32">
        <f t="shared" si="233"/>
        <v>0</v>
      </c>
      <c r="AJ1012" s="12">
        <f t="shared" si="229"/>
        <v>0</v>
      </c>
      <c r="AK1012" s="24">
        <f>SUMIFS(инфо!$F$15:$F$28,инфо!$A$15:$A$28,F1012)</f>
        <v>0</v>
      </c>
      <c r="AL1012" s="32">
        <f t="shared" si="234"/>
        <v>0</v>
      </c>
      <c r="AM1012" s="12">
        <f t="shared" si="237"/>
        <v>0</v>
      </c>
      <c r="AN1012" s="24">
        <f>SUMIFS(инфо!$G$15:$G$28,инфо!$A$15:$A$28,F1012)</f>
        <v>0</v>
      </c>
      <c r="AO1012" s="32">
        <f t="shared" si="235"/>
        <v>0</v>
      </c>
      <c r="AP1012" s="12">
        <f t="shared" si="238"/>
        <v>0</v>
      </c>
      <c r="AQ1012" s="24">
        <f>SUMIFS(инфо!$H$15:$H$28,инфо!$A$15:$A$28,F1012)</f>
        <v>0</v>
      </c>
      <c r="AR1012" s="35">
        <f t="shared" si="236"/>
        <v>0</v>
      </c>
      <c r="AS1012" s="12">
        <f t="shared" si="239"/>
        <v>0</v>
      </c>
      <c r="AT1012" s="24">
        <f>SUMIFS(инфо!$I$15:$I$28,инфо!$A$15:$A$28,F1012)</f>
        <v>0</v>
      </c>
      <c r="AU1012" s="35">
        <f t="shared" si="230"/>
        <v>0</v>
      </c>
      <c r="AV1012" s="12">
        <f t="shared" si="240"/>
        <v>0</v>
      </c>
      <c r="AX1012" s="68">
        <f>SUMIFS(инфо!$C$15:$C$28,инфо!$A$15:$A$28,F1012)*H1011</f>
        <v>0</v>
      </c>
    </row>
    <row r="1013" spans="1:50" x14ac:dyDescent="0.25">
      <c r="A1013" s="70">
        <f t="shared" si="231"/>
        <v>46570</v>
      </c>
      <c r="B1013" s="76"/>
      <c r="C1013" s="15"/>
      <c r="D1013" s="16"/>
      <c r="E1013" s="11"/>
      <c r="F1013" s="28"/>
      <c r="G1013" s="34"/>
      <c r="H1013" s="23"/>
      <c r="I1013" s="20"/>
      <c r="J1013" s="20"/>
      <c r="K1013" s="20"/>
      <c r="L1013" s="20"/>
      <c r="M1013" s="20"/>
      <c r="N1013" s="20"/>
      <c r="O1013" s="34"/>
      <c r="P1013" s="34"/>
      <c r="Q1013" s="34"/>
      <c r="R1013" s="34"/>
      <c r="S1013" s="68">
        <f t="shared" si="241"/>
        <v>0</v>
      </c>
      <c r="T1013" s="15"/>
      <c r="U1013" s="16"/>
      <c r="V1013" s="34"/>
      <c r="W1013" s="34"/>
      <c r="X1013" s="34"/>
      <c r="Y1013" s="15"/>
      <c r="Z1013" s="34"/>
      <c r="AA1013" s="34"/>
      <c r="AB1013" s="34"/>
      <c r="AC1013" s="34"/>
      <c r="AD1013" s="16"/>
      <c r="AE1013" s="24">
        <f>SUMIFS(инфо!$D$15:$D$28,инфо!$A$15:$A$28,F1013)</f>
        <v>0</v>
      </c>
      <c r="AF1013" s="35">
        <f t="shared" si="232"/>
        <v>0</v>
      </c>
      <c r="AG1013" s="12">
        <f t="shared" si="228"/>
        <v>0</v>
      </c>
      <c r="AH1013" s="24">
        <f>SUMIFS(инфо!$E$15:$E$28,инфо!$A$15:$A$28,F1013)</f>
        <v>0</v>
      </c>
      <c r="AI1013" s="32">
        <f t="shared" si="233"/>
        <v>0</v>
      </c>
      <c r="AJ1013" s="12">
        <f t="shared" si="229"/>
        <v>0</v>
      </c>
      <c r="AK1013" s="24">
        <f>SUMIFS(инфо!$F$15:$F$28,инфо!$A$15:$A$28,F1013)</f>
        <v>0</v>
      </c>
      <c r="AL1013" s="32">
        <f t="shared" si="234"/>
        <v>0</v>
      </c>
      <c r="AM1013" s="12">
        <f t="shared" si="237"/>
        <v>0</v>
      </c>
      <c r="AN1013" s="24">
        <f>SUMIFS(инфо!$G$15:$G$28,инфо!$A$15:$A$28,F1013)</f>
        <v>0</v>
      </c>
      <c r="AO1013" s="32">
        <f t="shared" si="235"/>
        <v>0</v>
      </c>
      <c r="AP1013" s="12">
        <f t="shared" si="238"/>
        <v>0</v>
      </c>
      <c r="AQ1013" s="24">
        <f>SUMIFS(инфо!$H$15:$H$28,инфо!$A$15:$A$28,F1013)</f>
        <v>0</v>
      </c>
      <c r="AR1013" s="35">
        <f t="shared" si="236"/>
        <v>0</v>
      </c>
      <c r="AS1013" s="12">
        <f t="shared" si="239"/>
        <v>0</v>
      </c>
      <c r="AT1013" s="24">
        <f>SUMIFS(инфо!$I$15:$I$28,инфо!$A$15:$A$28,F1013)</f>
        <v>0</v>
      </c>
      <c r="AU1013" s="35">
        <f t="shared" si="230"/>
        <v>0</v>
      </c>
      <c r="AV1013" s="12">
        <f t="shared" si="240"/>
        <v>0</v>
      </c>
      <c r="AX1013" s="68">
        <f>SUMIFS(инфо!$C$15:$C$28,инфо!$A$15:$A$28,F1013)*H1012</f>
        <v>0</v>
      </c>
    </row>
    <row r="1014" spans="1:50" x14ac:dyDescent="0.25">
      <c r="A1014" s="70">
        <f t="shared" si="231"/>
        <v>46571</v>
      </c>
      <c r="B1014" s="77"/>
      <c r="C1014" s="17"/>
      <c r="D1014" s="18"/>
      <c r="E1014" s="11"/>
      <c r="F1014" s="28"/>
      <c r="G1014" s="19"/>
      <c r="H1014" s="28"/>
      <c r="I1014" s="20"/>
      <c r="J1014" s="20"/>
      <c r="K1014" s="20"/>
      <c r="L1014" s="20"/>
      <c r="M1014" s="20"/>
      <c r="N1014" s="23"/>
      <c r="O1014" s="19"/>
      <c r="P1014" s="19"/>
      <c r="Q1014" s="19"/>
      <c r="R1014" s="19"/>
      <c r="S1014" s="69">
        <f t="shared" si="241"/>
        <v>0</v>
      </c>
      <c r="T1014" s="17"/>
      <c r="U1014" s="18"/>
      <c r="V1014" s="19"/>
      <c r="W1014" s="19"/>
      <c r="X1014" s="19"/>
      <c r="Y1014" s="17"/>
      <c r="Z1014" s="19"/>
      <c r="AA1014" s="19"/>
      <c r="AB1014" s="19"/>
      <c r="AC1014" s="19"/>
      <c r="AD1014" s="18"/>
      <c r="AE1014" s="25">
        <f>SUMIFS(инфо!$D$15:$D$28,инфо!$A$15:$A$28,F1014)</f>
        <v>0</v>
      </c>
      <c r="AF1014" s="35">
        <f t="shared" si="232"/>
        <v>0</v>
      </c>
      <c r="AG1014" s="14">
        <f t="shared" si="228"/>
        <v>0</v>
      </c>
      <c r="AH1014" s="25">
        <f>SUMIFS(инфо!$E$15:$E$28,инфо!$A$15:$A$28,F1014)</f>
        <v>0</v>
      </c>
      <c r="AI1014" s="32">
        <f t="shared" si="233"/>
        <v>0</v>
      </c>
      <c r="AJ1014" s="14">
        <f t="shared" si="229"/>
        <v>0</v>
      </c>
      <c r="AK1014" s="25">
        <f>SUMIFS(инфо!$F$15:$F$28,инфо!$A$15:$A$28,F1014)</f>
        <v>0</v>
      </c>
      <c r="AL1014" s="32">
        <f t="shared" si="234"/>
        <v>0</v>
      </c>
      <c r="AM1014" s="14">
        <f t="shared" si="237"/>
        <v>0</v>
      </c>
      <c r="AN1014" s="25">
        <f>SUMIFS(инфо!$G$15:$G$28,инфо!$A$15:$A$28,F1014)</f>
        <v>0</v>
      </c>
      <c r="AO1014" s="32">
        <f t="shared" si="235"/>
        <v>0</v>
      </c>
      <c r="AP1014" s="14">
        <f t="shared" si="238"/>
        <v>0</v>
      </c>
      <c r="AQ1014" s="25">
        <f>SUMIFS(инфо!$H$15:$H$28,инфо!$A$15:$A$28,F1014)</f>
        <v>0</v>
      </c>
      <c r="AR1014" s="26">
        <f t="shared" si="236"/>
        <v>0</v>
      </c>
      <c r="AS1014" s="14">
        <f t="shared" si="239"/>
        <v>0</v>
      </c>
      <c r="AT1014" s="25">
        <f>SUMIFS(инфо!$I$15:$I$28,инфо!$A$15:$A$28,F1014)</f>
        <v>0</v>
      </c>
      <c r="AU1014" s="35">
        <f t="shared" si="230"/>
        <v>0</v>
      </c>
      <c r="AV1014" s="14">
        <f t="shared" si="240"/>
        <v>0</v>
      </c>
      <c r="AX1014" s="69">
        <f>SUMIFS(инфо!$C$15:$C$28,инфо!$A$15:$A$28,F1014)*H1013</f>
        <v>0</v>
      </c>
    </row>
    <row r="1015" spans="1:50" x14ac:dyDescent="0.25">
      <c r="A1015" s="70">
        <f t="shared" si="231"/>
        <v>46571</v>
      </c>
      <c r="B1015" s="75"/>
      <c r="C1015" s="29"/>
      <c r="D1015" s="30"/>
      <c r="E1015" s="11"/>
      <c r="F1015" s="28"/>
      <c r="G1015" s="27"/>
      <c r="H1015" s="20"/>
      <c r="I1015" s="20"/>
      <c r="J1015" s="20"/>
      <c r="K1015" s="20"/>
      <c r="L1015" s="20"/>
      <c r="M1015" s="20"/>
      <c r="N1015" s="28"/>
      <c r="O1015" s="27"/>
      <c r="P1015" s="27"/>
      <c r="Q1015" s="27"/>
      <c r="R1015" s="27"/>
      <c r="S1015" s="67">
        <f t="shared" si="241"/>
        <v>0</v>
      </c>
      <c r="T1015" s="29"/>
      <c r="U1015" s="30"/>
      <c r="V1015" s="27"/>
      <c r="W1015" s="27"/>
      <c r="X1015" s="27"/>
      <c r="Y1015" s="29"/>
      <c r="Z1015" s="27"/>
      <c r="AA1015" s="27"/>
      <c r="AB1015" s="27"/>
      <c r="AC1015" s="27"/>
      <c r="AD1015" s="30"/>
      <c r="AE1015" s="31">
        <f>SUMIFS(инфо!$D$15:$D$28,инфо!$A$15:$A$28,F1015)</f>
        <v>0</v>
      </c>
      <c r="AF1015" s="35">
        <f t="shared" si="232"/>
        <v>0</v>
      </c>
      <c r="AG1015" s="33">
        <f t="shared" si="228"/>
        <v>0</v>
      </c>
      <c r="AH1015" s="31">
        <f>SUMIFS(инфо!$E$15:$E$28,инфо!$A$15:$A$28,F1015)</f>
        <v>0</v>
      </c>
      <c r="AI1015" s="32">
        <f t="shared" si="233"/>
        <v>0</v>
      </c>
      <c r="AJ1015" s="33">
        <f t="shared" si="229"/>
        <v>0</v>
      </c>
      <c r="AK1015" s="31">
        <f>SUMIFS(инфо!$F$15:$F$28,инфо!$A$15:$A$28,F1015)</f>
        <v>0</v>
      </c>
      <c r="AL1015" s="32">
        <f t="shared" si="234"/>
        <v>0</v>
      </c>
      <c r="AM1015" s="33">
        <f t="shared" si="237"/>
        <v>0</v>
      </c>
      <c r="AN1015" s="31">
        <f>SUMIFS(инфо!$G$15:$G$28,инфо!$A$15:$A$28,F1015)</f>
        <v>0</v>
      </c>
      <c r="AO1015" s="32">
        <f t="shared" si="235"/>
        <v>0</v>
      </c>
      <c r="AP1015" s="33">
        <f t="shared" si="238"/>
        <v>0</v>
      </c>
      <c r="AQ1015" s="31">
        <f>SUMIFS(инфо!$H$15:$H$28,инфо!$A$15:$A$28,F1015)</f>
        <v>0</v>
      </c>
      <c r="AR1015" s="32">
        <f t="shared" si="236"/>
        <v>0</v>
      </c>
      <c r="AS1015" s="33">
        <f t="shared" si="239"/>
        <v>0</v>
      </c>
      <c r="AT1015" s="31">
        <f>SUMIFS(инфо!$I$15:$I$28,инфо!$A$15:$A$28,F1015)</f>
        <v>0</v>
      </c>
      <c r="AU1015" s="35">
        <f t="shared" si="230"/>
        <v>0</v>
      </c>
      <c r="AV1015" s="33">
        <f t="shared" si="240"/>
        <v>0</v>
      </c>
      <c r="AX1015" s="67">
        <f>SUMIFS(инфо!$C$15:$C$28,инфо!$A$15:$A$28,F1015)*H1014</f>
        <v>0</v>
      </c>
    </row>
    <row r="1016" spans="1:50" x14ac:dyDescent="0.25">
      <c r="A1016" s="70">
        <f t="shared" si="231"/>
        <v>46572</v>
      </c>
      <c r="B1016" s="76"/>
      <c r="C1016" s="15"/>
      <c r="D1016" s="16"/>
      <c r="E1016" s="11"/>
      <c r="F1016" s="28"/>
      <c r="G1016" s="34"/>
      <c r="H1016" s="20"/>
      <c r="I1016" s="20"/>
      <c r="J1016" s="20"/>
      <c r="K1016" s="20"/>
      <c r="L1016" s="20"/>
      <c r="M1016" s="20"/>
      <c r="N1016" s="20"/>
      <c r="O1016" s="34"/>
      <c r="P1016" s="34"/>
      <c r="Q1016" s="34"/>
      <c r="R1016" s="34"/>
      <c r="S1016" s="68">
        <f t="shared" si="241"/>
        <v>0</v>
      </c>
      <c r="T1016" s="15"/>
      <c r="U1016" s="16"/>
      <c r="V1016" s="34"/>
      <c r="W1016" s="34"/>
      <c r="X1016" s="34"/>
      <c r="Y1016" s="15"/>
      <c r="Z1016" s="34"/>
      <c r="AA1016" s="34"/>
      <c r="AB1016" s="34"/>
      <c r="AC1016" s="34"/>
      <c r="AD1016" s="16"/>
      <c r="AE1016" s="24">
        <f>SUMIFS(инфо!$D$15:$D$28,инфо!$A$15:$A$28,F1016)</f>
        <v>0</v>
      </c>
      <c r="AF1016" s="35">
        <f t="shared" si="232"/>
        <v>0</v>
      </c>
      <c r="AG1016" s="12">
        <f t="shared" si="228"/>
        <v>0</v>
      </c>
      <c r="AH1016" s="24">
        <f>SUMIFS(инфо!$E$15:$E$28,инфо!$A$15:$A$28,F1016)</f>
        <v>0</v>
      </c>
      <c r="AI1016" s="32">
        <f t="shared" si="233"/>
        <v>0</v>
      </c>
      <c r="AJ1016" s="12">
        <f t="shared" si="229"/>
        <v>0</v>
      </c>
      <c r="AK1016" s="24">
        <f>SUMIFS(инфо!$F$15:$F$28,инфо!$A$15:$A$28,F1016)</f>
        <v>0</v>
      </c>
      <c r="AL1016" s="32">
        <f t="shared" si="234"/>
        <v>0</v>
      </c>
      <c r="AM1016" s="12">
        <f t="shared" si="237"/>
        <v>0</v>
      </c>
      <c r="AN1016" s="24">
        <f>SUMIFS(инфо!$G$15:$G$28,инфо!$A$15:$A$28,F1016)</f>
        <v>0</v>
      </c>
      <c r="AO1016" s="32">
        <f t="shared" si="235"/>
        <v>0</v>
      </c>
      <c r="AP1016" s="12">
        <f t="shared" si="238"/>
        <v>0</v>
      </c>
      <c r="AQ1016" s="24">
        <f>SUMIFS(инфо!$H$15:$H$28,инфо!$A$15:$A$28,F1016)</f>
        <v>0</v>
      </c>
      <c r="AR1016" s="35">
        <f t="shared" si="236"/>
        <v>0</v>
      </c>
      <c r="AS1016" s="12">
        <f t="shared" si="239"/>
        <v>0</v>
      </c>
      <c r="AT1016" s="24">
        <f>SUMIFS(инфо!$I$15:$I$28,инфо!$A$15:$A$28,F1016)</f>
        <v>0</v>
      </c>
      <c r="AU1016" s="35">
        <f t="shared" si="230"/>
        <v>0</v>
      </c>
      <c r="AV1016" s="12">
        <f t="shared" si="240"/>
        <v>0</v>
      </c>
      <c r="AX1016" s="68">
        <f>SUMIFS(инфо!$C$15:$C$28,инфо!$A$15:$A$28,F1016)*H1015</f>
        <v>0</v>
      </c>
    </row>
    <row r="1017" spans="1:50" x14ac:dyDescent="0.25">
      <c r="A1017" s="70">
        <f t="shared" si="231"/>
        <v>46572</v>
      </c>
      <c r="B1017" s="76"/>
      <c r="C1017" s="15"/>
      <c r="D1017" s="16"/>
      <c r="E1017" s="11"/>
      <c r="F1017" s="28"/>
      <c r="G1017" s="34"/>
      <c r="H1017" s="23"/>
      <c r="I1017" s="20"/>
      <c r="J1017" s="20"/>
      <c r="K1017" s="20"/>
      <c r="L1017" s="20"/>
      <c r="M1017" s="20"/>
      <c r="N1017" s="20"/>
      <c r="O1017" s="34"/>
      <c r="P1017" s="34"/>
      <c r="Q1017" s="34"/>
      <c r="R1017" s="34"/>
      <c r="S1017" s="68">
        <f t="shared" si="241"/>
        <v>0</v>
      </c>
      <c r="T1017" s="15"/>
      <c r="U1017" s="16"/>
      <c r="V1017" s="34"/>
      <c r="W1017" s="34"/>
      <c r="X1017" s="34"/>
      <c r="Y1017" s="15"/>
      <c r="Z1017" s="34"/>
      <c r="AA1017" s="34"/>
      <c r="AB1017" s="34"/>
      <c r="AC1017" s="34"/>
      <c r="AD1017" s="16"/>
      <c r="AE1017" s="24">
        <f>SUMIFS(инфо!$D$15:$D$28,инфо!$A$15:$A$28,F1017)</f>
        <v>0</v>
      </c>
      <c r="AF1017" s="35">
        <f t="shared" si="232"/>
        <v>0</v>
      </c>
      <c r="AG1017" s="12">
        <f t="shared" si="228"/>
        <v>0</v>
      </c>
      <c r="AH1017" s="24">
        <f>SUMIFS(инфо!$E$15:$E$28,инфо!$A$15:$A$28,F1017)</f>
        <v>0</v>
      </c>
      <c r="AI1017" s="32">
        <f t="shared" si="233"/>
        <v>0</v>
      </c>
      <c r="AJ1017" s="12">
        <f t="shared" si="229"/>
        <v>0</v>
      </c>
      <c r="AK1017" s="24">
        <f>SUMIFS(инфо!$F$15:$F$28,инфо!$A$15:$A$28,F1017)</f>
        <v>0</v>
      </c>
      <c r="AL1017" s="32">
        <f t="shared" si="234"/>
        <v>0</v>
      </c>
      <c r="AM1017" s="12">
        <f t="shared" si="237"/>
        <v>0</v>
      </c>
      <c r="AN1017" s="24">
        <f>SUMIFS(инфо!$G$15:$G$28,инфо!$A$15:$A$28,F1017)</f>
        <v>0</v>
      </c>
      <c r="AO1017" s="32">
        <f t="shared" si="235"/>
        <v>0</v>
      </c>
      <c r="AP1017" s="12">
        <f t="shared" si="238"/>
        <v>0</v>
      </c>
      <c r="AQ1017" s="24">
        <f>SUMIFS(инфо!$H$15:$H$28,инфо!$A$15:$A$28,F1017)</f>
        <v>0</v>
      </c>
      <c r="AR1017" s="35">
        <f t="shared" si="236"/>
        <v>0</v>
      </c>
      <c r="AS1017" s="12">
        <f t="shared" si="239"/>
        <v>0</v>
      </c>
      <c r="AT1017" s="24">
        <f>SUMIFS(инфо!$I$15:$I$28,инфо!$A$15:$A$28,F1017)</f>
        <v>0</v>
      </c>
      <c r="AU1017" s="35">
        <f t="shared" si="230"/>
        <v>0</v>
      </c>
      <c r="AV1017" s="12">
        <f t="shared" si="240"/>
        <v>0</v>
      </c>
      <c r="AX1017" s="68">
        <f>SUMIFS(инфо!$C$15:$C$28,инфо!$A$15:$A$28,F1017)*H1016</f>
        <v>0</v>
      </c>
    </row>
    <row r="1018" spans="1:50" x14ac:dyDescent="0.25">
      <c r="A1018" s="70">
        <f t="shared" si="231"/>
        <v>46573</v>
      </c>
      <c r="B1018" s="77"/>
      <c r="C1018" s="17"/>
      <c r="D1018" s="18"/>
      <c r="E1018" s="11"/>
      <c r="F1018" s="28"/>
      <c r="G1018" s="19"/>
      <c r="H1018" s="28"/>
      <c r="I1018" s="20"/>
      <c r="J1018" s="20"/>
      <c r="K1018" s="20"/>
      <c r="L1018" s="20"/>
      <c r="M1018" s="20"/>
      <c r="N1018" s="23"/>
      <c r="O1018" s="19"/>
      <c r="P1018" s="19"/>
      <c r="Q1018" s="19"/>
      <c r="R1018" s="19"/>
      <c r="S1018" s="69">
        <f t="shared" si="241"/>
        <v>0</v>
      </c>
      <c r="T1018" s="17"/>
      <c r="U1018" s="18"/>
      <c r="V1018" s="19"/>
      <c r="W1018" s="19"/>
      <c r="X1018" s="19"/>
      <c r="Y1018" s="17"/>
      <c r="Z1018" s="19"/>
      <c r="AA1018" s="19"/>
      <c r="AB1018" s="19"/>
      <c r="AC1018" s="19"/>
      <c r="AD1018" s="18"/>
      <c r="AE1018" s="25">
        <f>SUMIFS(инфо!$D$15:$D$28,инфо!$A$15:$A$28,F1018)</f>
        <v>0</v>
      </c>
      <c r="AF1018" s="35">
        <f t="shared" si="232"/>
        <v>0</v>
      </c>
      <c r="AG1018" s="14">
        <f t="shared" si="228"/>
        <v>0</v>
      </c>
      <c r="AH1018" s="25">
        <f>SUMIFS(инфо!$E$15:$E$28,инфо!$A$15:$A$28,F1018)</f>
        <v>0</v>
      </c>
      <c r="AI1018" s="32">
        <f t="shared" si="233"/>
        <v>0</v>
      </c>
      <c r="AJ1018" s="14">
        <f t="shared" si="229"/>
        <v>0</v>
      </c>
      <c r="AK1018" s="25">
        <f>SUMIFS(инфо!$F$15:$F$28,инфо!$A$15:$A$28,F1018)</f>
        <v>0</v>
      </c>
      <c r="AL1018" s="32">
        <f t="shared" si="234"/>
        <v>0</v>
      </c>
      <c r="AM1018" s="14">
        <f t="shared" si="237"/>
        <v>0</v>
      </c>
      <c r="AN1018" s="25">
        <f>SUMIFS(инфо!$G$15:$G$28,инфо!$A$15:$A$28,F1018)</f>
        <v>0</v>
      </c>
      <c r="AO1018" s="32">
        <f t="shared" si="235"/>
        <v>0</v>
      </c>
      <c r="AP1018" s="14">
        <f t="shared" si="238"/>
        <v>0</v>
      </c>
      <c r="AQ1018" s="25">
        <f>SUMIFS(инфо!$H$15:$H$28,инфо!$A$15:$A$28,F1018)</f>
        <v>0</v>
      </c>
      <c r="AR1018" s="26">
        <f t="shared" si="236"/>
        <v>0</v>
      </c>
      <c r="AS1018" s="14">
        <f t="shared" si="239"/>
        <v>0</v>
      </c>
      <c r="AT1018" s="25">
        <f>SUMIFS(инфо!$I$15:$I$28,инфо!$A$15:$A$28,F1018)</f>
        <v>0</v>
      </c>
      <c r="AU1018" s="35">
        <f t="shared" si="230"/>
        <v>0</v>
      </c>
      <c r="AV1018" s="14">
        <f t="shared" si="240"/>
        <v>0</v>
      </c>
      <c r="AX1018" s="69">
        <f>SUMIFS(инфо!$C$15:$C$28,инфо!$A$15:$A$28,F1018)*H1017</f>
        <v>0</v>
      </c>
    </row>
    <row r="1019" spans="1:50" x14ac:dyDescent="0.25">
      <c r="A1019" s="70">
        <f t="shared" si="231"/>
        <v>46573</v>
      </c>
      <c r="B1019" s="75"/>
      <c r="C1019" s="29"/>
      <c r="D1019" s="30"/>
      <c r="E1019" s="11"/>
      <c r="F1019" s="28"/>
      <c r="G1019" s="27"/>
      <c r="H1019" s="20"/>
      <c r="I1019" s="20"/>
      <c r="J1019" s="20"/>
      <c r="K1019" s="20"/>
      <c r="L1019" s="20"/>
      <c r="M1019" s="20"/>
      <c r="N1019" s="28"/>
      <c r="O1019" s="27"/>
      <c r="P1019" s="27"/>
      <c r="Q1019" s="27"/>
      <c r="R1019" s="27"/>
      <c r="S1019" s="67">
        <f t="shared" si="241"/>
        <v>0</v>
      </c>
      <c r="T1019" s="29"/>
      <c r="U1019" s="30"/>
      <c r="V1019" s="27"/>
      <c r="W1019" s="27"/>
      <c r="X1019" s="27"/>
      <c r="Y1019" s="29"/>
      <c r="Z1019" s="27"/>
      <c r="AA1019" s="27"/>
      <c r="AB1019" s="27"/>
      <c r="AC1019" s="27"/>
      <c r="AD1019" s="30"/>
      <c r="AE1019" s="31">
        <f>SUMIFS(инфо!$D$15:$D$28,инфо!$A$15:$A$28,F1019)</f>
        <v>0</v>
      </c>
      <c r="AF1019" s="35">
        <f t="shared" si="232"/>
        <v>0</v>
      </c>
      <c r="AG1019" s="33">
        <f t="shared" si="228"/>
        <v>0</v>
      </c>
      <c r="AH1019" s="31">
        <f>SUMIFS(инфо!$E$15:$E$28,инфо!$A$15:$A$28,F1019)</f>
        <v>0</v>
      </c>
      <c r="AI1019" s="32">
        <f t="shared" si="233"/>
        <v>0</v>
      </c>
      <c r="AJ1019" s="33">
        <f t="shared" si="229"/>
        <v>0</v>
      </c>
      <c r="AK1019" s="31">
        <f>SUMIFS(инфо!$F$15:$F$28,инфо!$A$15:$A$28,F1019)</f>
        <v>0</v>
      </c>
      <c r="AL1019" s="32">
        <f t="shared" si="234"/>
        <v>0</v>
      </c>
      <c r="AM1019" s="33">
        <f t="shared" si="237"/>
        <v>0</v>
      </c>
      <c r="AN1019" s="31">
        <f>SUMIFS(инфо!$G$15:$G$28,инфо!$A$15:$A$28,F1019)</f>
        <v>0</v>
      </c>
      <c r="AO1019" s="32">
        <f t="shared" si="235"/>
        <v>0</v>
      </c>
      <c r="AP1019" s="33">
        <f t="shared" si="238"/>
        <v>0</v>
      </c>
      <c r="AQ1019" s="31">
        <f>SUMIFS(инфо!$H$15:$H$28,инфо!$A$15:$A$28,F1019)</f>
        <v>0</v>
      </c>
      <c r="AR1019" s="32">
        <f t="shared" si="236"/>
        <v>0</v>
      </c>
      <c r="AS1019" s="33">
        <f t="shared" si="239"/>
        <v>0</v>
      </c>
      <c r="AT1019" s="31">
        <f>SUMIFS(инфо!$I$15:$I$28,инфо!$A$15:$A$28,F1019)</f>
        <v>0</v>
      </c>
      <c r="AU1019" s="35">
        <f t="shared" si="230"/>
        <v>0</v>
      </c>
      <c r="AV1019" s="33">
        <f t="shared" si="240"/>
        <v>0</v>
      </c>
      <c r="AX1019" s="67">
        <f>SUMIFS(инфо!$C$15:$C$28,инфо!$A$15:$A$28,F1019)*H1018</f>
        <v>0</v>
      </c>
    </row>
    <row r="1020" spans="1:50" x14ac:dyDescent="0.25">
      <c r="A1020" s="70">
        <f t="shared" si="231"/>
        <v>46574</v>
      </c>
      <c r="B1020" s="76"/>
      <c r="C1020" s="15"/>
      <c r="D1020" s="16"/>
      <c r="E1020" s="11"/>
      <c r="F1020" s="28"/>
      <c r="G1020" s="34"/>
      <c r="H1020" s="20"/>
      <c r="I1020" s="20"/>
      <c r="J1020" s="20"/>
      <c r="K1020" s="20"/>
      <c r="L1020" s="20"/>
      <c r="M1020" s="20"/>
      <c r="N1020" s="20"/>
      <c r="O1020" s="34"/>
      <c r="P1020" s="34"/>
      <c r="Q1020" s="34"/>
      <c r="R1020" s="34"/>
      <c r="S1020" s="68">
        <f t="shared" si="241"/>
        <v>0</v>
      </c>
      <c r="T1020" s="15"/>
      <c r="U1020" s="16"/>
      <c r="V1020" s="34"/>
      <c r="W1020" s="34"/>
      <c r="X1020" s="34"/>
      <c r="Y1020" s="15"/>
      <c r="Z1020" s="34"/>
      <c r="AA1020" s="34"/>
      <c r="AB1020" s="34"/>
      <c r="AC1020" s="34"/>
      <c r="AD1020" s="16"/>
      <c r="AE1020" s="24">
        <f>SUMIFS(инфо!$D$15:$D$28,инфо!$A$15:$A$28,F1020)</f>
        <v>0</v>
      </c>
      <c r="AF1020" s="35">
        <f t="shared" si="232"/>
        <v>0</v>
      </c>
      <c r="AG1020" s="12">
        <f t="shared" si="228"/>
        <v>0</v>
      </c>
      <c r="AH1020" s="24">
        <f>SUMIFS(инфо!$E$15:$E$28,инфо!$A$15:$A$28,F1020)</f>
        <v>0</v>
      </c>
      <c r="AI1020" s="32">
        <f t="shared" si="233"/>
        <v>0</v>
      </c>
      <c r="AJ1020" s="12">
        <f t="shared" si="229"/>
        <v>0</v>
      </c>
      <c r="AK1020" s="24">
        <f>SUMIFS(инфо!$F$15:$F$28,инфо!$A$15:$A$28,F1020)</f>
        <v>0</v>
      </c>
      <c r="AL1020" s="32">
        <f t="shared" si="234"/>
        <v>0</v>
      </c>
      <c r="AM1020" s="12">
        <f t="shared" si="237"/>
        <v>0</v>
      </c>
      <c r="AN1020" s="24">
        <f>SUMIFS(инфо!$G$15:$G$28,инфо!$A$15:$A$28,F1020)</f>
        <v>0</v>
      </c>
      <c r="AO1020" s="32">
        <f t="shared" si="235"/>
        <v>0</v>
      </c>
      <c r="AP1020" s="12">
        <f t="shared" si="238"/>
        <v>0</v>
      </c>
      <c r="AQ1020" s="24">
        <f>SUMIFS(инфо!$H$15:$H$28,инфо!$A$15:$A$28,F1020)</f>
        <v>0</v>
      </c>
      <c r="AR1020" s="35">
        <f t="shared" si="236"/>
        <v>0</v>
      </c>
      <c r="AS1020" s="12">
        <f t="shared" si="239"/>
        <v>0</v>
      </c>
      <c r="AT1020" s="24">
        <f>SUMIFS(инфо!$I$15:$I$28,инфо!$A$15:$A$28,F1020)</f>
        <v>0</v>
      </c>
      <c r="AU1020" s="35">
        <f t="shared" si="230"/>
        <v>0</v>
      </c>
      <c r="AV1020" s="12">
        <f t="shared" si="240"/>
        <v>0</v>
      </c>
      <c r="AX1020" s="68">
        <f>SUMIFS(инфо!$C$15:$C$28,инфо!$A$15:$A$28,F1020)*H1019</f>
        <v>0</v>
      </c>
    </row>
    <row r="1021" spans="1:50" x14ac:dyDescent="0.25">
      <c r="A1021" s="70">
        <f t="shared" si="231"/>
        <v>46574</v>
      </c>
      <c r="B1021" s="76"/>
      <c r="C1021" s="15"/>
      <c r="D1021" s="16"/>
      <c r="E1021" s="11"/>
      <c r="F1021" s="28"/>
      <c r="G1021" s="34"/>
      <c r="H1021" s="23"/>
      <c r="I1021" s="20"/>
      <c r="J1021" s="20"/>
      <c r="K1021" s="20"/>
      <c r="L1021" s="20"/>
      <c r="M1021" s="20"/>
      <c r="N1021" s="20"/>
      <c r="O1021" s="34"/>
      <c r="P1021" s="34"/>
      <c r="Q1021" s="34"/>
      <c r="R1021" s="34"/>
      <c r="S1021" s="68">
        <f t="shared" si="241"/>
        <v>0</v>
      </c>
      <c r="T1021" s="15"/>
      <c r="U1021" s="16"/>
      <c r="V1021" s="34"/>
      <c r="W1021" s="34"/>
      <c r="X1021" s="34"/>
      <c r="Y1021" s="15"/>
      <c r="Z1021" s="34"/>
      <c r="AA1021" s="34"/>
      <c r="AB1021" s="34"/>
      <c r="AC1021" s="34"/>
      <c r="AD1021" s="16"/>
      <c r="AE1021" s="24">
        <f>SUMIFS(инфо!$D$15:$D$28,инфо!$A$15:$A$28,F1021)</f>
        <v>0</v>
      </c>
      <c r="AF1021" s="35">
        <f t="shared" si="232"/>
        <v>0</v>
      </c>
      <c r="AG1021" s="12">
        <f t="shared" ref="AG1021:AG1084" si="242">AF1021-AE1021</f>
        <v>0</v>
      </c>
      <c r="AH1021" s="24">
        <f>SUMIFS(инфо!$E$15:$E$28,инфо!$A$15:$A$28,F1021)</f>
        <v>0</v>
      </c>
      <c r="AI1021" s="32">
        <f t="shared" si="233"/>
        <v>0</v>
      </c>
      <c r="AJ1021" s="12">
        <f t="shared" ref="AJ1021:AJ1084" si="243">AI1021-AH1021</f>
        <v>0</v>
      </c>
      <c r="AK1021" s="24">
        <f>SUMIFS(инфо!$F$15:$F$28,инфо!$A$15:$A$28,F1021)</f>
        <v>0</v>
      </c>
      <c r="AL1021" s="32">
        <f t="shared" si="234"/>
        <v>0</v>
      </c>
      <c r="AM1021" s="12">
        <f t="shared" si="237"/>
        <v>0</v>
      </c>
      <c r="AN1021" s="24">
        <f>SUMIFS(инфо!$G$15:$G$28,инфо!$A$15:$A$28,F1021)</f>
        <v>0</v>
      </c>
      <c r="AO1021" s="32">
        <f t="shared" si="235"/>
        <v>0</v>
      </c>
      <c r="AP1021" s="12">
        <f t="shared" si="238"/>
        <v>0</v>
      </c>
      <c r="AQ1021" s="24">
        <f>SUMIFS(инфо!$H$15:$H$28,инфо!$A$15:$A$28,F1021)</f>
        <v>0</v>
      </c>
      <c r="AR1021" s="35">
        <f t="shared" si="236"/>
        <v>0</v>
      </c>
      <c r="AS1021" s="12">
        <f t="shared" si="239"/>
        <v>0</v>
      </c>
      <c r="AT1021" s="24">
        <f>SUMIFS(инфо!$I$15:$I$28,инфо!$A$15:$A$28,F1021)</f>
        <v>0</v>
      </c>
      <c r="AU1021" s="35">
        <f t="shared" si="230"/>
        <v>0</v>
      </c>
      <c r="AV1021" s="12">
        <f t="shared" si="240"/>
        <v>0</v>
      </c>
      <c r="AX1021" s="68">
        <f>SUMIFS(инфо!$C$15:$C$28,инфо!$A$15:$A$28,F1021)*H1020</f>
        <v>0</v>
      </c>
    </row>
    <row r="1022" spans="1:50" x14ac:dyDescent="0.25">
      <c r="A1022" s="70">
        <f t="shared" si="231"/>
        <v>46575</v>
      </c>
      <c r="B1022" s="77"/>
      <c r="C1022" s="17"/>
      <c r="D1022" s="18"/>
      <c r="E1022" s="11"/>
      <c r="F1022" s="28"/>
      <c r="G1022" s="19"/>
      <c r="H1022" s="28"/>
      <c r="I1022" s="20"/>
      <c r="J1022" s="20"/>
      <c r="K1022" s="20"/>
      <c r="L1022" s="20"/>
      <c r="M1022" s="20"/>
      <c r="N1022" s="23"/>
      <c r="O1022" s="19"/>
      <c r="P1022" s="19"/>
      <c r="Q1022" s="19"/>
      <c r="R1022" s="19"/>
      <c r="S1022" s="69">
        <f t="shared" si="241"/>
        <v>0</v>
      </c>
      <c r="T1022" s="17"/>
      <c r="U1022" s="18"/>
      <c r="V1022" s="19"/>
      <c r="W1022" s="19"/>
      <c r="X1022" s="19"/>
      <c r="Y1022" s="17"/>
      <c r="Z1022" s="19"/>
      <c r="AA1022" s="19"/>
      <c r="AB1022" s="19"/>
      <c r="AC1022" s="19"/>
      <c r="AD1022" s="18"/>
      <c r="AE1022" s="25">
        <f>SUMIFS(инфо!$D$15:$D$28,инфо!$A$15:$A$28,F1022)</f>
        <v>0</v>
      </c>
      <c r="AF1022" s="35">
        <f t="shared" si="232"/>
        <v>0</v>
      </c>
      <c r="AG1022" s="14">
        <f t="shared" si="242"/>
        <v>0</v>
      </c>
      <c r="AH1022" s="25">
        <f>SUMIFS(инфо!$E$15:$E$28,инфо!$A$15:$A$28,F1022)</f>
        <v>0</v>
      </c>
      <c r="AI1022" s="32">
        <f t="shared" si="233"/>
        <v>0</v>
      </c>
      <c r="AJ1022" s="14">
        <f t="shared" si="243"/>
        <v>0</v>
      </c>
      <c r="AK1022" s="25">
        <f>SUMIFS(инфо!$F$15:$F$28,инфо!$A$15:$A$28,F1022)</f>
        <v>0</v>
      </c>
      <c r="AL1022" s="32">
        <f t="shared" si="234"/>
        <v>0</v>
      </c>
      <c r="AM1022" s="14">
        <f t="shared" si="237"/>
        <v>0</v>
      </c>
      <c r="AN1022" s="25">
        <f>SUMIFS(инфо!$G$15:$G$28,инфо!$A$15:$A$28,F1022)</f>
        <v>0</v>
      </c>
      <c r="AO1022" s="32">
        <f t="shared" si="235"/>
        <v>0</v>
      </c>
      <c r="AP1022" s="14">
        <f t="shared" si="238"/>
        <v>0</v>
      </c>
      <c r="AQ1022" s="25">
        <f>SUMIFS(инфо!$H$15:$H$28,инфо!$A$15:$A$28,F1022)</f>
        <v>0</v>
      </c>
      <c r="AR1022" s="26">
        <f t="shared" si="236"/>
        <v>0</v>
      </c>
      <c r="AS1022" s="14">
        <f t="shared" si="239"/>
        <v>0</v>
      </c>
      <c r="AT1022" s="25">
        <f>SUMIFS(инфо!$I$15:$I$28,инфо!$A$15:$A$28,F1022)</f>
        <v>0</v>
      </c>
      <c r="AU1022" s="35">
        <f t="shared" si="230"/>
        <v>0</v>
      </c>
      <c r="AV1022" s="14">
        <f t="shared" si="240"/>
        <v>0</v>
      </c>
      <c r="AX1022" s="69">
        <f>SUMIFS(инфо!$C$15:$C$28,инфо!$A$15:$A$28,F1022)*H1021</f>
        <v>0</v>
      </c>
    </row>
    <row r="1023" spans="1:50" x14ac:dyDescent="0.25">
      <c r="A1023" s="70">
        <f t="shared" si="231"/>
        <v>46575</v>
      </c>
      <c r="B1023" s="75"/>
      <c r="C1023" s="29"/>
      <c r="D1023" s="30"/>
      <c r="E1023" s="11"/>
      <c r="F1023" s="28"/>
      <c r="G1023" s="27"/>
      <c r="H1023" s="20"/>
      <c r="I1023" s="20"/>
      <c r="J1023" s="20"/>
      <c r="K1023" s="20"/>
      <c r="L1023" s="20"/>
      <c r="M1023" s="20"/>
      <c r="N1023" s="28"/>
      <c r="O1023" s="27"/>
      <c r="P1023" s="27"/>
      <c r="Q1023" s="27"/>
      <c r="R1023" s="27"/>
      <c r="S1023" s="67">
        <f t="shared" si="241"/>
        <v>0</v>
      </c>
      <c r="T1023" s="29"/>
      <c r="U1023" s="30"/>
      <c r="V1023" s="27"/>
      <c r="W1023" s="27"/>
      <c r="X1023" s="27"/>
      <c r="Y1023" s="29"/>
      <c r="Z1023" s="27"/>
      <c r="AA1023" s="27"/>
      <c r="AB1023" s="27"/>
      <c r="AC1023" s="27"/>
      <c r="AD1023" s="30"/>
      <c r="AE1023" s="31">
        <f>SUMIFS(инфо!$D$15:$D$28,инфо!$A$15:$A$28,F1023)</f>
        <v>0</v>
      </c>
      <c r="AF1023" s="35">
        <f t="shared" si="232"/>
        <v>0</v>
      </c>
      <c r="AG1023" s="33">
        <f t="shared" si="242"/>
        <v>0</v>
      </c>
      <c r="AH1023" s="31">
        <f>SUMIFS(инфо!$E$15:$E$28,инфо!$A$15:$A$28,F1023)</f>
        <v>0</v>
      </c>
      <c r="AI1023" s="32">
        <f t="shared" si="233"/>
        <v>0</v>
      </c>
      <c r="AJ1023" s="33">
        <f t="shared" si="243"/>
        <v>0</v>
      </c>
      <c r="AK1023" s="31">
        <f>SUMIFS(инфо!$F$15:$F$28,инфо!$A$15:$A$28,F1023)</f>
        <v>0</v>
      </c>
      <c r="AL1023" s="32">
        <f t="shared" si="234"/>
        <v>0</v>
      </c>
      <c r="AM1023" s="33">
        <f t="shared" si="237"/>
        <v>0</v>
      </c>
      <c r="AN1023" s="31">
        <f>SUMIFS(инфо!$G$15:$G$28,инфо!$A$15:$A$28,F1023)</f>
        <v>0</v>
      </c>
      <c r="AO1023" s="32">
        <f t="shared" si="235"/>
        <v>0</v>
      </c>
      <c r="AP1023" s="33">
        <f t="shared" si="238"/>
        <v>0</v>
      </c>
      <c r="AQ1023" s="31">
        <f>SUMIFS(инфо!$H$15:$H$28,инфо!$A$15:$A$28,F1023)</f>
        <v>0</v>
      </c>
      <c r="AR1023" s="32">
        <f t="shared" si="236"/>
        <v>0</v>
      </c>
      <c r="AS1023" s="33">
        <f t="shared" si="239"/>
        <v>0</v>
      </c>
      <c r="AT1023" s="31">
        <f>SUMIFS(инфо!$I$15:$I$28,инфо!$A$15:$A$28,F1023)</f>
        <v>0</v>
      </c>
      <c r="AU1023" s="35">
        <f t="shared" si="230"/>
        <v>0</v>
      </c>
      <c r="AV1023" s="33">
        <f t="shared" si="240"/>
        <v>0</v>
      </c>
      <c r="AX1023" s="67">
        <f>SUMIFS(инфо!$C$15:$C$28,инфо!$A$15:$A$28,F1023)*H1022</f>
        <v>0</v>
      </c>
    </row>
    <row r="1024" spans="1:50" x14ac:dyDescent="0.25">
      <c r="A1024" s="70">
        <f t="shared" si="231"/>
        <v>46576</v>
      </c>
      <c r="B1024" s="76"/>
      <c r="C1024" s="15"/>
      <c r="D1024" s="16"/>
      <c r="E1024" s="11"/>
      <c r="F1024" s="28"/>
      <c r="G1024" s="34"/>
      <c r="H1024" s="20"/>
      <c r="I1024" s="20"/>
      <c r="J1024" s="20"/>
      <c r="K1024" s="20"/>
      <c r="L1024" s="20"/>
      <c r="M1024" s="20"/>
      <c r="N1024" s="20"/>
      <c r="O1024" s="34"/>
      <c r="P1024" s="34"/>
      <c r="Q1024" s="34"/>
      <c r="R1024" s="34"/>
      <c r="S1024" s="68">
        <f t="shared" si="241"/>
        <v>0</v>
      </c>
      <c r="T1024" s="15"/>
      <c r="U1024" s="16"/>
      <c r="V1024" s="34"/>
      <c r="W1024" s="34"/>
      <c r="X1024" s="34"/>
      <c r="Y1024" s="15"/>
      <c r="Z1024" s="34"/>
      <c r="AA1024" s="34"/>
      <c r="AB1024" s="34"/>
      <c r="AC1024" s="34"/>
      <c r="AD1024" s="16"/>
      <c r="AE1024" s="24">
        <f>SUMIFS(инфо!$D$15:$D$28,инфо!$A$15:$A$28,F1024)</f>
        <v>0</v>
      </c>
      <c r="AF1024" s="35">
        <f t="shared" si="232"/>
        <v>0</v>
      </c>
      <c r="AG1024" s="12">
        <f t="shared" si="242"/>
        <v>0</v>
      </c>
      <c r="AH1024" s="24">
        <f>SUMIFS(инфо!$E$15:$E$28,инфо!$A$15:$A$28,F1024)</f>
        <v>0</v>
      </c>
      <c r="AI1024" s="32">
        <f t="shared" si="233"/>
        <v>0</v>
      </c>
      <c r="AJ1024" s="12">
        <f t="shared" si="243"/>
        <v>0</v>
      </c>
      <c r="AK1024" s="24">
        <f>SUMIFS(инфо!$F$15:$F$28,инфо!$A$15:$A$28,F1024)</f>
        <v>0</v>
      </c>
      <c r="AL1024" s="32">
        <f t="shared" si="234"/>
        <v>0</v>
      </c>
      <c r="AM1024" s="12">
        <f t="shared" si="237"/>
        <v>0</v>
      </c>
      <c r="AN1024" s="24">
        <f>SUMIFS(инфо!$G$15:$G$28,инфо!$A$15:$A$28,F1024)</f>
        <v>0</v>
      </c>
      <c r="AO1024" s="32">
        <f t="shared" si="235"/>
        <v>0</v>
      </c>
      <c r="AP1024" s="12">
        <f t="shared" si="238"/>
        <v>0</v>
      </c>
      <c r="AQ1024" s="24">
        <f>SUMIFS(инфо!$H$15:$H$28,инфо!$A$15:$A$28,F1024)</f>
        <v>0</v>
      </c>
      <c r="AR1024" s="35">
        <f t="shared" si="236"/>
        <v>0</v>
      </c>
      <c r="AS1024" s="12">
        <f t="shared" si="239"/>
        <v>0</v>
      </c>
      <c r="AT1024" s="24">
        <f>SUMIFS(инфо!$I$15:$I$28,инфо!$A$15:$A$28,F1024)</f>
        <v>0</v>
      </c>
      <c r="AU1024" s="35">
        <f t="shared" si="230"/>
        <v>0</v>
      </c>
      <c r="AV1024" s="12">
        <f t="shared" si="240"/>
        <v>0</v>
      </c>
      <c r="AX1024" s="68">
        <f>SUMIFS(инфо!$C$15:$C$28,инфо!$A$15:$A$28,F1024)*H1023</f>
        <v>0</v>
      </c>
    </row>
    <row r="1025" spans="1:50" x14ac:dyDescent="0.25">
      <c r="A1025" s="70">
        <f t="shared" si="231"/>
        <v>46576</v>
      </c>
      <c r="B1025" s="76"/>
      <c r="C1025" s="15"/>
      <c r="D1025" s="16"/>
      <c r="E1025" s="11"/>
      <c r="F1025" s="28"/>
      <c r="G1025" s="34"/>
      <c r="H1025" s="23"/>
      <c r="I1025" s="20"/>
      <c r="J1025" s="20"/>
      <c r="K1025" s="20"/>
      <c r="L1025" s="20"/>
      <c r="M1025" s="20"/>
      <c r="N1025" s="20"/>
      <c r="O1025" s="34"/>
      <c r="P1025" s="34"/>
      <c r="Q1025" s="34"/>
      <c r="R1025" s="34"/>
      <c r="S1025" s="68">
        <f t="shared" si="241"/>
        <v>0</v>
      </c>
      <c r="T1025" s="15"/>
      <c r="U1025" s="16"/>
      <c r="V1025" s="34"/>
      <c r="W1025" s="34"/>
      <c r="X1025" s="34"/>
      <c r="Y1025" s="15"/>
      <c r="Z1025" s="34"/>
      <c r="AA1025" s="34"/>
      <c r="AB1025" s="34"/>
      <c r="AC1025" s="34"/>
      <c r="AD1025" s="16"/>
      <c r="AE1025" s="24">
        <f>SUMIFS(инфо!$D$15:$D$28,инфо!$A$15:$A$28,F1025)</f>
        <v>0</v>
      </c>
      <c r="AF1025" s="35">
        <f t="shared" si="232"/>
        <v>0</v>
      </c>
      <c r="AG1025" s="12">
        <f t="shared" si="242"/>
        <v>0</v>
      </c>
      <c r="AH1025" s="24">
        <f>SUMIFS(инфо!$E$15:$E$28,инфо!$A$15:$A$28,F1025)</f>
        <v>0</v>
      </c>
      <c r="AI1025" s="32">
        <f t="shared" si="233"/>
        <v>0</v>
      </c>
      <c r="AJ1025" s="12">
        <f t="shared" si="243"/>
        <v>0</v>
      </c>
      <c r="AK1025" s="24">
        <f>SUMIFS(инфо!$F$15:$F$28,инфо!$A$15:$A$28,F1025)</f>
        <v>0</v>
      </c>
      <c r="AL1025" s="32">
        <f t="shared" si="234"/>
        <v>0</v>
      </c>
      <c r="AM1025" s="12">
        <f t="shared" si="237"/>
        <v>0</v>
      </c>
      <c r="AN1025" s="24">
        <f>SUMIFS(инфо!$G$15:$G$28,инфо!$A$15:$A$28,F1025)</f>
        <v>0</v>
      </c>
      <c r="AO1025" s="32">
        <f t="shared" si="235"/>
        <v>0</v>
      </c>
      <c r="AP1025" s="12">
        <f t="shared" si="238"/>
        <v>0</v>
      </c>
      <c r="AQ1025" s="24">
        <f>SUMIFS(инфо!$H$15:$H$28,инфо!$A$15:$A$28,F1025)</f>
        <v>0</v>
      </c>
      <c r="AR1025" s="35">
        <f t="shared" si="236"/>
        <v>0</v>
      </c>
      <c r="AS1025" s="12">
        <f t="shared" si="239"/>
        <v>0</v>
      </c>
      <c r="AT1025" s="24">
        <f>SUMIFS(инфо!$I$15:$I$28,инфо!$A$15:$A$28,F1025)</f>
        <v>0</v>
      </c>
      <c r="AU1025" s="35">
        <f t="shared" si="230"/>
        <v>0</v>
      </c>
      <c r="AV1025" s="12">
        <f t="shared" si="240"/>
        <v>0</v>
      </c>
      <c r="AX1025" s="68">
        <f>SUMIFS(инфо!$C$15:$C$28,инфо!$A$15:$A$28,F1025)*H1024</f>
        <v>0</v>
      </c>
    </row>
    <row r="1026" spans="1:50" x14ac:dyDescent="0.25">
      <c r="A1026" s="70">
        <f t="shared" si="231"/>
        <v>46577</v>
      </c>
      <c r="B1026" s="77"/>
      <c r="C1026" s="17"/>
      <c r="D1026" s="18"/>
      <c r="E1026" s="11"/>
      <c r="F1026" s="28"/>
      <c r="G1026" s="19"/>
      <c r="H1026" s="28"/>
      <c r="I1026" s="20"/>
      <c r="J1026" s="20"/>
      <c r="K1026" s="20"/>
      <c r="L1026" s="20"/>
      <c r="M1026" s="20"/>
      <c r="N1026" s="23"/>
      <c r="O1026" s="19"/>
      <c r="P1026" s="19"/>
      <c r="Q1026" s="19"/>
      <c r="R1026" s="19"/>
      <c r="S1026" s="69">
        <f t="shared" si="241"/>
        <v>0</v>
      </c>
      <c r="T1026" s="17"/>
      <c r="U1026" s="18"/>
      <c r="V1026" s="19"/>
      <c r="W1026" s="19"/>
      <c r="X1026" s="19"/>
      <c r="Y1026" s="17"/>
      <c r="Z1026" s="19"/>
      <c r="AA1026" s="19"/>
      <c r="AB1026" s="19"/>
      <c r="AC1026" s="19"/>
      <c r="AD1026" s="18"/>
      <c r="AE1026" s="25">
        <f>SUMIFS(инфо!$D$15:$D$28,инфо!$A$15:$A$28,F1026)</f>
        <v>0</v>
      </c>
      <c r="AF1026" s="35">
        <f t="shared" si="232"/>
        <v>0</v>
      </c>
      <c r="AG1026" s="14">
        <f t="shared" si="242"/>
        <v>0</v>
      </c>
      <c r="AH1026" s="25">
        <f>SUMIFS(инфо!$E$15:$E$28,инфо!$A$15:$A$28,F1026)</f>
        <v>0</v>
      </c>
      <c r="AI1026" s="32">
        <f t="shared" si="233"/>
        <v>0</v>
      </c>
      <c r="AJ1026" s="14">
        <f t="shared" si="243"/>
        <v>0</v>
      </c>
      <c r="AK1026" s="25">
        <f>SUMIFS(инфо!$F$15:$F$28,инфо!$A$15:$A$28,F1026)</f>
        <v>0</v>
      </c>
      <c r="AL1026" s="32">
        <f t="shared" si="234"/>
        <v>0</v>
      </c>
      <c r="AM1026" s="14">
        <f t="shared" si="237"/>
        <v>0</v>
      </c>
      <c r="AN1026" s="25">
        <f>SUMIFS(инфо!$G$15:$G$28,инфо!$A$15:$A$28,F1026)</f>
        <v>0</v>
      </c>
      <c r="AO1026" s="32">
        <f t="shared" si="235"/>
        <v>0</v>
      </c>
      <c r="AP1026" s="14">
        <f t="shared" si="238"/>
        <v>0</v>
      </c>
      <c r="AQ1026" s="25">
        <f>SUMIFS(инфо!$H$15:$H$28,инфо!$A$15:$A$28,F1026)</f>
        <v>0</v>
      </c>
      <c r="AR1026" s="26">
        <f t="shared" si="236"/>
        <v>0</v>
      </c>
      <c r="AS1026" s="14">
        <f t="shared" si="239"/>
        <v>0</v>
      </c>
      <c r="AT1026" s="25">
        <f>SUMIFS(инфо!$I$15:$I$28,инфо!$A$15:$A$28,F1026)</f>
        <v>0</v>
      </c>
      <c r="AU1026" s="35">
        <f t="shared" si="230"/>
        <v>0</v>
      </c>
      <c r="AV1026" s="14">
        <f t="shared" si="240"/>
        <v>0</v>
      </c>
      <c r="AX1026" s="69">
        <f>SUMIFS(инфо!$C$15:$C$28,инфо!$A$15:$A$28,F1026)*H1025</f>
        <v>0</v>
      </c>
    </row>
    <row r="1027" spans="1:50" x14ac:dyDescent="0.25">
      <c r="A1027" s="70">
        <f t="shared" si="231"/>
        <v>46577</v>
      </c>
      <c r="B1027" s="75"/>
      <c r="C1027" s="29"/>
      <c r="D1027" s="30"/>
      <c r="E1027" s="11"/>
      <c r="F1027" s="28"/>
      <c r="G1027" s="27"/>
      <c r="H1027" s="20"/>
      <c r="I1027" s="20"/>
      <c r="J1027" s="20"/>
      <c r="K1027" s="20"/>
      <c r="L1027" s="20"/>
      <c r="M1027" s="20"/>
      <c r="N1027" s="28"/>
      <c r="O1027" s="27"/>
      <c r="P1027" s="27"/>
      <c r="Q1027" s="27"/>
      <c r="R1027" s="27"/>
      <c r="S1027" s="67">
        <f t="shared" si="241"/>
        <v>0</v>
      </c>
      <c r="T1027" s="29"/>
      <c r="U1027" s="30"/>
      <c r="V1027" s="27"/>
      <c r="W1027" s="27"/>
      <c r="X1027" s="27"/>
      <c r="Y1027" s="29"/>
      <c r="Z1027" s="27"/>
      <c r="AA1027" s="27"/>
      <c r="AB1027" s="27"/>
      <c r="AC1027" s="27"/>
      <c r="AD1027" s="30"/>
      <c r="AE1027" s="31">
        <f>SUMIFS(инфо!$D$15:$D$28,инфо!$A$15:$A$28,F1027)</f>
        <v>0</v>
      </c>
      <c r="AF1027" s="35">
        <f t="shared" si="232"/>
        <v>0</v>
      </c>
      <c r="AG1027" s="33">
        <f t="shared" si="242"/>
        <v>0</v>
      </c>
      <c r="AH1027" s="31">
        <f>SUMIFS(инфо!$E$15:$E$28,инфо!$A$15:$A$28,F1027)</f>
        <v>0</v>
      </c>
      <c r="AI1027" s="32">
        <f t="shared" si="233"/>
        <v>0</v>
      </c>
      <c r="AJ1027" s="33">
        <f t="shared" si="243"/>
        <v>0</v>
      </c>
      <c r="AK1027" s="31">
        <f>SUMIFS(инфо!$F$15:$F$28,инфо!$A$15:$A$28,F1027)</f>
        <v>0</v>
      </c>
      <c r="AL1027" s="32">
        <f t="shared" si="234"/>
        <v>0</v>
      </c>
      <c r="AM1027" s="33">
        <f t="shared" si="237"/>
        <v>0</v>
      </c>
      <c r="AN1027" s="31">
        <f>SUMIFS(инфо!$G$15:$G$28,инфо!$A$15:$A$28,F1027)</f>
        <v>0</v>
      </c>
      <c r="AO1027" s="32">
        <f t="shared" si="235"/>
        <v>0</v>
      </c>
      <c r="AP1027" s="33">
        <f t="shared" si="238"/>
        <v>0</v>
      </c>
      <c r="AQ1027" s="31">
        <f>SUMIFS(инфо!$H$15:$H$28,инфо!$A$15:$A$28,F1027)</f>
        <v>0</v>
      </c>
      <c r="AR1027" s="32">
        <f t="shared" si="236"/>
        <v>0</v>
      </c>
      <c r="AS1027" s="33">
        <f t="shared" si="239"/>
        <v>0</v>
      </c>
      <c r="AT1027" s="31">
        <f>SUMIFS(инфо!$I$15:$I$28,инфо!$A$15:$A$28,F1027)</f>
        <v>0</v>
      </c>
      <c r="AU1027" s="35">
        <f t="shared" si="230"/>
        <v>0</v>
      </c>
      <c r="AV1027" s="33">
        <f t="shared" si="240"/>
        <v>0</v>
      </c>
      <c r="AX1027" s="67">
        <f>SUMIFS(инфо!$C$15:$C$28,инфо!$A$15:$A$28,F1027)*H1026</f>
        <v>0</v>
      </c>
    </row>
    <row r="1028" spans="1:50" x14ac:dyDescent="0.25">
      <c r="A1028" s="70">
        <f t="shared" si="231"/>
        <v>46578</v>
      </c>
      <c r="B1028" s="76"/>
      <c r="C1028" s="15"/>
      <c r="D1028" s="16"/>
      <c r="E1028" s="11"/>
      <c r="F1028" s="28"/>
      <c r="G1028" s="34"/>
      <c r="H1028" s="20"/>
      <c r="I1028" s="20"/>
      <c r="J1028" s="20"/>
      <c r="K1028" s="20"/>
      <c r="L1028" s="20"/>
      <c r="M1028" s="20"/>
      <c r="N1028" s="20"/>
      <c r="O1028" s="34"/>
      <c r="P1028" s="34"/>
      <c r="Q1028" s="34"/>
      <c r="R1028" s="34"/>
      <c r="S1028" s="68">
        <f t="shared" si="241"/>
        <v>0</v>
      </c>
      <c r="T1028" s="15"/>
      <c r="U1028" s="16"/>
      <c r="V1028" s="34"/>
      <c r="W1028" s="34"/>
      <c r="X1028" s="34"/>
      <c r="Y1028" s="15"/>
      <c r="Z1028" s="34"/>
      <c r="AA1028" s="34"/>
      <c r="AB1028" s="34"/>
      <c r="AC1028" s="34"/>
      <c r="AD1028" s="16"/>
      <c r="AE1028" s="24">
        <f>SUMIFS(инфо!$D$15:$D$28,инфо!$A$15:$A$28,F1028)</f>
        <v>0</v>
      </c>
      <c r="AF1028" s="35">
        <f t="shared" si="232"/>
        <v>0</v>
      </c>
      <c r="AG1028" s="12">
        <f t="shared" si="242"/>
        <v>0</v>
      </c>
      <c r="AH1028" s="24">
        <f>SUMIFS(инфо!$E$15:$E$28,инфо!$A$15:$A$28,F1028)</f>
        <v>0</v>
      </c>
      <c r="AI1028" s="32">
        <f t="shared" si="233"/>
        <v>0</v>
      </c>
      <c r="AJ1028" s="12">
        <f t="shared" si="243"/>
        <v>0</v>
      </c>
      <c r="AK1028" s="24">
        <f>SUMIFS(инфо!$F$15:$F$28,инфо!$A$15:$A$28,F1028)</f>
        <v>0</v>
      </c>
      <c r="AL1028" s="32">
        <f t="shared" si="234"/>
        <v>0</v>
      </c>
      <c r="AM1028" s="12">
        <f t="shared" si="237"/>
        <v>0</v>
      </c>
      <c r="AN1028" s="24">
        <f>SUMIFS(инфо!$G$15:$G$28,инфо!$A$15:$A$28,F1028)</f>
        <v>0</v>
      </c>
      <c r="AO1028" s="32">
        <f t="shared" si="235"/>
        <v>0</v>
      </c>
      <c r="AP1028" s="12">
        <f t="shared" si="238"/>
        <v>0</v>
      </c>
      <c r="AQ1028" s="24">
        <f>SUMIFS(инфо!$H$15:$H$28,инфо!$A$15:$A$28,F1028)</f>
        <v>0</v>
      </c>
      <c r="AR1028" s="35">
        <f t="shared" si="236"/>
        <v>0</v>
      </c>
      <c r="AS1028" s="12">
        <f t="shared" si="239"/>
        <v>0</v>
      </c>
      <c r="AT1028" s="24">
        <f>SUMIFS(инфо!$I$15:$I$28,инфо!$A$15:$A$28,F1028)</f>
        <v>0</v>
      </c>
      <c r="AU1028" s="35">
        <f t="shared" si="230"/>
        <v>0</v>
      </c>
      <c r="AV1028" s="12">
        <f t="shared" si="240"/>
        <v>0</v>
      </c>
      <c r="AX1028" s="68">
        <f>SUMIFS(инфо!$C$15:$C$28,инфо!$A$15:$A$28,F1028)*H1027</f>
        <v>0</v>
      </c>
    </row>
    <row r="1029" spans="1:50" x14ac:dyDescent="0.25">
      <c r="A1029" s="70">
        <f t="shared" si="231"/>
        <v>46578</v>
      </c>
      <c r="B1029" s="76"/>
      <c r="C1029" s="15"/>
      <c r="D1029" s="16"/>
      <c r="E1029" s="11"/>
      <c r="F1029" s="28"/>
      <c r="G1029" s="34"/>
      <c r="H1029" s="23"/>
      <c r="I1029" s="20"/>
      <c r="J1029" s="20"/>
      <c r="K1029" s="20"/>
      <c r="L1029" s="20"/>
      <c r="M1029" s="20"/>
      <c r="N1029" s="20"/>
      <c r="O1029" s="34"/>
      <c r="P1029" s="34"/>
      <c r="Q1029" s="34"/>
      <c r="R1029" s="34"/>
      <c r="S1029" s="68">
        <f t="shared" si="241"/>
        <v>0</v>
      </c>
      <c r="T1029" s="15"/>
      <c r="U1029" s="16"/>
      <c r="V1029" s="34"/>
      <c r="W1029" s="34"/>
      <c r="X1029" s="34"/>
      <c r="Y1029" s="15"/>
      <c r="Z1029" s="34"/>
      <c r="AA1029" s="34"/>
      <c r="AB1029" s="34"/>
      <c r="AC1029" s="34"/>
      <c r="AD1029" s="16"/>
      <c r="AE1029" s="24">
        <f>SUMIFS(инфо!$D$15:$D$28,инфо!$A$15:$A$28,F1029)</f>
        <v>0</v>
      </c>
      <c r="AF1029" s="35">
        <f t="shared" si="232"/>
        <v>0</v>
      </c>
      <c r="AG1029" s="12">
        <f t="shared" si="242"/>
        <v>0</v>
      </c>
      <c r="AH1029" s="24">
        <f>SUMIFS(инфо!$E$15:$E$28,инфо!$A$15:$A$28,F1029)</f>
        <v>0</v>
      </c>
      <c r="AI1029" s="32">
        <f t="shared" si="233"/>
        <v>0</v>
      </c>
      <c r="AJ1029" s="12">
        <f t="shared" si="243"/>
        <v>0</v>
      </c>
      <c r="AK1029" s="24">
        <f>SUMIFS(инфо!$F$15:$F$28,инфо!$A$15:$A$28,F1029)</f>
        <v>0</v>
      </c>
      <c r="AL1029" s="32">
        <f t="shared" si="234"/>
        <v>0</v>
      </c>
      <c r="AM1029" s="12">
        <f t="shared" si="237"/>
        <v>0</v>
      </c>
      <c r="AN1029" s="24">
        <f>SUMIFS(инфо!$G$15:$G$28,инфо!$A$15:$A$28,F1029)</f>
        <v>0</v>
      </c>
      <c r="AO1029" s="32">
        <f t="shared" si="235"/>
        <v>0</v>
      </c>
      <c r="AP1029" s="12">
        <f t="shared" si="238"/>
        <v>0</v>
      </c>
      <c r="AQ1029" s="24">
        <f>SUMIFS(инфо!$H$15:$H$28,инфо!$A$15:$A$28,F1029)</f>
        <v>0</v>
      </c>
      <c r="AR1029" s="35">
        <f t="shared" si="236"/>
        <v>0</v>
      </c>
      <c r="AS1029" s="12">
        <f t="shared" si="239"/>
        <v>0</v>
      </c>
      <c r="AT1029" s="24">
        <f>SUMIFS(инфо!$I$15:$I$28,инфо!$A$15:$A$28,F1029)</f>
        <v>0</v>
      </c>
      <c r="AU1029" s="35">
        <f t="shared" si="230"/>
        <v>0</v>
      </c>
      <c r="AV1029" s="12">
        <f t="shared" si="240"/>
        <v>0</v>
      </c>
      <c r="AX1029" s="68">
        <f>SUMIFS(инфо!$C$15:$C$28,инфо!$A$15:$A$28,F1029)*H1028</f>
        <v>0</v>
      </c>
    </row>
    <row r="1030" spans="1:50" x14ac:dyDescent="0.25">
      <c r="A1030" s="70">
        <f t="shared" si="231"/>
        <v>46579</v>
      </c>
      <c r="B1030" s="77"/>
      <c r="C1030" s="17"/>
      <c r="D1030" s="18"/>
      <c r="E1030" s="11"/>
      <c r="F1030" s="28"/>
      <c r="G1030" s="19"/>
      <c r="H1030" s="28"/>
      <c r="I1030" s="20"/>
      <c r="J1030" s="20"/>
      <c r="K1030" s="20"/>
      <c r="L1030" s="20"/>
      <c r="M1030" s="20"/>
      <c r="N1030" s="23"/>
      <c r="O1030" s="19"/>
      <c r="P1030" s="19"/>
      <c r="Q1030" s="19"/>
      <c r="R1030" s="19"/>
      <c r="S1030" s="69">
        <f t="shared" si="241"/>
        <v>0</v>
      </c>
      <c r="T1030" s="17"/>
      <c r="U1030" s="18"/>
      <c r="V1030" s="19"/>
      <c r="W1030" s="19"/>
      <c r="X1030" s="19"/>
      <c r="Y1030" s="17"/>
      <c r="Z1030" s="19"/>
      <c r="AA1030" s="19"/>
      <c r="AB1030" s="19"/>
      <c r="AC1030" s="19"/>
      <c r="AD1030" s="18"/>
      <c r="AE1030" s="25">
        <f>SUMIFS(инфо!$D$15:$D$28,инфо!$A$15:$A$28,F1030)</f>
        <v>0</v>
      </c>
      <c r="AF1030" s="35">
        <f t="shared" si="232"/>
        <v>0</v>
      </c>
      <c r="AG1030" s="14">
        <f t="shared" si="242"/>
        <v>0</v>
      </c>
      <c r="AH1030" s="25">
        <f>SUMIFS(инфо!$E$15:$E$28,инфо!$A$15:$A$28,F1030)</f>
        <v>0</v>
      </c>
      <c r="AI1030" s="32">
        <f t="shared" si="233"/>
        <v>0</v>
      </c>
      <c r="AJ1030" s="14">
        <f t="shared" si="243"/>
        <v>0</v>
      </c>
      <c r="AK1030" s="25">
        <f>SUMIFS(инфо!$F$15:$F$28,инфо!$A$15:$A$28,F1030)</f>
        <v>0</v>
      </c>
      <c r="AL1030" s="32">
        <f t="shared" si="234"/>
        <v>0</v>
      </c>
      <c r="AM1030" s="14">
        <f t="shared" si="237"/>
        <v>0</v>
      </c>
      <c r="AN1030" s="25">
        <f>SUMIFS(инфо!$G$15:$G$28,инфо!$A$15:$A$28,F1030)</f>
        <v>0</v>
      </c>
      <c r="AO1030" s="32">
        <f t="shared" si="235"/>
        <v>0</v>
      </c>
      <c r="AP1030" s="14">
        <f t="shared" si="238"/>
        <v>0</v>
      </c>
      <c r="AQ1030" s="25">
        <f>SUMIFS(инфо!$H$15:$H$28,инфо!$A$15:$A$28,F1030)</f>
        <v>0</v>
      </c>
      <c r="AR1030" s="26">
        <f t="shared" si="236"/>
        <v>0</v>
      </c>
      <c r="AS1030" s="14">
        <f t="shared" si="239"/>
        <v>0</v>
      </c>
      <c r="AT1030" s="25">
        <f>SUMIFS(инфо!$I$15:$I$28,инфо!$A$15:$A$28,F1030)</f>
        <v>0</v>
      </c>
      <c r="AU1030" s="35">
        <f t="shared" si="230"/>
        <v>0</v>
      </c>
      <c r="AV1030" s="14">
        <f t="shared" si="240"/>
        <v>0</v>
      </c>
      <c r="AX1030" s="69">
        <f>SUMIFS(инфо!$C$15:$C$28,инфо!$A$15:$A$28,F1030)*H1029</f>
        <v>0</v>
      </c>
    </row>
    <row r="1031" spans="1:50" x14ac:dyDescent="0.25">
      <c r="A1031" s="70">
        <f t="shared" si="231"/>
        <v>46579</v>
      </c>
      <c r="B1031" s="75"/>
      <c r="C1031" s="29"/>
      <c r="D1031" s="30"/>
      <c r="E1031" s="11"/>
      <c r="F1031" s="28"/>
      <c r="G1031" s="27"/>
      <c r="H1031" s="20"/>
      <c r="I1031" s="20"/>
      <c r="J1031" s="20"/>
      <c r="K1031" s="20"/>
      <c r="L1031" s="20"/>
      <c r="M1031" s="20"/>
      <c r="N1031" s="28"/>
      <c r="O1031" s="27"/>
      <c r="P1031" s="27"/>
      <c r="Q1031" s="27"/>
      <c r="R1031" s="27"/>
      <c r="S1031" s="67">
        <f t="shared" si="241"/>
        <v>0</v>
      </c>
      <c r="T1031" s="29"/>
      <c r="U1031" s="30"/>
      <c r="V1031" s="27"/>
      <c r="W1031" s="27"/>
      <c r="X1031" s="27"/>
      <c r="Y1031" s="29"/>
      <c r="Z1031" s="27"/>
      <c r="AA1031" s="27"/>
      <c r="AB1031" s="27"/>
      <c r="AC1031" s="27"/>
      <c r="AD1031" s="30"/>
      <c r="AE1031" s="31">
        <f>SUMIFS(инфо!$D$15:$D$28,инфо!$A$15:$A$28,F1031)</f>
        <v>0</v>
      </c>
      <c r="AF1031" s="35">
        <f t="shared" si="232"/>
        <v>0</v>
      </c>
      <c r="AG1031" s="33">
        <f t="shared" si="242"/>
        <v>0</v>
      </c>
      <c r="AH1031" s="31">
        <f>SUMIFS(инфо!$E$15:$E$28,инфо!$A$15:$A$28,F1031)</f>
        <v>0</v>
      </c>
      <c r="AI1031" s="32">
        <f t="shared" si="233"/>
        <v>0</v>
      </c>
      <c r="AJ1031" s="33">
        <f t="shared" si="243"/>
        <v>0</v>
      </c>
      <c r="AK1031" s="31">
        <f>SUMIFS(инфо!$F$15:$F$28,инфо!$A$15:$A$28,F1031)</f>
        <v>0</v>
      </c>
      <c r="AL1031" s="32">
        <f t="shared" si="234"/>
        <v>0</v>
      </c>
      <c r="AM1031" s="33">
        <f t="shared" si="237"/>
        <v>0</v>
      </c>
      <c r="AN1031" s="31">
        <f>SUMIFS(инфо!$G$15:$G$28,инфо!$A$15:$A$28,F1031)</f>
        <v>0</v>
      </c>
      <c r="AO1031" s="32">
        <f t="shared" si="235"/>
        <v>0</v>
      </c>
      <c r="AP1031" s="33">
        <f t="shared" si="238"/>
        <v>0</v>
      </c>
      <c r="AQ1031" s="31">
        <f>SUMIFS(инфо!$H$15:$H$28,инфо!$A$15:$A$28,F1031)</f>
        <v>0</v>
      </c>
      <c r="AR1031" s="32">
        <f t="shared" si="236"/>
        <v>0</v>
      </c>
      <c r="AS1031" s="33">
        <f t="shared" si="239"/>
        <v>0</v>
      </c>
      <c r="AT1031" s="31">
        <f>SUMIFS(инфо!$I$15:$I$28,инфо!$A$15:$A$28,F1031)</f>
        <v>0</v>
      </c>
      <c r="AU1031" s="35">
        <f t="shared" si="230"/>
        <v>0</v>
      </c>
      <c r="AV1031" s="33">
        <f t="shared" si="240"/>
        <v>0</v>
      </c>
      <c r="AX1031" s="67">
        <f>SUMIFS(инфо!$C$15:$C$28,инфо!$A$15:$A$28,F1031)*H1030</f>
        <v>0</v>
      </c>
    </row>
    <row r="1032" spans="1:50" x14ac:dyDescent="0.25">
      <c r="A1032" s="70">
        <f t="shared" si="231"/>
        <v>46580</v>
      </c>
      <c r="B1032" s="76"/>
      <c r="C1032" s="15"/>
      <c r="D1032" s="16"/>
      <c r="E1032" s="11"/>
      <c r="F1032" s="28"/>
      <c r="G1032" s="34"/>
      <c r="H1032" s="20"/>
      <c r="I1032" s="20"/>
      <c r="J1032" s="20"/>
      <c r="K1032" s="20"/>
      <c r="L1032" s="20"/>
      <c r="M1032" s="20"/>
      <c r="N1032" s="20"/>
      <c r="O1032" s="34"/>
      <c r="P1032" s="34"/>
      <c r="Q1032" s="34"/>
      <c r="R1032" s="34"/>
      <c r="S1032" s="68">
        <f t="shared" si="241"/>
        <v>0</v>
      </c>
      <c r="T1032" s="15"/>
      <c r="U1032" s="16"/>
      <c r="V1032" s="34"/>
      <c r="W1032" s="34"/>
      <c r="X1032" s="34"/>
      <c r="Y1032" s="15"/>
      <c r="Z1032" s="34"/>
      <c r="AA1032" s="34"/>
      <c r="AB1032" s="34"/>
      <c r="AC1032" s="34"/>
      <c r="AD1032" s="16"/>
      <c r="AE1032" s="24">
        <f>SUMIFS(инфо!$D$15:$D$28,инфо!$A$15:$A$28,F1032)</f>
        <v>0</v>
      </c>
      <c r="AF1032" s="35">
        <f t="shared" si="232"/>
        <v>0</v>
      </c>
      <c r="AG1032" s="12">
        <f t="shared" si="242"/>
        <v>0</v>
      </c>
      <c r="AH1032" s="24">
        <f>SUMIFS(инфо!$E$15:$E$28,инфо!$A$15:$A$28,F1032)</f>
        <v>0</v>
      </c>
      <c r="AI1032" s="32">
        <f t="shared" si="233"/>
        <v>0</v>
      </c>
      <c r="AJ1032" s="12">
        <f t="shared" si="243"/>
        <v>0</v>
      </c>
      <c r="AK1032" s="24">
        <f>SUMIFS(инфо!$F$15:$F$28,инфо!$A$15:$A$28,F1032)</f>
        <v>0</v>
      </c>
      <c r="AL1032" s="32">
        <f t="shared" si="234"/>
        <v>0</v>
      </c>
      <c r="AM1032" s="12">
        <f t="shared" si="237"/>
        <v>0</v>
      </c>
      <c r="AN1032" s="24">
        <f>SUMIFS(инфо!$G$15:$G$28,инфо!$A$15:$A$28,F1032)</f>
        <v>0</v>
      </c>
      <c r="AO1032" s="32">
        <f t="shared" si="235"/>
        <v>0</v>
      </c>
      <c r="AP1032" s="12">
        <f t="shared" si="238"/>
        <v>0</v>
      </c>
      <c r="AQ1032" s="24">
        <f>SUMIFS(инфо!$H$15:$H$28,инфо!$A$15:$A$28,F1032)</f>
        <v>0</v>
      </c>
      <c r="AR1032" s="35">
        <f t="shared" si="236"/>
        <v>0</v>
      </c>
      <c r="AS1032" s="12">
        <f t="shared" si="239"/>
        <v>0</v>
      </c>
      <c r="AT1032" s="24">
        <f>SUMIFS(инфо!$I$15:$I$28,инфо!$A$15:$A$28,F1032)</f>
        <v>0</v>
      </c>
      <c r="AU1032" s="35">
        <f t="shared" si="230"/>
        <v>0</v>
      </c>
      <c r="AV1032" s="12">
        <f t="shared" si="240"/>
        <v>0</v>
      </c>
      <c r="AX1032" s="68">
        <f>SUMIFS(инфо!$C$15:$C$28,инфо!$A$15:$A$28,F1032)*H1031</f>
        <v>0</v>
      </c>
    </row>
    <row r="1033" spans="1:50" x14ac:dyDescent="0.25">
      <c r="A1033" s="70">
        <f t="shared" si="231"/>
        <v>46580</v>
      </c>
      <c r="B1033" s="76"/>
      <c r="C1033" s="15"/>
      <c r="D1033" s="16"/>
      <c r="E1033" s="11"/>
      <c r="F1033" s="28"/>
      <c r="G1033" s="34"/>
      <c r="H1033" s="23"/>
      <c r="I1033" s="20"/>
      <c r="J1033" s="20"/>
      <c r="K1033" s="20"/>
      <c r="L1033" s="20"/>
      <c r="M1033" s="20"/>
      <c r="N1033" s="20"/>
      <c r="O1033" s="34"/>
      <c r="P1033" s="34"/>
      <c r="Q1033" s="34"/>
      <c r="R1033" s="34"/>
      <c r="S1033" s="68">
        <f t="shared" si="241"/>
        <v>0</v>
      </c>
      <c r="T1033" s="15"/>
      <c r="U1033" s="16"/>
      <c r="V1033" s="34"/>
      <c r="W1033" s="34"/>
      <c r="X1033" s="34"/>
      <c r="Y1033" s="15"/>
      <c r="Z1033" s="34"/>
      <c r="AA1033" s="34"/>
      <c r="AB1033" s="34"/>
      <c r="AC1033" s="34"/>
      <c r="AD1033" s="16"/>
      <c r="AE1033" s="24">
        <f>SUMIFS(инфо!$D$15:$D$28,инфо!$A$15:$A$28,F1033)</f>
        <v>0</v>
      </c>
      <c r="AF1033" s="35">
        <f t="shared" si="232"/>
        <v>0</v>
      </c>
      <c r="AG1033" s="12">
        <f t="shared" si="242"/>
        <v>0</v>
      </c>
      <c r="AH1033" s="24">
        <f>SUMIFS(инфо!$E$15:$E$28,инфо!$A$15:$A$28,F1033)</f>
        <v>0</v>
      </c>
      <c r="AI1033" s="32">
        <f t="shared" si="233"/>
        <v>0</v>
      </c>
      <c r="AJ1033" s="12">
        <f t="shared" si="243"/>
        <v>0</v>
      </c>
      <c r="AK1033" s="24">
        <f>SUMIFS(инфо!$F$15:$F$28,инфо!$A$15:$A$28,F1033)</f>
        <v>0</v>
      </c>
      <c r="AL1033" s="32">
        <f t="shared" si="234"/>
        <v>0</v>
      </c>
      <c r="AM1033" s="12">
        <f t="shared" si="237"/>
        <v>0</v>
      </c>
      <c r="AN1033" s="24">
        <f>SUMIFS(инфо!$G$15:$G$28,инфо!$A$15:$A$28,F1033)</f>
        <v>0</v>
      </c>
      <c r="AO1033" s="32">
        <f t="shared" si="235"/>
        <v>0</v>
      </c>
      <c r="AP1033" s="12">
        <f t="shared" si="238"/>
        <v>0</v>
      </c>
      <c r="AQ1033" s="24">
        <f>SUMIFS(инфо!$H$15:$H$28,инфо!$A$15:$A$28,F1033)</f>
        <v>0</v>
      </c>
      <c r="AR1033" s="35">
        <f t="shared" si="236"/>
        <v>0</v>
      </c>
      <c r="AS1033" s="12">
        <f t="shared" si="239"/>
        <v>0</v>
      </c>
      <c r="AT1033" s="24">
        <f>SUMIFS(инфо!$I$15:$I$28,инфо!$A$15:$A$28,F1033)</f>
        <v>0</v>
      </c>
      <c r="AU1033" s="35">
        <f t="shared" ref="AU1033:AU1096" si="244">IF(H1033=0,0,AD1033/H1033)</f>
        <v>0</v>
      </c>
      <c r="AV1033" s="12">
        <f t="shared" si="240"/>
        <v>0</v>
      </c>
      <c r="AX1033" s="68">
        <f>SUMIFS(инфо!$C$15:$C$28,инфо!$A$15:$A$28,F1033)*H1032</f>
        <v>0</v>
      </c>
    </row>
    <row r="1034" spans="1:50" x14ac:dyDescent="0.25">
      <c r="A1034" s="70">
        <f t="shared" si="231"/>
        <v>46581</v>
      </c>
      <c r="B1034" s="77"/>
      <c r="C1034" s="17"/>
      <c r="D1034" s="18"/>
      <c r="E1034" s="11"/>
      <c r="F1034" s="28"/>
      <c r="G1034" s="19"/>
      <c r="H1034" s="28"/>
      <c r="I1034" s="20"/>
      <c r="J1034" s="20"/>
      <c r="K1034" s="20"/>
      <c r="L1034" s="20"/>
      <c r="M1034" s="20"/>
      <c r="N1034" s="23"/>
      <c r="O1034" s="19"/>
      <c r="P1034" s="19"/>
      <c r="Q1034" s="19"/>
      <c r="R1034" s="19"/>
      <c r="S1034" s="69">
        <f t="shared" si="241"/>
        <v>0</v>
      </c>
      <c r="T1034" s="17"/>
      <c r="U1034" s="18"/>
      <c r="V1034" s="19"/>
      <c r="W1034" s="19"/>
      <c r="X1034" s="19"/>
      <c r="Y1034" s="17"/>
      <c r="Z1034" s="19"/>
      <c r="AA1034" s="19"/>
      <c r="AB1034" s="19"/>
      <c r="AC1034" s="19"/>
      <c r="AD1034" s="18"/>
      <c r="AE1034" s="25">
        <f>SUMIFS(инфо!$D$15:$D$28,инфо!$A$15:$A$28,F1034)</f>
        <v>0</v>
      </c>
      <c r="AF1034" s="35">
        <f t="shared" si="232"/>
        <v>0</v>
      </c>
      <c r="AG1034" s="14">
        <f t="shared" si="242"/>
        <v>0</v>
      </c>
      <c r="AH1034" s="25">
        <f>SUMIFS(инфо!$E$15:$E$28,инфо!$A$15:$A$28,F1034)</f>
        <v>0</v>
      </c>
      <c r="AI1034" s="32">
        <f t="shared" si="233"/>
        <v>0</v>
      </c>
      <c r="AJ1034" s="14">
        <f t="shared" si="243"/>
        <v>0</v>
      </c>
      <c r="AK1034" s="25">
        <f>SUMIFS(инфо!$F$15:$F$28,инфо!$A$15:$A$28,F1034)</f>
        <v>0</v>
      </c>
      <c r="AL1034" s="32">
        <f t="shared" si="234"/>
        <v>0</v>
      </c>
      <c r="AM1034" s="14">
        <f t="shared" si="237"/>
        <v>0</v>
      </c>
      <c r="AN1034" s="25">
        <f>SUMIFS(инфо!$G$15:$G$28,инфо!$A$15:$A$28,F1034)</f>
        <v>0</v>
      </c>
      <c r="AO1034" s="32">
        <f t="shared" si="235"/>
        <v>0</v>
      </c>
      <c r="AP1034" s="14">
        <f t="shared" si="238"/>
        <v>0</v>
      </c>
      <c r="AQ1034" s="25">
        <f>SUMIFS(инфо!$H$15:$H$28,инфо!$A$15:$A$28,F1034)</f>
        <v>0</v>
      </c>
      <c r="AR1034" s="26">
        <f t="shared" si="236"/>
        <v>0</v>
      </c>
      <c r="AS1034" s="14">
        <f t="shared" si="239"/>
        <v>0</v>
      </c>
      <c r="AT1034" s="25">
        <f>SUMIFS(инфо!$I$15:$I$28,инфо!$A$15:$A$28,F1034)</f>
        <v>0</v>
      </c>
      <c r="AU1034" s="35">
        <f t="shared" si="244"/>
        <v>0</v>
      </c>
      <c r="AV1034" s="14">
        <f t="shared" si="240"/>
        <v>0</v>
      </c>
      <c r="AX1034" s="69">
        <f>SUMIFS(инфо!$C$15:$C$28,инфо!$A$15:$A$28,F1034)*H1033</f>
        <v>0</v>
      </c>
    </row>
    <row r="1035" spans="1:50" x14ac:dyDescent="0.25">
      <c r="A1035" s="70">
        <f t="shared" si="231"/>
        <v>46581</v>
      </c>
      <c r="B1035" s="75"/>
      <c r="C1035" s="29"/>
      <c r="D1035" s="30"/>
      <c r="E1035" s="11"/>
      <c r="F1035" s="28"/>
      <c r="G1035" s="27"/>
      <c r="H1035" s="20"/>
      <c r="I1035" s="20"/>
      <c r="J1035" s="20"/>
      <c r="K1035" s="20"/>
      <c r="L1035" s="20"/>
      <c r="M1035" s="20"/>
      <c r="N1035" s="28"/>
      <c r="O1035" s="27"/>
      <c r="P1035" s="27"/>
      <c r="Q1035" s="27"/>
      <c r="R1035" s="27"/>
      <c r="S1035" s="67">
        <f t="shared" si="241"/>
        <v>0</v>
      </c>
      <c r="T1035" s="29"/>
      <c r="U1035" s="30"/>
      <c r="V1035" s="27"/>
      <c r="W1035" s="27"/>
      <c r="X1035" s="27"/>
      <c r="Y1035" s="29"/>
      <c r="Z1035" s="27"/>
      <c r="AA1035" s="27"/>
      <c r="AB1035" s="27"/>
      <c r="AC1035" s="27"/>
      <c r="AD1035" s="30"/>
      <c r="AE1035" s="31">
        <f>SUMIFS(инфо!$D$15:$D$28,инфо!$A$15:$A$28,F1035)</f>
        <v>0</v>
      </c>
      <c r="AF1035" s="35">
        <f t="shared" si="232"/>
        <v>0</v>
      </c>
      <c r="AG1035" s="33">
        <f t="shared" si="242"/>
        <v>0</v>
      </c>
      <c r="AH1035" s="31">
        <f>SUMIFS(инфо!$E$15:$E$28,инфо!$A$15:$A$28,F1035)</f>
        <v>0</v>
      </c>
      <c r="AI1035" s="32">
        <f t="shared" si="233"/>
        <v>0</v>
      </c>
      <c r="AJ1035" s="33">
        <f t="shared" si="243"/>
        <v>0</v>
      </c>
      <c r="AK1035" s="31">
        <f>SUMIFS(инфо!$F$15:$F$28,инфо!$A$15:$A$28,F1035)</f>
        <v>0</v>
      </c>
      <c r="AL1035" s="32">
        <f t="shared" si="234"/>
        <v>0</v>
      </c>
      <c r="AM1035" s="33">
        <f t="shared" si="237"/>
        <v>0</v>
      </c>
      <c r="AN1035" s="31">
        <f>SUMIFS(инфо!$G$15:$G$28,инфо!$A$15:$A$28,F1035)</f>
        <v>0</v>
      </c>
      <c r="AO1035" s="32">
        <f t="shared" si="235"/>
        <v>0</v>
      </c>
      <c r="AP1035" s="33">
        <f t="shared" si="238"/>
        <v>0</v>
      </c>
      <c r="AQ1035" s="31">
        <f>SUMIFS(инфо!$H$15:$H$28,инфо!$A$15:$A$28,F1035)</f>
        <v>0</v>
      </c>
      <c r="AR1035" s="32">
        <f t="shared" si="236"/>
        <v>0</v>
      </c>
      <c r="AS1035" s="33">
        <f t="shared" si="239"/>
        <v>0</v>
      </c>
      <c r="AT1035" s="31">
        <f>SUMIFS(инфо!$I$15:$I$28,инфо!$A$15:$A$28,F1035)</f>
        <v>0</v>
      </c>
      <c r="AU1035" s="35">
        <f t="shared" si="244"/>
        <v>0</v>
      </c>
      <c r="AV1035" s="33">
        <f t="shared" si="240"/>
        <v>0</v>
      </c>
      <c r="AX1035" s="67">
        <f>SUMIFS(инфо!$C$15:$C$28,инфо!$A$15:$A$28,F1035)*H1034</f>
        <v>0</v>
      </c>
    </row>
    <row r="1036" spans="1:50" x14ac:dyDescent="0.25">
      <c r="A1036" s="70">
        <f t="shared" si="231"/>
        <v>46582</v>
      </c>
      <c r="B1036" s="76"/>
      <c r="C1036" s="15"/>
      <c r="D1036" s="16"/>
      <c r="E1036" s="11"/>
      <c r="F1036" s="28"/>
      <c r="G1036" s="34"/>
      <c r="H1036" s="20"/>
      <c r="I1036" s="20"/>
      <c r="J1036" s="20"/>
      <c r="K1036" s="20"/>
      <c r="L1036" s="20"/>
      <c r="M1036" s="20"/>
      <c r="N1036" s="20"/>
      <c r="O1036" s="34"/>
      <c r="P1036" s="34"/>
      <c r="Q1036" s="34"/>
      <c r="R1036" s="34"/>
      <c r="S1036" s="68">
        <f t="shared" si="241"/>
        <v>0</v>
      </c>
      <c r="T1036" s="15"/>
      <c r="U1036" s="16"/>
      <c r="V1036" s="34"/>
      <c r="W1036" s="34"/>
      <c r="X1036" s="34"/>
      <c r="Y1036" s="15"/>
      <c r="Z1036" s="34"/>
      <c r="AA1036" s="34"/>
      <c r="AB1036" s="34"/>
      <c r="AC1036" s="34"/>
      <c r="AD1036" s="16"/>
      <c r="AE1036" s="24">
        <f>SUMIFS(инфо!$D$15:$D$28,инфо!$A$15:$A$28,F1036)</f>
        <v>0</v>
      </c>
      <c r="AF1036" s="35">
        <f t="shared" si="232"/>
        <v>0</v>
      </c>
      <c r="AG1036" s="12">
        <f t="shared" si="242"/>
        <v>0</v>
      </c>
      <c r="AH1036" s="24">
        <f>SUMIFS(инфо!$E$15:$E$28,инфо!$A$15:$A$28,F1036)</f>
        <v>0</v>
      </c>
      <c r="AI1036" s="32">
        <f t="shared" si="233"/>
        <v>0</v>
      </c>
      <c r="AJ1036" s="12">
        <f t="shared" si="243"/>
        <v>0</v>
      </c>
      <c r="AK1036" s="24">
        <f>SUMIFS(инфо!$F$15:$F$28,инфо!$A$15:$A$28,F1036)</f>
        <v>0</v>
      </c>
      <c r="AL1036" s="32">
        <f t="shared" si="234"/>
        <v>0</v>
      </c>
      <c r="AM1036" s="12">
        <f t="shared" si="237"/>
        <v>0</v>
      </c>
      <c r="AN1036" s="24">
        <f>SUMIFS(инфо!$G$15:$G$28,инфо!$A$15:$A$28,F1036)</f>
        <v>0</v>
      </c>
      <c r="AO1036" s="32">
        <f t="shared" si="235"/>
        <v>0</v>
      </c>
      <c r="AP1036" s="12">
        <f t="shared" si="238"/>
        <v>0</v>
      </c>
      <c r="AQ1036" s="24">
        <f>SUMIFS(инфо!$H$15:$H$28,инфо!$A$15:$A$28,F1036)</f>
        <v>0</v>
      </c>
      <c r="AR1036" s="35">
        <f t="shared" si="236"/>
        <v>0</v>
      </c>
      <c r="AS1036" s="12">
        <f t="shared" si="239"/>
        <v>0</v>
      </c>
      <c r="AT1036" s="24">
        <f>SUMIFS(инфо!$I$15:$I$28,инфо!$A$15:$A$28,F1036)</f>
        <v>0</v>
      </c>
      <c r="AU1036" s="35">
        <f t="shared" si="244"/>
        <v>0</v>
      </c>
      <c r="AV1036" s="12">
        <f t="shared" si="240"/>
        <v>0</v>
      </c>
      <c r="AX1036" s="68">
        <f>SUMIFS(инфо!$C$15:$C$28,инфо!$A$15:$A$28,F1036)*H1035</f>
        <v>0</v>
      </c>
    </row>
    <row r="1037" spans="1:50" x14ac:dyDescent="0.25">
      <c r="A1037" s="70">
        <f t="shared" si="231"/>
        <v>46582</v>
      </c>
      <c r="B1037" s="76"/>
      <c r="C1037" s="15"/>
      <c r="D1037" s="16"/>
      <c r="E1037" s="11"/>
      <c r="F1037" s="28"/>
      <c r="G1037" s="34"/>
      <c r="H1037" s="23"/>
      <c r="I1037" s="20"/>
      <c r="J1037" s="20"/>
      <c r="K1037" s="20"/>
      <c r="L1037" s="20"/>
      <c r="M1037" s="20"/>
      <c r="N1037" s="20"/>
      <c r="O1037" s="34"/>
      <c r="P1037" s="34"/>
      <c r="Q1037" s="34"/>
      <c r="R1037" s="34"/>
      <c r="S1037" s="68">
        <f t="shared" si="241"/>
        <v>0</v>
      </c>
      <c r="T1037" s="15"/>
      <c r="U1037" s="16"/>
      <c r="V1037" s="34"/>
      <c r="W1037" s="34"/>
      <c r="X1037" s="34"/>
      <c r="Y1037" s="15"/>
      <c r="Z1037" s="34"/>
      <c r="AA1037" s="34"/>
      <c r="AB1037" s="34"/>
      <c r="AC1037" s="34"/>
      <c r="AD1037" s="16"/>
      <c r="AE1037" s="24">
        <f>SUMIFS(инфо!$D$15:$D$28,инфо!$A$15:$A$28,F1037)</f>
        <v>0</v>
      </c>
      <c r="AF1037" s="35">
        <f t="shared" si="232"/>
        <v>0</v>
      </c>
      <c r="AG1037" s="12">
        <f t="shared" si="242"/>
        <v>0</v>
      </c>
      <c r="AH1037" s="24">
        <f>SUMIFS(инфо!$E$15:$E$28,инфо!$A$15:$A$28,F1037)</f>
        <v>0</v>
      </c>
      <c r="AI1037" s="32">
        <f t="shared" si="233"/>
        <v>0</v>
      </c>
      <c r="AJ1037" s="12">
        <f t="shared" si="243"/>
        <v>0</v>
      </c>
      <c r="AK1037" s="24">
        <f>SUMIFS(инфо!$F$15:$F$28,инфо!$A$15:$A$28,F1037)</f>
        <v>0</v>
      </c>
      <c r="AL1037" s="32">
        <f t="shared" si="234"/>
        <v>0</v>
      </c>
      <c r="AM1037" s="12">
        <f t="shared" si="237"/>
        <v>0</v>
      </c>
      <c r="AN1037" s="24">
        <f>SUMIFS(инфо!$G$15:$G$28,инфо!$A$15:$A$28,F1037)</f>
        <v>0</v>
      </c>
      <c r="AO1037" s="32">
        <f t="shared" si="235"/>
        <v>0</v>
      </c>
      <c r="AP1037" s="12">
        <f t="shared" si="238"/>
        <v>0</v>
      </c>
      <c r="AQ1037" s="24">
        <f>SUMIFS(инфо!$H$15:$H$28,инфо!$A$15:$A$28,F1037)</f>
        <v>0</v>
      </c>
      <c r="AR1037" s="35">
        <f t="shared" si="236"/>
        <v>0</v>
      </c>
      <c r="AS1037" s="12">
        <f t="shared" si="239"/>
        <v>0</v>
      </c>
      <c r="AT1037" s="24">
        <f>SUMIFS(инфо!$I$15:$I$28,инфо!$A$15:$A$28,F1037)</f>
        <v>0</v>
      </c>
      <c r="AU1037" s="35">
        <f t="shared" si="244"/>
        <v>0</v>
      </c>
      <c r="AV1037" s="12">
        <f t="shared" si="240"/>
        <v>0</v>
      </c>
      <c r="AX1037" s="68">
        <f>SUMIFS(инфо!$C$15:$C$28,инфо!$A$15:$A$28,F1037)*H1036</f>
        <v>0</v>
      </c>
    </row>
    <row r="1038" spans="1:50" x14ac:dyDescent="0.25">
      <c r="A1038" s="70">
        <f t="shared" si="231"/>
        <v>46583</v>
      </c>
      <c r="B1038" s="77"/>
      <c r="C1038" s="17"/>
      <c r="D1038" s="18"/>
      <c r="E1038" s="11"/>
      <c r="F1038" s="28"/>
      <c r="G1038" s="19"/>
      <c r="H1038" s="28"/>
      <c r="I1038" s="20"/>
      <c r="J1038" s="20"/>
      <c r="K1038" s="20"/>
      <c r="L1038" s="20"/>
      <c r="M1038" s="20"/>
      <c r="N1038" s="23"/>
      <c r="O1038" s="19"/>
      <c r="P1038" s="19"/>
      <c r="Q1038" s="19"/>
      <c r="R1038" s="19"/>
      <c r="S1038" s="69">
        <f t="shared" si="241"/>
        <v>0</v>
      </c>
      <c r="T1038" s="17"/>
      <c r="U1038" s="18"/>
      <c r="V1038" s="19"/>
      <c r="W1038" s="19"/>
      <c r="X1038" s="19"/>
      <c r="Y1038" s="17"/>
      <c r="Z1038" s="19"/>
      <c r="AA1038" s="19"/>
      <c r="AB1038" s="19"/>
      <c r="AC1038" s="19"/>
      <c r="AD1038" s="18"/>
      <c r="AE1038" s="25">
        <f>SUMIFS(инфо!$D$15:$D$28,инфо!$A$15:$A$28,F1038)</f>
        <v>0</v>
      </c>
      <c r="AF1038" s="35">
        <f t="shared" si="232"/>
        <v>0</v>
      </c>
      <c r="AG1038" s="14">
        <f t="shared" si="242"/>
        <v>0</v>
      </c>
      <c r="AH1038" s="25">
        <f>SUMIFS(инфо!$E$15:$E$28,инфо!$A$15:$A$28,F1038)</f>
        <v>0</v>
      </c>
      <c r="AI1038" s="32">
        <f t="shared" si="233"/>
        <v>0</v>
      </c>
      <c r="AJ1038" s="14">
        <f t="shared" si="243"/>
        <v>0</v>
      </c>
      <c r="AK1038" s="25">
        <f>SUMIFS(инфо!$F$15:$F$28,инфо!$A$15:$A$28,F1038)</f>
        <v>0</v>
      </c>
      <c r="AL1038" s="32">
        <f t="shared" si="234"/>
        <v>0</v>
      </c>
      <c r="AM1038" s="14">
        <f t="shared" si="237"/>
        <v>0</v>
      </c>
      <c r="AN1038" s="25">
        <f>SUMIFS(инфо!$G$15:$G$28,инфо!$A$15:$A$28,F1038)</f>
        <v>0</v>
      </c>
      <c r="AO1038" s="32">
        <f t="shared" si="235"/>
        <v>0</v>
      </c>
      <c r="AP1038" s="14">
        <f t="shared" si="238"/>
        <v>0</v>
      </c>
      <c r="AQ1038" s="25">
        <f>SUMIFS(инфо!$H$15:$H$28,инфо!$A$15:$A$28,F1038)</f>
        <v>0</v>
      </c>
      <c r="AR1038" s="26">
        <f t="shared" si="236"/>
        <v>0</v>
      </c>
      <c r="AS1038" s="14">
        <f t="shared" si="239"/>
        <v>0</v>
      </c>
      <c r="AT1038" s="25">
        <f>SUMIFS(инфо!$I$15:$I$28,инфо!$A$15:$A$28,F1038)</f>
        <v>0</v>
      </c>
      <c r="AU1038" s="35">
        <f t="shared" si="244"/>
        <v>0</v>
      </c>
      <c r="AV1038" s="14">
        <f t="shared" si="240"/>
        <v>0</v>
      </c>
      <c r="AX1038" s="69">
        <f>SUMIFS(инфо!$C$15:$C$28,инфо!$A$15:$A$28,F1038)*H1037</f>
        <v>0</v>
      </c>
    </row>
    <row r="1039" spans="1:50" x14ac:dyDescent="0.25">
      <c r="A1039" s="70">
        <f t="shared" si="231"/>
        <v>46583</v>
      </c>
      <c r="B1039" s="75"/>
      <c r="C1039" s="29"/>
      <c r="D1039" s="30"/>
      <c r="E1039" s="11"/>
      <c r="F1039" s="28"/>
      <c r="G1039" s="27"/>
      <c r="H1039" s="20"/>
      <c r="I1039" s="20"/>
      <c r="J1039" s="20"/>
      <c r="K1039" s="20"/>
      <c r="L1039" s="20"/>
      <c r="M1039" s="20"/>
      <c r="N1039" s="28"/>
      <c r="O1039" s="27"/>
      <c r="P1039" s="27"/>
      <c r="Q1039" s="27"/>
      <c r="R1039" s="27"/>
      <c r="S1039" s="67">
        <f t="shared" si="241"/>
        <v>0</v>
      </c>
      <c r="T1039" s="29"/>
      <c r="U1039" s="30"/>
      <c r="V1039" s="27"/>
      <c r="W1039" s="27"/>
      <c r="X1039" s="27"/>
      <c r="Y1039" s="29"/>
      <c r="Z1039" s="27"/>
      <c r="AA1039" s="27"/>
      <c r="AB1039" s="27"/>
      <c r="AC1039" s="27"/>
      <c r="AD1039" s="30"/>
      <c r="AE1039" s="31">
        <f>SUMIFS(инфо!$D$15:$D$28,инфо!$A$15:$A$28,F1039)</f>
        <v>0</v>
      </c>
      <c r="AF1039" s="35">
        <f t="shared" si="232"/>
        <v>0</v>
      </c>
      <c r="AG1039" s="33">
        <f t="shared" si="242"/>
        <v>0</v>
      </c>
      <c r="AH1039" s="31">
        <f>SUMIFS(инфо!$E$15:$E$28,инфо!$A$15:$A$28,F1039)</f>
        <v>0</v>
      </c>
      <c r="AI1039" s="32">
        <f t="shared" ref="AI1039:AI1102" si="245">IF(H1038=0,0,S1039/H1038)</f>
        <v>0</v>
      </c>
      <c r="AJ1039" s="33">
        <f t="shared" si="243"/>
        <v>0</v>
      </c>
      <c r="AK1039" s="31">
        <f>SUMIFS(инфо!$F$15:$F$28,инфо!$A$15:$A$28,F1039)</f>
        <v>0</v>
      </c>
      <c r="AL1039" s="32">
        <f t="shared" si="234"/>
        <v>0</v>
      </c>
      <c r="AM1039" s="33">
        <f t="shared" si="237"/>
        <v>0</v>
      </c>
      <c r="AN1039" s="31">
        <f>SUMIFS(инфо!$G$15:$G$28,инфо!$A$15:$A$28,F1039)</f>
        <v>0</v>
      </c>
      <c r="AO1039" s="32">
        <f t="shared" si="235"/>
        <v>0</v>
      </c>
      <c r="AP1039" s="33">
        <f t="shared" si="238"/>
        <v>0</v>
      </c>
      <c r="AQ1039" s="31">
        <f>SUMIFS(инфо!$H$15:$H$28,инфо!$A$15:$A$28,F1039)</f>
        <v>0</v>
      </c>
      <c r="AR1039" s="32">
        <f t="shared" si="236"/>
        <v>0</v>
      </c>
      <c r="AS1039" s="33">
        <f t="shared" si="239"/>
        <v>0</v>
      </c>
      <c r="AT1039" s="31">
        <f>SUMIFS(инфо!$I$15:$I$28,инфо!$A$15:$A$28,F1039)</f>
        <v>0</v>
      </c>
      <c r="AU1039" s="35">
        <f t="shared" si="244"/>
        <v>0</v>
      </c>
      <c r="AV1039" s="33">
        <f t="shared" si="240"/>
        <v>0</v>
      </c>
      <c r="AX1039" s="67">
        <f>SUMIFS(инфо!$C$15:$C$28,инфо!$A$15:$A$28,F1039)*H1038</f>
        <v>0</v>
      </c>
    </row>
    <row r="1040" spans="1:50" x14ac:dyDescent="0.25">
      <c r="A1040" s="70">
        <f t="shared" si="231"/>
        <v>46584</v>
      </c>
      <c r="B1040" s="76"/>
      <c r="C1040" s="15"/>
      <c r="D1040" s="16"/>
      <c r="E1040" s="11"/>
      <c r="F1040" s="28"/>
      <c r="G1040" s="34"/>
      <c r="H1040" s="20"/>
      <c r="I1040" s="20"/>
      <c r="J1040" s="20"/>
      <c r="K1040" s="20"/>
      <c r="L1040" s="20"/>
      <c r="M1040" s="20"/>
      <c r="N1040" s="20"/>
      <c r="O1040" s="34"/>
      <c r="P1040" s="34"/>
      <c r="Q1040" s="34"/>
      <c r="R1040" s="34"/>
      <c r="S1040" s="68">
        <f t="shared" si="241"/>
        <v>0</v>
      </c>
      <c r="T1040" s="15"/>
      <c r="U1040" s="16"/>
      <c r="V1040" s="34"/>
      <c r="W1040" s="34"/>
      <c r="X1040" s="34"/>
      <c r="Y1040" s="15"/>
      <c r="Z1040" s="34"/>
      <c r="AA1040" s="34"/>
      <c r="AB1040" s="34"/>
      <c r="AC1040" s="34"/>
      <c r="AD1040" s="16"/>
      <c r="AE1040" s="24">
        <f>SUMIFS(инфо!$D$15:$D$28,инфо!$A$15:$A$28,F1040)</f>
        <v>0</v>
      </c>
      <c r="AF1040" s="35">
        <f t="shared" si="232"/>
        <v>0</v>
      </c>
      <c r="AG1040" s="12">
        <f t="shared" si="242"/>
        <v>0</v>
      </c>
      <c r="AH1040" s="24">
        <f>SUMIFS(инфо!$E$15:$E$28,инфо!$A$15:$A$28,F1040)</f>
        <v>0</v>
      </c>
      <c r="AI1040" s="35">
        <f t="shared" si="245"/>
        <v>0</v>
      </c>
      <c r="AJ1040" s="12">
        <f t="shared" si="243"/>
        <v>0</v>
      </c>
      <c r="AK1040" s="24">
        <f>SUMIFS(инфо!$F$15:$F$28,инфо!$A$15:$A$28,F1040)</f>
        <v>0</v>
      </c>
      <c r="AL1040" s="32">
        <f t="shared" si="234"/>
        <v>0</v>
      </c>
      <c r="AM1040" s="12">
        <f t="shared" si="237"/>
        <v>0</v>
      </c>
      <c r="AN1040" s="24">
        <f>SUMIFS(инфо!$G$15:$G$28,инфо!$A$15:$A$28,F1040)</f>
        <v>0</v>
      </c>
      <c r="AO1040" s="32">
        <f t="shared" si="235"/>
        <v>0</v>
      </c>
      <c r="AP1040" s="12">
        <f t="shared" si="238"/>
        <v>0</v>
      </c>
      <c r="AQ1040" s="24">
        <f>SUMIFS(инфо!$H$15:$H$28,инфо!$A$15:$A$28,F1040)</f>
        <v>0</v>
      </c>
      <c r="AR1040" s="35">
        <f t="shared" si="236"/>
        <v>0</v>
      </c>
      <c r="AS1040" s="12">
        <f t="shared" si="239"/>
        <v>0</v>
      </c>
      <c r="AT1040" s="24">
        <f>SUMIFS(инфо!$I$15:$I$28,инфо!$A$15:$A$28,F1040)</f>
        <v>0</v>
      </c>
      <c r="AU1040" s="35">
        <f t="shared" si="244"/>
        <v>0</v>
      </c>
      <c r="AV1040" s="12">
        <f t="shared" si="240"/>
        <v>0</v>
      </c>
      <c r="AX1040" s="68">
        <f>SUMIFS(инфо!$C$15:$C$28,инфо!$A$15:$A$28,F1040)*H1039</f>
        <v>0</v>
      </c>
    </row>
    <row r="1041" spans="1:50" x14ac:dyDescent="0.25">
      <c r="A1041" s="70">
        <f t="shared" si="231"/>
        <v>46584</v>
      </c>
      <c r="B1041" s="76"/>
      <c r="C1041" s="15"/>
      <c r="D1041" s="16"/>
      <c r="E1041" s="11"/>
      <c r="F1041" s="28"/>
      <c r="G1041" s="34"/>
      <c r="H1041" s="23"/>
      <c r="I1041" s="20"/>
      <c r="J1041" s="20"/>
      <c r="K1041" s="20"/>
      <c r="L1041" s="20"/>
      <c r="M1041" s="20"/>
      <c r="N1041" s="20"/>
      <c r="O1041" s="34"/>
      <c r="P1041" s="34"/>
      <c r="Q1041" s="34"/>
      <c r="R1041" s="34"/>
      <c r="S1041" s="68">
        <f t="shared" si="241"/>
        <v>0</v>
      </c>
      <c r="T1041" s="15"/>
      <c r="U1041" s="16"/>
      <c r="V1041" s="34"/>
      <c r="W1041" s="34"/>
      <c r="X1041" s="34"/>
      <c r="Y1041" s="15"/>
      <c r="Z1041" s="34"/>
      <c r="AA1041" s="34"/>
      <c r="AB1041" s="34"/>
      <c r="AC1041" s="34"/>
      <c r="AD1041" s="16"/>
      <c r="AE1041" s="24">
        <f>SUMIFS(инфо!$D$15:$D$28,инфо!$A$15:$A$28,F1041)</f>
        <v>0</v>
      </c>
      <c r="AF1041" s="35">
        <f t="shared" si="232"/>
        <v>0</v>
      </c>
      <c r="AG1041" s="12">
        <f t="shared" si="242"/>
        <v>0</v>
      </c>
      <c r="AH1041" s="24">
        <f>SUMIFS(инфо!$E$15:$E$28,инфо!$A$15:$A$28,F1041)</f>
        <v>0</v>
      </c>
      <c r="AI1041" s="35">
        <f t="shared" si="245"/>
        <v>0</v>
      </c>
      <c r="AJ1041" s="12">
        <f t="shared" si="243"/>
        <v>0</v>
      </c>
      <c r="AK1041" s="24">
        <f>SUMIFS(инфо!$F$15:$F$28,инфо!$A$15:$A$28,F1041)</f>
        <v>0</v>
      </c>
      <c r="AL1041" s="32">
        <f t="shared" si="234"/>
        <v>0</v>
      </c>
      <c r="AM1041" s="12">
        <f t="shared" si="237"/>
        <v>0</v>
      </c>
      <c r="AN1041" s="24">
        <f>SUMIFS(инфо!$G$15:$G$28,инфо!$A$15:$A$28,F1041)</f>
        <v>0</v>
      </c>
      <c r="AO1041" s="32">
        <f t="shared" si="235"/>
        <v>0</v>
      </c>
      <c r="AP1041" s="12">
        <f t="shared" si="238"/>
        <v>0</v>
      </c>
      <c r="AQ1041" s="24">
        <f>SUMIFS(инфо!$H$15:$H$28,инфо!$A$15:$A$28,F1041)</f>
        <v>0</v>
      </c>
      <c r="AR1041" s="35">
        <f t="shared" si="236"/>
        <v>0</v>
      </c>
      <c r="AS1041" s="12">
        <f t="shared" si="239"/>
        <v>0</v>
      </c>
      <c r="AT1041" s="24">
        <f>SUMIFS(инфо!$I$15:$I$28,инфо!$A$15:$A$28,F1041)</f>
        <v>0</v>
      </c>
      <c r="AU1041" s="35">
        <f t="shared" si="244"/>
        <v>0</v>
      </c>
      <c r="AV1041" s="12">
        <f t="shared" si="240"/>
        <v>0</v>
      </c>
      <c r="AX1041" s="68">
        <f>SUMIFS(инфо!$C$15:$C$28,инфо!$A$15:$A$28,F1041)*H1040</f>
        <v>0</v>
      </c>
    </row>
    <row r="1042" spans="1:50" x14ac:dyDescent="0.25">
      <c r="A1042" s="70">
        <f t="shared" si="231"/>
        <v>46585</v>
      </c>
      <c r="B1042" s="77"/>
      <c r="C1042" s="17"/>
      <c r="D1042" s="18"/>
      <c r="E1042" s="11"/>
      <c r="F1042" s="28"/>
      <c r="G1042" s="19"/>
      <c r="H1042" s="28"/>
      <c r="I1042" s="20"/>
      <c r="J1042" s="20"/>
      <c r="K1042" s="20"/>
      <c r="L1042" s="20"/>
      <c r="M1042" s="20"/>
      <c r="N1042" s="23"/>
      <c r="O1042" s="19"/>
      <c r="P1042" s="19"/>
      <c r="Q1042" s="19"/>
      <c r="R1042" s="19"/>
      <c r="S1042" s="69">
        <f t="shared" si="241"/>
        <v>0</v>
      </c>
      <c r="T1042" s="17"/>
      <c r="U1042" s="18"/>
      <c r="V1042" s="19"/>
      <c r="W1042" s="19"/>
      <c r="X1042" s="19"/>
      <c r="Y1042" s="17"/>
      <c r="Z1042" s="19"/>
      <c r="AA1042" s="19"/>
      <c r="AB1042" s="19"/>
      <c r="AC1042" s="19"/>
      <c r="AD1042" s="18"/>
      <c r="AE1042" s="25">
        <f>SUMIFS(инфо!$D$15:$D$28,инфо!$A$15:$A$28,F1042)</f>
        <v>0</v>
      </c>
      <c r="AF1042" s="35">
        <f t="shared" si="232"/>
        <v>0</v>
      </c>
      <c r="AG1042" s="14">
        <f t="shared" si="242"/>
        <v>0</v>
      </c>
      <c r="AH1042" s="25">
        <f>SUMIFS(инфо!$E$15:$E$28,инфо!$A$15:$A$28,F1042)</f>
        <v>0</v>
      </c>
      <c r="AI1042" s="26">
        <f t="shared" si="245"/>
        <v>0</v>
      </c>
      <c r="AJ1042" s="14">
        <f t="shared" si="243"/>
        <v>0</v>
      </c>
      <c r="AK1042" s="25">
        <f>SUMIFS(инфо!$F$15:$F$28,инфо!$A$15:$A$28,F1042)</f>
        <v>0</v>
      </c>
      <c r="AL1042" s="32">
        <f t="shared" si="234"/>
        <v>0</v>
      </c>
      <c r="AM1042" s="14">
        <f t="shared" si="237"/>
        <v>0</v>
      </c>
      <c r="AN1042" s="25">
        <f>SUMIFS(инфо!$G$15:$G$28,инфо!$A$15:$A$28,F1042)</f>
        <v>0</v>
      </c>
      <c r="AO1042" s="32">
        <f t="shared" si="235"/>
        <v>0</v>
      </c>
      <c r="AP1042" s="14">
        <f t="shared" si="238"/>
        <v>0</v>
      </c>
      <c r="AQ1042" s="25">
        <f>SUMIFS(инфо!$H$15:$H$28,инфо!$A$15:$A$28,F1042)</f>
        <v>0</v>
      </c>
      <c r="AR1042" s="26">
        <f t="shared" si="236"/>
        <v>0</v>
      </c>
      <c r="AS1042" s="14">
        <f t="shared" si="239"/>
        <v>0</v>
      </c>
      <c r="AT1042" s="25">
        <f>SUMIFS(инфо!$I$15:$I$28,инфо!$A$15:$A$28,F1042)</f>
        <v>0</v>
      </c>
      <c r="AU1042" s="35">
        <f t="shared" si="244"/>
        <v>0</v>
      </c>
      <c r="AV1042" s="14">
        <f t="shared" si="240"/>
        <v>0</v>
      </c>
      <c r="AX1042" s="69">
        <f>SUMIFS(инфо!$C$15:$C$28,инфо!$A$15:$A$28,F1042)*H1041</f>
        <v>0</v>
      </c>
    </row>
    <row r="1043" spans="1:50" x14ac:dyDescent="0.25">
      <c r="A1043" s="70">
        <f t="shared" si="231"/>
        <v>46585</v>
      </c>
      <c r="B1043" s="75"/>
      <c r="C1043" s="29"/>
      <c r="D1043" s="30"/>
      <c r="E1043" s="11"/>
      <c r="F1043" s="28"/>
      <c r="G1043" s="27"/>
      <c r="H1043" s="20"/>
      <c r="I1043" s="20"/>
      <c r="J1043" s="20"/>
      <c r="K1043" s="20"/>
      <c r="L1043" s="20"/>
      <c r="M1043" s="20"/>
      <c r="N1043" s="28"/>
      <c r="O1043" s="27"/>
      <c r="P1043" s="27"/>
      <c r="Q1043" s="27"/>
      <c r="R1043" s="27"/>
      <c r="S1043" s="67">
        <f t="shared" si="241"/>
        <v>0</v>
      </c>
      <c r="T1043" s="29"/>
      <c r="U1043" s="30"/>
      <c r="V1043" s="27"/>
      <c r="W1043" s="27"/>
      <c r="X1043" s="27"/>
      <c r="Y1043" s="29"/>
      <c r="Z1043" s="27"/>
      <c r="AA1043" s="27"/>
      <c r="AB1043" s="27"/>
      <c r="AC1043" s="27"/>
      <c r="AD1043" s="30"/>
      <c r="AE1043" s="31">
        <f>SUMIFS(инфо!$D$15:$D$28,инфо!$A$15:$A$28,F1043)</f>
        <v>0</v>
      </c>
      <c r="AF1043" s="35">
        <f t="shared" si="232"/>
        <v>0</v>
      </c>
      <c r="AG1043" s="33">
        <f t="shared" si="242"/>
        <v>0</v>
      </c>
      <c r="AH1043" s="31">
        <f>SUMIFS(инфо!$E$15:$E$28,инфо!$A$15:$A$28,F1043)</f>
        <v>0</v>
      </c>
      <c r="AI1043" s="32">
        <f t="shared" si="245"/>
        <v>0</v>
      </c>
      <c r="AJ1043" s="33">
        <f t="shared" si="243"/>
        <v>0</v>
      </c>
      <c r="AK1043" s="31">
        <f>SUMIFS(инфо!$F$15:$F$28,инфо!$A$15:$A$28,F1043)</f>
        <v>0</v>
      </c>
      <c r="AL1043" s="32">
        <f t="shared" si="234"/>
        <v>0</v>
      </c>
      <c r="AM1043" s="33">
        <f t="shared" si="237"/>
        <v>0</v>
      </c>
      <c r="AN1043" s="31">
        <f>SUMIFS(инфо!$G$15:$G$28,инфо!$A$15:$A$28,F1043)</f>
        <v>0</v>
      </c>
      <c r="AO1043" s="32">
        <f t="shared" si="235"/>
        <v>0</v>
      </c>
      <c r="AP1043" s="33">
        <f t="shared" si="238"/>
        <v>0</v>
      </c>
      <c r="AQ1043" s="31">
        <f>SUMIFS(инфо!$H$15:$H$28,инфо!$A$15:$A$28,F1043)</f>
        <v>0</v>
      </c>
      <c r="AR1043" s="32">
        <f t="shared" si="236"/>
        <v>0</v>
      </c>
      <c r="AS1043" s="33">
        <f t="shared" si="239"/>
        <v>0</v>
      </c>
      <c r="AT1043" s="31">
        <f>SUMIFS(инфо!$I$15:$I$28,инфо!$A$15:$A$28,F1043)</f>
        <v>0</v>
      </c>
      <c r="AU1043" s="35">
        <f t="shared" si="244"/>
        <v>0</v>
      </c>
      <c r="AV1043" s="33">
        <f t="shared" si="240"/>
        <v>0</v>
      </c>
      <c r="AX1043" s="67">
        <f>SUMIFS(инфо!$C$15:$C$28,инфо!$A$15:$A$28,F1043)*H1042</f>
        <v>0</v>
      </c>
    </row>
    <row r="1044" spans="1:50" x14ac:dyDescent="0.25">
      <c r="A1044" s="70">
        <f t="shared" si="231"/>
        <v>46586</v>
      </c>
      <c r="B1044" s="76"/>
      <c r="C1044" s="15"/>
      <c r="D1044" s="16"/>
      <c r="E1044" s="11"/>
      <c r="F1044" s="28"/>
      <c r="G1044" s="34"/>
      <c r="H1044" s="20"/>
      <c r="I1044" s="20"/>
      <c r="J1044" s="20"/>
      <c r="K1044" s="20"/>
      <c r="L1044" s="20"/>
      <c r="M1044" s="20"/>
      <c r="N1044" s="20"/>
      <c r="O1044" s="34"/>
      <c r="P1044" s="34"/>
      <c r="Q1044" s="34"/>
      <c r="R1044" s="34"/>
      <c r="S1044" s="68">
        <f t="shared" si="241"/>
        <v>0</v>
      </c>
      <c r="T1044" s="15"/>
      <c r="U1044" s="16"/>
      <c r="V1044" s="34"/>
      <c r="W1044" s="34"/>
      <c r="X1044" s="34"/>
      <c r="Y1044" s="15"/>
      <c r="Z1044" s="34"/>
      <c r="AA1044" s="34"/>
      <c r="AB1044" s="34"/>
      <c r="AC1044" s="34"/>
      <c r="AD1044" s="16"/>
      <c r="AE1044" s="24">
        <f>SUMIFS(инфо!$D$15:$D$28,инфо!$A$15:$A$28,F1044)</f>
        <v>0</v>
      </c>
      <c r="AF1044" s="35">
        <f t="shared" si="232"/>
        <v>0</v>
      </c>
      <c r="AG1044" s="12">
        <f t="shared" si="242"/>
        <v>0</v>
      </c>
      <c r="AH1044" s="24">
        <f>SUMIFS(инфо!$E$15:$E$28,инфо!$A$15:$A$28,F1044)</f>
        <v>0</v>
      </c>
      <c r="AI1044" s="35">
        <f t="shared" si="245"/>
        <v>0</v>
      </c>
      <c r="AJ1044" s="12">
        <f t="shared" si="243"/>
        <v>0</v>
      </c>
      <c r="AK1044" s="24">
        <f>SUMIFS(инфо!$F$15:$F$28,инфо!$A$15:$A$28,F1044)</f>
        <v>0</v>
      </c>
      <c r="AL1044" s="32">
        <f t="shared" si="234"/>
        <v>0</v>
      </c>
      <c r="AM1044" s="12">
        <f t="shared" si="237"/>
        <v>0</v>
      </c>
      <c r="AN1044" s="24">
        <f>SUMIFS(инфо!$G$15:$G$28,инфо!$A$15:$A$28,F1044)</f>
        <v>0</v>
      </c>
      <c r="AO1044" s="32">
        <f t="shared" si="235"/>
        <v>0</v>
      </c>
      <c r="AP1044" s="12">
        <f t="shared" si="238"/>
        <v>0</v>
      </c>
      <c r="AQ1044" s="24">
        <f>SUMIFS(инфо!$H$15:$H$28,инфо!$A$15:$A$28,F1044)</f>
        <v>0</v>
      </c>
      <c r="AR1044" s="35">
        <f t="shared" si="236"/>
        <v>0</v>
      </c>
      <c r="AS1044" s="12">
        <f t="shared" si="239"/>
        <v>0</v>
      </c>
      <c r="AT1044" s="24">
        <f>SUMIFS(инфо!$I$15:$I$28,инфо!$A$15:$A$28,F1044)</f>
        <v>0</v>
      </c>
      <c r="AU1044" s="35">
        <f t="shared" si="244"/>
        <v>0</v>
      </c>
      <c r="AV1044" s="12">
        <f t="shared" si="240"/>
        <v>0</v>
      </c>
      <c r="AX1044" s="68">
        <f>SUMIFS(инфо!$C$15:$C$28,инфо!$A$15:$A$28,F1044)*H1043</f>
        <v>0</v>
      </c>
    </row>
    <row r="1045" spans="1:50" x14ac:dyDescent="0.25">
      <c r="A1045" s="70">
        <f t="shared" si="231"/>
        <v>46586</v>
      </c>
      <c r="B1045" s="76"/>
      <c r="C1045" s="15"/>
      <c r="D1045" s="16"/>
      <c r="E1045" s="11"/>
      <c r="F1045" s="28"/>
      <c r="G1045" s="34"/>
      <c r="H1045" s="23"/>
      <c r="I1045" s="20"/>
      <c r="J1045" s="20"/>
      <c r="K1045" s="20"/>
      <c r="L1045" s="20"/>
      <c r="M1045" s="20"/>
      <c r="N1045" s="20"/>
      <c r="O1045" s="34"/>
      <c r="P1045" s="34"/>
      <c r="Q1045" s="34"/>
      <c r="R1045" s="34"/>
      <c r="S1045" s="68">
        <f t="shared" si="241"/>
        <v>0</v>
      </c>
      <c r="T1045" s="15"/>
      <c r="U1045" s="16"/>
      <c r="V1045" s="34"/>
      <c r="W1045" s="34"/>
      <c r="X1045" s="34"/>
      <c r="Y1045" s="15"/>
      <c r="Z1045" s="34"/>
      <c r="AA1045" s="34"/>
      <c r="AB1045" s="34"/>
      <c r="AC1045" s="34"/>
      <c r="AD1045" s="16"/>
      <c r="AE1045" s="24">
        <f>SUMIFS(инфо!$D$15:$D$28,инфо!$A$15:$A$28,F1045)</f>
        <v>0</v>
      </c>
      <c r="AF1045" s="35">
        <f t="shared" si="232"/>
        <v>0</v>
      </c>
      <c r="AG1045" s="12">
        <f t="shared" si="242"/>
        <v>0</v>
      </c>
      <c r="AH1045" s="24">
        <f>SUMIFS(инфо!$E$15:$E$28,инфо!$A$15:$A$28,F1045)</f>
        <v>0</v>
      </c>
      <c r="AI1045" s="35">
        <f t="shared" si="245"/>
        <v>0</v>
      </c>
      <c r="AJ1045" s="12">
        <f t="shared" si="243"/>
        <v>0</v>
      </c>
      <c r="AK1045" s="24">
        <f>SUMIFS(инфо!$F$15:$F$28,инфо!$A$15:$A$28,F1045)</f>
        <v>0</v>
      </c>
      <c r="AL1045" s="32">
        <f t="shared" si="234"/>
        <v>0</v>
      </c>
      <c r="AM1045" s="12">
        <f t="shared" si="237"/>
        <v>0</v>
      </c>
      <c r="AN1045" s="24">
        <f>SUMIFS(инфо!$G$15:$G$28,инфо!$A$15:$A$28,F1045)</f>
        <v>0</v>
      </c>
      <c r="AO1045" s="32">
        <f t="shared" si="235"/>
        <v>0</v>
      </c>
      <c r="AP1045" s="12">
        <f t="shared" si="238"/>
        <v>0</v>
      </c>
      <c r="AQ1045" s="24">
        <f>SUMIFS(инфо!$H$15:$H$28,инфо!$A$15:$A$28,F1045)</f>
        <v>0</v>
      </c>
      <c r="AR1045" s="35">
        <f t="shared" si="236"/>
        <v>0</v>
      </c>
      <c r="AS1045" s="12">
        <f t="shared" si="239"/>
        <v>0</v>
      </c>
      <c r="AT1045" s="24">
        <f>SUMIFS(инфо!$I$15:$I$28,инфо!$A$15:$A$28,F1045)</f>
        <v>0</v>
      </c>
      <c r="AU1045" s="35">
        <f t="shared" si="244"/>
        <v>0</v>
      </c>
      <c r="AV1045" s="12">
        <f t="shared" si="240"/>
        <v>0</v>
      </c>
      <c r="AX1045" s="68">
        <f>SUMIFS(инфо!$C$15:$C$28,инфо!$A$15:$A$28,F1045)*H1044</f>
        <v>0</v>
      </c>
    </row>
    <row r="1046" spans="1:50" x14ac:dyDescent="0.25">
      <c r="A1046" s="70">
        <f t="shared" si="231"/>
        <v>46587</v>
      </c>
      <c r="B1046" s="77"/>
      <c r="C1046" s="17"/>
      <c r="D1046" s="18"/>
      <c r="E1046" s="11"/>
      <c r="F1046" s="28"/>
      <c r="G1046" s="19"/>
      <c r="H1046" s="28"/>
      <c r="I1046" s="20"/>
      <c r="J1046" s="20"/>
      <c r="K1046" s="20"/>
      <c r="L1046" s="20"/>
      <c r="M1046" s="20"/>
      <c r="N1046" s="23"/>
      <c r="O1046" s="19"/>
      <c r="P1046" s="19"/>
      <c r="Q1046" s="19"/>
      <c r="R1046" s="19"/>
      <c r="S1046" s="69">
        <f t="shared" si="241"/>
        <v>0</v>
      </c>
      <c r="T1046" s="17"/>
      <c r="U1046" s="18"/>
      <c r="V1046" s="19"/>
      <c r="W1046" s="19"/>
      <c r="X1046" s="19"/>
      <c r="Y1046" s="17"/>
      <c r="Z1046" s="19"/>
      <c r="AA1046" s="19"/>
      <c r="AB1046" s="19"/>
      <c r="AC1046" s="19"/>
      <c r="AD1046" s="18"/>
      <c r="AE1046" s="25">
        <f>SUMIFS(инфо!$D$15:$D$28,инфо!$A$15:$A$28,F1046)</f>
        <v>0</v>
      </c>
      <c r="AF1046" s="35">
        <f t="shared" si="232"/>
        <v>0</v>
      </c>
      <c r="AG1046" s="14">
        <f t="shared" si="242"/>
        <v>0</v>
      </c>
      <c r="AH1046" s="25">
        <f>SUMIFS(инфо!$E$15:$E$28,инфо!$A$15:$A$28,F1046)</f>
        <v>0</v>
      </c>
      <c r="AI1046" s="26">
        <f t="shared" si="245"/>
        <v>0</v>
      </c>
      <c r="AJ1046" s="14">
        <f t="shared" si="243"/>
        <v>0</v>
      </c>
      <c r="AK1046" s="25">
        <f>SUMIFS(инфо!$F$15:$F$28,инфо!$A$15:$A$28,F1046)</f>
        <v>0</v>
      </c>
      <c r="AL1046" s="32">
        <f t="shared" si="234"/>
        <v>0</v>
      </c>
      <c r="AM1046" s="14">
        <f t="shared" si="237"/>
        <v>0</v>
      </c>
      <c r="AN1046" s="25">
        <f>SUMIFS(инфо!$G$15:$G$28,инфо!$A$15:$A$28,F1046)</f>
        <v>0</v>
      </c>
      <c r="AO1046" s="32">
        <f t="shared" si="235"/>
        <v>0</v>
      </c>
      <c r="AP1046" s="14">
        <f t="shared" si="238"/>
        <v>0</v>
      </c>
      <c r="AQ1046" s="25">
        <f>SUMIFS(инфо!$H$15:$H$28,инфо!$A$15:$A$28,F1046)</f>
        <v>0</v>
      </c>
      <c r="AR1046" s="26">
        <f t="shared" si="236"/>
        <v>0</v>
      </c>
      <c r="AS1046" s="14">
        <f t="shared" si="239"/>
        <v>0</v>
      </c>
      <c r="AT1046" s="25">
        <f>SUMIFS(инфо!$I$15:$I$28,инфо!$A$15:$A$28,F1046)</f>
        <v>0</v>
      </c>
      <c r="AU1046" s="35">
        <f t="shared" si="244"/>
        <v>0</v>
      </c>
      <c r="AV1046" s="14">
        <f t="shared" si="240"/>
        <v>0</v>
      </c>
      <c r="AX1046" s="69">
        <f>SUMIFS(инфо!$C$15:$C$28,инфо!$A$15:$A$28,F1046)*H1045</f>
        <v>0</v>
      </c>
    </row>
    <row r="1047" spans="1:50" x14ac:dyDescent="0.25">
      <c r="A1047" s="70">
        <f t="shared" si="231"/>
        <v>46587</v>
      </c>
      <c r="B1047" s="75"/>
      <c r="C1047" s="29"/>
      <c r="D1047" s="30"/>
      <c r="E1047" s="11"/>
      <c r="F1047" s="28"/>
      <c r="G1047" s="27"/>
      <c r="H1047" s="20"/>
      <c r="I1047" s="20"/>
      <c r="J1047" s="20"/>
      <c r="K1047" s="20"/>
      <c r="L1047" s="20"/>
      <c r="M1047" s="20"/>
      <c r="N1047" s="28"/>
      <c r="O1047" s="27"/>
      <c r="P1047" s="27"/>
      <c r="Q1047" s="27"/>
      <c r="R1047" s="27"/>
      <c r="S1047" s="67">
        <f t="shared" si="241"/>
        <v>0</v>
      </c>
      <c r="T1047" s="29"/>
      <c r="U1047" s="30"/>
      <c r="V1047" s="27"/>
      <c r="W1047" s="27"/>
      <c r="X1047" s="27"/>
      <c r="Y1047" s="29"/>
      <c r="Z1047" s="27"/>
      <c r="AA1047" s="27"/>
      <c r="AB1047" s="27"/>
      <c r="AC1047" s="27"/>
      <c r="AD1047" s="30"/>
      <c r="AE1047" s="31">
        <f>SUMIFS(инфо!$D$15:$D$28,инфо!$A$15:$A$28,F1047)</f>
        <v>0</v>
      </c>
      <c r="AF1047" s="35">
        <f t="shared" si="232"/>
        <v>0</v>
      </c>
      <c r="AG1047" s="33">
        <f t="shared" si="242"/>
        <v>0</v>
      </c>
      <c r="AH1047" s="31">
        <f>SUMIFS(инфо!$E$15:$E$28,инфо!$A$15:$A$28,F1047)</f>
        <v>0</v>
      </c>
      <c r="AI1047" s="32">
        <f t="shared" si="245"/>
        <v>0</v>
      </c>
      <c r="AJ1047" s="33">
        <f t="shared" si="243"/>
        <v>0</v>
      </c>
      <c r="AK1047" s="31">
        <f>SUMIFS(инфо!$F$15:$F$28,инфо!$A$15:$A$28,F1047)</f>
        <v>0</v>
      </c>
      <c r="AL1047" s="32">
        <f t="shared" si="234"/>
        <v>0</v>
      </c>
      <c r="AM1047" s="33">
        <f t="shared" si="237"/>
        <v>0</v>
      </c>
      <c r="AN1047" s="31">
        <f>SUMIFS(инфо!$G$15:$G$28,инфо!$A$15:$A$28,F1047)</f>
        <v>0</v>
      </c>
      <c r="AO1047" s="32">
        <f t="shared" si="235"/>
        <v>0</v>
      </c>
      <c r="AP1047" s="33">
        <f t="shared" si="238"/>
        <v>0</v>
      </c>
      <c r="AQ1047" s="31">
        <f>SUMIFS(инфо!$H$15:$H$28,инфо!$A$15:$A$28,F1047)</f>
        <v>0</v>
      </c>
      <c r="AR1047" s="32">
        <f t="shared" si="236"/>
        <v>0</v>
      </c>
      <c r="AS1047" s="33">
        <f t="shared" si="239"/>
        <v>0</v>
      </c>
      <c r="AT1047" s="31">
        <f>SUMIFS(инфо!$I$15:$I$28,инфо!$A$15:$A$28,F1047)</f>
        <v>0</v>
      </c>
      <c r="AU1047" s="35">
        <f t="shared" si="244"/>
        <v>0</v>
      </c>
      <c r="AV1047" s="33">
        <f t="shared" si="240"/>
        <v>0</v>
      </c>
      <c r="AX1047" s="67">
        <f>SUMIFS(инфо!$C$15:$C$28,инфо!$A$15:$A$28,F1047)*H1046</f>
        <v>0</v>
      </c>
    </row>
    <row r="1048" spans="1:50" x14ac:dyDescent="0.25">
      <c r="A1048" s="70">
        <f t="shared" si="231"/>
        <v>46588</v>
      </c>
      <c r="B1048" s="76"/>
      <c r="C1048" s="15"/>
      <c r="D1048" s="16"/>
      <c r="E1048" s="11"/>
      <c r="F1048" s="28"/>
      <c r="G1048" s="34"/>
      <c r="H1048" s="20"/>
      <c r="I1048" s="20"/>
      <c r="J1048" s="20"/>
      <c r="K1048" s="20"/>
      <c r="L1048" s="20"/>
      <c r="M1048" s="20"/>
      <c r="N1048" s="20"/>
      <c r="O1048" s="34"/>
      <c r="P1048" s="34"/>
      <c r="Q1048" s="34"/>
      <c r="R1048" s="34"/>
      <c r="S1048" s="68">
        <f t="shared" si="241"/>
        <v>0</v>
      </c>
      <c r="T1048" s="15"/>
      <c r="U1048" s="16"/>
      <c r="V1048" s="34"/>
      <c r="W1048" s="34"/>
      <c r="X1048" s="34"/>
      <c r="Y1048" s="15"/>
      <c r="Z1048" s="34"/>
      <c r="AA1048" s="34"/>
      <c r="AB1048" s="34"/>
      <c r="AC1048" s="34"/>
      <c r="AD1048" s="16"/>
      <c r="AE1048" s="24">
        <f>SUMIFS(инфо!$D$15:$D$28,инфо!$A$15:$A$28,F1048)</f>
        <v>0</v>
      </c>
      <c r="AF1048" s="35">
        <f t="shared" si="232"/>
        <v>0</v>
      </c>
      <c r="AG1048" s="12">
        <f t="shared" si="242"/>
        <v>0</v>
      </c>
      <c r="AH1048" s="24">
        <f>SUMIFS(инфо!$E$15:$E$28,инфо!$A$15:$A$28,F1048)</f>
        <v>0</v>
      </c>
      <c r="AI1048" s="35">
        <f t="shared" si="245"/>
        <v>0</v>
      </c>
      <c r="AJ1048" s="12">
        <f t="shared" si="243"/>
        <v>0</v>
      </c>
      <c r="AK1048" s="24">
        <f>SUMIFS(инфо!$F$15:$F$28,инфо!$A$15:$A$28,F1048)</f>
        <v>0</v>
      </c>
      <c r="AL1048" s="32">
        <f t="shared" si="234"/>
        <v>0</v>
      </c>
      <c r="AM1048" s="12">
        <f t="shared" si="237"/>
        <v>0</v>
      </c>
      <c r="AN1048" s="24">
        <f>SUMIFS(инфо!$G$15:$G$28,инфо!$A$15:$A$28,F1048)</f>
        <v>0</v>
      </c>
      <c r="AO1048" s="32">
        <f t="shared" si="235"/>
        <v>0</v>
      </c>
      <c r="AP1048" s="12">
        <f t="shared" si="238"/>
        <v>0</v>
      </c>
      <c r="AQ1048" s="24">
        <f>SUMIFS(инфо!$H$15:$H$28,инфо!$A$15:$A$28,F1048)</f>
        <v>0</v>
      </c>
      <c r="AR1048" s="35">
        <f t="shared" si="236"/>
        <v>0</v>
      </c>
      <c r="AS1048" s="12">
        <f t="shared" si="239"/>
        <v>0</v>
      </c>
      <c r="AT1048" s="24">
        <f>SUMIFS(инфо!$I$15:$I$28,инфо!$A$15:$A$28,F1048)</f>
        <v>0</v>
      </c>
      <c r="AU1048" s="35">
        <f t="shared" si="244"/>
        <v>0</v>
      </c>
      <c r="AV1048" s="12">
        <f t="shared" si="240"/>
        <v>0</v>
      </c>
      <c r="AX1048" s="68">
        <f>SUMIFS(инфо!$C$15:$C$28,инфо!$A$15:$A$28,F1048)*H1047</f>
        <v>0</v>
      </c>
    </row>
    <row r="1049" spans="1:50" x14ac:dyDescent="0.25">
      <c r="A1049" s="70">
        <f t="shared" si="231"/>
        <v>46588</v>
      </c>
      <c r="B1049" s="76"/>
      <c r="C1049" s="15"/>
      <c r="D1049" s="16"/>
      <c r="E1049" s="11"/>
      <c r="F1049" s="28"/>
      <c r="G1049" s="34"/>
      <c r="H1049" s="23"/>
      <c r="I1049" s="20"/>
      <c r="J1049" s="20"/>
      <c r="K1049" s="20"/>
      <c r="L1049" s="20"/>
      <c r="M1049" s="20"/>
      <c r="N1049" s="20"/>
      <c r="O1049" s="34"/>
      <c r="P1049" s="34"/>
      <c r="Q1049" s="34"/>
      <c r="R1049" s="34"/>
      <c r="S1049" s="68">
        <f t="shared" si="241"/>
        <v>0</v>
      </c>
      <c r="T1049" s="15"/>
      <c r="U1049" s="16"/>
      <c r="V1049" s="34"/>
      <c r="W1049" s="34"/>
      <c r="X1049" s="34"/>
      <c r="Y1049" s="15"/>
      <c r="Z1049" s="34"/>
      <c r="AA1049" s="34"/>
      <c r="AB1049" s="34"/>
      <c r="AC1049" s="34"/>
      <c r="AD1049" s="16"/>
      <c r="AE1049" s="24">
        <f>SUMIFS(инфо!$D$15:$D$28,инфо!$A$15:$A$28,F1049)</f>
        <v>0</v>
      </c>
      <c r="AF1049" s="35">
        <f t="shared" si="232"/>
        <v>0</v>
      </c>
      <c r="AG1049" s="12">
        <f t="shared" si="242"/>
        <v>0</v>
      </c>
      <c r="AH1049" s="24">
        <f>SUMIFS(инфо!$E$15:$E$28,инфо!$A$15:$A$28,F1049)</f>
        <v>0</v>
      </c>
      <c r="AI1049" s="35">
        <f t="shared" si="245"/>
        <v>0</v>
      </c>
      <c r="AJ1049" s="12">
        <f t="shared" si="243"/>
        <v>0</v>
      </c>
      <c r="AK1049" s="24">
        <f>SUMIFS(инфо!$F$15:$F$28,инфо!$A$15:$A$28,F1049)</f>
        <v>0</v>
      </c>
      <c r="AL1049" s="32">
        <f t="shared" si="234"/>
        <v>0</v>
      </c>
      <c r="AM1049" s="12">
        <f t="shared" si="237"/>
        <v>0</v>
      </c>
      <c r="AN1049" s="24">
        <f>SUMIFS(инфо!$G$15:$G$28,инфо!$A$15:$A$28,F1049)</f>
        <v>0</v>
      </c>
      <c r="AO1049" s="32">
        <f t="shared" si="235"/>
        <v>0</v>
      </c>
      <c r="AP1049" s="12">
        <f t="shared" si="238"/>
        <v>0</v>
      </c>
      <c r="AQ1049" s="24">
        <f>SUMIFS(инфо!$H$15:$H$28,инфо!$A$15:$A$28,F1049)</f>
        <v>0</v>
      </c>
      <c r="AR1049" s="35">
        <f t="shared" si="236"/>
        <v>0</v>
      </c>
      <c r="AS1049" s="12">
        <f t="shared" si="239"/>
        <v>0</v>
      </c>
      <c r="AT1049" s="24">
        <f>SUMIFS(инфо!$I$15:$I$28,инфо!$A$15:$A$28,F1049)</f>
        <v>0</v>
      </c>
      <c r="AU1049" s="35">
        <f t="shared" si="244"/>
        <v>0</v>
      </c>
      <c r="AV1049" s="12">
        <f t="shared" si="240"/>
        <v>0</v>
      </c>
      <c r="AX1049" s="68">
        <f>SUMIFS(инфо!$C$15:$C$28,инфо!$A$15:$A$28,F1049)*H1048</f>
        <v>0</v>
      </c>
    </row>
    <row r="1050" spans="1:50" x14ac:dyDescent="0.25">
      <c r="A1050" s="70">
        <f t="shared" si="231"/>
        <v>46589</v>
      </c>
      <c r="B1050" s="77"/>
      <c r="C1050" s="17"/>
      <c r="D1050" s="18"/>
      <c r="E1050" s="11"/>
      <c r="F1050" s="28"/>
      <c r="G1050" s="19"/>
      <c r="H1050" s="28"/>
      <c r="I1050" s="20"/>
      <c r="J1050" s="20"/>
      <c r="K1050" s="20"/>
      <c r="L1050" s="20"/>
      <c r="M1050" s="20"/>
      <c r="N1050" s="23"/>
      <c r="O1050" s="19"/>
      <c r="P1050" s="19"/>
      <c r="Q1050" s="19"/>
      <c r="R1050" s="19"/>
      <c r="S1050" s="69">
        <f t="shared" si="241"/>
        <v>0</v>
      </c>
      <c r="T1050" s="17"/>
      <c r="U1050" s="18"/>
      <c r="V1050" s="19"/>
      <c r="W1050" s="19"/>
      <c r="X1050" s="19"/>
      <c r="Y1050" s="17"/>
      <c r="Z1050" s="19"/>
      <c r="AA1050" s="19"/>
      <c r="AB1050" s="19"/>
      <c r="AC1050" s="19"/>
      <c r="AD1050" s="18"/>
      <c r="AE1050" s="25">
        <f>SUMIFS(инфо!$D$15:$D$28,инфо!$A$15:$A$28,F1050)</f>
        <v>0</v>
      </c>
      <c r="AF1050" s="35">
        <f t="shared" si="232"/>
        <v>0</v>
      </c>
      <c r="AG1050" s="14">
        <f t="shared" si="242"/>
        <v>0</v>
      </c>
      <c r="AH1050" s="25">
        <f>SUMIFS(инфо!$E$15:$E$28,инфо!$A$15:$A$28,F1050)</f>
        <v>0</v>
      </c>
      <c r="AI1050" s="26">
        <f t="shared" si="245"/>
        <v>0</v>
      </c>
      <c r="AJ1050" s="14">
        <f t="shared" si="243"/>
        <v>0</v>
      </c>
      <c r="AK1050" s="25">
        <f>SUMIFS(инфо!$F$15:$F$28,инфо!$A$15:$A$28,F1050)</f>
        <v>0</v>
      </c>
      <c r="AL1050" s="32">
        <f t="shared" si="234"/>
        <v>0</v>
      </c>
      <c r="AM1050" s="14">
        <f t="shared" si="237"/>
        <v>0</v>
      </c>
      <c r="AN1050" s="25">
        <f>SUMIFS(инфо!$G$15:$G$28,инфо!$A$15:$A$28,F1050)</f>
        <v>0</v>
      </c>
      <c r="AO1050" s="32">
        <f t="shared" si="235"/>
        <v>0</v>
      </c>
      <c r="AP1050" s="14">
        <f t="shared" si="238"/>
        <v>0</v>
      </c>
      <c r="AQ1050" s="25">
        <f>SUMIFS(инфо!$H$15:$H$28,инфо!$A$15:$A$28,F1050)</f>
        <v>0</v>
      </c>
      <c r="AR1050" s="26">
        <f t="shared" si="236"/>
        <v>0</v>
      </c>
      <c r="AS1050" s="14">
        <f t="shared" si="239"/>
        <v>0</v>
      </c>
      <c r="AT1050" s="25">
        <f>SUMIFS(инфо!$I$15:$I$28,инфо!$A$15:$A$28,F1050)</f>
        <v>0</v>
      </c>
      <c r="AU1050" s="35">
        <f t="shared" si="244"/>
        <v>0</v>
      </c>
      <c r="AV1050" s="14">
        <f t="shared" si="240"/>
        <v>0</v>
      </c>
      <c r="AX1050" s="69">
        <f>SUMIFS(инфо!$C$15:$C$28,инфо!$A$15:$A$28,F1050)*H1049</f>
        <v>0</v>
      </c>
    </row>
    <row r="1051" spans="1:50" x14ac:dyDescent="0.25">
      <c r="A1051" s="70">
        <f t="shared" si="231"/>
        <v>46589</v>
      </c>
      <c r="B1051" s="75"/>
      <c r="C1051" s="29"/>
      <c r="D1051" s="30"/>
      <c r="E1051" s="11"/>
      <c r="F1051" s="28"/>
      <c r="G1051" s="27"/>
      <c r="H1051" s="20"/>
      <c r="I1051" s="20"/>
      <c r="J1051" s="20"/>
      <c r="K1051" s="20"/>
      <c r="L1051" s="20"/>
      <c r="M1051" s="20"/>
      <c r="N1051" s="28"/>
      <c r="O1051" s="27"/>
      <c r="P1051" s="27"/>
      <c r="Q1051" s="27"/>
      <c r="R1051" s="27"/>
      <c r="S1051" s="67">
        <f t="shared" si="241"/>
        <v>0</v>
      </c>
      <c r="T1051" s="29"/>
      <c r="U1051" s="30"/>
      <c r="V1051" s="27"/>
      <c r="W1051" s="27"/>
      <c r="X1051" s="27"/>
      <c r="Y1051" s="29"/>
      <c r="Z1051" s="27"/>
      <c r="AA1051" s="27"/>
      <c r="AB1051" s="27"/>
      <c r="AC1051" s="27"/>
      <c r="AD1051" s="30"/>
      <c r="AE1051" s="31">
        <f>SUMIFS(инфо!$D$15:$D$28,инфо!$A$15:$A$28,F1051)</f>
        <v>0</v>
      </c>
      <c r="AF1051" s="35">
        <f t="shared" si="232"/>
        <v>0</v>
      </c>
      <c r="AG1051" s="33">
        <f t="shared" si="242"/>
        <v>0</v>
      </c>
      <c r="AH1051" s="31">
        <f>SUMIFS(инфо!$E$15:$E$28,инфо!$A$15:$A$28,F1051)</f>
        <v>0</v>
      </c>
      <c r="AI1051" s="32">
        <f t="shared" si="245"/>
        <v>0</v>
      </c>
      <c r="AJ1051" s="33">
        <f t="shared" si="243"/>
        <v>0</v>
      </c>
      <c r="AK1051" s="31">
        <f>SUMIFS(инфо!$F$15:$F$28,инфо!$A$15:$A$28,F1051)</f>
        <v>0</v>
      </c>
      <c r="AL1051" s="32">
        <f t="shared" si="234"/>
        <v>0</v>
      </c>
      <c r="AM1051" s="33">
        <f t="shared" si="237"/>
        <v>0</v>
      </c>
      <c r="AN1051" s="31">
        <f>SUMIFS(инфо!$G$15:$G$28,инфо!$A$15:$A$28,F1051)</f>
        <v>0</v>
      </c>
      <c r="AO1051" s="32">
        <f t="shared" si="235"/>
        <v>0</v>
      </c>
      <c r="AP1051" s="33">
        <f t="shared" si="238"/>
        <v>0</v>
      </c>
      <c r="AQ1051" s="31">
        <f>SUMIFS(инфо!$H$15:$H$28,инфо!$A$15:$A$28,F1051)</f>
        <v>0</v>
      </c>
      <c r="AR1051" s="32">
        <f t="shared" si="236"/>
        <v>0</v>
      </c>
      <c r="AS1051" s="33">
        <f t="shared" si="239"/>
        <v>0</v>
      </c>
      <c r="AT1051" s="31">
        <f>SUMIFS(инфо!$I$15:$I$28,инфо!$A$15:$A$28,F1051)</f>
        <v>0</v>
      </c>
      <c r="AU1051" s="35">
        <f t="shared" si="244"/>
        <v>0</v>
      </c>
      <c r="AV1051" s="33">
        <f t="shared" si="240"/>
        <v>0</v>
      </c>
      <c r="AX1051" s="67">
        <f>SUMIFS(инфо!$C$15:$C$28,инфо!$A$15:$A$28,F1051)*H1050</f>
        <v>0</v>
      </c>
    </row>
    <row r="1052" spans="1:50" x14ac:dyDescent="0.25">
      <c r="A1052" s="70">
        <f t="shared" ref="A1052:A1115" si="246">A1050+1</f>
        <v>46590</v>
      </c>
      <c r="B1052" s="76"/>
      <c r="C1052" s="15"/>
      <c r="D1052" s="16"/>
      <c r="E1052" s="11"/>
      <c r="F1052" s="28"/>
      <c r="G1052" s="34"/>
      <c r="H1052" s="20"/>
      <c r="I1052" s="20"/>
      <c r="J1052" s="20"/>
      <c r="K1052" s="20"/>
      <c r="L1052" s="20"/>
      <c r="M1052" s="20"/>
      <c r="N1052" s="20"/>
      <c r="O1052" s="34"/>
      <c r="P1052" s="34"/>
      <c r="Q1052" s="34"/>
      <c r="R1052" s="34"/>
      <c r="S1052" s="68">
        <f t="shared" si="241"/>
        <v>0</v>
      </c>
      <c r="T1052" s="15"/>
      <c r="U1052" s="16"/>
      <c r="V1052" s="34"/>
      <c r="W1052" s="34"/>
      <c r="X1052" s="34"/>
      <c r="Y1052" s="15"/>
      <c r="Z1052" s="34"/>
      <c r="AA1052" s="34"/>
      <c r="AB1052" s="34"/>
      <c r="AC1052" s="34"/>
      <c r="AD1052" s="16"/>
      <c r="AE1052" s="24">
        <f>SUMIFS(инфо!$D$15:$D$28,инфо!$A$15:$A$28,F1052)</f>
        <v>0</v>
      </c>
      <c r="AF1052" s="35">
        <f t="shared" si="232"/>
        <v>0</v>
      </c>
      <c r="AG1052" s="12">
        <f t="shared" si="242"/>
        <v>0</v>
      </c>
      <c r="AH1052" s="24">
        <f>SUMIFS(инфо!$E$15:$E$28,инфо!$A$15:$A$28,F1052)</f>
        <v>0</v>
      </c>
      <c r="AI1052" s="35">
        <f t="shared" si="245"/>
        <v>0</v>
      </c>
      <c r="AJ1052" s="12">
        <f t="shared" si="243"/>
        <v>0</v>
      </c>
      <c r="AK1052" s="24">
        <f>SUMIFS(инфо!$F$15:$F$28,инфо!$A$15:$A$28,F1052)</f>
        <v>0</v>
      </c>
      <c r="AL1052" s="32">
        <f t="shared" si="234"/>
        <v>0</v>
      </c>
      <c r="AM1052" s="12">
        <f t="shared" si="237"/>
        <v>0</v>
      </c>
      <c r="AN1052" s="24">
        <f>SUMIFS(инфо!$G$15:$G$28,инфо!$A$15:$A$28,F1052)</f>
        <v>0</v>
      </c>
      <c r="AO1052" s="32">
        <f t="shared" si="235"/>
        <v>0</v>
      </c>
      <c r="AP1052" s="12">
        <f t="shared" si="238"/>
        <v>0</v>
      </c>
      <c r="AQ1052" s="24">
        <f>SUMIFS(инфо!$H$15:$H$28,инфо!$A$15:$A$28,F1052)</f>
        <v>0</v>
      </c>
      <c r="AR1052" s="35">
        <f t="shared" si="236"/>
        <v>0</v>
      </c>
      <c r="AS1052" s="12">
        <f t="shared" si="239"/>
        <v>0</v>
      </c>
      <c r="AT1052" s="24">
        <f>SUMIFS(инфо!$I$15:$I$28,инфо!$A$15:$A$28,F1052)</f>
        <v>0</v>
      </c>
      <c r="AU1052" s="35">
        <f t="shared" si="244"/>
        <v>0</v>
      </c>
      <c r="AV1052" s="12">
        <f t="shared" si="240"/>
        <v>0</v>
      </c>
      <c r="AX1052" s="68">
        <f>SUMIFS(инфо!$C$15:$C$28,инфо!$A$15:$A$28,F1052)*H1051</f>
        <v>0</v>
      </c>
    </row>
    <row r="1053" spans="1:50" x14ac:dyDescent="0.25">
      <c r="A1053" s="70">
        <f t="shared" si="246"/>
        <v>46590</v>
      </c>
      <c r="B1053" s="76"/>
      <c r="C1053" s="15"/>
      <c r="D1053" s="16"/>
      <c r="E1053" s="11"/>
      <c r="F1053" s="28"/>
      <c r="G1053" s="34"/>
      <c r="H1053" s="23"/>
      <c r="I1053" s="20"/>
      <c r="J1053" s="20"/>
      <c r="K1053" s="20"/>
      <c r="L1053" s="20"/>
      <c r="M1053" s="20"/>
      <c r="N1053" s="20"/>
      <c r="O1053" s="34"/>
      <c r="P1053" s="34"/>
      <c r="Q1053" s="34"/>
      <c r="R1053" s="34"/>
      <c r="S1053" s="68">
        <f t="shared" si="241"/>
        <v>0</v>
      </c>
      <c r="T1053" s="15"/>
      <c r="U1053" s="16"/>
      <c r="V1053" s="34"/>
      <c r="W1053" s="34"/>
      <c r="X1053" s="34"/>
      <c r="Y1053" s="15"/>
      <c r="Z1053" s="34"/>
      <c r="AA1053" s="34"/>
      <c r="AB1053" s="34"/>
      <c r="AC1053" s="34"/>
      <c r="AD1053" s="16"/>
      <c r="AE1053" s="24">
        <f>SUMIFS(инфо!$D$15:$D$28,инфо!$A$15:$A$28,F1053)</f>
        <v>0</v>
      </c>
      <c r="AF1053" s="35">
        <f t="shared" si="232"/>
        <v>0</v>
      </c>
      <c r="AG1053" s="12">
        <f t="shared" si="242"/>
        <v>0</v>
      </c>
      <c r="AH1053" s="24">
        <f>SUMIFS(инфо!$E$15:$E$28,инфо!$A$15:$A$28,F1053)</f>
        <v>0</v>
      </c>
      <c r="AI1053" s="35">
        <f t="shared" si="245"/>
        <v>0</v>
      </c>
      <c r="AJ1053" s="12">
        <f t="shared" si="243"/>
        <v>0</v>
      </c>
      <c r="AK1053" s="24">
        <f>SUMIFS(инфо!$F$15:$F$28,инфо!$A$15:$A$28,F1053)</f>
        <v>0</v>
      </c>
      <c r="AL1053" s="32">
        <f t="shared" si="234"/>
        <v>0</v>
      </c>
      <c r="AM1053" s="12">
        <f t="shared" si="237"/>
        <v>0</v>
      </c>
      <c r="AN1053" s="24">
        <f>SUMIFS(инфо!$G$15:$G$28,инфо!$A$15:$A$28,F1053)</f>
        <v>0</v>
      </c>
      <c r="AO1053" s="32">
        <f t="shared" si="235"/>
        <v>0</v>
      </c>
      <c r="AP1053" s="12">
        <f t="shared" si="238"/>
        <v>0</v>
      </c>
      <c r="AQ1053" s="24">
        <f>SUMIFS(инфо!$H$15:$H$28,инфо!$A$15:$A$28,F1053)</f>
        <v>0</v>
      </c>
      <c r="AR1053" s="35">
        <f t="shared" si="236"/>
        <v>0</v>
      </c>
      <c r="AS1053" s="12">
        <f t="shared" si="239"/>
        <v>0</v>
      </c>
      <c r="AT1053" s="24">
        <f>SUMIFS(инфо!$I$15:$I$28,инфо!$A$15:$A$28,F1053)</f>
        <v>0</v>
      </c>
      <c r="AU1053" s="35">
        <f t="shared" si="244"/>
        <v>0</v>
      </c>
      <c r="AV1053" s="12">
        <f t="shared" si="240"/>
        <v>0</v>
      </c>
      <c r="AX1053" s="68">
        <f>SUMIFS(инфо!$C$15:$C$28,инфо!$A$15:$A$28,F1053)*H1052</f>
        <v>0</v>
      </c>
    </row>
    <row r="1054" spans="1:50" x14ac:dyDescent="0.25">
      <c r="A1054" s="70">
        <f t="shared" si="246"/>
        <v>46591</v>
      </c>
      <c r="B1054" s="77"/>
      <c r="C1054" s="17"/>
      <c r="D1054" s="18"/>
      <c r="E1054" s="11"/>
      <c r="F1054" s="28"/>
      <c r="G1054" s="19"/>
      <c r="H1054" s="28"/>
      <c r="I1054" s="20"/>
      <c r="J1054" s="20"/>
      <c r="K1054" s="20"/>
      <c r="L1054" s="20"/>
      <c r="M1054" s="20"/>
      <c r="N1054" s="23"/>
      <c r="O1054" s="19"/>
      <c r="P1054" s="19"/>
      <c r="Q1054" s="19"/>
      <c r="R1054" s="19"/>
      <c r="S1054" s="69">
        <f t="shared" si="241"/>
        <v>0</v>
      </c>
      <c r="T1054" s="17"/>
      <c r="U1054" s="18"/>
      <c r="V1054" s="19"/>
      <c r="W1054" s="19"/>
      <c r="X1054" s="19"/>
      <c r="Y1054" s="17"/>
      <c r="Z1054" s="19"/>
      <c r="AA1054" s="19"/>
      <c r="AB1054" s="19"/>
      <c r="AC1054" s="19"/>
      <c r="AD1054" s="18"/>
      <c r="AE1054" s="25">
        <f>SUMIFS(инфо!$D$15:$D$28,инфо!$A$15:$A$28,F1054)</f>
        <v>0</v>
      </c>
      <c r="AF1054" s="35">
        <f t="shared" si="232"/>
        <v>0</v>
      </c>
      <c r="AG1054" s="14">
        <f t="shared" si="242"/>
        <v>0</v>
      </c>
      <c r="AH1054" s="25">
        <f>SUMIFS(инфо!$E$15:$E$28,инфо!$A$15:$A$28,F1054)</f>
        <v>0</v>
      </c>
      <c r="AI1054" s="26">
        <f t="shared" si="245"/>
        <v>0</v>
      </c>
      <c r="AJ1054" s="14">
        <f t="shared" si="243"/>
        <v>0</v>
      </c>
      <c r="AK1054" s="25">
        <f>SUMIFS(инфо!$F$15:$F$28,инфо!$A$15:$A$28,F1054)</f>
        <v>0</v>
      </c>
      <c r="AL1054" s="32">
        <f t="shared" si="234"/>
        <v>0</v>
      </c>
      <c r="AM1054" s="14">
        <f t="shared" si="237"/>
        <v>0</v>
      </c>
      <c r="AN1054" s="25">
        <f>SUMIFS(инфо!$G$15:$G$28,инфо!$A$15:$A$28,F1054)</f>
        <v>0</v>
      </c>
      <c r="AO1054" s="32">
        <f t="shared" si="235"/>
        <v>0</v>
      </c>
      <c r="AP1054" s="14">
        <f t="shared" si="238"/>
        <v>0</v>
      </c>
      <c r="AQ1054" s="25">
        <f>SUMIFS(инфо!$H$15:$H$28,инфо!$A$15:$A$28,F1054)</f>
        <v>0</v>
      </c>
      <c r="AR1054" s="26">
        <f t="shared" si="236"/>
        <v>0</v>
      </c>
      <c r="AS1054" s="14">
        <f t="shared" si="239"/>
        <v>0</v>
      </c>
      <c r="AT1054" s="25">
        <f>SUMIFS(инфо!$I$15:$I$28,инфо!$A$15:$A$28,F1054)</f>
        <v>0</v>
      </c>
      <c r="AU1054" s="35">
        <f t="shared" si="244"/>
        <v>0</v>
      </c>
      <c r="AV1054" s="14">
        <f t="shared" si="240"/>
        <v>0</v>
      </c>
      <c r="AX1054" s="69">
        <f>SUMIFS(инфо!$C$15:$C$28,инфо!$A$15:$A$28,F1054)*H1053</f>
        <v>0</v>
      </c>
    </row>
    <row r="1055" spans="1:50" x14ac:dyDescent="0.25">
      <c r="A1055" s="70">
        <f t="shared" si="246"/>
        <v>46591</v>
      </c>
      <c r="B1055" s="75"/>
      <c r="C1055" s="29"/>
      <c r="D1055" s="30"/>
      <c r="E1055" s="11"/>
      <c r="F1055" s="28"/>
      <c r="G1055" s="27"/>
      <c r="H1055" s="20"/>
      <c r="I1055" s="20"/>
      <c r="J1055" s="20"/>
      <c r="K1055" s="20"/>
      <c r="L1055" s="20"/>
      <c r="M1055" s="20"/>
      <c r="N1055" s="28"/>
      <c r="O1055" s="27"/>
      <c r="P1055" s="27"/>
      <c r="Q1055" s="27"/>
      <c r="R1055" s="27"/>
      <c r="S1055" s="67">
        <f t="shared" si="241"/>
        <v>0</v>
      </c>
      <c r="T1055" s="29"/>
      <c r="U1055" s="30"/>
      <c r="V1055" s="27"/>
      <c r="W1055" s="27"/>
      <c r="X1055" s="27"/>
      <c r="Y1055" s="29"/>
      <c r="Z1055" s="27"/>
      <c r="AA1055" s="27"/>
      <c r="AB1055" s="27"/>
      <c r="AC1055" s="27"/>
      <c r="AD1055" s="30"/>
      <c r="AE1055" s="31">
        <f>SUMIFS(инфо!$D$15:$D$28,инфо!$A$15:$A$28,F1055)</f>
        <v>0</v>
      </c>
      <c r="AF1055" s="35">
        <f t="shared" si="232"/>
        <v>0</v>
      </c>
      <c r="AG1055" s="33">
        <f t="shared" si="242"/>
        <v>0</v>
      </c>
      <c r="AH1055" s="31">
        <f>SUMIFS(инфо!$E$15:$E$28,инфо!$A$15:$A$28,F1055)</f>
        <v>0</v>
      </c>
      <c r="AI1055" s="32">
        <f t="shared" si="245"/>
        <v>0</v>
      </c>
      <c r="AJ1055" s="33">
        <f t="shared" si="243"/>
        <v>0</v>
      </c>
      <c r="AK1055" s="31">
        <f>SUMIFS(инфо!$F$15:$F$28,инфо!$A$15:$A$28,F1055)</f>
        <v>0</v>
      </c>
      <c r="AL1055" s="32">
        <f t="shared" si="234"/>
        <v>0</v>
      </c>
      <c r="AM1055" s="33">
        <f t="shared" si="237"/>
        <v>0</v>
      </c>
      <c r="AN1055" s="31">
        <f>SUMIFS(инфо!$G$15:$G$28,инфо!$A$15:$A$28,F1055)</f>
        <v>0</v>
      </c>
      <c r="AO1055" s="32">
        <f t="shared" si="235"/>
        <v>0</v>
      </c>
      <c r="AP1055" s="33">
        <f t="shared" si="238"/>
        <v>0</v>
      </c>
      <c r="AQ1055" s="31">
        <f>SUMIFS(инфо!$H$15:$H$28,инфо!$A$15:$A$28,F1055)</f>
        <v>0</v>
      </c>
      <c r="AR1055" s="32">
        <f t="shared" si="236"/>
        <v>0</v>
      </c>
      <c r="AS1055" s="33">
        <f t="shared" si="239"/>
        <v>0</v>
      </c>
      <c r="AT1055" s="31">
        <f>SUMIFS(инфо!$I$15:$I$28,инфо!$A$15:$A$28,F1055)</f>
        <v>0</v>
      </c>
      <c r="AU1055" s="35">
        <f t="shared" si="244"/>
        <v>0</v>
      </c>
      <c r="AV1055" s="33">
        <f t="shared" si="240"/>
        <v>0</v>
      </c>
      <c r="AX1055" s="67">
        <f>SUMIFS(инфо!$C$15:$C$28,инфо!$A$15:$A$28,F1055)*H1054</f>
        <v>0</v>
      </c>
    </row>
    <row r="1056" spans="1:50" x14ac:dyDescent="0.25">
      <c r="A1056" s="70">
        <f t="shared" si="246"/>
        <v>46592</v>
      </c>
      <c r="B1056" s="76"/>
      <c r="C1056" s="15"/>
      <c r="D1056" s="16"/>
      <c r="E1056" s="11"/>
      <c r="F1056" s="28"/>
      <c r="G1056" s="34"/>
      <c r="H1056" s="20"/>
      <c r="I1056" s="20"/>
      <c r="J1056" s="20"/>
      <c r="K1056" s="20"/>
      <c r="L1056" s="20"/>
      <c r="M1056" s="20"/>
      <c r="N1056" s="20"/>
      <c r="O1056" s="34"/>
      <c r="P1056" s="34"/>
      <c r="Q1056" s="34"/>
      <c r="R1056" s="34"/>
      <c r="S1056" s="68">
        <f t="shared" si="241"/>
        <v>0</v>
      </c>
      <c r="T1056" s="15"/>
      <c r="U1056" s="16"/>
      <c r="V1056" s="34"/>
      <c r="W1056" s="34"/>
      <c r="X1056" s="34"/>
      <c r="Y1056" s="15"/>
      <c r="Z1056" s="34"/>
      <c r="AA1056" s="34"/>
      <c r="AB1056" s="34"/>
      <c r="AC1056" s="34"/>
      <c r="AD1056" s="16"/>
      <c r="AE1056" s="24">
        <f>SUMIFS(инфо!$D$15:$D$28,инфо!$A$15:$A$28,F1056)</f>
        <v>0</v>
      </c>
      <c r="AF1056" s="35">
        <f t="shared" si="232"/>
        <v>0</v>
      </c>
      <c r="AG1056" s="12">
        <f t="shared" si="242"/>
        <v>0</v>
      </c>
      <c r="AH1056" s="24">
        <f>SUMIFS(инфо!$E$15:$E$28,инфо!$A$15:$A$28,F1056)</f>
        <v>0</v>
      </c>
      <c r="AI1056" s="35">
        <f t="shared" si="245"/>
        <v>0</v>
      </c>
      <c r="AJ1056" s="12">
        <f t="shared" si="243"/>
        <v>0</v>
      </c>
      <c r="AK1056" s="24">
        <f>SUMIFS(инфо!$F$15:$F$28,инфо!$A$15:$A$28,F1056)</f>
        <v>0</v>
      </c>
      <c r="AL1056" s="32">
        <f t="shared" si="234"/>
        <v>0</v>
      </c>
      <c r="AM1056" s="12">
        <f t="shared" si="237"/>
        <v>0</v>
      </c>
      <c r="AN1056" s="24">
        <f>SUMIFS(инфо!$G$15:$G$28,инфо!$A$15:$A$28,F1056)</f>
        <v>0</v>
      </c>
      <c r="AO1056" s="32">
        <f t="shared" si="235"/>
        <v>0</v>
      </c>
      <c r="AP1056" s="12">
        <f t="shared" si="238"/>
        <v>0</v>
      </c>
      <c r="AQ1056" s="24">
        <f>SUMIFS(инфо!$H$15:$H$28,инфо!$A$15:$A$28,F1056)</f>
        <v>0</v>
      </c>
      <c r="AR1056" s="35">
        <f t="shared" si="236"/>
        <v>0</v>
      </c>
      <c r="AS1056" s="12">
        <f t="shared" si="239"/>
        <v>0</v>
      </c>
      <c r="AT1056" s="24">
        <f>SUMIFS(инфо!$I$15:$I$28,инфо!$A$15:$A$28,F1056)</f>
        <v>0</v>
      </c>
      <c r="AU1056" s="35">
        <f t="shared" si="244"/>
        <v>0</v>
      </c>
      <c r="AV1056" s="12">
        <f t="shared" si="240"/>
        <v>0</v>
      </c>
      <c r="AX1056" s="68">
        <f>SUMIFS(инфо!$C$15:$C$28,инфо!$A$15:$A$28,F1056)*H1055</f>
        <v>0</v>
      </c>
    </row>
    <row r="1057" spans="1:50" x14ac:dyDescent="0.25">
      <c r="A1057" s="70">
        <f t="shared" si="246"/>
        <v>46592</v>
      </c>
      <c r="B1057" s="76"/>
      <c r="C1057" s="15"/>
      <c r="D1057" s="16"/>
      <c r="E1057" s="11"/>
      <c r="F1057" s="28"/>
      <c r="G1057" s="34"/>
      <c r="H1057" s="23"/>
      <c r="I1057" s="20"/>
      <c r="J1057" s="20"/>
      <c r="K1057" s="20"/>
      <c r="L1057" s="20"/>
      <c r="M1057" s="20"/>
      <c r="N1057" s="20"/>
      <c r="O1057" s="34"/>
      <c r="P1057" s="34"/>
      <c r="Q1057" s="34"/>
      <c r="R1057" s="34"/>
      <c r="S1057" s="68">
        <f t="shared" si="241"/>
        <v>0</v>
      </c>
      <c r="T1057" s="15"/>
      <c r="U1057" s="16"/>
      <c r="V1057" s="34"/>
      <c r="W1057" s="34"/>
      <c r="X1057" s="34"/>
      <c r="Y1057" s="15"/>
      <c r="Z1057" s="34"/>
      <c r="AA1057" s="34"/>
      <c r="AB1057" s="34"/>
      <c r="AC1057" s="34"/>
      <c r="AD1057" s="16"/>
      <c r="AE1057" s="24">
        <f>SUMIFS(инфо!$D$15:$D$28,инфо!$A$15:$A$28,F1057)</f>
        <v>0</v>
      </c>
      <c r="AF1057" s="35">
        <f t="shared" si="232"/>
        <v>0</v>
      </c>
      <c r="AG1057" s="12">
        <f t="shared" si="242"/>
        <v>0</v>
      </c>
      <c r="AH1057" s="24">
        <f>SUMIFS(инфо!$E$15:$E$28,инфо!$A$15:$A$28,F1057)</f>
        <v>0</v>
      </c>
      <c r="AI1057" s="35">
        <f t="shared" si="245"/>
        <v>0</v>
      </c>
      <c r="AJ1057" s="12">
        <f t="shared" si="243"/>
        <v>0</v>
      </c>
      <c r="AK1057" s="24">
        <f>SUMIFS(инфо!$F$15:$F$28,инфо!$A$15:$A$28,F1057)</f>
        <v>0</v>
      </c>
      <c r="AL1057" s="32">
        <f t="shared" si="234"/>
        <v>0</v>
      </c>
      <c r="AM1057" s="12">
        <f t="shared" si="237"/>
        <v>0</v>
      </c>
      <c r="AN1057" s="24">
        <f>SUMIFS(инфо!$G$15:$G$28,инфо!$A$15:$A$28,F1057)</f>
        <v>0</v>
      </c>
      <c r="AO1057" s="32">
        <f t="shared" si="235"/>
        <v>0</v>
      </c>
      <c r="AP1057" s="12">
        <f t="shared" si="238"/>
        <v>0</v>
      </c>
      <c r="AQ1057" s="24">
        <f>SUMIFS(инфо!$H$15:$H$28,инфо!$A$15:$A$28,F1057)</f>
        <v>0</v>
      </c>
      <c r="AR1057" s="35">
        <f t="shared" si="236"/>
        <v>0</v>
      </c>
      <c r="AS1057" s="12">
        <f t="shared" si="239"/>
        <v>0</v>
      </c>
      <c r="AT1057" s="24">
        <f>SUMIFS(инфо!$I$15:$I$28,инфо!$A$15:$A$28,F1057)</f>
        <v>0</v>
      </c>
      <c r="AU1057" s="35">
        <f t="shared" si="244"/>
        <v>0</v>
      </c>
      <c r="AV1057" s="12">
        <f t="shared" si="240"/>
        <v>0</v>
      </c>
      <c r="AX1057" s="68">
        <f>SUMIFS(инфо!$C$15:$C$28,инфо!$A$15:$A$28,F1057)*H1056</f>
        <v>0</v>
      </c>
    </row>
    <row r="1058" spans="1:50" x14ac:dyDescent="0.25">
      <c r="A1058" s="70">
        <f t="shared" si="246"/>
        <v>46593</v>
      </c>
      <c r="B1058" s="77"/>
      <c r="C1058" s="17"/>
      <c r="D1058" s="18"/>
      <c r="E1058" s="11"/>
      <c r="F1058" s="28"/>
      <c r="G1058" s="19"/>
      <c r="H1058" s="28"/>
      <c r="I1058" s="20"/>
      <c r="J1058" s="20"/>
      <c r="K1058" s="20"/>
      <c r="L1058" s="20"/>
      <c r="M1058" s="20"/>
      <c r="N1058" s="23"/>
      <c r="O1058" s="19"/>
      <c r="P1058" s="19"/>
      <c r="Q1058" s="19"/>
      <c r="R1058" s="19"/>
      <c r="S1058" s="69">
        <f t="shared" si="241"/>
        <v>0</v>
      </c>
      <c r="T1058" s="17"/>
      <c r="U1058" s="18"/>
      <c r="V1058" s="19"/>
      <c r="W1058" s="19"/>
      <c r="X1058" s="19"/>
      <c r="Y1058" s="17"/>
      <c r="Z1058" s="19"/>
      <c r="AA1058" s="19"/>
      <c r="AB1058" s="19"/>
      <c r="AC1058" s="19"/>
      <c r="AD1058" s="18"/>
      <c r="AE1058" s="25">
        <f>SUMIFS(инфо!$D$15:$D$28,инфо!$A$15:$A$28,F1058)</f>
        <v>0</v>
      </c>
      <c r="AF1058" s="35">
        <f t="shared" si="232"/>
        <v>0</v>
      </c>
      <c r="AG1058" s="14">
        <f t="shared" si="242"/>
        <v>0</v>
      </c>
      <c r="AH1058" s="25">
        <f>SUMIFS(инфо!$E$15:$E$28,инфо!$A$15:$A$28,F1058)</f>
        <v>0</v>
      </c>
      <c r="AI1058" s="26">
        <f t="shared" si="245"/>
        <v>0</v>
      </c>
      <c r="AJ1058" s="14">
        <f t="shared" si="243"/>
        <v>0</v>
      </c>
      <c r="AK1058" s="25">
        <f>SUMIFS(инфо!$F$15:$F$28,инфо!$A$15:$A$28,F1058)</f>
        <v>0</v>
      </c>
      <c r="AL1058" s="32">
        <f t="shared" si="234"/>
        <v>0</v>
      </c>
      <c r="AM1058" s="14">
        <f t="shared" si="237"/>
        <v>0</v>
      </c>
      <c r="AN1058" s="25">
        <f>SUMIFS(инфо!$G$15:$G$28,инфо!$A$15:$A$28,F1058)</f>
        <v>0</v>
      </c>
      <c r="AO1058" s="32">
        <f t="shared" si="235"/>
        <v>0</v>
      </c>
      <c r="AP1058" s="14">
        <f t="shared" si="238"/>
        <v>0</v>
      </c>
      <c r="AQ1058" s="25">
        <f>SUMIFS(инфо!$H$15:$H$28,инфо!$A$15:$A$28,F1058)</f>
        <v>0</v>
      </c>
      <c r="AR1058" s="26">
        <f t="shared" si="236"/>
        <v>0</v>
      </c>
      <c r="AS1058" s="14">
        <f t="shared" si="239"/>
        <v>0</v>
      </c>
      <c r="AT1058" s="25">
        <f>SUMIFS(инфо!$I$15:$I$28,инфо!$A$15:$A$28,F1058)</f>
        <v>0</v>
      </c>
      <c r="AU1058" s="35">
        <f t="shared" si="244"/>
        <v>0</v>
      </c>
      <c r="AV1058" s="14">
        <f t="shared" si="240"/>
        <v>0</v>
      </c>
      <c r="AX1058" s="69">
        <f>SUMIFS(инфо!$C$15:$C$28,инфо!$A$15:$A$28,F1058)*H1057</f>
        <v>0</v>
      </c>
    </row>
    <row r="1059" spans="1:50" x14ac:dyDescent="0.25">
      <c r="A1059" s="70">
        <f t="shared" si="246"/>
        <v>46593</v>
      </c>
      <c r="B1059" s="75"/>
      <c r="C1059" s="29"/>
      <c r="D1059" s="30"/>
      <c r="E1059" s="11"/>
      <c r="F1059" s="28"/>
      <c r="G1059" s="27"/>
      <c r="H1059" s="20"/>
      <c r="I1059" s="20"/>
      <c r="J1059" s="20"/>
      <c r="K1059" s="20"/>
      <c r="L1059" s="20"/>
      <c r="M1059" s="20"/>
      <c r="N1059" s="28"/>
      <c r="O1059" s="27"/>
      <c r="P1059" s="27"/>
      <c r="Q1059" s="27"/>
      <c r="R1059" s="27"/>
      <c r="S1059" s="67">
        <f t="shared" si="241"/>
        <v>0</v>
      </c>
      <c r="T1059" s="29"/>
      <c r="U1059" s="30"/>
      <c r="V1059" s="27"/>
      <c r="W1059" s="27"/>
      <c r="X1059" s="27"/>
      <c r="Y1059" s="29"/>
      <c r="Z1059" s="27"/>
      <c r="AA1059" s="27"/>
      <c r="AB1059" s="27"/>
      <c r="AC1059" s="27"/>
      <c r="AD1059" s="30"/>
      <c r="AE1059" s="31">
        <f>SUMIFS(инфо!$D$15:$D$28,инфо!$A$15:$A$28,F1059)</f>
        <v>0</v>
      </c>
      <c r="AF1059" s="35">
        <f t="shared" si="232"/>
        <v>0</v>
      </c>
      <c r="AG1059" s="33">
        <f t="shared" si="242"/>
        <v>0</v>
      </c>
      <c r="AH1059" s="31">
        <f>SUMIFS(инфо!$E$15:$E$28,инфо!$A$15:$A$28,F1059)</f>
        <v>0</v>
      </c>
      <c r="AI1059" s="32">
        <f t="shared" si="245"/>
        <v>0</v>
      </c>
      <c r="AJ1059" s="33">
        <f t="shared" si="243"/>
        <v>0</v>
      </c>
      <c r="AK1059" s="31">
        <f>SUMIFS(инфо!$F$15:$F$28,инфо!$A$15:$A$28,F1059)</f>
        <v>0</v>
      </c>
      <c r="AL1059" s="32">
        <f t="shared" si="234"/>
        <v>0</v>
      </c>
      <c r="AM1059" s="33">
        <f t="shared" si="237"/>
        <v>0</v>
      </c>
      <c r="AN1059" s="31">
        <f>SUMIFS(инфо!$G$15:$G$28,инфо!$A$15:$A$28,F1059)</f>
        <v>0</v>
      </c>
      <c r="AO1059" s="32">
        <f t="shared" si="235"/>
        <v>0</v>
      </c>
      <c r="AP1059" s="33">
        <f t="shared" si="238"/>
        <v>0</v>
      </c>
      <c r="AQ1059" s="31">
        <f>SUMIFS(инфо!$H$15:$H$28,инфо!$A$15:$A$28,F1059)</f>
        <v>0</v>
      </c>
      <c r="AR1059" s="32">
        <f t="shared" si="236"/>
        <v>0</v>
      </c>
      <c r="AS1059" s="33">
        <f t="shared" si="239"/>
        <v>0</v>
      </c>
      <c r="AT1059" s="31">
        <f>SUMIFS(инфо!$I$15:$I$28,инфо!$A$15:$A$28,F1059)</f>
        <v>0</v>
      </c>
      <c r="AU1059" s="35">
        <f t="shared" si="244"/>
        <v>0</v>
      </c>
      <c r="AV1059" s="33">
        <f t="shared" si="240"/>
        <v>0</v>
      </c>
      <c r="AX1059" s="67">
        <f>SUMIFS(инфо!$C$15:$C$28,инфо!$A$15:$A$28,F1059)*H1058</f>
        <v>0</v>
      </c>
    </row>
    <row r="1060" spans="1:50" x14ac:dyDescent="0.25">
      <c r="A1060" s="70">
        <f t="shared" si="246"/>
        <v>46594</v>
      </c>
      <c r="B1060" s="76"/>
      <c r="C1060" s="15"/>
      <c r="D1060" s="16"/>
      <c r="E1060" s="11"/>
      <c r="F1060" s="28"/>
      <c r="G1060" s="34"/>
      <c r="H1060" s="20"/>
      <c r="I1060" s="20"/>
      <c r="J1060" s="20"/>
      <c r="K1060" s="20"/>
      <c r="L1060" s="20"/>
      <c r="M1060" s="20"/>
      <c r="N1060" s="20"/>
      <c r="O1060" s="34"/>
      <c r="P1060" s="34"/>
      <c r="Q1060" s="34"/>
      <c r="R1060" s="34"/>
      <c r="S1060" s="68">
        <f t="shared" si="241"/>
        <v>0</v>
      </c>
      <c r="T1060" s="15"/>
      <c r="U1060" s="16"/>
      <c r="V1060" s="34"/>
      <c r="W1060" s="34"/>
      <c r="X1060" s="34"/>
      <c r="Y1060" s="15"/>
      <c r="Z1060" s="34"/>
      <c r="AA1060" s="34"/>
      <c r="AB1060" s="34"/>
      <c r="AC1060" s="34"/>
      <c r="AD1060" s="16"/>
      <c r="AE1060" s="24">
        <f>SUMIFS(инфо!$D$15:$D$28,инфо!$A$15:$A$28,F1060)</f>
        <v>0</v>
      </c>
      <c r="AF1060" s="35">
        <f t="shared" si="232"/>
        <v>0</v>
      </c>
      <c r="AG1060" s="12">
        <f t="shared" si="242"/>
        <v>0</v>
      </c>
      <c r="AH1060" s="24">
        <f>SUMIFS(инфо!$E$15:$E$28,инфо!$A$15:$A$28,F1060)</f>
        <v>0</v>
      </c>
      <c r="AI1060" s="35">
        <f t="shared" si="245"/>
        <v>0</v>
      </c>
      <c r="AJ1060" s="12">
        <f t="shared" si="243"/>
        <v>0</v>
      </c>
      <c r="AK1060" s="24">
        <f>SUMIFS(инфо!$F$15:$F$28,инфо!$A$15:$A$28,F1060)</f>
        <v>0</v>
      </c>
      <c r="AL1060" s="32">
        <f t="shared" si="234"/>
        <v>0</v>
      </c>
      <c r="AM1060" s="12">
        <f t="shared" si="237"/>
        <v>0</v>
      </c>
      <c r="AN1060" s="24">
        <f>SUMIFS(инфо!$G$15:$G$28,инфо!$A$15:$A$28,F1060)</f>
        <v>0</v>
      </c>
      <c r="AO1060" s="32">
        <f t="shared" si="235"/>
        <v>0</v>
      </c>
      <c r="AP1060" s="12">
        <f t="shared" si="238"/>
        <v>0</v>
      </c>
      <c r="AQ1060" s="24">
        <f>SUMIFS(инфо!$H$15:$H$28,инфо!$A$15:$A$28,F1060)</f>
        <v>0</v>
      </c>
      <c r="AR1060" s="35">
        <f t="shared" si="236"/>
        <v>0</v>
      </c>
      <c r="AS1060" s="12">
        <f t="shared" si="239"/>
        <v>0</v>
      </c>
      <c r="AT1060" s="24">
        <f>SUMIFS(инфо!$I$15:$I$28,инфо!$A$15:$A$28,F1060)</f>
        <v>0</v>
      </c>
      <c r="AU1060" s="35">
        <f t="shared" si="244"/>
        <v>0</v>
      </c>
      <c r="AV1060" s="12">
        <f t="shared" si="240"/>
        <v>0</v>
      </c>
      <c r="AX1060" s="68">
        <f>SUMIFS(инфо!$C$15:$C$28,инфо!$A$15:$A$28,F1060)*H1059</f>
        <v>0</v>
      </c>
    </row>
    <row r="1061" spans="1:50" x14ac:dyDescent="0.25">
      <c r="A1061" s="70">
        <f t="shared" si="246"/>
        <v>46594</v>
      </c>
      <c r="B1061" s="76"/>
      <c r="C1061" s="15"/>
      <c r="D1061" s="16"/>
      <c r="E1061" s="11"/>
      <c r="F1061" s="28"/>
      <c r="G1061" s="34"/>
      <c r="H1061" s="23"/>
      <c r="I1061" s="20"/>
      <c r="J1061" s="20"/>
      <c r="K1061" s="20"/>
      <c r="L1061" s="20"/>
      <c r="M1061" s="20"/>
      <c r="N1061" s="20"/>
      <c r="O1061" s="34"/>
      <c r="P1061" s="34"/>
      <c r="Q1061" s="34"/>
      <c r="R1061" s="34"/>
      <c r="S1061" s="68">
        <f t="shared" si="241"/>
        <v>0</v>
      </c>
      <c r="T1061" s="15"/>
      <c r="U1061" s="16"/>
      <c r="V1061" s="34"/>
      <c r="W1061" s="34"/>
      <c r="X1061" s="34"/>
      <c r="Y1061" s="15"/>
      <c r="Z1061" s="34"/>
      <c r="AA1061" s="34"/>
      <c r="AB1061" s="34"/>
      <c r="AC1061" s="34"/>
      <c r="AD1061" s="16"/>
      <c r="AE1061" s="24">
        <f>SUMIFS(инфо!$D$15:$D$28,инфо!$A$15:$A$28,F1061)</f>
        <v>0</v>
      </c>
      <c r="AF1061" s="35">
        <f t="shared" si="232"/>
        <v>0</v>
      </c>
      <c r="AG1061" s="12">
        <f t="shared" si="242"/>
        <v>0</v>
      </c>
      <c r="AH1061" s="24">
        <f>SUMIFS(инфо!$E$15:$E$28,инфо!$A$15:$A$28,F1061)</f>
        <v>0</v>
      </c>
      <c r="AI1061" s="35">
        <f t="shared" si="245"/>
        <v>0</v>
      </c>
      <c r="AJ1061" s="12">
        <f t="shared" si="243"/>
        <v>0</v>
      </c>
      <c r="AK1061" s="24">
        <f>SUMIFS(инфо!$F$15:$F$28,инфо!$A$15:$A$28,F1061)</f>
        <v>0</v>
      </c>
      <c r="AL1061" s="32">
        <f t="shared" si="234"/>
        <v>0</v>
      </c>
      <c r="AM1061" s="12">
        <f t="shared" si="237"/>
        <v>0</v>
      </c>
      <c r="AN1061" s="24">
        <f>SUMIFS(инфо!$G$15:$G$28,инфо!$A$15:$A$28,F1061)</f>
        <v>0</v>
      </c>
      <c r="AO1061" s="32">
        <f t="shared" si="235"/>
        <v>0</v>
      </c>
      <c r="AP1061" s="12">
        <f t="shared" si="238"/>
        <v>0</v>
      </c>
      <c r="AQ1061" s="24">
        <f>SUMIFS(инфо!$H$15:$H$28,инфо!$A$15:$A$28,F1061)</f>
        <v>0</v>
      </c>
      <c r="AR1061" s="35">
        <f t="shared" si="236"/>
        <v>0</v>
      </c>
      <c r="AS1061" s="12">
        <f t="shared" si="239"/>
        <v>0</v>
      </c>
      <c r="AT1061" s="24">
        <f>SUMIFS(инфо!$I$15:$I$28,инфо!$A$15:$A$28,F1061)</f>
        <v>0</v>
      </c>
      <c r="AU1061" s="35">
        <f t="shared" si="244"/>
        <v>0</v>
      </c>
      <c r="AV1061" s="12">
        <f t="shared" si="240"/>
        <v>0</v>
      </c>
      <c r="AX1061" s="68">
        <f>SUMIFS(инфо!$C$15:$C$28,инфо!$A$15:$A$28,F1061)*H1060</f>
        <v>0</v>
      </c>
    </row>
    <row r="1062" spans="1:50" x14ac:dyDescent="0.25">
      <c r="A1062" s="70">
        <f t="shared" si="246"/>
        <v>46595</v>
      </c>
      <c r="B1062" s="77"/>
      <c r="C1062" s="17"/>
      <c r="D1062" s="18"/>
      <c r="E1062" s="11"/>
      <c r="F1062" s="28"/>
      <c r="G1062" s="19"/>
      <c r="H1062" s="28"/>
      <c r="I1062" s="20"/>
      <c r="J1062" s="20"/>
      <c r="K1062" s="20"/>
      <c r="L1062" s="20"/>
      <c r="M1062" s="20"/>
      <c r="N1062" s="23"/>
      <c r="O1062" s="19"/>
      <c r="P1062" s="19"/>
      <c r="Q1062" s="19"/>
      <c r="R1062" s="19"/>
      <c r="S1062" s="69">
        <f t="shared" si="241"/>
        <v>0</v>
      </c>
      <c r="T1062" s="17"/>
      <c r="U1062" s="18"/>
      <c r="V1062" s="19"/>
      <c r="W1062" s="19"/>
      <c r="X1062" s="19"/>
      <c r="Y1062" s="17"/>
      <c r="Z1062" s="19"/>
      <c r="AA1062" s="19"/>
      <c r="AB1062" s="19"/>
      <c r="AC1062" s="19"/>
      <c r="AD1062" s="18"/>
      <c r="AE1062" s="25">
        <f>SUMIFS(инфо!$D$15:$D$28,инфо!$A$15:$A$28,F1062)</f>
        <v>0</v>
      </c>
      <c r="AF1062" s="35">
        <f t="shared" si="232"/>
        <v>0</v>
      </c>
      <c r="AG1062" s="14">
        <f t="shared" si="242"/>
        <v>0</v>
      </c>
      <c r="AH1062" s="25">
        <f>SUMIFS(инфо!$E$15:$E$28,инфо!$A$15:$A$28,F1062)</f>
        <v>0</v>
      </c>
      <c r="AI1062" s="26">
        <f t="shared" si="245"/>
        <v>0</v>
      </c>
      <c r="AJ1062" s="14">
        <f t="shared" si="243"/>
        <v>0</v>
      </c>
      <c r="AK1062" s="25">
        <f>SUMIFS(инфо!$F$15:$F$28,инфо!$A$15:$A$28,F1062)</f>
        <v>0</v>
      </c>
      <c r="AL1062" s="32">
        <f t="shared" si="234"/>
        <v>0</v>
      </c>
      <c r="AM1062" s="14">
        <f t="shared" si="237"/>
        <v>0</v>
      </c>
      <c r="AN1062" s="25">
        <f>SUMIFS(инфо!$G$15:$G$28,инфо!$A$15:$A$28,F1062)</f>
        <v>0</v>
      </c>
      <c r="AO1062" s="32">
        <f t="shared" si="235"/>
        <v>0</v>
      </c>
      <c r="AP1062" s="14">
        <f t="shared" si="238"/>
        <v>0</v>
      </c>
      <c r="AQ1062" s="25">
        <f>SUMIFS(инфо!$H$15:$H$28,инфо!$A$15:$A$28,F1062)</f>
        <v>0</v>
      </c>
      <c r="AR1062" s="26">
        <f t="shared" si="236"/>
        <v>0</v>
      </c>
      <c r="AS1062" s="14">
        <f t="shared" si="239"/>
        <v>0</v>
      </c>
      <c r="AT1062" s="25">
        <f>SUMIFS(инфо!$I$15:$I$28,инфо!$A$15:$A$28,F1062)</f>
        <v>0</v>
      </c>
      <c r="AU1062" s="35">
        <f t="shared" si="244"/>
        <v>0</v>
      </c>
      <c r="AV1062" s="14">
        <f t="shared" si="240"/>
        <v>0</v>
      </c>
      <c r="AX1062" s="69">
        <f>SUMIFS(инфо!$C$15:$C$28,инфо!$A$15:$A$28,F1062)*H1061</f>
        <v>0</v>
      </c>
    </row>
    <row r="1063" spans="1:50" x14ac:dyDescent="0.25">
      <c r="A1063" s="70">
        <f t="shared" si="246"/>
        <v>46595</v>
      </c>
      <c r="B1063" s="75"/>
      <c r="C1063" s="29"/>
      <c r="D1063" s="30"/>
      <c r="E1063" s="11"/>
      <c r="F1063" s="28"/>
      <c r="G1063" s="27"/>
      <c r="H1063" s="20"/>
      <c r="I1063" s="20"/>
      <c r="J1063" s="20"/>
      <c r="K1063" s="20"/>
      <c r="L1063" s="20"/>
      <c r="M1063" s="20"/>
      <c r="N1063" s="28"/>
      <c r="O1063" s="27"/>
      <c r="P1063" s="27"/>
      <c r="Q1063" s="27"/>
      <c r="R1063" s="27"/>
      <c r="S1063" s="67">
        <f t="shared" si="241"/>
        <v>0</v>
      </c>
      <c r="T1063" s="29"/>
      <c r="U1063" s="30"/>
      <c r="V1063" s="27"/>
      <c r="W1063" s="27"/>
      <c r="X1063" s="27"/>
      <c r="Y1063" s="29"/>
      <c r="Z1063" s="27"/>
      <c r="AA1063" s="27"/>
      <c r="AB1063" s="27"/>
      <c r="AC1063" s="27"/>
      <c r="AD1063" s="30"/>
      <c r="AE1063" s="31">
        <f>SUMIFS(инфо!$D$15:$D$28,инфо!$A$15:$A$28,F1063)</f>
        <v>0</v>
      </c>
      <c r="AF1063" s="35">
        <f t="shared" si="232"/>
        <v>0</v>
      </c>
      <c r="AG1063" s="33">
        <f t="shared" si="242"/>
        <v>0</v>
      </c>
      <c r="AH1063" s="31">
        <f>SUMIFS(инфо!$E$15:$E$28,инфо!$A$15:$A$28,F1063)</f>
        <v>0</v>
      </c>
      <c r="AI1063" s="32">
        <f t="shared" si="245"/>
        <v>0</v>
      </c>
      <c r="AJ1063" s="33">
        <f t="shared" si="243"/>
        <v>0</v>
      </c>
      <c r="AK1063" s="31">
        <f>SUMIFS(инфо!$F$15:$F$28,инфо!$A$15:$A$28,F1063)</f>
        <v>0</v>
      </c>
      <c r="AL1063" s="32">
        <f t="shared" si="234"/>
        <v>0</v>
      </c>
      <c r="AM1063" s="33">
        <f t="shared" si="237"/>
        <v>0</v>
      </c>
      <c r="AN1063" s="31">
        <f>SUMIFS(инфо!$G$15:$G$28,инфо!$A$15:$A$28,F1063)</f>
        <v>0</v>
      </c>
      <c r="AO1063" s="32">
        <f t="shared" si="235"/>
        <v>0</v>
      </c>
      <c r="AP1063" s="33">
        <f t="shared" si="238"/>
        <v>0</v>
      </c>
      <c r="AQ1063" s="31">
        <f>SUMIFS(инфо!$H$15:$H$28,инфо!$A$15:$A$28,F1063)</f>
        <v>0</v>
      </c>
      <c r="AR1063" s="32">
        <f t="shared" si="236"/>
        <v>0</v>
      </c>
      <c r="AS1063" s="33">
        <f t="shared" si="239"/>
        <v>0</v>
      </c>
      <c r="AT1063" s="31">
        <f>SUMIFS(инфо!$I$15:$I$28,инфо!$A$15:$A$28,F1063)</f>
        <v>0</v>
      </c>
      <c r="AU1063" s="35">
        <f t="shared" si="244"/>
        <v>0</v>
      </c>
      <c r="AV1063" s="33">
        <f t="shared" si="240"/>
        <v>0</v>
      </c>
      <c r="AX1063" s="67">
        <f>SUMIFS(инфо!$C$15:$C$28,инфо!$A$15:$A$28,F1063)*H1062</f>
        <v>0</v>
      </c>
    </row>
    <row r="1064" spans="1:50" x14ac:dyDescent="0.25">
      <c r="A1064" s="70">
        <f t="shared" si="246"/>
        <v>46596</v>
      </c>
      <c r="B1064" s="76"/>
      <c r="C1064" s="15"/>
      <c r="D1064" s="16"/>
      <c r="E1064" s="11"/>
      <c r="F1064" s="28"/>
      <c r="G1064" s="34"/>
      <c r="H1064" s="20"/>
      <c r="I1064" s="20"/>
      <c r="J1064" s="20"/>
      <c r="K1064" s="20"/>
      <c r="L1064" s="20"/>
      <c r="M1064" s="20"/>
      <c r="N1064" s="20"/>
      <c r="O1064" s="34"/>
      <c r="P1064" s="34"/>
      <c r="Q1064" s="34"/>
      <c r="R1064" s="34"/>
      <c r="S1064" s="68">
        <f t="shared" si="241"/>
        <v>0</v>
      </c>
      <c r="T1064" s="15"/>
      <c r="U1064" s="16"/>
      <c r="V1064" s="34"/>
      <c r="W1064" s="34"/>
      <c r="X1064" s="34"/>
      <c r="Y1064" s="15"/>
      <c r="Z1064" s="34"/>
      <c r="AA1064" s="34"/>
      <c r="AB1064" s="34"/>
      <c r="AC1064" s="34"/>
      <c r="AD1064" s="16"/>
      <c r="AE1064" s="24">
        <f>SUMIFS(инфо!$D$15:$D$28,инфо!$A$15:$A$28,F1064)</f>
        <v>0</v>
      </c>
      <c r="AF1064" s="35">
        <f t="shared" si="232"/>
        <v>0</v>
      </c>
      <c r="AG1064" s="12">
        <f t="shared" si="242"/>
        <v>0</v>
      </c>
      <c r="AH1064" s="24">
        <f>SUMIFS(инфо!$E$15:$E$28,инфо!$A$15:$A$28,F1064)</f>
        <v>0</v>
      </c>
      <c r="AI1064" s="35">
        <f t="shared" si="245"/>
        <v>0</v>
      </c>
      <c r="AJ1064" s="12">
        <f t="shared" si="243"/>
        <v>0</v>
      </c>
      <c r="AK1064" s="24">
        <f>SUMIFS(инфо!$F$15:$F$28,инфо!$A$15:$A$28,F1064)</f>
        <v>0</v>
      </c>
      <c r="AL1064" s="32">
        <f t="shared" si="234"/>
        <v>0</v>
      </c>
      <c r="AM1064" s="12">
        <f t="shared" si="237"/>
        <v>0</v>
      </c>
      <c r="AN1064" s="24">
        <f>SUMIFS(инфо!$G$15:$G$28,инфо!$A$15:$A$28,F1064)</f>
        <v>0</v>
      </c>
      <c r="AO1064" s="32">
        <f t="shared" si="235"/>
        <v>0</v>
      </c>
      <c r="AP1064" s="12">
        <f t="shared" si="238"/>
        <v>0</v>
      </c>
      <c r="AQ1064" s="24">
        <f>SUMIFS(инфо!$H$15:$H$28,инфо!$A$15:$A$28,F1064)</f>
        <v>0</v>
      </c>
      <c r="AR1064" s="35">
        <f t="shared" si="236"/>
        <v>0</v>
      </c>
      <c r="AS1064" s="12">
        <f t="shared" si="239"/>
        <v>0</v>
      </c>
      <c r="AT1064" s="24">
        <f>SUMIFS(инфо!$I$15:$I$28,инфо!$A$15:$A$28,F1064)</f>
        <v>0</v>
      </c>
      <c r="AU1064" s="35">
        <f t="shared" si="244"/>
        <v>0</v>
      </c>
      <c r="AV1064" s="12">
        <f t="shared" si="240"/>
        <v>0</v>
      </c>
      <c r="AX1064" s="68">
        <f>SUMIFS(инфо!$C$15:$C$28,инфо!$A$15:$A$28,F1064)*H1063</f>
        <v>0</v>
      </c>
    </row>
    <row r="1065" spans="1:50" x14ac:dyDescent="0.25">
      <c r="A1065" s="70">
        <f t="shared" si="246"/>
        <v>46596</v>
      </c>
      <c r="B1065" s="76"/>
      <c r="C1065" s="15"/>
      <c r="D1065" s="16"/>
      <c r="E1065" s="11"/>
      <c r="F1065" s="28"/>
      <c r="G1065" s="34"/>
      <c r="H1065" s="23"/>
      <c r="I1065" s="20"/>
      <c r="J1065" s="20"/>
      <c r="K1065" s="20"/>
      <c r="L1065" s="20"/>
      <c r="M1065" s="20"/>
      <c r="N1065" s="20"/>
      <c r="O1065" s="34"/>
      <c r="P1065" s="34"/>
      <c r="Q1065" s="34"/>
      <c r="R1065" s="34"/>
      <c r="S1065" s="68">
        <f t="shared" si="241"/>
        <v>0</v>
      </c>
      <c r="T1065" s="15"/>
      <c r="U1065" s="16"/>
      <c r="V1065" s="34"/>
      <c r="W1065" s="34"/>
      <c r="X1065" s="34"/>
      <c r="Y1065" s="15"/>
      <c r="Z1065" s="34"/>
      <c r="AA1065" s="34"/>
      <c r="AB1065" s="34"/>
      <c r="AC1065" s="34"/>
      <c r="AD1065" s="16"/>
      <c r="AE1065" s="24">
        <f>SUMIFS(инфо!$D$15:$D$28,инфо!$A$15:$A$28,F1065)</f>
        <v>0</v>
      </c>
      <c r="AF1065" s="35">
        <f t="shared" si="232"/>
        <v>0</v>
      </c>
      <c r="AG1065" s="12">
        <f t="shared" si="242"/>
        <v>0</v>
      </c>
      <c r="AH1065" s="24">
        <f>SUMIFS(инфо!$E$15:$E$28,инфо!$A$15:$A$28,F1065)</f>
        <v>0</v>
      </c>
      <c r="AI1065" s="35">
        <f t="shared" si="245"/>
        <v>0</v>
      </c>
      <c r="AJ1065" s="12">
        <f t="shared" si="243"/>
        <v>0</v>
      </c>
      <c r="AK1065" s="24">
        <f>SUMIFS(инфо!$F$15:$F$28,инфо!$A$15:$A$28,F1065)</f>
        <v>0</v>
      </c>
      <c r="AL1065" s="32">
        <f t="shared" si="234"/>
        <v>0</v>
      </c>
      <c r="AM1065" s="12">
        <f t="shared" si="237"/>
        <v>0</v>
      </c>
      <c r="AN1065" s="24">
        <f>SUMIFS(инфо!$G$15:$G$28,инфо!$A$15:$A$28,F1065)</f>
        <v>0</v>
      </c>
      <c r="AO1065" s="32">
        <f t="shared" si="235"/>
        <v>0</v>
      </c>
      <c r="AP1065" s="12">
        <f t="shared" si="238"/>
        <v>0</v>
      </c>
      <c r="AQ1065" s="24">
        <f>SUMIFS(инфо!$H$15:$H$28,инфо!$A$15:$A$28,F1065)</f>
        <v>0</v>
      </c>
      <c r="AR1065" s="35">
        <f t="shared" si="236"/>
        <v>0</v>
      </c>
      <c r="AS1065" s="12">
        <f t="shared" si="239"/>
        <v>0</v>
      </c>
      <c r="AT1065" s="24">
        <f>SUMIFS(инфо!$I$15:$I$28,инфо!$A$15:$A$28,F1065)</f>
        <v>0</v>
      </c>
      <c r="AU1065" s="35">
        <f t="shared" si="244"/>
        <v>0</v>
      </c>
      <c r="AV1065" s="12">
        <f t="shared" si="240"/>
        <v>0</v>
      </c>
      <c r="AX1065" s="68">
        <f>SUMIFS(инфо!$C$15:$C$28,инфо!$A$15:$A$28,F1065)*H1064</f>
        <v>0</v>
      </c>
    </row>
    <row r="1066" spans="1:50" x14ac:dyDescent="0.25">
      <c r="A1066" s="70">
        <f t="shared" si="246"/>
        <v>46597</v>
      </c>
      <c r="B1066" s="77"/>
      <c r="C1066" s="17"/>
      <c r="D1066" s="18"/>
      <c r="E1066" s="11"/>
      <c r="F1066" s="28"/>
      <c r="G1066" s="19"/>
      <c r="H1066" s="28"/>
      <c r="I1066" s="20"/>
      <c r="J1066" s="20"/>
      <c r="K1066" s="20"/>
      <c r="L1066" s="20"/>
      <c r="M1066" s="20"/>
      <c r="N1066" s="23"/>
      <c r="O1066" s="19"/>
      <c r="P1066" s="19"/>
      <c r="Q1066" s="19"/>
      <c r="R1066" s="19"/>
      <c r="S1066" s="69">
        <f t="shared" si="241"/>
        <v>0</v>
      </c>
      <c r="T1066" s="17"/>
      <c r="U1066" s="18"/>
      <c r="V1066" s="19"/>
      <c r="W1066" s="19"/>
      <c r="X1066" s="19"/>
      <c r="Y1066" s="17"/>
      <c r="Z1066" s="19"/>
      <c r="AA1066" s="19"/>
      <c r="AB1066" s="19"/>
      <c r="AC1066" s="19"/>
      <c r="AD1066" s="18"/>
      <c r="AE1066" s="25">
        <f>SUMIFS(инфо!$D$15:$D$28,инфо!$A$15:$A$28,F1066)</f>
        <v>0</v>
      </c>
      <c r="AF1066" s="35">
        <f t="shared" si="232"/>
        <v>0</v>
      </c>
      <c r="AG1066" s="14">
        <f t="shared" si="242"/>
        <v>0</v>
      </c>
      <c r="AH1066" s="25">
        <f>SUMIFS(инфо!$E$15:$E$28,инфо!$A$15:$A$28,F1066)</f>
        <v>0</v>
      </c>
      <c r="AI1066" s="26">
        <f t="shared" si="245"/>
        <v>0</v>
      </c>
      <c r="AJ1066" s="14">
        <f t="shared" si="243"/>
        <v>0</v>
      </c>
      <c r="AK1066" s="25">
        <f>SUMIFS(инфо!$F$15:$F$28,инфо!$A$15:$A$28,F1066)</f>
        <v>0</v>
      </c>
      <c r="AL1066" s="32">
        <f t="shared" si="234"/>
        <v>0</v>
      </c>
      <c r="AM1066" s="14">
        <f t="shared" si="237"/>
        <v>0</v>
      </c>
      <c r="AN1066" s="25">
        <f>SUMIFS(инфо!$G$15:$G$28,инфо!$A$15:$A$28,F1066)</f>
        <v>0</v>
      </c>
      <c r="AO1066" s="32">
        <f t="shared" si="235"/>
        <v>0</v>
      </c>
      <c r="AP1066" s="14">
        <f t="shared" si="238"/>
        <v>0</v>
      </c>
      <c r="AQ1066" s="25">
        <f>SUMIFS(инфо!$H$15:$H$28,инфо!$A$15:$A$28,F1066)</f>
        <v>0</v>
      </c>
      <c r="AR1066" s="26">
        <f t="shared" si="236"/>
        <v>0</v>
      </c>
      <c r="AS1066" s="14">
        <f t="shared" si="239"/>
        <v>0</v>
      </c>
      <c r="AT1066" s="25">
        <f>SUMIFS(инфо!$I$15:$I$28,инфо!$A$15:$A$28,F1066)</f>
        <v>0</v>
      </c>
      <c r="AU1066" s="35">
        <f t="shared" si="244"/>
        <v>0</v>
      </c>
      <c r="AV1066" s="14">
        <f t="shared" si="240"/>
        <v>0</v>
      </c>
      <c r="AX1066" s="69">
        <f>SUMIFS(инфо!$C$15:$C$28,инфо!$A$15:$A$28,F1066)*H1065</f>
        <v>0</v>
      </c>
    </row>
    <row r="1067" spans="1:50" x14ac:dyDescent="0.25">
      <c r="A1067" s="70">
        <f t="shared" si="246"/>
        <v>46597</v>
      </c>
      <c r="B1067" s="75"/>
      <c r="C1067" s="29"/>
      <c r="D1067" s="30"/>
      <c r="E1067" s="11"/>
      <c r="F1067" s="28"/>
      <c r="G1067" s="27"/>
      <c r="H1067" s="20"/>
      <c r="I1067" s="20"/>
      <c r="J1067" s="20"/>
      <c r="K1067" s="20"/>
      <c r="L1067" s="20"/>
      <c r="M1067" s="20"/>
      <c r="N1067" s="28"/>
      <c r="O1067" s="27"/>
      <c r="P1067" s="27"/>
      <c r="Q1067" s="27"/>
      <c r="R1067" s="27"/>
      <c r="S1067" s="67">
        <f t="shared" si="241"/>
        <v>0</v>
      </c>
      <c r="T1067" s="29"/>
      <c r="U1067" s="30"/>
      <c r="V1067" s="27"/>
      <c r="W1067" s="27"/>
      <c r="X1067" s="27"/>
      <c r="Y1067" s="29"/>
      <c r="Z1067" s="27"/>
      <c r="AA1067" s="27"/>
      <c r="AB1067" s="27"/>
      <c r="AC1067" s="27"/>
      <c r="AD1067" s="30"/>
      <c r="AE1067" s="31">
        <f>SUMIFS(инфо!$D$15:$D$28,инфо!$A$15:$A$28,F1067)</f>
        <v>0</v>
      </c>
      <c r="AF1067" s="35">
        <f t="shared" si="232"/>
        <v>0</v>
      </c>
      <c r="AG1067" s="33">
        <f t="shared" si="242"/>
        <v>0</v>
      </c>
      <c r="AH1067" s="31">
        <f>SUMIFS(инфо!$E$15:$E$28,инфо!$A$15:$A$28,F1067)</f>
        <v>0</v>
      </c>
      <c r="AI1067" s="32">
        <f t="shared" si="245"/>
        <v>0</v>
      </c>
      <c r="AJ1067" s="33">
        <f t="shared" si="243"/>
        <v>0</v>
      </c>
      <c r="AK1067" s="31">
        <f>SUMIFS(инфо!$F$15:$F$28,инфо!$A$15:$A$28,F1067)</f>
        <v>0</v>
      </c>
      <c r="AL1067" s="32">
        <f t="shared" si="234"/>
        <v>0</v>
      </c>
      <c r="AM1067" s="33">
        <f t="shared" si="237"/>
        <v>0</v>
      </c>
      <c r="AN1067" s="31">
        <f>SUMIFS(инфо!$G$15:$G$28,инфо!$A$15:$A$28,F1067)</f>
        <v>0</v>
      </c>
      <c r="AO1067" s="32">
        <f t="shared" si="235"/>
        <v>0</v>
      </c>
      <c r="AP1067" s="33">
        <f t="shared" si="238"/>
        <v>0</v>
      </c>
      <c r="AQ1067" s="31">
        <f>SUMIFS(инфо!$H$15:$H$28,инфо!$A$15:$A$28,F1067)</f>
        <v>0</v>
      </c>
      <c r="AR1067" s="32">
        <f t="shared" si="236"/>
        <v>0</v>
      </c>
      <c r="AS1067" s="33">
        <f t="shared" si="239"/>
        <v>0</v>
      </c>
      <c r="AT1067" s="31">
        <f>SUMIFS(инфо!$I$15:$I$28,инфо!$A$15:$A$28,F1067)</f>
        <v>0</v>
      </c>
      <c r="AU1067" s="35">
        <f t="shared" si="244"/>
        <v>0</v>
      </c>
      <c r="AV1067" s="33">
        <f t="shared" si="240"/>
        <v>0</v>
      </c>
      <c r="AX1067" s="67">
        <f>SUMIFS(инфо!$C$15:$C$28,инфо!$A$15:$A$28,F1067)*H1066</f>
        <v>0</v>
      </c>
    </row>
    <row r="1068" spans="1:50" x14ac:dyDescent="0.25">
      <c r="A1068" s="70">
        <f t="shared" si="246"/>
        <v>46598</v>
      </c>
      <c r="B1068" s="76"/>
      <c r="C1068" s="15"/>
      <c r="D1068" s="16"/>
      <c r="E1068" s="11"/>
      <c r="F1068" s="28"/>
      <c r="G1068" s="34"/>
      <c r="H1068" s="20"/>
      <c r="I1068" s="20"/>
      <c r="J1068" s="20"/>
      <c r="K1068" s="20"/>
      <c r="L1068" s="20"/>
      <c r="M1068" s="20"/>
      <c r="N1068" s="20"/>
      <c r="O1068" s="34"/>
      <c r="P1068" s="34"/>
      <c r="Q1068" s="34"/>
      <c r="R1068" s="34"/>
      <c r="S1068" s="68">
        <f t="shared" si="241"/>
        <v>0</v>
      </c>
      <c r="T1068" s="15"/>
      <c r="U1068" s="16"/>
      <c r="V1068" s="34"/>
      <c r="W1068" s="34"/>
      <c r="X1068" s="34"/>
      <c r="Y1068" s="15"/>
      <c r="Z1068" s="34"/>
      <c r="AA1068" s="34"/>
      <c r="AB1068" s="34"/>
      <c r="AC1068" s="34"/>
      <c r="AD1068" s="16"/>
      <c r="AE1068" s="24">
        <f>SUMIFS(инфо!$D$15:$D$28,инфо!$A$15:$A$28,F1068)</f>
        <v>0</v>
      </c>
      <c r="AF1068" s="35">
        <f t="shared" si="232"/>
        <v>0</v>
      </c>
      <c r="AG1068" s="12">
        <f t="shared" si="242"/>
        <v>0</v>
      </c>
      <c r="AH1068" s="24">
        <f>SUMIFS(инфо!$E$15:$E$28,инфо!$A$15:$A$28,F1068)</f>
        <v>0</v>
      </c>
      <c r="AI1068" s="35">
        <f t="shared" si="245"/>
        <v>0</v>
      </c>
      <c r="AJ1068" s="12">
        <f t="shared" si="243"/>
        <v>0</v>
      </c>
      <c r="AK1068" s="24">
        <f>SUMIFS(инфо!$F$15:$F$28,инфо!$A$15:$A$28,F1068)</f>
        <v>0</v>
      </c>
      <c r="AL1068" s="32">
        <f t="shared" si="234"/>
        <v>0</v>
      </c>
      <c r="AM1068" s="12">
        <f t="shared" si="237"/>
        <v>0</v>
      </c>
      <c r="AN1068" s="24">
        <f>SUMIFS(инфо!$G$15:$G$28,инфо!$A$15:$A$28,F1068)</f>
        <v>0</v>
      </c>
      <c r="AO1068" s="32">
        <f t="shared" si="235"/>
        <v>0</v>
      </c>
      <c r="AP1068" s="12">
        <f t="shared" si="238"/>
        <v>0</v>
      </c>
      <c r="AQ1068" s="24">
        <f>SUMIFS(инфо!$H$15:$H$28,инфо!$A$15:$A$28,F1068)</f>
        <v>0</v>
      </c>
      <c r="AR1068" s="35">
        <f t="shared" si="236"/>
        <v>0</v>
      </c>
      <c r="AS1068" s="12">
        <f t="shared" si="239"/>
        <v>0</v>
      </c>
      <c r="AT1068" s="24">
        <f>SUMIFS(инфо!$I$15:$I$28,инфо!$A$15:$A$28,F1068)</f>
        <v>0</v>
      </c>
      <c r="AU1068" s="35">
        <f t="shared" si="244"/>
        <v>0</v>
      </c>
      <c r="AV1068" s="12">
        <f t="shared" si="240"/>
        <v>0</v>
      </c>
      <c r="AX1068" s="68">
        <f>SUMIFS(инфо!$C$15:$C$28,инфо!$A$15:$A$28,F1068)*H1067</f>
        <v>0</v>
      </c>
    </row>
    <row r="1069" spans="1:50" x14ac:dyDescent="0.25">
      <c r="A1069" s="70">
        <f t="shared" si="246"/>
        <v>46598</v>
      </c>
      <c r="B1069" s="76"/>
      <c r="C1069" s="15"/>
      <c r="D1069" s="16"/>
      <c r="E1069" s="11"/>
      <c r="F1069" s="28"/>
      <c r="G1069" s="34"/>
      <c r="H1069" s="23"/>
      <c r="I1069" s="20"/>
      <c r="J1069" s="20"/>
      <c r="K1069" s="20"/>
      <c r="L1069" s="20"/>
      <c r="M1069" s="20"/>
      <c r="N1069" s="20"/>
      <c r="O1069" s="34"/>
      <c r="P1069" s="34"/>
      <c r="Q1069" s="34"/>
      <c r="R1069" s="34"/>
      <c r="S1069" s="68">
        <f t="shared" si="241"/>
        <v>0</v>
      </c>
      <c r="T1069" s="15"/>
      <c r="U1069" s="16"/>
      <c r="V1069" s="34"/>
      <c r="W1069" s="34"/>
      <c r="X1069" s="34"/>
      <c r="Y1069" s="15"/>
      <c r="Z1069" s="34"/>
      <c r="AA1069" s="34"/>
      <c r="AB1069" s="34"/>
      <c r="AC1069" s="34"/>
      <c r="AD1069" s="16"/>
      <c r="AE1069" s="24">
        <f>SUMIFS(инфо!$D$15:$D$28,инфо!$A$15:$A$28,F1069)</f>
        <v>0</v>
      </c>
      <c r="AF1069" s="35">
        <f t="shared" ref="AF1069:AF1132" si="247">IF(H1069=0,0,N1069/H1069)</f>
        <v>0</v>
      </c>
      <c r="AG1069" s="12">
        <f t="shared" si="242"/>
        <v>0</v>
      </c>
      <c r="AH1069" s="24">
        <f>SUMIFS(инфо!$E$15:$E$28,инфо!$A$15:$A$28,F1069)</f>
        <v>0</v>
      </c>
      <c r="AI1069" s="35">
        <f t="shared" si="245"/>
        <v>0</v>
      </c>
      <c r="AJ1069" s="12">
        <f t="shared" si="243"/>
        <v>0</v>
      </c>
      <c r="AK1069" s="24">
        <f>SUMIFS(инфо!$F$15:$F$28,инфо!$A$15:$A$28,F1069)</f>
        <v>0</v>
      </c>
      <c r="AL1069" s="32">
        <f t="shared" ref="AL1069:AL1132" si="248">IF(H1069=0,0,Y1069/H1069)</f>
        <v>0</v>
      </c>
      <c r="AM1069" s="12">
        <f t="shared" si="237"/>
        <v>0</v>
      </c>
      <c r="AN1069" s="24">
        <f>SUMIFS(инфо!$G$15:$G$28,инфо!$A$15:$A$28,F1069)</f>
        <v>0</v>
      </c>
      <c r="AO1069" s="32">
        <f t="shared" ref="AO1069:AO1132" si="249">IF(H1069=0,0,AA1069/H1069)</f>
        <v>0</v>
      </c>
      <c r="AP1069" s="12">
        <f t="shared" si="238"/>
        <v>0</v>
      </c>
      <c r="AQ1069" s="24">
        <f>SUMIFS(инфо!$H$15:$H$28,инфо!$A$15:$A$28,F1069)</f>
        <v>0</v>
      </c>
      <c r="AR1069" s="35">
        <f t="shared" si="236"/>
        <v>0</v>
      </c>
      <c r="AS1069" s="12">
        <f t="shared" si="239"/>
        <v>0</v>
      </c>
      <c r="AT1069" s="24">
        <f>SUMIFS(инфо!$I$15:$I$28,инфо!$A$15:$A$28,F1069)</f>
        <v>0</v>
      </c>
      <c r="AU1069" s="35">
        <f t="shared" si="244"/>
        <v>0</v>
      </c>
      <c r="AV1069" s="12">
        <f t="shared" si="240"/>
        <v>0</v>
      </c>
      <c r="AX1069" s="68">
        <f>SUMIFS(инфо!$C$15:$C$28,инфо!$A$15:$A$28,F1069)*H1068</f>
        <v>0</v>
      </c>
    </row>
    <row r="1070" spans="1:50" x14ac:dyDescent="0.25">
      <c r="A1070" s="70">
        <f t="shared" si="246"/>
        <v>46599</v>
      </c>
      <c r="B1070" s="77"/>
      <c r="C1070" s="17"/>
      <c r="D1070" s="18"/>
      <c r="E1070" s="11"/>
      <c r="F1070" s="28"/>
      <c r="G1070" s="19"/>
      <c r="H1070" s="28"/>
      <c r="I1070" s="20"/>
      <c r="J1070" s="20"/>
      <c r="K1070" s="20"/>
      <c r="L1070" s="20"/>
      <c r="M1070" s="20"/>
      <c r="N1070" s="23"/>
      <c r="O1070" s="19"/>
      <c r="P1070" s="19"/>
      <c r="Q1070" s="19"/>
      <c r="R1070" s="19"/>
      <c r="S1070" s="69">
        <f t="shared" si="241"/>
        <v>0</v>
      </c>
      <c r="T1070" s="17"/>
      <c r="U1070" s="18"/>
      <c r="V1070" s="19"/>
      <c r="W1070" s="19"/>
      <c r="X1070" s="19"/>
      <c r="Y1070" s="17"/>
      <c r="Z1070" s="19"/>
      <c r="AA1070" s="19"/>
      <c r="AB1070" s="19"/>
      <c r="AC1070" s="19"/>
      <c r="AD1070" s="18"/>
      <c r="AE1070" s="25">
        <f>SUMIFS(инфо!$D$15:$D$28,инфо!$A$15:$A$28,F1070)</f>
        <v>0</v>
      </c>
      <c r="AF1070" s="35">
        <f t="shared" si="247"/>
        <v>0</v>
      </c>
      <c r="AG1070" s="14">
        <f t="shared" si="242"/>
        <v>0</v>
      </c>
      <c r="AH1070" s="25">
        <f>SUMIFS(инфо!$E$15:$E$28,инфо!$A$15:$A$28,F1070)</f>
        <v>0</v>
      </c>
      <c r="AI1070" s="26">
        <f t="shared" si="245"/>
        <v>0</v>
      </c>
      <c r="AJ1070" s="14">
        <f t="shared" si="243"/>
        <v>0</v>
      </c>
      <c r="AK1070" s="25">
        <f>SUMIFS(инфо!$F$15:$F$28,инфо!$A$15:$A$28,F1070)</f>
        <v>0</v>
      </c>
      <c r="AL1070" s="32">
        <f t="shared" si="248"/>
        <v>0</v>
      </c>
      <c r="AM1070" s="14">
        <f t="shared" si="237"/>
        <v>0</v>
      </c>
      <c r="AN1070" s="25">
        <f>SUMIFS(инфо!$G$15:$G$28,инфо!$A$15:$A$28,F1070)</f>
        <v>0</v>
      </c>
      <c r="AO1070" s="32">
        <f t="shared" si="249"/>
        <v>0</v>
      </c>
      <c r="AP1070" s="14">
        <f t="shared" si="238"/>
        <v>0</v>
      </c>
      <c r="AQ1070" s="25">
        <f>SUMIFS(инфо!$H$15:$H$28,инфо!$A$15:$A$28,F1070)</f>
        <v>0</v>
      </c>
      <c r="AR1070" s="26">
        <f t="shared" ref="AR1070:AR1133" si="250">IF(H1069=0,0,AC1070/H1069)</f>
        <v>0</v>
      </c>
      <c r="AS1070" s="14">
        <f t="shared" si="239"/>
        <v>0</v>
      </c>
      <c r="AT1070" s="25">
        <f>SUMIFS(инфо!$I$15:$I$28,инфо!$A$15:$A$28,F1070)</f>
        <v>0</v>
      </c>
      <c r="AU1070" s="35">
        <f t="shared" si="244"/>
        <v>0</v>
      </c>
      <c r="AV1070" s="14">
        <f t="shared" si="240"/>
        <v>0</v>
      </c>
      <c r="AX1070" s="69">
        <f>SUMIFS(инфо!$C$15:$C$28,инфо!$A$15:$A$28,F1070)*H1069</f>
        <v>0</v>
      </c>
    </row>
    <row r="1071" spans="1:50" x14ac:dyDescent="0.25">
      <c r="A1071" s="70">
        <f t="shared" si="246"/>
        <v>46599</v>
      </c>
      <c r="B1071" s="75"/>
      <c r="C1071" s="29"/>
      <c r="D1071" s="30"/>
      <c r="E1071" s="11"/>
      <c r="F1071" s="28"/>
      <c r="G1071" s="27"/>
      <c r="H1071" s="20"/>
      <c r="I1071" s="20"/>
      <c r="J1071" s="20"/>
      <c r="K1071" s="20"/>
      <c r="L1071" s="20"/>
      <c r="M1071" s="20"/>
      <c r="N1071" s="28"/>
      <c r="O1071" s="27"/>
      <c r="P1071" s="27"/>
      <c r="Q1071" s="27"/>
      <c r="R1071" s="27"/>
      <c r="S1071" s="67">
        <f t="shared" si="241"/>
        <v>0</v>
      </c>
      <c r="T1071" s="29"/>
      <c r="U1071" s="30"/>
      <c r="V1071" s="27"/>
      <c r="W1071" s="27"/>
      <c r="X1071" s="27"/>
      <c r="Y1071" s="29"/>
      <c r="Z1071" s="27"/>
      <c r="AA1071" s="27"/>
      <c r="AB1071" s="27"/>
      <c r="AC1071" s="27"/>
      <c r="AD1071" s="30"/>
      <c r="AE1071" s="31">
        <f>SUMIFS(инфо!$D$15:$D$28,инфо!$A$15:$A$28,F1071)</f>
        <v>0</v>
      </c>
      <c r="AF1071" s="35">
        <f t="shared" si="247"/>
        <v>0</v>
      </c>
      <c r="AG1071" s="33">
        <f t="shared" si="242"/>
        <v>0</v>
      </c>
      <c r="AH1071" s="31">
        <f>SUMIFS(инфо!$E$15:$E$28,инфо!$A$15:$A$28,F1071)</f>
        <v>0</v>
      </c>
      <c r="AI1071" s="32">
        <f t="shared" si="245"/>
        <v>0</v>
      </c>
      <c r="AJ1071" s="33">
        <f t="shared" si="243"/>
        <v>0</v>
      </c>
      <c r="AK1071" s="31">
        <f>SUMIFS(инфо!$F$15:$F$28,инфо!$A$15:$A$28,F1071)</f>
        <v>0</v>
      </c>
      <c r="AL1071" s="32">
        <f t="shared" si="248"/>
        <v>0</v>
      </c>
      <c r="AM1071" s="33">
        <f t="shared" ref="AM1071:AM1134" si="251">AL1071-AK1071</f>
        <v>0</v>
      </c>
      <c r="AN1071" s="31">
        <f>SUMIFS(инфо!$G$15:$G$28,инфо!$A$15:$A$28,F1071)</f>
        <v>0</v>
      </c>
      <c r="AO1071" s="32">
        <f t="shared" si="249"/>
        <v>0</v>
      </c>
      <c r="AP1071" s="33">
        <f t="shared" ref="AP1071:AP1134" si="252">AO1071-AN1071</f>
        <v>0</v>
      </c>
      <c r="AQ1071" s="31">
        <f>SUMIFS(инфо!$H$15:$H$28,инфо!$A$15:$A$28,F1071)</f>
        <v>0</v>
      </c>
      <c r="AR1071" s="32">
        <f t="shared" si="250"/>
        <v>0</v>
      </c>
      <c r="AS1071" s="33">
        <f t="shared" ref="AS1071:AS1134" si="253">AR1071-AQ1071</f>
        <v>0</v>
      </c>
      <c r="AT1071" s="31">
        <f>SUMIFS(инфо!$I$15:$I$28,инфо!$A$15:$A$28,F1071)</f>
        <v>0</v>
      </c>
      <c r="AU1071" s="35">
        <f t="shared" si="244"/>
        <v>0</v>
      </c>
      <c r="AV1071" s="33">
        <f t="shared" ref="AV1071:AV1134" si="254">AU1071-AT1071</f>
        <v>0</v>
      </c>
      <c r="AX1071" s="67">
        <f>SUMIFS(инфо!$C$15:$C$28,инфо!$A$15:$A$28,F1071)*H1070</f>
        <v>0</v>
      </c>
    </row>
    <row r="1072" spans="1:50" x14ac:dyDescent="0.25">
      <c r="A1072" s="70">
        <f t="shared" si="246"/>
        <v>46600</v>
      </c>
      <c r="B1072" s="76"/>
      <c r="C1072" s="15"/>
      <c r="D1072" s="16"/>
      <c r="E1072" s="11"/>
      <c r="F1072" s="28"/>
      <c r="G1072" s="34"/>
      <c r="H1072" s="20"/>
      <c r="I1072" s="20"/>
      <c r="J1072" s="20"/>
      <c r="K1072" s="20"/>
      <c r="L1072" s="20"/>
      <c r="M1072" s="20"/>
      <c r="N1072" s="20"/>
      <c r="O1072" s="34"/>
      <c r="P1072" s="34"/>
      <c r="Q1072" s="34"/>
      <c r="R1072" s="34"/>
      <c r="S1072" s="68">
        <f t="shared" ref="S1072:S1135" si="255">SUM(O1072:R1072)</f>
        <v>0</v>
      </c>
      <c r="T1072" s="15"/>
      <c r="U1072" s="16"/>
      <c r="V1072" s="34"/>
      <c r="W1072" s="34"/>
      <c r="X1072" s="34"/>
      <c r="Y1072" s="15"/>
      <c r="Z1072" s="34"/>
      <c r="AA1072" s="34"/>
      <c r="AB1072" s="34"/>
      <c r="AC1072" s="34"/>
      <c r="AD1072" s="16"/>
      <c r="AE1072" s="24">
        <f>SUMIFS(инфо!$D$15:$D$28,инфо!$A$15:$A$28,F1072)</f>
        <v>0</v>
      </c>
      <c r="AF1072" s="35">
        <f t="shared" si="247"/>
        <v>0</v>
      </c>
      <c r="AG1072" s="12">
        <f t="shared" si="242"/>
        <v>0</v>
      </c>
      <c r="AH1072" s="24">
        <f>SUMIFS(инфо!$E$15:$E$28,инфо!$A$15:$A$28,F1072)</f>
        <v>0</v>
      </c>
      <c r="AI1072" s="35">
        <f t="shared" si="245"/>
        <v>0</v>
      </c>
      <c r="AJ1072" s="12">
        <f t="shared" si="243"/>
        <v>0</v>
      </c>
      <c r="AK1072" s="24">
        <f>SUMIFS(инфо!$F$15:$F$28,инфо!$A$15:$A$28,F1072)</f>
        <v>0</v>
      </c>
      <c r="AL1072" s="32">
        <f t="shared" si="248"/>
        <v>0</v>
      </c>
      <c r="AM1072" s="12">
        <f t="shared" si="251"/>
        <v>0</v>
      </c>
      <c r="AN1072" s="24">
        <f>SUMIFS(инфо!$G$15:$G$28,инфо!$A$15:$A$28,F1072)</f>
        <v>0</v>
      </c>
      <c r="AO1072" s="32">
        <f t="shared" si="249"/>
        <v>0</v>
      </c>
      <c r="AP1072" s="12">
        <f t="shared" si="252"/>
        <v>0</v>
      </c>
      <c r="AQ1072" s="24">
        <f>SUMIFS(инфо!$H$15:$H$28,инфо!$A$15:$A$28,F1072)</f>
        <v>0</v>
      </c>
      <c r="AR1072" s="35">
        <f t="shared" si="250"/>
        <v>0</v>
      </c>
      <c r="AS1072" s="12">
        <f t="shared" si="253"/>
        <v>0</v>
      </c>
      <c r="AT1072" s="24">
        <f>SUMIFS(инфо!$I$15:$I$28,инфо!$A$15:$A$28,F1072)</f>
        <v>0</v>
      </c>
      <c r="AU1072" s="35">
        <f t="shared" si="244"/>
        <v>0</v>
      </c>
      <c r="AV1072" s="12">
        <f t="shared" si="254"/>
        <v>0</v>
      </c>
      <c r="AX1072" s="68">
        <f>SUMIFS(инфо!$C$15:$C$28,инфо!$A$15:$A$28,F1072)*H1071</f>
        <v>0</v>
      </c>
    </row>
    <row r="1073" spans="1:50" x14ac:dyDescent="0.25">
      <c r="A1073" s="70">
        <f t="shared" si="246"/>
        <v>46600</v>
      </c>
      <c r="B1073" s="76"/>
      <c r="C1073" s="15"/>
      <c r="D1073" s="16"/>
      <c r="E1073" s="11"/>
      <c r="F1073" s="28"/>
      <c r="G1073" s="34"/>
      <c r="H1073" s="23"/>
      <c r="I1073" s="20"/>
      <c r="J1073" s="20"/>
      <c r="K1073" s="20"/>
      <c r="L1073" s="20"/>
      <c r="M1073" s="20"/>
      <c r="N1073" s="20"/>
      <c r="O1073" s="34"/>
      <c r="P1073" s="34"/>
      <c r="Q1073" s="34"/>
      <c r="R1073" s="34"/>
      <c r="S1073" s="68">
        <f t="shared" si="255"/>
        <v>0</v>
      </c>
      <c r="T1073" s="15"/>
      <c r="U1073" s="16"/>
      <c r="V1073" s="34"/>
      <c r="W1073" s="34"/>
      <c r="X1073" s="34"/>
      <c r="Y1073" s="15"/>
      <c r="Z1073" s="34"/>
      <c r="AA1073" s="34"/>
      <c r="AB1073" s="34"/>
      <c r="AC1073" s="34"/>
      <c r="AD1073" s="16"/>
      <c r="AE1073" s="24">
        <f>SUMIFS(инфо!$D$15:$D$28,инфо!$A$15:$A$28,F1073)</f>
        <v>0</v>
      </c>
      <c r="AF1073" s="35">
        <f t="shared" si="247"/>
        <v>0</v>
      </c>
      <c r="AG1073" s="12">
        <f t="shared" si="242"/>
        <v>0</v>
      </c>
      <c r="AH1073" s="24">
        <f>SUMIFS(инфо!$E$15:$E$28,инфо!$A$15:$A$28,F1073)</f>
        <v>0</v>
      </c>
      <c r="AI1073" s="35">
        <f t="shared" si="245"/>
        <v>0</v>
      </c>
      <c r="AJ1073" s="12">
        <f t="shared" si="243"/>
        <v>0</v>
      </c>
      <c r="AK1073" s="24">
        <f>SUMIFS(инфо!$F$15:$F$28,инфо!$A$15:$A$28,F1073)</f>
        <v>0</v>
      </c>
      <c r="AL1073" s="32">
        <f t="shared" si="248"/>
        <v>0</v>
      </c>
      <c r="AM1073" s="12">
        <f t="shared" si="251"/>
        <v>0</v>
      </c>
      <c r="AN1073" s="24">
        <f>SUMIFS(инфо!$G$15:$G$28,инфо!$A$15:$A$28,F1073)</f>
        <v>0</v>
      </c>
      <c r="AO1073" s="32">
        <f t="shared" si="249"/>
        <v>0</v>
      </c>
      <c r="AP1073" s="12">
        <f t="shared" si="252"/>
        <v>0</v>
      </c>
      <c r="AQ1073" s="24">
        <f>SUMIFS(инфо!$H$15:$H$28,инфо!$A$15:$A$28,F1073)</f>
        <v>0</v>
      </c>
      <c r="AR1073" s="35">
        <f t="shared" si="250"/>
        <v>0</v>
      </c>
      <c r="AS1073" s="12">
        <f t="shared" si="253"/>
        <v>0</v>
      </c>
      <c r="AT1073" s="24">
        <f>SUMIFS(инфо!$I$15:$I$28,инфо!$A$15:$A$28,F1073)</f>
        <v>0</v>
      </c>
      <c r="AU1073" s="35">
        <f t="shared" si="244"/>
        <v>0</v>
      </c>
      <c r="AV1073" s="12">
        <f t="shared" si="254"/>
        <v>0</v>
      </c>
      <c r="AX1073" s="68">
        <f>SUMIFS(инфо!$C$15:$C$28,инфо!$A$15:$A$28,F1073)*H1072</f>
        <v>0</v>
      </c>
    </row>
    <row r="1074" spans="1:50" x14ac:dyDescent="0.25">
      <c r="A1074" s="70">
        <f t="shared" si="246"/>
        <v>46601</v>
      </c>
      <c r="B1074" s="77"/>
      <c r="C1074" s="17"/>
      <c r="D1074" s="18"/>
      <c r="E1074" s="11"/>
      <c r="F1074" s="28"/>
      <c r="G1074" s="19"/>
      <c r="H1074" s="28"/>
      <c r="I1074" s="20"/>
      <c r="J1074" s="20"/>
      <c r="K1074" s="20"/>
      <c r="L1074" s="20"/>
      <c r="M1074" s="20"/>
      <c r="N1074" s="23"/>
      <c r="O1074" s="19"/>
      <c r="P1074" s="19"/>
      <c r="Q1074" s="19"/>
      <c r="R1074" s="19"/>
      <c r="S1074" s="69">
        <f t="shared" si="255"/>
        <v>0</v>
      </c>
      <c r="T1074" s="17"/>
      <c r="U1074" s="18"/>
      <c r="V1074" s="19"/>
      <c r="W1074" s="19"/>
      <c r="X1074" s="19"/>
      <c r="Y1074" s="17"/>
      <c r="Z1074" s="19"/>
      <c r="AA1074" s="19"/>
      <c r="AB1074" s="19"/>
      <c r="AC1074" s="19"/>
      <c r="AD1074" s="18"/>
      <c r="AE1074" s="25">
        <f>SUMIFS(инфо!$D$15:$D$28,инфо!$A$15:$A$28,F1074)</f>
        <v>0</v>
      </c>
      <c r="AF1074" s="35">
        <f t="shared" si="247"/>
        <v>0</v>
      </c>
      <c r="AG1074" s="14">
        <f t="shared" si="242"/>
        <v>0</v>
      </c>
      <c r="AH1074" s="25">
        <f>SUMIFS(инфо!$E$15:$E$28,инфо!$A$15:$A$28,F1074)</f>
        <v>0</v>
      </c>
      <c r="AI1074" s="26">
        <f t="shared" si="245"/>
        <v>0</v>
      </c>
      <c r="AJ1074" s="14">
        <f t="shared" si="243"/>
        <v>0</v>
      </c>
      <c r="AK1074" s="25">
        <f>SUMIFS(инфо!$F$15:$F$28,инфо!$A$15:$A$28,F1074)</f>
        <v>0</v>
      </c>
      <c r="AL1074" s="32">
        <f t="shared" si="248"/>
        <v>0</v>
      </c>
      <c r="AM1074" s="14">
        <f t="shared" si="251"/>
        <v>0</v>
      </c>
      <c r="AN1074" s="25">
        <f>SUMIFS(инфо!$G$15:$G$28,инфо!$A$15:$A$28,F1074)</f>
        <v>0</v>
      </c>
      <c r="AO1074" s="32">
        <f t="shared" si="249"/>
        <v>0</v>
      </c>
      <c r="AP1074" s="14">
        <f t="shared" si="252"/>
        <v>0</v>
      </c>
      <c r="AQ1074" s="25">
        <f>SUMIFS(инфо!$H$15:$H$28,инфо!$A$15:$A$28,F1074)</f>
        <v>0</v>
      </c>
      <c r="AR1074" s="26">
        <f t="shared" si="250"/>
        <v>0</v>
      </c>
      <c r="AS1074" s="14">
        <f t="shared" si="253"/>
        <v>0</v>
      </c>
      <c r="AT1074" s="25">
        <f>SUMIFS(инфо!$I$15:$I$28,инфо!$A$15:$A$28,F1074)</f>
        <v>0</v>
      </c>
      <c r="AU1074" s="35">
        <f t="shared" si="244"/>
        <v>0</v>
      </c>
      <c r="AV1074" s="14">
        <f t="shared" si="254"/>
        <v>0</v>
      </c>
      <c r="AX1074" s="69">
        <f>SUMIFS(инфо!$C$15:$C$28,инфо!$A$15:$A$28,F1074)*H1073</f>
        <v>0</v>
      </c>
    </row>
    <row r="1075" spans="1:50" x14ac:dyDescent="0.25">
      <c r="A1075" s="70">
        <f t="shared" si="246"/>
        <v>46601</v>
      </c>
      <c r="B1075" s="75"/>
      <c r="C1075" s="29"/>
      <c r="D1075" s="30"/>
      <c r="E1075" s="11"/>
      <c r="F1075" s="28"/>
      <c r="G1075" s="27"/>
      <c r="H1075" s="20"/>
      <c r="I1075" s="20"/>
      <c r="J1075" s="20"/>
      <c r="K1075" s="20"/>
      <c r="L1075" s="20"/>
      <c r="M1075" s="20"/>
      <c r="N1075" s="28"/>
      <c r="O1075" s="27"/>
      <c r="P1075" s="27"/>
      <c r="Q1075" s="27"/>
      <c r="R1075" s="27"/>
      <c r="S1075" s="67">
        <f t="shared" si="255"/>
        <v>0</v>
      </c>
      <c r="T1075" s="29"/>
      <c r="U1075" s="30"/>
      <c r="V1075" s="27"/>
      <c r="W1075" s="27"/>
      <c r="X1075" s="27"/>
      <c r="Y1075" s="29"/>
      <c r="Z1075" s="27"/>
      <c r="AA1075" s="27"/>
      <c r="AB1075" s="27"/>
      <c r="AC1075" s="27"/>
      <c r="AD1075" s="30"/>
      <c r="AE1075" s="31">
        <f>SUMIFS(инфо!$D$15:$D$28,инфо!$A$15:$A$28,F1075)</f>
        <v>0</v>
      </c>
      <c r="AF1075" s="35">
        <f t="shared" si="247"/>
        <v>0</v>
      </c>
      <c r="AG1075" s="33">
        <f t="shared" si="242"/>
        <v>0</v>
      </c>
      <c r="AH1075" s="31">
        <f>SUMIFS(инфо!$E$15:$E$28,инфо!$A$15:$A$28,F1075)</f>
        <v>0</v>
      </c>
      <c r="AI1075" s="32">
        <f t="shared" si="245"/>
        <v>0</v>
      </c>
      <c r="AJ1075" s="33">
        <f t="shared" si="243"/>
        <v>0</v>
      </c>
      <c r="AK1075" s="31">
        <f>SUMIFS(инфо!$F$15:$F$28,инфо!$A$15:$A$28,F1075)</f>
        <v>0</v>
      </c>
      <c r="AL1075" s="32">
        <f t="shared" si="248"/>
        <v>0</v>
      </c>
      <c r="AM1075" s="33">
        <f t="shared" si="251"/>
        <v>0</v>
      </c>
      <c r="AN1075" s="31">
        <f>SUMIFS(инфо!$G$15:$G$28,инфо!$A$15:$A$28,F1075)</f>
        <v>0</v>
      </c>
      <c r="AO1075" s="32">
        <f t="shared" si="249"/>
        <v>0</v>
      </c>
      <c r="AP1075" s="33">
        <f t="shared" si="252"/>
        <v>0</v>
      </c>
      <c r="AQ1075" s="31">
        <f>SUMIFS(инфо!$H$15:$H$28,инфо!$A$15:$A$28,F1075)</f>
        <v>0</v>
      </c>
      <c r="AR1075" s="32">
        <f t="shared" si="250"/>
        <v>0</v>
      </c>
      <c r="AS1075" s="33">
        <f t="shared" si="253"/>
        <v>0</v>
      </c>
      <c r="AT1075" s="31">
        <f>SUMIFS(инфо!$I$15:$I$28,инфо!$A$15:$A$28,F1075)</f>
        <v>0</v>
      </c>
      <c r="AU1075" s="35">
        <f t="shared" si="244"/>
        <v>0</v>
      </c>
      <c r="AV1075" s="33">
        <f t="shared" si="254"/>
        <v>0</v>
      </c>
      <c r="AX1075" s="67">
        <f>SUMIFS(инфо!$C$15:$C$28,инфо!$A$15:$A$28,F1075)*H1074</f>
        <v>0</v>
      </c>
    </row>
    <row r="1076" spans="1:50" x14ac:dyDescent="0.25">
      <c r="A1076" s="70">
        <f t="shared" si="246"/>
        <v>46602</v>
      </c>
      <c r="B1076" s="76"/>
      <c r="C1076" s="15"/>
      <c r="D1076" s="16"/>
      <c r="E1076" s="11"/>
      <c r="F1076" s="28"/>
      <c r="G1076" s="34"/>
      <c r="H1076" s="20"/>
      <c r="I1076" s="20"/>
      <c r="J1076" s="20"/>
      <c r="K1076" s="20"/>
      <c r="L1076" s="20"/>
      <c r="M1076" s="20"/>
      <c r="N1076" s="20"/>
      <c r="O1076" s="34"/>
      <c r="P1076" s="34"/>
      <c r="Q1076" s="34"/>
      <c r="R1076" s="34"/>
      <c r="S1076" s="68">
        <f t="shared" si="255"/>
        <v>0</v>
      </c>
      <c r="T1076" s="15"/>
      <c r="U1076" s="16"/>
      <c r="V1076" s="34"/>
      <c r="W1076" s="34"/>
      <c r="X1076" s="34"/>
      <c r="Y1076" s="15"/>
      <c r="Z1076" s="34"/>
      <c r="AA1076" s="34"/>
      <c r="AB1076" s="34"/>
      <c r="AC1076" s="34"/>
      <c r="AD1076" s="16"/>
      <c r="AE1076" s="24">
        <f>SUMIFS(инфо!$D$15:$D$28,инфо!$A$15:$A$28,F1076)</f>
        <v>0</v>
      </c>
      <c r="AF1076" s="35">
        <f t="shared" si="247"/>
        <v>0</v>
      </c>
      <c r="AG1076" s="12">
        <f t="shared" si="242"/>
        <v>0</v>
      </c>
      <c r="AH1076" s="24">
        <f>SUMIFS(инфо!$E$15:$E$28,инфо!$A$15:$A$28,F1076)</f>
        <v>0</v>
      </c>
      <c r="AI1076" s="35">
        <f t="shared" si="245"/>
        <v>0</v>
      </c>
      <c r="AJ1076" s="12">
        <f t="shared" si="243"/>
        <v>0</v>
      </c>
      <c r="AK1076" s="24">
        <f>SUMIFS(инфо!$F$15:$F$28,инфо!$A$15:$A$28,F1076)</f>
        <v>0</v>
      </c>
      <c r="AL1076" s="32">
        <f t="shared" si="248"/>
        <v>0</v>
      </c>
      <c r="AM1076" s="12">
        <f t="shared" si="251"/>
        <v>0</v>
      </c>
      <c r="AN1076" s="24">
        <f>SUMIFS(инфо!$G$15:$G$28,инфо!$A$15:$A$28,F1076)</f>
        <v>0</v>
      </c>
      <c r="AO1076" s="32">
        <f t="shared" si="249"/>
        <v>0</v>
      </c>
      <c r="AP1076" s="12">
        <f t="shared" si="252"/>
        <v>0</v>
      </c>
      <c r="AQ1076" s="24">
        <f>SUMIFS(инфо!$H$15:$H$28,инфо!$A$15:$A$28,F1076)</f>
        <v>0</v>
      </c>
      <c r="AR1076" s="35">
        <f t="shared" si="250"/>
        <v>0</v>
      </c>
      <c r="AS1076" s="12">
        <f t="shared" si="253"/>
        <v>0</v>
      </c>
      <c r="AT1076" s="24">
        <f>SUMIFS(инфо!$I$15:$I$28,инфо!$A$15:$A$28,F1076)</f>
        <v>0</v>
      </c>
      <c r="AU1076" s="35">
        <f t="shared" si="244"/>
        <v>0</v>
      </c>
      <c r="AV1076" s="12">
        <f t="shared" si="254"/>
        <v>0</v>
      </c>
      <c r="AX1076" s="68">
        <f>SUMIFS(инфо!$C$15:$C$28,инфо!$A$15:$A$28,F1076)*H1075</f>
        <v>0</v>
      </c>
    </row>
    <row r="1077" spans="1:50" x14ac:dyDescent="0.25">
      <c r="A1077" s="70">
        <f t="shared" si="246"/>
        <v>46602</v>
      </c>
      <c r="B1077" s="76"/>
      <c r="C1077" s="15"/>
      <c r="D1077" s="16"/>
      <c r="E1077" s="11"/>
      <c r="F1077" s="28"/>
      <c r="G1077" s="34"/>
      <c r="H1077" s="23"/>
      <c r="I1077" s="20"/>
      <c r="J1077" s="20"/>
      <c r="K1077" s="20"/>
      <c r="L1077" s="20"/>
      <c r="M1077" s="20"/>
      <c r="N1077" s="20"/>
      <c r="O1077" s="34"/>
      <c r="P1077" s="34"/>
      <c r="Q1077" s="34"/>
      <c r="R1077" s="34"/>
      <c r="S1077" s="68">
        <f t="shared" si="255"/>
        <v>0</v>
      </c>
      <c r="T1077" s="15"/>
      <c r="U1077" s="16"/>
      <c r="V1077" s="34"/>
      <c r="W1077" s="34"/>
      <c r="X1077" s="34"/>
      <c r="Y1077" s="15"/>
      <c r="Z1077" s="34"/>
      <c r="AA1077" s="34"/>
      <c r="AB1077" s="34"/>
      <c r="AC1077" s="34"/>
      <c r="AD1077" s="16"/>
      <c r="AE1077" s="24">
        <f>SUMIFS(инфо!$D$15:$D$28,инфо!$A$15:$A$28,F1077)</f>
        <v>0</v>
      </c>
      <c r="AF1077" s="35">
        <f t="shared" si="247"/>
        <v>0</v>
      </c>
      <c r="AG1077" s="12">
        <f t="shared" si="242"/>
        <v>0</v>
      </c>
      <c r="AH1077" s="24">
        <f>SUMIFS(инфо!$E$15:$E$28,инфо!$A$15:$A$28,F1077)</f>
        <v>0</v>
      </c>
      <c r="AI1077" s="35">
        <f t="shared" si="245"/>
        <v>0</v>
      </c>
      <c r="AJ1077" s="12">
        <f t="shared" si="243"/>
        <v>0</v>
      </c>
      <c r="AK1077" s="24">
        <f>SUMIFS(инфо!$F$15:$F$28,инфо!$A$15:$A$28,F1077)</f>
        <v>0</v>
      </c>
      <c r="AL1077" s="32">
        <f t="shared" si="248"/>
        <v>0</v>
      </c>
      <c r="AM1077" s="12">
        <f t="shared" si="251"/>
        <v>0</v>
      </c>
      <c r="AN1077" s="24">
        <f>SUMIFS(инфо!$G$15:$G$28,инфо!$A$15:$A$28,F1077)</f>
        <v>0</v>
      </c>
      <c r="AO1077" s="32">
        <f t="shared" si="249"/>
        <v>0</v>
      </c>
      <c r="AP1077" s="12">
        <f t="shared" si="252"/>
        <v>0</v>
      </c>
      <c r="AQ1077" s="24">
        <f>SUMIFS(инфо!$H$15:$H$28,инфо!$A$15:$A$28,F1077)</f>
        <v>0</v>
      </c>
      <c r="AR1077" s="35">
        <f t="shared" si="250"/>
        <v>0</v>
      </c>
      <c r="AS1077" s="12">
        <f t="shared" si="253"/>
        <v>0</v>
      </c>
      <c r="AT1077" s="24">
        <f>SUMIFS(инфо!$I$15:$I$28,инфо!$A$15:$A$28,F1077)</f>
        <v>0</v>
      </c>
      <c r="AU1077" s="35">
        <f t="shared" si="244"/>
        <v>0</v>
      </c>
      <c r="AV1077" s="12">
        <f t="shared" si="254"/>
        <v>0</v>
      </c>
      <c r="AX1077" s="68">
        <f>SUMIFS(инфо!$C$15:$C$28,инфо!$A$15:$A$28,F1077)*H1076</f>
        <v>0</v>
      </c>
    </row>
    <row r="1078" spans="1:50" x14ac:dyDescent="0.25">
      <c r="A1078" s="70">
        <f t="shared" si="246"/>
        <v>46603</v>
      </c>
      <c r="B1078" s="77"/>
      <c r="C1078" s="17"/>
      <c r="D1078" s="18"/>
      <c r="E1078" s="11"/>
      <c r="F1078" s="28"/>
      <c r="G1078" s="19"/>
      <c r="H1078" s="28"/>
      <c r="I1078" s="20"/>
      <c r="J1078" s="20"/>
      <c r="K1078" s="20"/>
      <c r="L1078" s="20"/>
      <c r="M1078" s="20"/>
      <c r="N1078" s="23"/>
      <c r="O1078" s="19"/>
      <c r="P1078" s="19"/>
      <c r="Q1078" s="19"/>
      <c r="R1078" s="19"/>
      <c r="S1078" s="69">
        <f t="shared" si="255"/>
        <v>0</v>
      </c>
      <c r="T1078" s="17"/>
      <c r="U1078" s="18"/>
      <c r="V1078" s="19"/>
      <c r="W1078" s="19"/>
      <c r="X1078" s="19"/>
      <c r="Y1078" s="17"/>
      <c r="Z1078" s="19"/>
      <c r="AA1078" s="19"/>
      <c r="AB1078" s="19"/>
      <c r="AC1078" s="19"/>
      <c r="AD1078" s="18"/>
      <c r="AE1078" s="25">
        <f>SUMIFS(инфо!$D$15:$D$28,инфо!$A$15:$A$28,F1078)</f>
        <v>0</v>
      </c>
      <c r="AF1078" s="35">
        <f t="shared" si="247"/>
        <v>0</v>
      </c>
      <c r="AG1078" s="14">
        <f t="shared" si="242"/>
        <v>0</v>
      </c>
      <c r="AH1078" s="25">
        <f>SUMIFS(инфо!$E$15:$E$28,инфо!$A$15:$A$28,F1078)</f>
        <v>0</v>
      </c>
      <c r="AI1078" s="26">
        <f t="shared" si="245"/>
        <v>0</v>
      </c>
      <c r="AJ1078" s="14">
        <f t="shared" si="243"/>
        <v>0</v>
      </c>
      <c r="AK1078" s="25">
        <f>SUMIFS(инфо!$F$15:$F$28,инфо!$A$15:$A$28,F1078)</f>
        <v>0</v>
      </c>
      <c r="AL1078" s="32">
        <f t="shared" si="248"/>
        <v>0</v>
      </c>
      <c r="AM1078" s="14">
        <f t="shared" si="251"/>
        <v>0</v>
      </c>
      <c r="AN1078" s="25">
        <f>SUMIFS(инфо!$G$15:$G$28,инфо!$A$15:$A$28,F1078)</f>
        <v>0</v>
      </c>
      <c r="AO1078" s="32">
        <f t="shared" si="249"/>
        <v>0</v>
      </c>
      <c r="AP1078" s="14">
        <f t="shared" si="252"/>
        <v>0</v>
      </c>
      <c r="AQ1078" s="25">
        <f>SUMIFS(инфо!$H$15:$H$28,инфо!$A$15:$A$28,F1078)</f>
        <v>0</v>
      </c>
      <c r="AR1078" s="26">
        <f t="shared" si="250"/>
        <v>0</v>
      </c>
      <c r="AS1078" s="14">
        <f t="shared" si="253"/>
        <v>0</v>
      </c>
      <c r="AT1078" s="25">
        <f>SUMIFS(инфо!$I$15:$I$28,инфо!$A$15:$A$28,F1078)</f>
        <v>0</v>
      </c>
      <c r="AU1078" s="35">
        <f t="shared" si="244"/>
        <v>0</v>
      </c>
      <c r="AV1078" s="14">
        <f t="shared" si="254"/>
        <v>0</v>
      </c>
      <c r="AX1078" s="69">
        <f>SUMIFS(инфо!$C$15:$C$28,инфо!$A$15:$A$28,F1078)*H1077</f>
        <v>0</v>
      </c>
    </row>
    <row r="1079" spans="1:50" x14ac:dyDescent="0.25">
      <c r="A1079" s="70">
        <f t="shared" si="246"/>
        <v>46603</v>
      </c>
      <c r="B1079" s="75"/>
      <c r="C1079" s="29"/>
      <c r="D1079" s="30"/>
      <c r="E1079" s="11"/>
      <c r="F1079" s="28"/>
      <c r="G1079" s="27"/>
      <c r="H1079" s="20"/>
      <c r="I1079" s="20"/>
      <c r="J1079" s="20"/>
      <c r="K1079" s="20"/>
      <c r="L1079" s="20"/>
      <c r="M1079" s="20"/>
      <c r="N1079" s="28"/>
      <c r="O1079" s="27"/>
      <c r="P1079" s="27"/>
      <c r="Q1079" s="27"/>
      <c r="R1079" s="27"/>
      <c r="S1079" s="67">
        <f t="shared" si="255"/>
        <v>0</v>
      </c>
      <c r="T1079" s="29"/>
      <c r="U1079" s="30"/>
      <c r="V1079" s="27"/>
      <c r="W1079" s="27"/>
      <c r="X1079" s="27"/>
      <c r="Y1079" s="29"/>
      <c r="Z1079" s="27"/>
      <c r="AA1079" s="27"/>
      <c r="AB1079" s="27"/>
      <c r="AC1079" s="27"/>
      <c r="AD1079" s="30"/>
      <c r="AE1079" s="31">
        <f>SUMIFS(инфо!$D$15:$D$28,инфо!$A$15:$A$28,F1079)</f>
        <v>0</v>
      </c>
      <c r="AF1079" s="35">
        <f t="shared" si="247"/>
        <v>0</v>
      </c>
      <c r="AG1079" s="33">
        <f t="shared" si="242"/>
        <v>0</v>
      </c>
      <c r="AH1079" s="31">
        <f>SUMIFS(инфо!$E$15:$E$28,инфо!$A$15:$A$28,F1079)</f>
        <v>0</v>
      </c>
      <c r="AI1079" s="32">
        <f t="shared" si="245"/>
        <v>0</v>
      </c>
      <c r="AJ1079" s="33">
        <f t="shared" si="243"/>
        <v>0</v>
      </c>
      <c r="AK1079" s="31">
        <f>SUMIFS(инфо!$F$15:$F$28,инфо!$A$15:$A$28,F1079)</f>
        <v>0</v>
      </c>
      <c r="AL1079" s="32">
        <f t="shared" si="248"/>
        <v>0</v>
      </c>
      <c r="AM1079" s="33">
        <f t="shared" si="251"/>
        <v>0</v>
      </c>
      <c r="AN1079" s="31">
        <f>SUMIFS(инфо!$G$15:$G$28,инфо!$A$15:$A$28,F1079)</f>
        <v>0</v>
      </c>
      <c r="AO1079" s="32">
        <f t="shared" si="249"/>
        <v>0</v>
      </c>
      <c r="AP1079" s="33">
        <f t="shared" si="252"/>
        <v>0</v>
      </c>
      <c r="AQ1079" s="31">
        <f>SUMIFS(инфо!$H$15:$H$28,инфо!$A$15:$A$28,F1079)</f>
        <v>0</v>
      </c>
      <c r="AR1079" s="32">
        <f t="shared" si="250"/>
        <v>0</v>
      </c>
      <c r="AS1079" s="33">
        <f t="shared" si="253"/>
        <v>0</v>
      </c>
      <c r="AT1079" s="31">
        <f>SUMIFS(инфо!$I$15:$I$28,инфо!$A$15:$A$28,F1079)</f>
        <v>0</v>
      </c>
      <c r="AU1079" s="35">
        <f t="shared" si="244"/>
        <v>0</v>
      </c>
      <c r="AV1079" s="33">
        <f t="shared" si="254"/>
        <v>0</v>
      </c>
      <c r="AX1079" s="67">
        <f>SUMIFS(инфо!$C$15:$C$28,инфо!$A$15:$A$28,F1079)*H1078</f>
        <v>0</v>
      </c>
    </row>
    <row r="1080" spans="1:50" x14ac:dyDescent="0.25">
      <c r="A1080" s="70">
        <f t="shared" si="246"/>
        <v>46604</v>
      </c>
      <c r="B1080" s="76"/>
      <c r="C1080" s="15"/>
      <c r="D1080" s="16"/>
      <c r="E1080" s="11"/>
      <c r="F1080" s="28"/>
      <c r="G1080" s="34"/>
      <c r="H1080" s="20"/>
      <c r="I1080" s="20"/>
      <c r="J1080" s="20"/>
      <c r="K1080" s="20"/>
      <c r="L1080" s="20"/>
      <c r="M1080" s="20"/>
      <c r="N1080" s="20"/>
      <c r="O1080" s="34"/>
      <c r="P1080" s="34"/>
      <c r="Q1080" s="34"/>
      <c r="R1080" s="34"/>
      <c r="S1080" s="68">
        <f t="shared" si="255"/>
        <v>0</v>
      </c>
      <c r="T1080" s="15"/>
      <c r="U1080" s="16"/>
      <c r="V1080" s="34"/>
      <c r="W1080" s="34"/>
      <c r="X1080" s="34"/>
      <c r="Y1080" s="15"/>
      <c r="Z1080" s="34"/>
      <c r="AA1080" s="34"/>
      <c r="AB1080" s="34"/>
      <c r="AC1080" s="34"/>
      <c r="AD1080" s="16"/>
      <c r="AE1080" s="24">
        <f>SUMIFS(инфо!$D$15:$D$28,инфо!$A$15:$A$28,F1080)</f>
        <v>0</v>
      </c>
      <c r="AF1080" s="35">
        <f t="shared" si="247"/>
        <v>0</v>
      </c>
      <c r="AG1080" s="12">
        <f t="shared" si="242"/>
        <v>0</v>
      </c>
      <c r="AH1080" s="24">
        <f>SUMIFS(инфо!$E$15:$E$28,инфо!$A$15:$A$28,F1080)</f>
        <v>0</v>
      </c>
      <c r="AI1080" s="35">
        <f t="shared" si="245"/>
        <v>0</v>
      </c>
      <c r="AJ1080" s="12">
        <f t="shared" si="243"/>
        <v>0</v>
      </c>
      <c r="AK1080" s="24">
        <f>SUMIFS(инфо!$F$15:$F$28,инфо!$A$15:$A$28,F1080)</f>
        <v>0</v>
      </c>
      <c r="AL1080" s="32">
        <f t="shared" si="248"/>
        <v>0</v>
      </c>
      <c r="AM1080" s="12">
        <f t="shared" si="251"/>
        <v>0</v>
      </c>
      <c r="AN1080" s="24">
        <f>SUMIFS(инфо!$G$15:$G$28,инфо!$A$15:$A$28,F1080)</f>
        <v>0</v>
      </c>
      <c r="AO1080" s="32">
        <f t="shared" si="249"/>
        <v>0</v>
      </c>
      <c r="AP1080" s="12">
        <f t="shared" si="252"/>
        <v>0</v>
      </c>
      <c r="AQ1080" s="24">
        <f>SUMIFS(инфо!$H$15:$H$28,инфо!$A$15:$A$28,F1080)</f>
        <v>0</v>
      </c>
      <c r="AR1080" s="35">
        <f t="shared" si="250"/>
        <v>0</v>
      </c>
      <c r="AS1080" s="12">
        <f t="shared" si="253"/>
        <v>0</v>
      </c>
      <c r="AT1080" s="24">
        <f>SUMIFS(инфо!$I$15:$I$28,инфо!$A$15:$A$28,F1080)</f>
        <v>0</v>
      </c>
      <c r="AU1080" s="35">
        <f t="shared" si="244"/>
        <v>0</v>
      </c>
      <c r="AV1080" s="12">
        <f t="shared" si="254"/>
        <v>0</v>
      </c>
      <c r="AX1080" s="68">
        <f>SUMIFS(инфо!$C$15:$C$28,инфо!$A$15:$A$28,F1080)*H1079</f>
        <v>0</v>
      </c>
    </row>
    <row r="1081" spans="1:50" x14ac:dyDescent="0.25">
      <c r="A1081" s="70">
        <f t="shared" si="246"/>
        <v>46604</v>
      </c>
      <c r="B1081" s="76"/>
      <c r="C1081" s="15"/>
      <c r="D1081" s="16"/>
      <c r="E1081" s="11"/>
      <c r="F1081" s="28"/>
      <c r="G1081" s="34"/>
      <c r="H1081" s="23"/>
      <c r="I1081" s="20"/>
      <c r="J1081" s="20"/>
      <c r="K1081" s="20"/>
      <c r="L1081" s="20"/>
      <c r="M1081" s="20"/>
      <c r="N1081" s="20"/>
      <c r="O1081" s="34"/>
      <c r="P1081" s="34"/>
      <c r="Q1081" s="34"/>
      <c r="R1081" s="34"/>
      <c r="S1081" s="68">
        <f t="shared" si="255"/>
        <v>0</v>
      </c>
      <c r="T1081" s="15"/>
      <c r="U1081" s="16"/>
      <c r="V1081" s="34"/>
      <c r="W1081" s="34"/>
      <c r="X1081" s="34"/>
      <c r="Y1081" s="15"/>
      <c r="Z1081" s="34"/>
      <c r="AA1081" s="34"/>
      <c r="AB1081" s="34"/>
      <c r="AC1081" s="34"/>
      <c r="AD1081" s="16"/>
      <c r="AE1081" s="24">
        <f>SUMIFS(инфо!$D$15:$D$28,инфо!$A$15:$A$28,F1081)</f>
        <v>0</v>
      </c>
      <c r="AF1081" s="35">
        <f t="shared" si="247"/>
        <v>0</v>
      </c>
      <c r="AG1081" s="12">
        <f t="shared" si="242"/>
        <v>0</v>
      </c>
      <c r="AH1081" s="24">
        <f>SUMIFS(инфо!$E$15:$E$28,инфо!$A$15:$A$28,F1081)</f>
        <v>0</v>
      </c>
      <c r="AI1081" s="35">
        <f t="shared" si="245"/>
        <v>0</v>
      </c>
      <c r="AJ1081" s="12">
        <f t="shared" si="243"/>
        <v>0</v>
      </c>
      <c r="AK1081" s="24">
        <f>SUMIFS(инфо!$F$15:$F$28,инфо!$A$15:$A$28,F1081)</f>
        <v>0</v>
      </c>
      <c r="AL1081" s="32">
        <f t="shared" si="248"/>
        <v>0</v>
      </c>
      <c r="AM1081" s="12">
        <f t="shared" si="251"/>
        <v>0</v>
      </c>
      <c r="AN1081" s="24">
        <f>SUMIFS(инфо!$G$15:$G$28,инфо!$A$15:$A$28,F1081)</f>
        <v>0</v>
      </c>
      <c r="AO1081" s="32">
        <f t="shared" si="249"/>
        <v>0</v>
      </c>
      <c r="AP1081" s="12">
        <f t="shared" si="252"/>
        <v>0</v>
      </c>
      <c r="AQ1081" s="24">
        <f>SUMIFS(инфо!$H$15:$H$28,инфо!$A$15:$A$28,F1081)</f>
        <v>0</v>
      </c>
      <c r="AR1081" s="35">
        <f t="shared" si="250"/>
        <v>0</v>
      </c>
      <c r="AS1081" s="12">
        <f t="shared" si="253"/>
        <v>0</v>
      </c>
      <c r="AT1081" s="24">
        <f>SUMIFS(инфо!$I$15:$I$28,инфо!$A$15:$A$28,F1081)</f>
        <v>0</v>
      </c>
      <c r="AU1081" s="35">
        <f t="shared" si="244"/>
        <v>0</v>
      </c>
      <c r="AV1081" s="12">
        <f t="shared" si="254"/>
        <v>0</v>
      </c>
      <c r="AX1081" s="68">
        <f>SUMIFS(инфо!$C$15:$C$28,инфо!$A$15:$A$28,F1081)*H1080</f>
        <v>0</v>
      </c>
    </row>
    <row r="1082" spans="1:50" x14ac:dyDescent="0.25">
      <c r="A1082" s="70">
        <f t="shared" si="246"/>
        <v>46605</v>
      </c>
      <c r="B1082" s="77"/>
      <c r="C1082" s="17"/>
      <c r="D1082" s="18"/>
      <c r="E1082" s="11"/>
      <c r="F1082" s="28"/>
      <c r="G1082" s="19"/>
      <c r="H1082" s="28"/>
      <c r="I1082" s="20"/>
      <c r="J1082" s="20"/>
      <c r="K1082" s="20"/>
      <c r="L1082" s="20"/>
      <c r="M1082" s="20"/>
      <c r="N1082" s="23"/>
      <c r="O1082" s="19"/>
      <c r="P1082" s="19"/>
      <c r="Q1082" s="19"/>
      <c r="R1082" s="19"/>
      <c r="S1082" s="69">
        <f t="shared" si="255"/>
        <v>0</v>
      </c>
      <c r="T1082" s="17"/>
      <c r="U1082" s="18"/>
      <c r="V1082" s="19"/>
      <c r="W1082" s="19"/>
      <c r="X1082" s="19"/>
      <c r="Y1082" s="17"/>
      <c r="Z1082" s="19"/>
      <c r="AA1082" s="19"/>
      <c r="AB1082" s="19"/>
      <c r="AC1082" s="19"/>
      <c r="AD1082" s="18"/>
      <c r="AE1082" s="25">
        <f>SUMIFS(инфо!$D$15:$D$28,инфо!$A$15:$A$28,F1082)</f>
        <v>0</v>
      </c>
      <c r="AF1082" s="35">
        <f t="shared" si="247"/>
        <v>0</v>
      </c>
      <c r="AG1082" s="14">
        <f t="shared" si="242"/>
        <v>0</v>
      </c>
      <c r="AH1082" s="25">
        <f>SUMIFS(инфо!$E$15:$E$28,инфо!$A$15:$A$28,F1082)</f>
        <v>0</v>
      </c>
      <c r="AI1082" s="26">
        <f t="shared" si="245"/>
        <v>0</v>
      </c>
      <c r="AJ1082" s="14">
        <f t="shared" si="243"/>
        <v>0</v>
      </c>
      <c r="AK1082" s="25">
        <f>SUMIFS(инфо!$F$15:$F$28,инфо!$A$15:$A$28,F1082)</f>
        <v>0</v>
      </c>
      <c r="AL1082" s="32">
        <f t="shared" si="248"/>
        <v>0</v>
      </c>
      <c r="AM1082" s="14">
        <f t="shared" si="251"/>
        <v>0</v>
      </c>
      <c r="AN1082" s="25">
        <f>SUMIFS(инфо!$G$15:$G$28,инфо!$A$15:$A$28,F1082)</f>
        <v>0</v>
      </c>
      <c r="AO1082" s="32">
        <f t="shared" si="249"/>
        <v>0</v>
      </c>
      <c r="AP1082" s="14">
        <f t="shared" si="252"/>
        <v>0</v>
      </c>
      <c r="AQ1082" s="25">
        <f>SUMIFS(инфо!$H$15:$H$28,инфо!$A$15:$A$28,F1082)</f>
        <v>0</v>
      </c>
      <c r="AR1082" s="26">
        <f t="shared" si="250"/>
        <v>0</v>
      </c>
      <c r="AS1082" s="14">
        <f t="shared" si="253"/>
        <v>0</v>
      </c>
      <c r="AT1082" s="25">
        <f>SUMIFS(инфо!$I$15:$I$28,инфо!$A$15:$A$28,F1082)</f>
        <v>0</v>
      </c>
      <c r="AU1082" s="35">
        <f t="shared" si="244"/>
        <v>0</v>
      </c>
      <c r="AV1082" s="14">
        <f t="shared" si="254"/>
        <v>0</v>
      </c>
      <c r="AX1082" s="69">
        <f>SUMIFS(инфо!$C$15:$C$28,инфо!$A$15:$A$28,F1082)*H1081</f>
        <v>0</v>
      </c>
    </row>
    <row r="1083" spans="1:50" x14ac:dyDescent="0.25">
      <c r="A1083" s="70">
        <f t="shared" si="246"/>
        <v>46605</v>
      </c>
      <c r="B1083" s="75"/>
      <c r="C1083" s="29"/>
      <c r="D1083" s="30"/>
      <c r="E1083" s="11"/>
      <c r="F1083" s="28"/>
      <c r="G1083" s="27"/>
      <c r="H1083" s="20"/>
      <c r="I1083" s="20"/>
      <c r="J1083" s="20"/>
      <c r="K1083" s="20"/>
      <c r="L1083" s="20"/>
      <c r="M1083" s="20"/>
      <c r="N1083" s="28"/>
      <c r="O1083" s="27"/>
      <c r="P1083" s="27"/>
      <c r="Q1083" s="27"/>
      <c r="R1083" s="27"/>
      <c r="S1083" s="67">
        <f t="shared" si="255"/>
        <v>0</v>
      </c>
      <c r="T1083" s="29"/>
      <c r="U1083" s="30"/>
      <c r="V1083" s="27"/>
      <c r="W1083" s="27"/>
      <c r="X1083" s="27"/>
      <c r="Y1083" s="29"/>
      <c r="Z1083" s="27"/>
      <c r="AA1083" s="27"/>
      <c r="AB1083" s="27"/>
      <c r="AC1083" s="27"/>
      <c r="AD1083" s="30"/>
      <c r="AE1083" s="31">
        <f>SUMIFS(инфо!$D$15:$D$28,инфо!$A$15:$A$28,F1083)</f>
        <v>0</v>
      </c>
      <c r="AF1083" s="35">
        <f t="shared" si="247"/>
        <v>0</v>
      </c>
      <c r="AG1083" s="33">
        <f t="shared" si="242"/>
        <v>0</v>
      </c>
      <c r="AH1083" s="31">
        <f>SUMIFS(инфо!$E$15:$E$28,инфо!$A$15:$A$28,F1083)</f>
        <v>0</v>
      </c>
      <c r="AI1083" s="32">
        <f t="shared" si="245"/>
        <v>0</v>
      </c>
      <c r="AJ1083" s="33">
        <f t="shared" si="243"/>
        <v>0</v>
      </c>
      <c r="AK1083" s="31">
        <f>SUMIFS(инфо!$F$15:$F$28,инфо!$A$15:$A$28,F1083)</f>
        <v>0</v>
      </c>
      <c r="AL1083" s="32">
        <f t="shared" si="248"/>
        <v>0</v>
      </c>
      <c r="AM1083" s="33">
        <f t="shared" si="251"/>
        <v>0</v>
      </c>
      <c r="AN1083" s="31">
        <f>SUMIFS(инфо!$G$15:$G$28,инфо!$A$15:$A$28,F1083)</f>
        <v>0</v>
      </c>
      <c r="AO1083" s="32">
        <f t="shared" si="249"/>
        <v>0</v>
      </c>
      <c r="AP1083" s="33">
        <f t="shared" si="252"/>
        <v>0</v>
      </c>
      <c r="AQ1083" s="31">
        <f>SUMIFS(инфо!$H$15:$H$28,инфо!$A$15:$A$28,F1083)</f>
        <v>0</v>
      </c>
      <c r="AR1083" s="32">
        <f t="shared" si="250"/>
        <v>0</v>
      </c>
      <c r="AS1083" s="33">
        <f t="shared" si="253"/>
        <v>0</v>
      </c>
      <c r="AT1083" s="31">
        <f>SUMIFS(инфо!$I$15:$I$28,инфо!$A$15:$A$28,F1083)</f>
        <v>0</v>
      </c>
      <c r="AU1083" s="35">
        <f t="shared" si="244"/>
        <v>0</v>
      </c>
      <c r="AV1083" s="33">
        <f t="shared" si="254"/>
        <v>0</v>
      </c>
      <c r="AX1083" s="67">
        <f>SUMIFS(инфо!$C$15:$C$28,инфо!$A$15:$A$28,F1083)*H1082</f>
        <v>0</v>
      </c>
    </row>
    <row r="1084" spans="1:50" x14ac:dyDescent="0.25">
      <c r="A1084" s="70">
        <f t="shared" si="246"/>
        <v>46606</v>
      </c>
      <c r="B1084" s="76"/>
      <c r="C1084" s="15"/>
      <c r="D1084" s="16"/>
      <c r="E1084" s="11"/>
      <c r="F1084" s="28"/>
      <c r="G1084" s="34"/>
      <c r="H1084" s="20"/>
      <c r="I1084" s="20"/>
      <c r="J1084" s="20"/>
      <c r="K1084" s="20"/>
      <c r="L1084" s="20"/>
      <c r="M1084" s="20"/>
      <c r="N1084" s="20"/>
      <c r="O1084" s="34"/>
      <c r="P1084" s="34"/>
      <c r="Q1084" s="34"/>
      <c r="R1084" s="34"/>
      <c r="S1084" s="68">
        <f t="shared" si="255"/>
        <v>0</v>
      </c>
      <c r="T1084" s="15"/>
      <c r="U1084" s="16"/>
      <c r="V1084" s="34"/>
      <c r="W1084" s="34"/>
      <c r="X1084" s="34"/>
      <c r="Y1084" s="15"/>
      <c r="Z1084" s="34"/>
      <c r="AA1084" s="34"/>
      <c r="AB1084" s="34"/>
      <c r="AC1084" s="34"/>
      <c r="AD1084" s="16"/>
      <c r="AE1084" s="24">
        <f>SUMIFS(инфо!$D$15:$D$28,инфо!$A$15:$A$28,F1084)</f>
        <v>0</v>
      </c>
      <c r="AF1084" s="35">
        <f t="shared" si="247"/>
        <v>0</v>
      </c>
      <c r="AG1084" s="12">
        <f t="shared" si="242"/>
        <v>0</v>
      </c>
      <c r="AH1084" s="24">
        <f>SUMIFS(инфо!$E$15:$E$28,инфо!$A$15:$A$28,F1084)</f>
        <v>0</v>
      </c>
      <c r="AI1084" s="35">
        <f t="shared" si="245"/>
        <v>0</v>
      </c>
      <c r="AJ1084" s="12">
        <f t="shared" si="243"/>
        <v>0</v>
      </c>
      <c r="AK1084" s="24">
        <f>SUMIFS(инфо!$F$15:$F$28,инфо!$A$15:$A$28,F1084)</f>
        <v>0</v>
      </c>
      <c r="AL1084" s="32">
        <f t="shared" si="248"/>
        <v>0</v>
      </c>
      <c r="AM1084" s="12">
        <f t="shared" si="251"/>
        <v>0</v>
      </c>
      <c r="AN1084" s="24">
        <f>SUMIFS(инфо!$G$15:$G$28,инфо!$A$15:$A$28,F1084)</f>
        <v>0</v>
      </c>
      <c r="AO1084" s="32">
        <f t="shared" si="249"/>
        <v>0</v>
      </c>
      <c r="AP1084" s="12">
        <f t="shared" si="252"/>
        <v>0</v>
      </c>
      <c r="AQ1084" s="24">
        <f>SUMIFS(инфо!$H$15:$H$28,инфо!$A$15:$A$28,F1084)</f>
        <v>0</v>
      </c>
      <c r="AR1084" s="35">
        <f t="shared" si="250"/>
        <v>0</v>
      </c>
      <c r="AS1084" s="12">
        <f t="shared" si="253"/>
        <v>0</v>
      </c>
      <c r="AT1084" s="24">
        <f>SUMIFS(инфо!$I$15:$I$28,инфо!$A$15:$A$28,F1084)</f>
        <v>0</v>
      </c>
      <c r="AU1084" s="35">
        <f t="shared" si="244"/>
        <v>0</v>
      </c>
      <c r="AV1084" s="12">
        <f t="shared" si="254"/>
        <v>0</v>
      </c>
      <c r="AX1084" s="68">
        <f>SUMIFS(инфо!$C$15:$C$28,инфо!$A$15:$A$28,F1084)*H1083</f>
        <v>0</v>
      </c>
    </row>
    <row r="1085" spans="1:50" x14ac:dyDescent="0.25">
      <c r="A1085" s="70">
        <f t="shared" si="246"/>
        <v>46606</v>
      </c>
      <c r="B1085" s="76"/>
      <c r="C1085" s="15"/>
      <c r="D1085" s="16"/>
      <c r="E1085" s="11"/>
      <c r="F1085" s="28"/>
      <c r="G1085" s="34"/>
      <c r="H1085" s="23"/>
      <c r="I1085" s="20"/>
      <c r="J1085" s="20"/>
      <c r="K1085" s="20"/>
      <c r="L1085" s="20"/>
      <c r="M1085" s="20"/>
      <c r="N1085" s="20"/>
      <c r="O1085" s="34"/>
      <c r="P1085" s="34"/>
      <c r="Q1085" s="34"/>
      <c r="R1085" s="34"/>
      <c r="S1085" s="68">
        <f t="shared" si="255"/>
        <v>0</v>
      </c>
      <c r="T1085" s="15"/>
      <c r="U1085" s="16"/>
      <c r="V1085" s="34"/>
      <c r="W1085" s="34"/>
      <c r="X1085" s="34"/>
      <c r="Y1085" s="15"/>
      <c r="Z1085" s="34"/>
      <c r="AA1085" s="34"/>
      <c r="AB1085" s="34"/>
      <c r="AC1085" s="34"/>
      <c r="AD1085" s="16"/>
      <c r="AE1085" s="24">
        <f>SUMIFS(инфо!$D$15:$D$28,инфо!$A$15:$A$28,F1085)</f>
        <v>0</v>
      </c>
      <c r="AF1085" s="35">
        <f t="shared" si="247"/>
        <v>0</v>
      </c>
      <c r="AG1085" s="12">
        <f t="shared" ref="AG1085:AG1148" si="256">AF1085-AE1085</f>
        <v>0</v>
      </c>
      <c r="AH1085" s="24">
        <f>SUMIFS(инфо!$E$15:$E$28,инфо!$A$15:$A$28,F1085)</f>
        <v>0</v>
      </c>
      <c r="AI1085" s="35">
        <f t="shared" si="245"/>
        <v>0</v>
      </c>
      <c r="AJ1085" s="12">
        <f t="shared" ref="AJ1085:AJ1148" si="257">AI1085-AH1085</f>
        <v>0</v>
      </c>
      <c r="AK1085" s="24">
        <f>SUMIFS(инфо!$F$15:$F$28,инфо!$A$15:$A$28,F1085)</f>
        <v>0</v>
      </c>
      <c r="AL1085" s="32">
        <f t="shared" si="248"/>
        <v>0</v>
      </c>
      <c r="AM1085" s="12">
        <f t="shared" si="251"/>
        <v>0</v>
      </c>
      <c r="AN1085" s="24">
        <f>SUMIFS(инфо!$G$15:$G$28,инфо!$A$15:$A$28,F1085)</f>
        <v>0</v>
      </c>
      <c r="AO1085" s="32">
        <f t="shared" si="249"/>
        <v>0</v>
      </c>
      <c r="AP1085" s="12">
        <f t="shared" si="252"/>
        <v>0</v>
      </c>
      <c r="AQ1085" s="24">
        <f>SUMIFS(инфо!$H$15:$H$28,инфо!$A$15:$A$28,F1085)</f>
        <v>0</v>
      </c>
      <c r="AR1085" s="35">
        <f t="shared" si="250"/>
        <v>0</v>
      </c>
      <c r="AS1085" s="12">
        <f t="shared" si="253"/>
        <v>0</v>
      </c>
      <c r="AT1085" s="24">
        <f>SUMIFS(инфо!$I$15:$I$28,инфо!$A$15:$A$28,F1085)</f>
        <v>0</v>
      </c>
      <c r="AU1085" s="35">
        <f t="shared" si="244"/>
        <v>0</v>
      </c>
      <c r="AV1085" s="12">
        <f t="shared" si="254"/>
        <v>0</v>
      </c>
      <c r="AX1085" s="68">
        <f>SUMIFS(инфо!$C$15:$C$28,инфо!$A$15:$A$28,F1085)*H1084</f>
        <v>0</v>
      </c>
    </row>
    <row r="1086" spans="1:50" x14ac:dyDescent="0.25">
      <c r="A1086" s="70">
        <f t="shared" si="246"/>
        <v>46607</v>
      </c>
      <c r="B1086" s="77"/>
      <c r="C1086" s="17"/>
      <c r="D1086" s="18"/>
      <c r="E1086" s="11"/>
      <c r="F1086" s="28"/>
      <c r="G1086" s="19"/>
      <c r="H1086" s="28"/>
      <c r="I1086" s="20"/>
      <c r="J1086" s="20"/>
      <c r="K1086" s="20"/>
      <c r="L1086" s="20"/>
      <c r="M1086" s="20"/>
      <c r="N1086" s="23"/>
      <c r="O1086" s="19"/>
      <c r="P1086" s="19"/>
      <c r="Q1086" s="19"/>
      <c r="R1086" s="19"/>
      <c r="S1086" s="69">
        <f t="shared" si="255"/>
        <v>0</v>
      </c>
      <c r="T1086" s="17"/>
      <c r="U1086" s="18"/>
      <c r="V1086" s="19"/>
      <c r="W1086" s="19"/>
      <c r="X1086" s="19"/>
      <c r="Y1086" s="17"/>
      <c r="Z1086" s="19"/>
      <c r="AA1086" s="19"/>
      <c r="AB1086" s="19"/>
      <c r="AC1086" s="19"/>
      <c r="AD1086" s="18"/>
      <c r="AE1086" s="25">
        <f>SUMIFS(инфо!$D$15:$D$28,инфо!$A$15:$A$28,F1086)</f>
        <v>0</v>
      </c>
      <c r="AF1086" s="35">
        <f t="shared" si="247"/>
        <v>0</v>
      </c>
      <c r="AG1086" s="14">
        <f t="shared" si="256"/>
        <v>0</v>
      </c>
      <c r="AH1086" s="25">
        <f>SUMIFS(инфо!$E$15:$E$28,инфо!$A$15:$A$28,F1086)</f>
        <v>0</v>
      </c>
      <c r="AI1086" s="26">
        <f t="shared" si="245"/>
        <v>0</v>
      </c>
      <c r="AJ1086" s="14">
        <f t="shared" si="257"/>
        <v>0</v>
      </c>
      <c r="AK1086" s="25">
        <f>SUMIFS(инфо!$F$15:$F$28,инфо!$A$15:$A$28,F1086)</f>
        <v>0</v>
      </c>
      <c r="AL1086" s="32">
        <f t="shared" si="248"/>
        <v>0</v>
      </c>
      <c r="AM1086" s="14">
        <f t="shared" si="251"/>
        <v>0</v>
      </c>
      <c r="AN1086" s="25">
        <f>SUMIFS(инфо!$G$15:$G$28,инфо!$A$15:$A$28,F1086)</f>
        <v>0</v>
      </c>
      <c r="AO1086" s="32">
        <f t="shared" si="249"/>
        <v>0</v>
      </c>
      <c r="AP1086" s="14">
        <f t="shared" si="252"/>
        <v>0</v>
      </c>
      <c r="AQ1086" s="25">
        <f>SUMIFS(инфо!$H$15:$H$28,инфо!$A$15:$A$28,F1086)</f>
        <v>0</v>
      </c>
      <c r="AR1086" s="26">
        <f t="shared" si="250"/>
        <v>0</v>
      </c>
      <c r="AS1086" s="14">
        <f t="shared" si="253"/>
        <v>0</v>
      </c>
      <c r="AT1086" s="25">
        <f>SUMIFS(инфо!$I$15:$I$28,инфо!$A$15:$A$28,F1086)</f>
        <v>0</v>
      </c>
      <c r="AU1086" s="35">
        <f t="shared" si="244"/>
        <v>0</v>
      </c>
      <c r="AV1086" s="14">
        <f t="shared" si="254"/>
        <v>0</v>
      </c>
      <c r="AX1086" s="69">
        <f>SUMIFS(инфо!$C$15:$C$28,инфо!$A$15:$A$28,F1086)*H1085</f>
        <v>0</v>
      </c>
    </row>
    <row r="1087" spans="1:50" x14ac:dyDescent="0.25">
      <c r="A1087" s="70">
        <f t="shared" si="246"/>
        <v>46607</v>
      </c>
      <c r="B1087" s="75"/>
      <c r="C1087" s="29"/>
      <c r="D1087" s="30"/>
      <c r="E1087" s="11"/>
      <c r="F1087" s="28"/>
      <c r="G1087" s="27"/>
      <c r="H1087" s="20"/>
      <c r="I1087" s="20"/>
      <c r="J1087" s="20"/>
      <c r="K1087" s="20"/>
      <c r="L1087" s="20"/>
      <c r="M1087" s="20"/>
      <c r="N1087" s="28"/>
      <c r="O1087" s="27"/>
      <c r="P1087" s="27"/>
      <c r="Q1087" s="27"/>
      <c r="R1087" s="27"/>
      <c r="S1087" s="67">
        <f t="shared" si="255"/>
        <v>0</v>
      </c>
      <c r="T1087" s="29"/>
      <c r="U1087" s="30"/>
      <c r="V1087" s="27"/>
      <c r="W1087" s="27"/>
      <c r="X1087" s="27"/>
      <c r="Y1087" s="29"/>
      <c r="Z1087" s="27"/>
      <c r="AA1087" s="27"/>
      <c r="AB1087" s="27"/>
      <c r="AC1087" s="27"/>
      <c r="AD1087" s="30"/>
      <c r="AE1087" s="31">
        <f>SUMIFS(инфо!$D$15:$D$28,инфо!$A$15:$A$28,F1087)</f>
        <v>0</v>
      </c>
      <c r="AF1087" s="35">
        <f t="shared" si="247"/>
        <v>0</v>
      </c>
      <c r="AG1087" s="33">
        <f t="shared" si="256"/>
        <v>0</v>
      </c>
      <c r="AH1087" s="31">
        <f>SUMIFS(инфо!$E$15:$E$28,инфо!$A$15:$A$28,F1087)</f>
        <v>0</v>
      </c>
      <c r="AI1087" s="32">
        <f t="shared" si="245"/>
        <v>0</v>
      </c>
      <c r="AJ1087" s="33">
        <f t="shared" si="257"/>
        <v>0</v>
      </c>
      <c r="AK1087" s="31">
        <f>SUMIFS(инфо!$F$15:$F$28,инфо!$A$15:$A$28,F1087)</f>
        <v>0</v>
      </c>
      <c r="AL1087" s="32">
        <f t="shared" si="248"/>
        <v>0</v>
      </c>
      <c r="AM1087" s="33">
        <f t="shared" si="251"/>
        <v>0</v>
      </c>
      <c r="AN1087" s="31">
        <f>SUMIFS(инфо!$G$15:$G$28,инфо!$A$15:$A$28,F1087)</f>
        <v>0</v>
      </c>
      <c r="AO1087" s="32">
        <f t="shared" si="249"/>
        <v>0</v>
      </c>
      <c r="AP1087" s="33">
        <f t="shared" si="252"/>
        <v>0</v>
      </c>
      <c r="AQ1087" s="31">
        <f>SUMIFS(инфо!$H$15:$H$28,инфо!$A$15:$A$28,F1087)</f>
        <v>0</v>
      </c>
      <c r="AR1087" s="32">
        <f t="shared" si="250"/>
        <v>0</v>
      </c>
      <c r="AS1087" s="33">
        <f t="shared" si="253"/>
        <v>0</v>
      </c>
      <c r="AT1087" s="31">
        <f>SUMIFS(инфо!$I$15:$I$28,инфо!$A$15:$A$28,F1087)</f>
        <v>0</v>
      </c>
      <c r="AU1087" s="35">
        <f t="shared" si="244"/>
        <v>0</v>
      </c>
      <c r="AV1087" s="33">
        <f t="shared" si="254"/>
        <v>0</v>
      </c>
      <c r="AX1087" s="67">
        <f>SUMIFS(инфо!$C$15:$C$28,инфо!$A$15:$A$28,F1087)*H1086</f>
        <v>0</v>
      </c>
    </row>
    <row r="1088" spans="1:50" x14ac:dyDescent="0.25">
      <c r="A1088" s="70">
        <f t="shared" si="246"/>
        <v>46608</v>
      </c>
      <c r="B1088" s="76"/>
      <c r="C1088" s="15"/>
      <c r="D1088" s="16"/>
      <c r="E1088" s="11"/>
      <c r="F1088" s="28"/>
      <c r="G1088" s="34"/>
      <c r="H1088" s="20"/>
      <c r="I1088" s="20"/>
      <c r="J1088" s="20"/>
      <c r="K1088" s="20"/>
      <c r="L1088" s="20"/>
      <c r="M1088" s="20"/>
      <c r="N1088" s="20"/>
      <c r="O1088" s="34"/>
      <c r="P1088" s="34"/>
      <c r="Q1088" s="34"/>
      <c r="R1088" s="34"/>
      <c r="S1088" s="68">
        <f t="shared" si="255"/>
        <v>0</v>
      </c>
      <c r="T1088" s="15"/>
      <c r="U1088" s="16"/>
      <c r="V1088" s="34"/>
      <c r="W1088" s="34"/>
      <c r="X1088" s="34"/>
      <c r="Y1088" s="15"/>
      <c r="Z1088" s="34"/>
      <c r="AA1088" s="34"/>
      <c r="AB1088" s="34"/>
      <c r="AC1088" s="34"/>
      <c r="AD1088" s="16"/>
      <c r="AE1088" s="24">
        <f>SUMIFS(инфо!$D$15:$D$28,инфо!$A$15:$A$28,F1088)</f>
        <v>0</v>
      </c>
      <c r="AF1088" s="35">
        <f t="shared" si="247"/>
        <v>0</v>
      </c>
      <c r="AG1088" s="12">
        <f t="shared" si="256"/>
        <v>0</v>
      </c>
      <c r="AH1088" s="24">
        <f>SUMIFS(инфо!$E$15:$E$28,инфо!$A$15:$A$28,F1088)</f>
        <v>0</v>
      </c>
      <c r="AI1088" s="35">
        <f t="shared" si="245"/>
        <v>0</v>
      </c>
      <c r="AJ1088" s="12">
        <f t="shared" si="257"/>
        <v>0</v>
      </c>
      <c r="AK1088" s="24">
        <f>SUMIFS(инфо!$F$15:$F$28,инфо!$A$15:$A$28,F1088)</f>
        <v>0</v>
      </c>
      <c r="AL1088" s="32">
        <f t="shared" si="248"/>
        <v>0</v>
      </c>
      <c r="AM1088" s="12">
        <f t="shared" si="251"/>
        <v>0</v>
      </c>
      <c r="AN1088" s="24">
        <f>SUMIFS(инфо!$G$15:$G$28,инфо!$A$15:$A$28,F1088)</f>
        <v>0</v>
      </c>
      <c r="AO1088" s="32">
        <f t="shared" si="249"/>
        <v>0</v>
      </c>
      <c r="AP1088" s="12">
        <f t="shared" si="252"/>
        <v>0</v>
      </c>
      <c r="AQ1088" s="24">
        <f>SUMIFS(инфо!$H$15:$H$28,инфо!$A$15:$A$28,F1088)</f>
        <v>0</v>
      </c>
      <c r="AR1088" s="35">
        <f t="shared" si="250"/>
        <v>0</v>
      </c>
      <c r="AS1088" s="12">
        <f t="shared" si="253"/>
        <v>0</v>
      </c>
      <c r="AT1088" s="24">
        <f>SUMIFS(инфо!$I$15:$I$28,инфо!$A$15:$A$28,F1088)</f>
        <v>0</v>
      </c>
      <c r="AU1088" s="35">
        <f t="shared" si="244"/>
        <v>0</v>
      </c>
      <c r="AV1088" s="12">
        <f t="shared" si="254"/>
        <v>0</v>
      </c>
      <c r="AX1088" s="68">
        <f>SUMIFS(инфо!$C$15:$C$28,инфо!$A$15:$A$28,F1088)*H1087</f>
        <v>0</v>
      </c>
    </row>
    <row r="1089" spans="1:50" x14ac:dyDescent="0.25">
      <c r="A1089" s="70">
        <f t="shared" si="246"/>
        <v>46608</v>
      </c>
      <c r="B1089" s="76"/>
      <c r="C1089" s="15"/>
      <c r="D1089" s="16"/>
      <c r="E1089" s="11"/>
      <c r="F1089" s="28"/>
      <c r="G1089" s="34"/>
      <c r="H1089" s="23"/>
      <c r="I1089" s="20"/>
      <c r="J1089" s="20"/>
      <c r="K1089" s="20"/>
      <c r="L1089" s="20"/>
      <c r="M1089" s="20"/>
      <c r="N1089" s="20"/>
      <c r="O1089" s="34"/>
      <c r="P1089" s="34"/>
      <c r="Q1089" s="34"/>
      <c r="R1089" s="34"/>
      <c r="S1089" s="68">
        <f t="shared" si="255"/>
        <v>0</v>
      </c>
      <c r="T1089" s="15"/>
      <c r="U1089" s="16"/>
      <c r="V1089" s="34"/>
      <c r="W1089" s="34"/>
      <c r="X1089" s="34"/>
      <c r="Y1089" s="15"/>
      <c r="Z1089" s="34"/>
      <c r="AA1089" s="34"/>
      <c r="AB1089" s="34"/>
      <c r="AC1089" s="34"/>
      <c r="AD1089" s="16"/>
      <c r="AE1089" s="24">
        <f>SUMIFS(инфо!$D$15:$D$28,инфо!$A$15:$A$28,F1089)</f>
        <v>0</v>
      </c>
      <c r="AF1089" s="35">
        <f t="shared" si="247"/>
        <v>0</v>
      </c>
      <c r="AG1089" s="12">
        <f t="shared" si="256"/>
        <v>0</v>
      </c>
      <c r="AH1089" s="24">
        <f>SUMIFS(инфо!$E$15:$E$28,инфо!$A$15:$A$28,F1089)</f>
        <v>0</v>
      </c>
      <c r="AI1089" s="35">
        <f t="shared" si="245"/>
        <v>0</v>
      </c>
      <c r="AJ1089" s="12">
        <f t="shared" si="257"/>
        <v>0</v>
      </c>
      <c r="AK1089" s="24">
        <f>SUMIFS(инфо!$F$15:$F$28,инфо!$A$15:$A$28,F1089)</f>
        <v>0</v>
      </c>
      <c r="AL1089" s="32">
        <f t="shared" si="248"/>
        <v>0</v>
      </c>
      <c r="AM1089" s="12">
        <f t="shared" si="251"/>
        <v>0</v>
      </c>
      <c r="AN1089" s="24">
        <f>SUMIFS(инфо!$G$15:$G$28,инфо!$A$15:$A$28,F1089)</f>
        <v>0</v>
      </c>
      <c r="AO1089" s="32">
        <f t="shared" si="249"/>
        <v>0</v>
      </c>
      <c r="AP1089" s="12">
        <f t="shared" si="252"/>
        <v>0</v>
      </c>
      <c r="AQ1089" s="24">
        <f>SUMIFS(инфо!$H$15:$H$28,инфо!$A$15:$A$28,F1089)</f>
        <v>0</v>
      </c>
      <c r="AR1089" s="35">
        <f t="shared" si="250"/>
        <v>0</v>
      </c>
      <c r="AS1089" s="12">
        <f t="shared" si="253"/>
        <v>0</v>
      </c>
      <c r="AT1089" s="24">
        <f>SUMIFS(инфо!$I$15:$I$28,инфо!$A$15:$A$28,F1089)</f>
        <v>0</v>
      </c>
      <c r="AU1089" s="35">
        <f t="shared" si="244"/>
        <v>0</v>
      </c>
      <c r="AV1089" s="12">
        <f t="shared" si="254"/>
        <v>0</v>
      </c>
      <c r="AX1089" s="68">
        <f>SUMIFS(инфо!$C$15:$C$28,инфо!$A$15:$A$28,F1089)*H1088</f>
        <v>0</v>
      </c>
    </row>
    <row r="1090" spans="1:50" x14ac:dyDescent="0.25">
      <c r="A1090" s="70">
        <f t="shared" si="246"/>
        <v>46609</v>
      </c>
      <c r="B1090" s="77"/>
      <c r="C1090" s="17"/>
      <c r="D1090" s="18"/>
      <c r="E1090" s="11"/>
      <c r="F1090" s="28"/>
      <c r="G1090" s="19"/>
      <c r="H1090" s="28"/>
      <c r="I1090" s="20"/>
      <c r="J1090" s="20"/>
      <c r="K1090" s="20"/>
      <c r="L1090" s="20"/>
      <c r="M1090" s="20"/>
      <c r="N1090" s="23"/>
      <c r="O1090" s="19"/>
      <c r="P1090" s="19"/>
      <c r="Q1090" s="19"/>
      <c r="R1090" s="19"/>
      <c r="S1090" s="69">
        <f t="shared" si="255"/>
        <v>0</v>
      </c>
      <c r="T1090" s="17"/>
      <c r="U1090" s="18"/>
      <c r="V1090" s="19"/>
      <c r="W1090" s="19"/>
      <c r="X1090" s="19"/>
      <c r="Y1090" s="17"/>
      <c r="Z1090" s="19"/>
      <c r="AA1090" s="19"/>
      <c r="AB1090" s="19"/>
      <c r="AC1090" s="19"/>
      <c r="AD1090" s="18"/>
      <c r="AE1090" s="25">
        <f>SUMIFS(инфо!$D$15:$D$28,инфо!$A$15:$A$28,F1090)</f>
        <v>0</v>
      </c>
      <c r="AF1090" s="35">
        <f t="shared" si="247"/>
        <v>0</v>
      </c>
      <c r="AG1090" s="14">
        <f t="shared" si="256"/>
        <v>0</v>
      </c>
      <c r="AH1090" s="25">
        <f>SUMIFS(инфо!$E$15:$E$28,инфо!$A$15:$A$28,F1090)</f>
        <v>0</v>
      </c>
      <c r="AI1090" s="26">
        <f t="shared" si="245"/>
        <v>0</v>
      </c>
      <c r="AJ1090" s="14">
        <f t="shared" si="257"/>
        <v>0</v>
      </c>
      <c r="AK1090" s="25">
        <f>SUMIFS(инфо!$F$15:$F$28,инфо!$A$15:$A$28,F1090)</f>
        <v>0</v>
      </c>
      <c r="AL1090" s="32">
        <f t="shared" si="248"/>
        <v>0</v>
      </c>
      <c r="AM1090" s="14">
        <f t="shared" si="251"/>
        <v>0</v>
      </c>
      <c r="AN1090" s="25">
        <f>SUMIFS(инфо!$G$15:$G$28,инфо!$A$15:$A$28,F1090)</f>
        <v>0</v>
      </c>
      <c r="AO1090" s="32">
        <f t="shared" si="249"/>
        <v>0</v>
      </c>
      <c r="AP1090" s="14">
        <f t="shared" si="252"/>
        <v>0</v>
      </c>
      <c r="AQ1090" s="25">
        <f>SUMIFS(инфо!$H$15:$H$28,инфо!$A$15:$A$28,F1090)</f>
        <v>0</v>
      </c>
      <c r="AR1090" s="26">
        <f t="shared" si="250"/>
        <v>0</v>
      </c>
      <c r="AS1090" s="14">
        <f t="shared" si="253"/>
        <v>0</v>
      </c>
      <c r="AT1090" s="25">
        <f>SUMIFS(инфо!$I$15:$I$28,инфо!$A$15:$A$28,F1090)</f>
        <v>0</v>
      </c>
      <c r="AU1090" s="35">
        <f t="shared" si="244"/>
        <v>0</v>
      </c>
      <c r="AV1090" s="14">
        <f t="shared" si="254"/>
        <v>0</v>
      </c>
      <c r="AX1090" s="69">
        <f>SUMIFS(инфо!$C$15:$C$28,инфо!$A$15:$A$28,F1090)*H1089</f>
        <v>0</v>
      </c>
    </row>
    <row r="1091" spans="1:50" x14ac:dyDescent="0.25">
      <c r="A1091" s="70">
        <f t="shared" si="246"/>
        <v>46609</v>
      </c>
      <c r="B1091" s="75"/>
      <c r="C1091" s="29"/>
      <c r="D1091" s="30"/>
      <c r="E1091" s="11"/>
      <c r="F1091" s="28"/>
      <c r="G1091" s="27"/>
      <c r="H1091" s="20"/>
      <c r="I1091" s="20"/>
      <c r="J1091" s="20"/>
      <c r="K1091" s="20"/>
      <c r="L1091" s="20"/>
      <c r="M1091" s="20"/>
      <c r="N1091" s="28"/>
      <c r="O1091" s="27"/>
      <c r="P1091" s="27"/>
      <c r="Q1091" s="27"/>
      <c r="R1091" s="27"/>
      <c r="S1091" s="67">
        <f t="shared" si="255"/>
        <v>0</v>
      </c>
      <c r="T1091" s="29"/>
      <c r="U1091" s="30"/>
      <c r="V1091" s="27"/>
      <c r="W1091" s="27"/>
      <c r="X1091" s="27"/>
      <c r="Y1091" s="29"/>
      <c r="Z1091" s="27"/>
      <c r="AA1091" s="27"/>
      <c r="AB1091" s="27"/>
      <c r="AC1091" s="27"/>
      <c r="AD1091" s="30"/>
      <c r="AE1091" s="31">
        <f>SUMIFS(инфо!$D$15:$D$28,инфо!$A$15:$A$28,F1091)</f>
        <v>0</v>
      </c>
      <c r="AF1091" s="35">
        <f t="shared" si="247"/>
        <v>0</v>
      </c>
      <c r="AG1091" s="33">
        <f t="shared" si="256"/>
        <v>0</v>
      </c>
      <c r="AH1091" s="31">
        <f>SUMIFS(инфо!$E$15:$E$28,инфо!$A$15:$A$28,F1091)</f>
        <v>0</v>
      </c>
      <c r="AI1091" s="32">
        <f t="shared" si="245"/>
        <v>0</v>
      </c>
      <c r="AJ1091" s="33">
        <f t="shared" si="257"/>
        <v>0</v>
      </c>
      <c r="AK1091" s="31">
        <f>SUMIFS(инфо!$F$15:$F$28,инфо!$A$15:$A$28,F1091)</f>
        <v>0</v>
      </c>
      <c r="AL1091" s="32">
        <f t="shared" si="248"/>
        <v>0</v>
      </c>
      <c r="AM1091" s="33">
        <f t="shared" si="251"/>
        <v>0</v>
      </c>
      <c r="AN1091" s="31">
        <f>SUMIFS(инфо!$G$15:$G$28,инфо!$A$15:$A$28,F1091)</f>
        <v>0</v>
      </c>
      <c r="AO1091" s="32">
        <f t="shared" si="249"/>
        <v>0</v>
      </c>
      <c r="AP1091" s="33">
        <f t="shared" si="252"/>
        <v>0</v>
      </c>
      <c r="AQ1091" s="31">
        <f>SUMIFS(инфо!$H$15:$H$28,инфо!$A$15:$A$28,F1091)</f>
        <v>0</v>
      </c>
      <c r="AR1091" s="32">
        <f t="shared" si="250"/>
        <v>0</v>
      </c>
      <c r="AS1091" s="33">
        <f t="shared" si="253"/>
        <v>0</v>
      </c>
      <c r="AT1091" s="31">
        <f>SUMIFS(инфо!$I$15:$I$28,инфо!$A$15:$A$28,F1091)</f>
        <v>0</v>
      </c>
      <c r="AU1091" s="35">
        <f t="shared" si="244"/>
        <v>0</v>
      </c>
      <c r="AV1091" s="33">
        <f t="shared" si="254"/>
        <v>0</v>
      </c>
      <c r="AX1091" s="67">
        <f>SUMIFS(инфо!$C$15:$C$28,инфо!$A$15:$A$28,F1091)*H1090</f>
        <v>0</v>
      </c>
    </row>
    <row r="1092" spans="1:50" x14ac:dyDescent="0.25">
      <c r="A1092" s="70">
        <f t="shared" si="246"/>
        <v>46610</v>
      </c>
      <c r="B1092" s="76"/>
      <c r="C1092" s="15"/>
      <c r="D1092" s="16"/>
      <c r="E1092" s="11"/>
      <c r="F1092" s="28"/>
      <c r="G1092" s="34"/>
      <c r="H1092" s="20"/>
      <c r="I1092" s="20"/>
      <c r="J1092" s="20"/>
      <c r="K1092" s="20"/>
      <c r="L1092" s="20"/>
      <c r="M1092" s="20"/>
      <c r="N1092" s="20"/>
      <c r="O1092" s="34"/>
      <c r="P1092" s="34"/>
      <c r="Q1092" s="34"/>
      <c r="R1092" s="34"/>
      <c r="S1092" s="68">
        <f t="shared" si="255"/>
        <v>0</v>
      </c>
      <c r="T1092" s="15"/>
      <c r="U1092" s="16"/>
      <c r="V1092" s="34"/>
      <c r="W1092" s="34"/>
      <c r="X1092" s="34"/>
      <c r="Y1092" s="15"/>
      <c r="Z1092" s="34"/>
      <c r="AA1092" s="34"/>
      <c r="AB1092" s="34"/>
      <c r="AC1092" s="34"/>
      <c r="AD1092" s="16"/>
      <c r="AE1092" s="24">
        <f>SUMIFS(инфо!$D$15:$D$28,инфо!$A$15:$A$28,F1092)</f>
        <v>0</v>
      </c>
      <c r="AF1092" s="35">
        <f t="shared" si="247"/>
        <v>0</v>
      </c>
      <c r="AG1092" s="12">
        <f t="shared" si="256"/>
        <v>0</v>
      </c>
      <c r="AH1092" s="24">
        <f>SUMIFS(инфо!$E$15:$E$28,инфо!$A$15:$A$28,F1092)</f>
        <v>0</v>
      </c>
      <c r="AI1092" s="35">
        <f t="shared" si="245"/>
        <v>0</v>
      </c>
      <c r="AJ1092" s="12">
        <f t="shared" si="257"/>
        <v>0</v>
      </c>
      <c r="AK1092" s="24">
        <f>SUMIFS(инфо!$F$15:$F$28,инфо!$A$15:$A$28,F1092)</f>
        <v>0</v>
      </c>
      <c r="AL1092" s="32">
        <f t="shared" si="248"/>
        <v>0</v>
      </c>
      <c r="AM1092" s="12">
        <f t="shared" si="251"/>
        <v>0</v>
      </c>
      <c r="AN1092" s="24">
        <f>SUMIFS(инфо!$G$15:$G$28,инфо!$A$15:$A$28,F1092)</f>
        <v>0</v>
      </c>
      <c r="AO1092" s="32">
        <f t="shared" si="249"/>
        <v>0</v>
      </c>
      <c r="AP1092" s="12">
        <f t="shared" si="252"/>
        <v>0</v>
      </c>
      <c r="AQ1092" s="24">
        <f>SUMIFS(инфо!$H$15:$H$28,инфо!$A$15:$A$28,F1092)</f>
        <v>0</v>
      </c>
      <c r="AR1092" s="35">
        <f t="shared" si="250"/>
        <v>0</v>
      </c>
      <c r="AS1092" s="12">
        <f t="shared" si="253"/>
        <v>0</v>
      </c>
      <c r="AT1092" s="24">
        <f>SUMIFS(инфо!$I$15:$I$28,инфо!$A$15:$A$28,F1092)</f>
        <v>0</v>
      </c>
      <c r="AU1092" s="35">
        <f t="shared" si="244"/>
        <v>0</v>
      </c>
      <c r="AV1092" s="12">
        <f t="shared" si="254"/>
        <v>0</v>
      </c>
      <c r="AX1092" s="68">
        <f>SUMIFS(инфо!$C$15:$C$28,инфо!$A$15:$A$28,F1092)*H1091</f>
        <v>0</v>
      </c>
    </row>
    <row r="1093" spans="1:50" x14ac:dyDescent="0.25">
      <c r="A1093" s="70">
        <f t="shared" si="246"/>
        <v>46610</v>
      </c>
      <c r="B1093" s="76"/>
      <c r="C1093" s="15"/>
      <c r="D1093" s="16"/>
      <c r="E1093" s="11"/>
      <c r="F1093" s="28"/>
      <c r="G1093" s="34"/>
      <c r="H1093" s="23"/>
      <c r="I1093" s="20"/>
      <c r="J1093" s="20"/>
      <c r="K1093" s="20"/>
      <c r="L1093" s="20"/>
      <c r="M1093" s="20"/>
      <c r="N1093" s="20"/>
      <c r="O1093" s="34"/>
      <c r="P1093" s="34"/>
      <c r="Q1093" s="34"/>
      <c r="R1093" s="34"/>
      <c r="S1093" s="68">
        <f t="shared" si="255"/>
        <v>0</v>
      </c>
      <c r="T1093" s="15"/>
      <c r="U1093" s="16"/>
      <c r="V1093" s="34"/>
      <c r="W1093" s="34"/>
      <c r="X1093" s="34"/>
      <c r="Y1093" s="15"/>
      <c r="Z1093" s="34"/>
      <c r="AA1093" s="34"/>
      <c r="AB1093" s="34"/>
      <c r="AC1093" s="34"/>
      <c r="AD1093" s="16"/>
      <c r="AE1093" s="24">
        <f>SUMIFS(инфо!$D$15:$D$28,инфо!$A$15:$A$28,F1093)</f>
        <v>0</v>
      </c>
      <c r="AF1093" s="35">
        <f t="shared" si="247"/>
        <v>0</v>
      </c>
      <c r="AG1093" s="12">
        <f t="shared" si="256"/>
        <v>0</v>
      </c>
      <c r="AH1093" s="24">
        <f>SUMIFS(инфо!$E$15:$E$28,инфо!$A$15:$A$28,F1093)</f>
        <v>0</v>
      </c>
      <c r="AI1093" s="35">
        <f t="shared" si="245"/>
        <v>0</v>
      </c>
      <c r="AJ1093" s="12">
        <f t="shared" si="257"/>
        <v>0</v>
      </c>
      <c r="AK1093" s="24">
        <f>SUMIFS(инфо!$F$15:$F$28,инфо!$A$15:$A$28,F1093)</f>
        <v>0</v>
      </c>
      <c r="AL1093" s="32">
        <f t="shared" si="248"/>
        <v>0</v>
      </c>
      <c r="AM1093" s="12">
        <f t="shared" si="251"/>
        <v>0</v>
      </c>
      <c r="AN1093" s="24">
        <f>SUMIFS(инфо!$G$15:$G$28,инфо!$A$15:$A$28,F1093)</f>
        <v>0</v>
      </c>
      <c r="AO1093" s="32">
        <f t="shared" si="249"/>
        <v>0</v>
      </c>
      <c r="AP1093" s="12">
        <f t="shared" si="252"/>
        <v>0</v>
      </c>
      <c r="AQ1093" s="24">
        <f>SUMIFS(инфо!$H$15:$H$28,инфо!$A$15:$A$28,F1093)</f>
        <v>0</v>
      </c>
      <c r="AR1093" s="35">
        <f t="shared" si="250"/>
        <v>0</v>
      </c>
      <c r="AS1093" s="12">
        <f t="shared" si="253"/>
        <v>0</v>
      </c>
      <c r="AT1093" s="24">
        <f>SUMIFS(инфо!$I$15:$I$28,инфо!$A$15:$A$28,F1093)</f>
        <v>0</v>
      </c>
      <c r="AU1093" s="35">
        <f t="shared" si="244"/>
        <v>0</v>
      </c>
      <c r="AV1093" s="12">
        <f t="shared" si="254"/>
        <v>0</v>
      </c>
      <c r="AX1093" s="68">
        <f>SUMIFS(инфо!$C$15:$C$28,инфо!$A$15:$A$28,F1093)*H1092</f>
        <v>0</v>
      </c>
    </row>
    <row r="1094" spans="1:50" x14ac:dyDescent="0.25">
      <c r="A1094" s="70">
        <f t="shared" si="246"/>
        <v>46611</v>
      </c>
      <c r="B1094" s="77"/>
      <c r="C1094" s="17"/>
      <c r="D1094" s="18"/>
      <c r="E1094" s="11"/>
      <c r="F1094" s="28"/>
      <c r="G1094" s="19"/>
      <c r="H1094" s="28"/>
      <c r="I1094" s="20"/>
      <c r="J1094" s="20"/>
      <c r="K1094" s="20"/>
      <c r="L1094" s="20"/>
      <c r="M1094" s="20"/>
      <c r="N1094" s="23"/>
      <c r="O1094" s="19"/>
      <c r="P1094" s="19"/>
      <c r="Q1094" s="19"/>
      <c r="R1094" s="19"/>
      <c r="S1094" s="69">
        <f t="shared" si="255"/>
        <v>0</v>
      </c>
      <c r="T1094" s="17"/>
      <c r="U1094" s="18"/>
      <c r="V1094" s="19"/>
      <c r="W1094" s="19"/>
      <c r="X1094" s="19"/>
      <c r="Y1094" s="17"/>
      <c r="Z1094" s="19"/>
      <c r="AA1094" s="19"/>
      <c r="AB1094" s="19"/>
      <c r="AC1094" s="19"/>
      <c r="AD1094" s="18"/>
      <c r="AE1094" s="25">
        <f>SUMIFS(инфо!$D$15:$D$28,инфо!$A$15:$A$28,F1094)</f>
        <v>0</v>
      </c>
      <c r="AF1094" s="35">
        <f t="shared" si="247"/>
        <v>0</v>
      </c>
      <c r="AG1094" s="14">
        <f t="shared" si="256"/>
        <v>0</v>
      </c>
      <c r="AH1094" s="25">
        <f>SUMIFS(инфо!$E$15:$E$28,инфо!$A$15:$A$28,F1094)</f>
        <v>0</v>
      </c>
      <c r="AI1094" s="26">
        <f t="shared" si="245"/>
        <v>0</v>
      </c>
      <c r="AJ1094" s="14">
        <f t="shared" si="257"/>
        <v>0</v>
      </c>
      <c r="AK1094" s="25">
        <f>SUMIFS(инфо!$F$15:$F$28,инфо!$A$15:$A$28,F1094)</f>
        <v>0</v>
      </c>
      <c r="AL1094" s="32">
        <f t="shared" si="248"/>
        <v>0</v>
      </c>
      <c r="AM1094" s="14">
        <f t="shared" si="251"/>
        <v>0</v>
      </c>
      <c r="AN1094" s="25">
        <f>SUMIFS(инфо!$G$15:$G$28,инфо!$A$15:$A$28,F1094)</f>
        <v>0</v>
      </c>
      <c r="AO1094" s="32">
        <f t="shared" si="249"/>
        <v>0</v>
      </c>
      <c r="AP1094" s="14">
        <f t="shared" si="252"/>
        <v>0</v>
      </c>
      <c r="AQ1094" s="25">
        <f>SUMIFS(инфо!$H$15:$H$28,инфо!$A$15:$A$28,F1094)</f>
        <v>0</v>
      </c>
      <c r="AR1094" s="26">
        <f t="shared" si="250"/>
        <v>0</v>
      </c>
      <c r="AS1094" s="14">
        <f t="shared" si="253"/>
        <v>0</v>
      </c>
      <c r="AT1094" s="25">
        <f>SUMIFS(инфо!$I$15:$I$28,инфо!$A$15:$A$28,F1094)</f>
        <v>0</v>
      </c>
      <c r="AU1094" s="35">
        <f t="shared" si="244"/>
        <v>0</v>
      </c>
      <c r="AV1094" s="14">
        <f t="shared" si="254"/>
        <v>0</v>
      </c>
      <c r="AX1094" s="69">
        <f>SUMIFS(инфо!$C$15:$C$28,инфо!$A$15:$A$28,F1094)*H1093</f>
        <v>0</v>
      </c>
    </row>
    <row r="1095" spans="1:50" x14ac:dyDescent="0.25">
      <c r="A1095" s="70">
        <f t="shared" si="246"/>
        <v>46611</v>
      </c>
      <c r="B1095" s="75"/>
      <c r="C1095" s="29"/>
      <c r="D1095" s="30"/>
      <c r="E1095" s="11"/>
      <c r="F1095" s="28"/>
      <c r="G1095" s="27"/>
      <c r="H1095" s="20"/>
      <c r="I1095" s="20"/>
      <c r="J1095" s="20"/>
      <c r="K1095" s="20"/>
      <c r="L1095" s="20"/>
      <c r="M1095" s="20"/>
      <c r="N1095" s="28"/>
      <c r="O1095" s="27"/>
      <c r="P1095" s="27"/>
      <c r="Q1095" s="27"/>
      <c r="R1095" s="27"/>
      <c r="S1095" s="67">
        <f t="shared" si="255"/>
        <v>0</v>
      </c>
      <c r="T1095" s="29"/>
      <c r="U1095" s="30"/>
      <c r="V1095" s="27"/>
      <c r="W1095" s="27"/>
      <c r="X1095" s="27"/>
      <c r="Y1095" s="29"/>
      <c r="Z1095" s="27"/>
      <c r="AA1095" s="27"/>
      <c r="AB1095" s="27"/>
      <c r="AC1095" s="27"/>
      <c r="AD1095" s="30"/>
      <c r="AE1095" s="31">
        <f>SUMIFS(инфо!$D$15:$D$28,инфо!$A$15:$A$28,F1095)</f>
        <v>0</v>
      </c>
      <c r="AF1095" s="35">
        <f t="shared" si="247"/>
        <v>0</v>
      </c>
      <c r="AG1095" s="33">
        <f t="shared" si="256"/>
        <v>0</v>
      </c>
      <c r="AH1095" s="31">
        <f>SUMIFS(инфо!$E$15:$E$28,инфо!$A$15:$A$28,F1095)</f>
        <v>0</v>
      </c>
      <c r="AI1095" s="32">
        <f t="shared" si="245"/>
        <v>0</v>
      </c>
      <c r="AJ1095" s="33">
        <f t="shared" si="257"/>
        <v>0</v>
      </c>
      <c r="AK1095" s="31">
        <f>SUMIFS(инфо!$F$15:$F$28,инфо!$A$15:$A$28,F1095)</f>
        <v>0</v>
      </c>
      <c r="AL1095" s="32">
        <f t="shared" si="248"/>
        <v>0</v>
      </c>
      <c r="AM1095" s="33">
        <f t="shared" si="251"/>
        <v>0</v>
      </c>
      <c r="AN1095" s="31">
        <f>SUMIFS(инфо!$G$15:$G$28,инфо!$A$15:$A$28,F1095)</f>
        <v>0</v>
      </c>
      <c r="AO1095" s="32">
        <f t="shared" si="249"/>
        <v>0</v>
      </c>
      <c r="AP1095" s="33">
        <f t="shared" si="252"/>
        <v>0</v>
      </c>
      <c r="AQ1095" s="31">
        <f>SUMIFS(инфо!$H$15:$H$28,инфо!$A$15:$A$28,F1095)</f>
        <v>0</v>
      </c>
      <c r="AR1095" s="32">
        <f t="shared" si="250"/>
        <v>0</v>
      </c>
      <c r="AS1095" s="33">
        <f t="shared" si="253"/>
        <v>0</v>
      </c>
      <c r="AT1095" s="31">
        <f>SUMIFS(инфо!$I$15:$I$28,инфо!$A$15:$A$28,F1095)</f>
        <v>0</v>
      </c>
      <c r="AU1095" s="35">
        <f t="shared" si="244"/>
        <v>0</v>
      </c>
      <c r="AV1095" s="33">
        <f t="shared" si="254"/>
        <v>0</v>
      </c>
      <c r="AX1095" s="67">
        <f>SUMIFS(инфо!$C$15:$C$28,инфо!$A$15:$A$28,F1095)*H1094</f>
        <v>0</v>
      </c>
    </row>
    <row r="1096" spans="1:50" x14ac:dyDescent="0.25">
      <c r="A1096" s="70">
        <f t="shared" si="246"/>
        <v>46612</v>
      </c>
      <c r="B1096" s="76"/>
      <c r="C1096" s="15"/>
      <c r="D1096" s="16"/>
      <c r="E1096" s="11"/>
      <c r="F1096" s="28"/>
      <c r="G1096" s="34"/>
      <c r="H1096" s="20"/>
      <c r="I1096" s="20"/>
      <c r="J1096" s="20"/>
      <c r="K1096" s="20"/>
      <c r="L1096" s="20"/>
      <c r="M1096" s="20"/>
      <c r="N1096" s="20"/>
      <c r="O1096" s="34"/>
      <c r="P1096" s="34"/>
      <c r="Q1096" s="34"/>
      <c r="R1096" s="34"/>
      <c r="S1096" s="68">
        <f t="shared" si="255"/>
        <v>0</v>
      </c>
      <c r="T1096" s="15"/>
      <c r="U1096" s="16"/>
      <c r="V1096" s="34"/>
      <c r="W1096" s="34"/>
      <c r="X1096" s="34"/>
      <c r="Y1096" s="15"/>
      <c r="Z1096" s="34"/>
      <c r="AA1096" s="34"/>
      <c r="AB1096" s="34"/>
      <c r="AC1096" s="34"/>
      <c r="AD1096" s="16"/>
      <c r="AE1096" s="24">
        <f>SUMIFS(инфо!$D$15:$D$28,инфо!$A$15:$A$28,F1096)</f>
        <v>0</v>
      </c>
      <c r="AF1096" s="35">
        <f t="shared" si="247"/>
        <v>0</v>
      </c>
      <c r="AG1096" s="12">
        <f t="shared" si="256"/>
        <v>0</v>
      </c>
      <c r="AH1096" s="24">
        <f>SUMIFS(инфо!$E$15:$E$28,инфо!$A$15:$A$28,F1096)</f>
        <v>0</v>
      </c>
      <c r="AI1096" s="35">
        <f t="shared" si="245"/>
        <v>0</v>
      </c>
      <c r="AJ1096" s="12">
        <f t="shared" si="257"/>
        <v>0</v>
      </c>
      <c r="AK1096" s="24">
        <f>SUMIFS(инфо!$F$15:$F$28,инфо!$A$15:$A$28,F1096)</f>
        <v>0</v>
      </c>
      <c r="AL1096" s="32">
        <f t="shared" si="248"/>
        <v>0</v>
      </c>
      <c r="AM1096" s="12">
        <f t="shared" si="251"/>
        <v>0</v>
      </c>
      <c r="AN1096" s="24">
        <f>SUMIFS(инфо!$G$15:$G$28,инфо!$A$15:$A$28,F1096)</f>
        <v>0</v>
      </c>
      <c r="AO1096" s="32">
        <f t="shared" si="249"/>
        <v>0</v>
      </c>
      <c r="AP1096" s="12">
        <f t="shared" si="252"/>
        <v>0</v>
      </c>
      <c r="AQ1096" s="24">
        <f>SUMIFS(инфо!$H$15:$H$28,инфо!$A$15:$A$28,F1096)</f>
        <v>0</v>
      </c>
      <c r="AR1096" s="35">
        <f t="shared" si="250"/>
        <v>0</v>
      </c>
      <c r="AS1096" s="12">
        <f t="shared" si="253"/>
        <v>0</v>
      </c>
      <c r="AT1096" s="24">
        <f>SUMIFS(инфо!$I$15:$I$28,инфо!$A$15:$A$28,F1096)</f>
        <v>0</v>
      </c>
      <c r="AU1096" s="35">
        <f t="shared" si="244"/>
        <v>0</v>
      </c>
      <c r="AV1096" s="12">
        <f t="shared" si="254"/>
        <v>0</v>
      </c>
      <c r="AX1096" s="68">
        <f>SUMIFS(инфо!$C$15:$C$28,инфо!$A$15:$A$28,F1096)*H1095</f>
        <v>0</v>
      </c>
    </row>
    <row r="1097" spans="1:50" x14ac:dyDescent="0.25">
      <c r="A1097" s="70">
        <f t="shared" si="246"/>
        <v>46612</v>
      </c>
      <c r="B1097" s="76"/>
      <c r="C1097" s="15"/>
      <c r="D1097" s="16"/>
      <c r="E1097" s="11"/>
      <c r="F1097" s="28"/>
      <c r="G1097" s="34"/>
      <c r="H1097" s="23"/>
      <c r="I1097" s="20"/>
      <c r="J1097" s="20"/>
      <c r="K1097" s="20"/>
      <c r="L1097" s="20"/>
      <c r="M1097" s="20"/>
      <c r="N1097" s="20"/>
      <c r="O1097" s="34"/>
      <c r="P1097" s="34"/>
      <c r="Q1097" s="34"/>
      <c r="R1097" s="34"/>
      <c r="S1097" s="68">
        <f t="shared" si="255"/>
        <v>0</v>
      </c>
      <c r="T1097" s="15"/>
      <c r="U1097" s="16"/>
      <c r="V1097" s="34"/>
      <c r="W1097" s="34"/>
      <c r="X1097" s="34"/>
      <c r="Y1097" s="15"/>
      <c r="Z1097" s="34"/>
      <c r="AA1097" s="34"/>
      <c r="AB1097" s="34"/>
      <c r="AC1097" s="34"/>
      <c r="AD1097" s="16"/>
      <c r="AE1097" s="24">
        <f>SUMIFS(инфо!$D$15:$D$28,инфо!$A$15:$A$28,F1097)</f>
        <v>0</v>
      </c>
      <c r="AF1097" s="35">
        <f t="shared" si="247"/>
        <v>0</v>
      </c>
      <c r="AG1097" s="12">
        <f t="shared" si="256"/>
        <v>0</v>
      </c>
      <c r="AH1097" s="24">
        <f>SUMIFS(инфо!$E$15:$E$28,инфо!$A$15:$A$28,F1097)</f>
        <v>0</v>
      </c>
      <c r="AI1097" s="35">
        <f t="shared" si="245"/>
        <v>0</v>
      </c>
      <c r="AJ1097" s="12">
        <f t="shared" si="257"/>
        <v>0</v>
      </c>
      <c r="AK1097" s="24">
        <f>SUMIFS(инфо!$F$15:$F$28,инфо!$A$15:$A$28,F1097)</f>
        <v>0</v>
      </c>
      <c r="AL1097" s="32">
        <f t="shared" si="248"/>
        <v>0</v>
      </c>
      <c r="AM1097" s="12">
        <f t="shared" si="251"/>
        <v>0</v>
      </c>
      <c r="AN1097" s="24">
        <f>SUMIFS(инфо!$G$15:$G$28,инфо!$A$15:$A$28,F1097)</f>
        <v>0</v>
      </c>
      <c r="AO1097" s="32">
        <f t="shared" si="249"/>
        <v>0</v>
      </c>
      <c r="AP1097" s="12">
        <f t="shared" si="252"/>
        <v>0</v>
      </c>
      <c r="AQ1097" s="24">
        <f>SUMIFS(инфо!$H$15:$H$28,инфо!$A$15:$A$28,F1097)</f>
        <v>0</v>
      </c>
      <c r="AR1097" s="35">
        <f t="shared" si="250"/>
        <v>0</v>
      </c>
      <c r="AS1097" s="12">
        <f t="shared" si="253"/>
        <v>0</v>
      </c>
      <c r="AT1097" s="24">
        <f>SUMIFS(инфо!$I$15:$I$28,инфо!$A$15:$A$28,F1097)</f>
        <v>0</v>
      </c>
      <c r="AU1097" s="35">
        <f t="shared" ref="AU1097:AU1160" si="258">IF(H1097=0,0,AD1097/H1097)</f>
        <v>0</v>
      </c>
      <c r="AV1097" s="12">
        <f t="shared" si="254"/>
        <v>0</v>
      </c>
      <c r="AX1097" s="68">
        <f>SUMIFS(инфо!$C$15:$C$28,инфо!$A$15:$A$28,F1097)*H1096</f>
        <v>0</v>
      </c>
    </row>
    <row r="1098" spans="1:50" x14ac:dyDescent="0.25">
      <c r="A1098" s="70">
        <f t="shared" si="246"/>
        <v>46613</v>
      </c>
      <c r="B1098" s="77"/>
      <c r="C1098" s="17"/>
      <c r="D1098" s="18"/>
      <c r="E1098" s="11"/>
      <c r="F1098" s="28"/>
      <c r="G1098" s="19"/>
      <c r="H1098" s="28"/>
      <c r="I1098" s="20"/>
      <c r="J1098" s="20"/>
      <c r="K1098" s="20"/>
      <c r="L1098" s="20"/>
      <c r="M1098" s="20"/>
      <c r="N1098" s="23"/>
      <c r="O1098" s="19"/>
      <c r="P1098" s="19"/>
      <c r="Q1098" s="19"/>
      <c r="R1098" s="19"/>
      <c r="S1098" s="69">
        <f t="shared" si="255"/>
        <v>0</v>
      </c>
      <c r="T1098" s="17"/>
      <c r="U1098" s="18"/>
      <c r="V1098" s="19"/>
      <c r="W1098" s="19"/>
      <c r="X1098" s="19"/>
      <c r="Y1098" s="17"/>
      <c r="Z1098" s="19"/>
      <c r="AA1098" s="19"/>
      <c r="AB1098" s="19"/>
      <c r="AC1098" s="19"/>
      <c r="AD1098" s="18"/>
      <c r="AE1098" s="25">
        <f>SUMIFS(инфо!$D$15:$D$28,инфо!$A$15:$A$28,F1098)</f>
        <v>0</v>
      </c>
      <c r="AF1098" s="35">
        <f t="shared" si="247"/>
        <v>0</v>
      </c>
      <c r="AG1098" s="14">
        <f t="shared" si="256"/>
        <v>0</v>
      </c>
      <c r="AH1098" s="25">
        <f>SUMIFS(инфо!$E$15:$E$28,инфо!$A$15:$A$28,F1098)</f>
        <v>0</v>
      </c>
      <c r="AI1098" s="26">
        <f t="shared" si="245"/>
        <v>0</v>
      </c>
      <c r="AJ1098" s="14">
        <f t="shared" si="257"/>
        <v>0</v>
      </c>
      <c r="AK1098" s="25">
        <f>SUMIFS(инфо!$F$15:$F$28,инфо!$A$15:$A$28,F1098)</f>
        <v>0</v>
      </c>
      <c r="AL1098" s="32">
        <f t="shared" si="248"/>
        <v>0</v>
      </c>
      <c r="AM1098" s="14">
        <f t="shared" si="251"/>
        <v>0</v>
      </c>
      <c r="AN1098" s="25">
        <f>SUMIFS(инфо!$G$15:$G$28,инфо!$A$15:$A$28,F1098)</f>
        <v>0</v>
      </c>
      <c r="AO1098" s="32">
        <f t="shared" si="249"/>
        <v>0</v>
      </c>
      <c r="AP1098" s="14">
        <f t="shared" si="252"/>
        <v>0</v>
      </c>
      <c r="AQ1098" s="25">
        <f>SUMIFS(инфо!$H$15:$H$28,инфо!$A$15:$A$28,F1098)</f>
        <v>0</v>
      </c>
      <c r="AR1098" s="26">
        <f t="shared" si="250"/>
        <v>0</v>
      </c>
      <c r="AS1098" s="14">
        <f t="shared" si="253"/>
        <v>0</v>
      </c>
      <c r="AT1098" s="25">
        <f>SUMIFS(инфо!$I$15:$I$28,инфо!$A$15:$A$28,F1098)</f>
        <v>0</v>
      </c>
      <c r="AU1098" s="35">
        <f t="shared" si="258"/>
        <v>0</v>
      </c>
      <c r="AV1098" s="14">
        <f t="shared" si="254"/>
        <v>0</v>
      </c>
      <c r="AX1098" s="69">
        <f>SUMIFS(инфо!$C$15:$C$28,инфо!$A$15:$A$28,F1098)*H1097</f>
        <v>0</v>
      </c>
    </row>
    <row r="1099" spans="1:50" x14ac:dyDescent="0.25">
      <c r="A1099" s="70">
        <f t="shared" si="246"/>
        <v>46613</v>
      </c>
      <c r="B1099" s="75"/>
      <c r="C1099" s="29"/>
      <c r="D1099" s="30"/>
      <c r="E1099" s="11"/>
      <c r="F1099" s="28"/>
      <c r="G1099" s="27"/>
      <c r="H1099" s="20"/>
      <c r="I1099" s="20"/>
      <c r="J1099" s="20"/>
      <c r="K1099" s="20"/>
      <c r="L1099" s="20"/>
      <c r="M1099" s="20"/>
      <c r="N1099" s="28"/>
      <c r="O1099" s="27"/>
      <c r="P1099" s="27"/>
      <c r="Q1099" s="27"/>
      <c r="R1099" s="27"/>
      <c r="S1099" s="67">
        <f t="shared" si="255"/>
        <v>0</v>
      </c>
      <c r="T1099" s="29"/>
      <c r="U1099" s="30"/>
      <c r="V1099" s="27"/>
      <c r="W1099" s="27"/>
      <c r="X1099" s="27"/>
      <c r="Y1099" s="29"/>
      <c r="Z1099" s="27"/>
      <c r="AA1099" s="27"/>
      <c r="AB1099" s="27"/>
      <c r="AC1099" s="27"/>
      <c r="AD1099" s="30"/>
      <c r="AE1099" s="31">
        <f>SUMIFS(инфо!$D$15:$D$28,инфо!$A$15:$A$28,F1099)</f>
        <v>0</v>
      </c>
      <c r="AF1099" s="35">
        <f t="shared" si="247"/>
        <v>0</v>
      </c>
      <c r="AG1099" s="33">
        <f t="shared" si="256"/>
        <v>0</v>
      </c>
      <c r="AH1099" s="31">
        <f>SUMIFS(инфо!$E$15:$E$28,инфо!$A$15:$A$28,F1099)</f>
        <v>0</v>
      </c>
      <c r="AI1099" s="32">
        <f t="shared" si="245"/>
        <v>0</v>
      </c>
      <c r="AJ1099" s="33">
        <f t="shared" si="257"/>
        <v>0</v>
      </c>
      <c r="AK1099" s="31">
        <f>SUMIFS(инфо!$F$15:$F$28,инфо!$A$15:$A$28,F1099)</f>
        <v>0</v>
      </c>
      <c r="AL1099" s="32">
        <f t="shared" si="248"/>
        <v>0</v>
      </c>
      <c r="AM1099" s="33">
        <f t="shared" si="251"/>
        <v>0</v>
      </c>
      <c r="AN1099" s="31">
        <f>SUMIFS(инфо!$G$15:$G$28,инфо!$A$15:$A$28,F1099)</f>
        <v>0</v>
      </c>
      <c r="AO1099" s="32">
        <f t="shared" si="249"/>
        <v>0</v>
      </c>
      <c r="AP1099" s="33">
        <f t="shared" si="252"/>
        <v>0</v>
      </c>
      <c r="AQ1099" s="31">
        <f>SUMIFS(инфо!$H$15:$H$28,инфо!$A$15:$A$28,F1099)</f>
        <v>0</v>
      </c>
      <c r="AR1099" s="32">
        <f t="shared" si="250"/>
        <v>0</v>
      </c>
      <c r="AS1099" s="33">
        <f t="shared" si="253"/>
        <v>0</v>
      </c>
      <c r="AT1099" s="31">
        <f>SUMIFS(инфо!$I$15:$I$28,инфо!$A$15:$A$28,F1099)</f>
        <v>0</v>
      </c>
      <c r="AU1099" s="35">
        <f t="shared" si="258"/>
        <v>0</v>
      </c>
      <c r="AV1099" s="33">
        <f t="shared" si="254"/>
        <v>0</v>
      </c>
      <c r="AX1099" s="67">
        <f>SUMIFS(инфо!$C$15:$C$28,инфо!$A$15:$A$28,F1099)*H1098</f>
        <v>0</v>
      </c>
    </row>
    <row r="1100" spans="1:50" x14ac:dyDescent="0.25">
      <c r="A1100" s="70">
        <f t="shared" si="246"/>
        <v>46614</v>
      </c>
      <c r="B1100" s="76"/>
      <c r="C1100" s="15"/>
      <c r="D1100" s="16"/>
      <c r="E1100" s="11"/>
      <c r="F1100" s="28"/>
      <c r="G1100" s="34"/>
      <c r="H1100" s="20"/>
      <c r="I1100" s="20"/>
      <c r="J1100" s="20"/>
      <c r="K1100" s="20"/>
      <c r="L1100" s="20"/>
      <c r="M1100" s="20"/>
      <c r="N1100" s="20"/>
      <c r="O1100" s="34"/>
      <c r="P1100" s="34"/>
      <c r="Q1100" s="34"/>
      <c r="R1100" s="34"/>
      <c r="S1100" s="68">
        <f t="shared" si="255"/>
        <v>0</v>
      </c>
      <c r="T1100" s="15"/>
      <c r="U1100" s="16"/>
      <c r="V1100" s="34"/>
      <c r="W1100" s="34"/>
      <c r="X1100" s="34"/>
      <c r="Y1100" s="15"/>
      <c r="Z1100" s="34"/>
      <c r="AA1100" s="34"/>
      <c r="AB1100" s="34"/>
      <c r="AC1100" s="34"/>
      <c r="AD1100" s="16"/>
      <c r="AE1100" s="24">
        <f>SUMIFS(инфо!$D$15:$D$28,инфо!$A$15:$A$28,F1100)</f>
        <v>0</v>
      </c>
      <c r="AF1100" s="35">
        <f t="shared" si="247"/>
        <v>0</v>
      </c>
      <c r="AG1100" s="12">
        <f t="shared" si="256"/>
        <v>0</v>
      </c>
      <c r="AH1100" s="24">
        <f>SUMIFS(инфо!$E$15:$E$28,инфо!$A$15:$A$28,F1100)</f>
        <v>0</v>
      </c>
      <c r="AI1100" s="35">
        <f t="shared" si="245"/>
        <v>0</v>
      </c>
      <c r="AJ1100" s="12">
        <f t="shared" si="257"/>
        <v>0</v>
      </c>
      <c r="AK1100" s="24">
        <f>SUMIFS(инфо!$F$15:$F$28,инфо!$A$15:$A$28,F1100)</f>
        <v>0</v>
      </c>
      <c r="AL1100" s="32">
        <f t="shared" si="248"/>
        <v>0</v>
      </c>
      <c r="AM1100" s="12">
        <f t="shared" si="251"/>
        <v>0</v>
      </c>
      <c r="AN1100" s="24">
        <f>SUMIFS(инфо!$G$15:$G$28,инфо!$A$15:$A$28,F1100)</f>
        <v>0</v>
      </c>
      <c r="AO1100" s="32">
        <f t="shared" si="249"/>
        <v>0</v>
      </c>
      <c r="AP1100" s="12">
        <f t="shared" si="252"/>
        <v>0</v>
      </c>
      <c r="AQ1100" s="24">
        <f>SUMIFS(инфо!$H$15:$H$28,инфо!$A$15:$A$28,F1100)</f>
        <v>0</v>
      </c>
      <c r="AR1100" s="35">
        <f t="shared" si="250"/>
        <v>0</v>
      </c>
      <c r="AS1100" s="12">
        <f t="shared" si="253"/>
        <v>0</v>
      </c>
      <c r="AT1100" s="24">
        <f>SUMIFS(инфо!$I$15:$I$28,инфо!$A$15:$A$28,F1100)</f>
        <v>0</v>
      </c>
      <c r="AU1100" s="35">
        <f t="shared" si="258"/>
        <v>0</v>
      </c>
      <c r="AV1100" s="12">
        <f t="shared" si="254"/>
        <v>0</v>
      </c>
      <c r="AX1100" s="68">
        <f>SUMIFS(инфо!$C$15:$C$28,инфо!$A$15:$A$28,F1100)*H1099</f>
        <v>0</v>
      </c>
    </row>
    <row r="1101" spans="1:50" x14ac:dyDescent="0.25">
      <c r="A1101" s="70">
        <f t="shared" si="246"/>
        <v>46614</v>
      </c>
      <c r="B1101" s="76"/>
      <c r="C1101" s="15"/>
      <c r="D1101" s="16"/>
      <c r="E1101" s="11"/>
      <c r="F1101" s="28"/>
      <c r="G1101" s="34"/>
      <c r="H1101" s="23"/>
      <c r="I1101" s="20"/>
      <c r="J1101" s="20"/>
      <c r="K1101" s="20"/>
      <c r="L1101" s="20"/>
      <c r="M1101" s="20"/>
      <c r="N1101" s="20"/>
      <c r="O1101" s="34"/>
      <c r="P1101" s="34"/>
      <c r="Q1101" s="34"/>
      <c r="R1101" s="34"/>
      <c r="S1101" s="68">
        <f t="shared" si="255"/>
        <v>0</v>
      </c>
      <c r="T1101" s="15"/>
      <c r="U1101" s="16"/>
      <c r="V1101" s="34"/>
      <c r="W1101" s="34"/>
      <c r="X1101" s="34"/>
      <c r="Y1101" s="15"/>
      <c r="Z1101" s="34"/>
      <c r="AA1101" s="34"/>
      <c r="AB1101" s="34"/>
      <c r="AC1101" s="34"/>
      <c r="AD1101" s="16"/>
      <c r="AE1101" s="24">
        <f>SUMIFS(инфо!$D$15:$D$28,инфо!$A$15:$A$28,F1101)</f>
        <v>0</v>
      </c>
      <c r="AF1101" s="35">
        <f t="shared" si="247"/>
        <v>0</v>
      </c>
      <c r="AG1101" s="12">
        <f t="shared" si="256"/>
        <v>0</v>
      </c>
      <c r="AH1101" s="24">
        <f>SUMIFS(инфо!$E$15:$E$28,инфо!$A$15:$A$28,F1101)</f>
        <v>0</v>
      </c>
      <c r="AI1101" s="35">
        <f t="shared" si="245"/>
        <v>0</v>
      </c>
      <c r="AJ1101" s="12">
        <f t="shared" si="257"/>
        <v>0</v>
      </c>
      <c r="AK1101" s="24">
        <f>SUMIFS(инфо!$F$15:$F$28,инфо!$A$15:$A$28,F1101)</f>
        <v>0</v>
      </c>
      <c r="AL1101" s="32">
        <f t="shared" si="248"/>
        <v>0</v>
      </c>
      <c r="AM1101" s="12">
        <f t="shared" si="251"/>
        <v>0</v>
      </c>
      <c r="AN1101" s="24">
        <f>SUMIFS(инфо!$G$15:$G$28,инфо!$A$15:$A$28,F1101)</f>
        <v>0</v>
      </c>
      <c r="AO1101" s="32">
        <f t="shared" si="249"/>
        <v>0</v>
      </c>
      <c r="AP1101" s="12">
        <f t="shared" si="252"/>
        <v>0</v>
      </c>
      <c r="AQ1101" s="24">
        <f>SUMIFS(инфо!$H$15:$H$28,инфо!$A$15:$A$28,F1101)</f>
        <v>0</v>
      </c>
      <c r="AR1101" s="35">
        <f t="shared" si="250"/>
        <v>0</v>
      </c>
      <c r="AS1101" s="12">
        <f t="shared" si="253"/>
        <v>0</v>
      </c>
      <c r="AT1101" s="24">
        <f>SUMIFS(инфо!$I$15:$I$28,инфо!$A$15:$A$28,F1101)</f>
        <v>0</v>
      </c>
      <c r="AU1101" s="35">
        <f t="shared" si="258"/>
        <v>0</v>
      </c>
      <c r="AV1101" s="12">
        <f t="shared" si="254"/>
        <v>0</v>
      </c>
      <c r="AX1101" s="68">
        <f>SUMIFS(инфо!$C$15:$C$28,инфо!$A$15:$A$28,F1101)*H1100</f>
        <v>0</v>
      </c>
    </row>
    <row r="1102" spans="1:50" x14ac:dyDescent="0.25">
      <c r="A1102" s="70">
        <f t="shared" si="246"/>
        <v>46615</v>
      </c>
      <c r="B1102" s="77"/>
      <c r="C1102" s="17"/>
      <c r="D1102" s="18"/>
      <c r="E1102" s="11"/>
      <c r="F1102" s="28"/>
      <c r="G1102" s="19"/>
      <c r="H1102" s="28"/>
      <c r="I1102" s="20"/>
      <c r="J1102" s="20"/>
      <c r="K1102" s="20"/>
      <c r="L1102" s="20"/>
      <c r="M1102" s="20"/>
      <c r="N1102" s="23"/>
      <c r="O1102" s="19"/>
      <c r="P1102" s="19"/>
      <c r="Q1102" s="19"/>
      <c r="R1102" s="19"/>
      <c r="S1102" s="69">
        <f t="shared" si="255"/>
        <v>0</v>
      </c>
      <c r="T1102" s="17"/>
      <c r="U1102" s="18"/>
      <c r="V1102" s="19"/>
      <c r="W1102" s="19"/>
      <c r="X1102" s="19"/>
      <c r="Y1102" s="17"/>
      <c r="Z1102" s="19"/>
      <c r="AA1102" s="19"/>
      <c r="AB1102" s="19"/>
      <c r="AC1102" s="19"/>
      <c r="AD1102" s="18"/>
      <c r="AE1102" s="25">
        <f>SUMIFS(инфо!$D$15:$D$28,инфо!$A$15:$A$28,F1102)</f>
        <v>0</v>
      </c>
      <c r="AF1102" s="35">
        <f t="shared" si="247"/>
        <v>0</v>
      </c>
      <c r="AG1102" s="14">
        <f t="shared" si="256"/>
        <v>0</v>
      </c>
      <c r="AH1102" s="25">
        <f>SUMIFS(инфо!$E$15:$E$28,инфо!$A$15:$A$28,F1102)</f>
        <v>0</v>
      </c>
      <c r="AI1102" s="26">
        <f t="shared" si="245"/>
        <v>0</v>
      </c>
      <c r="AJ1102" s="14">
        <f t="shared" si="257"/>
        <v>0</v>
      </c>
      <c r="AK1102" s="25">
        <f>SUMIFS(инфо!$F$15:$F$28,инфо!$A$15:$A$28,F1102)</f>
        <v>0</v>
      </c>
      <c r="AL1102" s="32">
        <f t="shared" si="248"/>
        <v>0</v>
      </c>
      <c r="AM1102" s="14">
        <f t="shared" si="251"/>
        <v>0</v>
      </c>
      <c r="AN1102" s="25">
        <f>SUMIFS(инфо!$G$15:$G$28,инфо!$A$15:$A$28,F1102)</f>
        <v>0</v>
      </c>
      <c r="AO1102" s="32">
        <f t="shared" si="249"/>
        <v>0</v>
      </c>
      <c r="AP1102" s="14">
        <f t="shared" si="252"/>
        <v>0</v>
      </c>
      <c r="AQ1102" s="25">
        <f>SUMIFS(инфо!$H$15:$H$28,инфо!$A$15:$A$28,F1102)</f>
        <v>0</v>
      </c>
      <c r="AR1102" s="26">
        <f t="shared" si="250"/>
        <v>0</v>
      </c>
      <c r="AS1102" s="14">
        <f t="shared" si="253"/>
        <v>0</v>
      </c>
      <c r="AT1102" s="25">
        <f>SUMIFS(инфо!$I$15:$I$28,инфо!$A$15:$A$28,F1102)</f>
        <v>0</v>
      </c>
      <c r="AU1102" s="35">
        <f t="shared" si="258"/>
        <v>0</v>
      </c>
      <c r="AV1102" s="14">
        <f t="shared" si="254"/>
        <v>0</v>
      </c>
      <c r="AX1102" s="69">
        <f>SUMIFS(инфо!$C$15:$C$28,инфо!$A$15:$A$28,F1102)*H1101</f>
        <v>0</v>
      </c>
    </row>
    <row r="1103" spans="1:50" x14ac:dyDescent="0.25">
      <c r="A1103" s="70">
        <f t="shared" si="246"/>
        <v>46615</v>
      </c>
      <c r="B1103" s="75"/>
      <c r="C1103" s="29"/>
      <c r="D1103" s="30"/>
      <c r="E1103" s="11"/>
      <c r="F1103" s="28"/>
      <c r="G1103" s="27"/>
      <c r="H1103" s="20"/>
      <c r="I1103" s="20"/>
      <c r="J1103" s="20"/>
      <c r="K1103" s="20"/>
      <c r="L1103" s="20"/>
      <c r="M1103" s="20"/>
      <c r="N1103" s="28"/>
      <c r="O1103" s="27"/>
      <c r="P1103" s="27"/>
      <c r="Q1103" s="27"/>
      <c r="R1103" s="27"/>
      <c r="S1103" s="67">
        <f t="shared" si="255"/>
        <v>0</v>
      </c>
      <c r="T1103" s="29"/>
      <c r="U1103" s="30"/>
      <c r="V1103" s="27"/>
      <c r="W1103" s="27"/>
      <c r="X1103" s="27"/>
      <c r="Y1103" s="29"/>
      <c r="Z1103" s="27"/>
      <c r="AA1103" s="27"/>
      <c r="AB1103" s="27"/>
      <c r="AC1103" s="27"/>
      <c r="AD1103" s="30"/>
      <c r="AE1103" s="31">
        <f>SUMIFS(инфо!$D$15:$D$28,инфо!$A$15:$A$28,F1103)</f>
        <v>0</v>
      </c>
      <c r="AF1103" s="35">
        <f t="shared" si="247"/>
        <v>0</v>
      </c>
      <c r="AG1103" s="33">
        <f t="shared" si="256"/>
        <v>0</v>
      </c>
      <c r="AH1103" s="31">
        <f>SUMIFS(инфо!$E$15:$E$28,инфо!$A$15:$A$28,F1103)</f>
        <v>0</v>
      </c>
      <c r="AI1103" s="32">
        <f t="shared" ref="AI1103:AI1166" si="259">IF(H1102=0,0,S1103/H1102)</f>
        <v>0</v>
      </c>
      <c r="AJ1103" s="33">
        <f t="shared" si="257"/>
        <v>0</v>
      </c>
      <c r="AK1103" s="31">
        <f>SUMIFS(инфо!$F$15:$F$28,инфо!$A$15:$A$28,F1103)</f>
        <v>0</v>
      </c>
      <c r="AL1103" s="32">
        <f t="shared" si="248"/>
        <v>0</v>
      </c>
      <c r="AM1103" s="33">
        <f t="shared" si="251"/>
        <v>0</v>
      </c>
      <c r="AN1103" s="31">
        <f>SUMIFS(инфо!$G$15:$G$28,инфо!$A$15:$A$28,F1103)</f>
        <v>0</v>
      </c>
      <c r="AO1103" s="32">
        <f t="shared" si="249"/>
        <v>0</v>
      </c>
      <c r="AP1103" s="33">
        <f t="shared" si="252"/>
        <v>0</v>
      </c>
      <c r="AQ1103" s="31">
        <f>SUMIFS(инфо!$H$15:$H$28,инфо!$A$15:$A$28,F1103)</f>
        <v>0</v>
      </c>
      <c r="AR1103" s="32">
        <f t="shared" si="250"/>
        <v>0</v>
      </c>
      <c r="AS1103" s="33">
        <f t="shared" si="253"/>
        <v>0</v>
      </c>
      <c r="AT1103" s="31">
        <f>SUMIFS(инфо!$I$15:$I$28,инфо!$A$15:$A$28,F1103)</f>
        <v>0</v>
      </c>
      <c r="AU1103" s="35">
        <f t="shared" si="258"/>
        <v>0</v>
      </c>
      <c r="AV1103" s="33">
        <f t="shared" si="254"/>
        <v>0</v>
      </c>
      <c r="AX1103" s="67">
        <f>SUMIFS(инфо!$C$15:$C$28,инфо!$A$15:$A$28,F1103)*H1102</f>
        <v>0</v>
      </c>
    </row>
    <row r="1104" spans="1:50" x14ac:dyDescent="0.25">
      <c r="A1104" s="70">
        <f t="shared" si="246"/>
        <v>46616</v>
      </c>
      <c r="B1104" s="76"/>
      <c r="C1104" s="15"/>
      <c r="D1104" s="16"/>
      <c r="E1104" s="11"/>
      <c r="F1104" s="28"/>
      <c r="G1104" s="34"/>
      <c r="H1104" s="20"/>
      <c r="I1104" s="20"/>
      <c r="J1104" s="20"/>
      <c r="K1104" s="20"/>
      <c r="L1104" s="20"/>
      <c r="M1104" s="20"/>
      <c r="N1104" s="20"/>
      <c r="O1104" s="34"/>
      <c r="P1104" s="34"/>
      <c r="Q1104" s="34"/>
      <c r="R1104" s="34"/>
      <c r="S1104" s="68">
        <f t="shared" si="255"/>
        <v>0</v>
      </c>
      <c r="T1104" s="15"/>
      <c r="U1104" s="16"/>
      <c r="V1104" s="34"/>
      <c r="W1104" s="34"/>
      <c r="X1104" s="34"/>
      <c r="Y1104" s="15"/>
      <c r="Z1104" s="34"/>
      <c r="AA1104" s="34"/>
      <c r="AB1104" s="34"/>
      <c r="AC1104" s="34"/>
      <c r="AD1104" s="16"/>
      <c r="AE1104" s="24">
        <f>SUMIFS(инфо!$D$15:$D$28,инфо!$A$15:$A$28,F1104)</f>
        <v>0</v>
      </c>
      <c r="AF1104" s="35">
        <f t="shared" si="247"/>
        <v>0</v>
      </c>
      <c r="AG1104" s="12">
        <f t="shared" si="256"/>
        <v>0</v>
      </c>
      <c r="AH1104" s="24">
        <f>SUMIFS(инфо!$E$15:$E$28,инфо!$A$15:$A$28,F1104)</f>
        <v>0</v>
      </c>
      <c r="AI1104" s="35">
        <f t="shared" si="259"/>
        <v>0</v>
      </c>
      <c r="AJ1104" s="12">
        <f t="shared" si="257"/>
        <v>0</v>
      </c>
      <c r="AK1104" s="24">
        <f>SUMIFS(инфо!$F$15:$F$28,инфо!$A$15:$A$28,F1104)</f>
        <v>0</v>
      </c>
      <c r="AL1104" s="32">
        <f t="shared" si="248"/>
        <v>0</v>
      </c>
      <c r="AM1104" s="12">
        <f t="shared" si="251"/>
        <v>0</v>
      </c>
      <c r="AN1104" s="24">
        <f>SUMIFS(инфо!$G$15:$G$28,инфо!$A$15:$A$28,F1104)</f>
        <v>0</v>
      </c>
      <c r="AO1104" s="32">
        <f t="shared" si="249"/>
        <v>0</v>
      </c>
      <c r="AP1104" s="12">
        <f t="shared" si="252"/>
        <v>0</v>
      </c>
      <c r="AQ1104" s="24">
        <f>SUMIFS(инфо!$H$15:$H$28,инфо!$A$15:$A$28,F1104)</f>
        <v>0</v>
      </c>
      <c r="AR1104" s="35">
        <f t="shared" si="250"/>
        <v>0</v>
      </c>
      <c r="AS1104" s="12">
        <f t="shared" si="253"/>
        <v>0</v>
      </c>
      <c r="AT1104" s="24">
        <f>SUMIFS(инфо!$I$15:$I$28,инфо!$A$15:$A$28,F1104)</f>
        <v>0</v>
      </c>
      <c r="AU1104" s="35">
        <f t="shared" si="258"/>
        <v>0</v>
      </c>
      <c r="AV1104" s="12">
        <f t="shared" si="254"/>
        <v>0</v>
      </c>
      <c r="AX1104" s="68">
        <f>SUMIFS(инфо!$C$15:$C$28,инфо!$A$15:$A$28,F1104)*H1103</f>
        <v>0</v>
      </c>
    </row>
    <row r="1105" spans="1:50" x14ac:dyDescent="0.25">
      <c r="A1105" s="70">
        <f t="shared" si="246"/>
        <v>46616</v>
      </c>
      <c r="B1105" s="76"/>
      <c r="C1105" s="15"/>
      <c r="D1105" s="16"/>
      <c r="E1105" s="11"/>
      <c r="F1105" s="28"/>
      <c r="G1105" s="34"/>
      <c r="H1105" s="23"/>
      <c r="I1105" s="20"/>
      <c r="J1105" s="20"/>
      <c r="K1105" s="20"/>
      <c r="L1105" s="20"/>
      <c r="M1105" s="20"/>
      <c r="N1105" s="20"/>
      <c r="O1105" s="34"/>
      <c r="P1105" s="34"/>
      <c r="Q1105" s="34"/>
      <c r="R1105" s="34"/>
      <c r="S1105" s="68">
        <f t="shared" si="255"/>
        <v>0</v>
      </c>
      <c r="T1105" s="15"/>
      <c r="U1105" s="16"/>
      <c r="V1105" s="34"/>
      <c r="W1105" s="34"/>
      <c r="X1105" s="34"/>
      <c r="Y1105" s="15"/>
      <c r="Z1105" s="34"/>
      <c r="AA1105" s="34"/>
      <c r="AB1105" s="34"/>
      <c r="AC1105" s="34"/>
      <c r="AD1105" s="16"/>
      <c r="AE1105" s="24">
        <f>SUMIFS(инфо!$D$15:$D$28,инфо!$A$15:$A$28,F1105)</f>
        <v>0</v>
      </c>
      <c r="AF1105" s="35">
        <f t="shared" si="247"/>
        <v>0</v>
      </c>
      <c r="AG1105" s="12">
        <f t="shared" si="256"/>
        <v>0</v>
      </c>
      <c r="AH1105" s="24">
        <f>SUMIFS(инфо!$E$15:$E$28,инфо!$A$15:$A$28,F1105)</f>
        <v>0</v>
      </c>
      <c r="AI1105" s="35">
        <f t="shared" si="259"/>
        <v>0</v>
      </c>
      <c r="AJ1105" s="12">
        <f t="shared" si="257"/>
        <v>0</v>
      </c>
      <c r="AK1105" s="24">
        <f>SUMIFS(инфо!$F$15:$F$28,инфо!$A$15:$A$28,F1105)</f>
        <v>0</v>
      </c>
      <c r="AL1105" s="32">
        <f t="shared" si="248"/>
        <v>0</v>
      </c>
      <c r="AM1105" s="12">
        <f t="shared" si="251"/>
        <v>0</v>
      </c>
      <c r="AN1105" s="24">
        <f>SUMIFS(инфо!$G$15:$G$28,инфо!$A$15:$A$28,F1105)</f>
        <v>0</v>
      </c>
      <c r="AO1105" s="32">
        <f t="shared" si="249"/>
        <v>0</v>
      </c>
      <c r="AP1105" s="12">
        <f t="shared" si="252"/>
        <v>0</v>
      </c>
      <c r="AQ1105" s="24">
        <f>SUMIFS(инфо!$H$15:$H$28,инфо!$A$15:$A$28,F1105)</f>
        <v>0</v>
      </c>
      <c r="AR1105" s="35">
        <f t="shared" si="250"/>
        <v>0</v>
      </c>
      <c r="AS1105" s="12">
        <f t="shared" si="253"/>
        <v>0</v>
      </c>
      <c r="AT1105" s="24">
        <f>SUMIFS(инфо!$I$15:$I$28,инфо!$A$15:$A$28,F1105)</f>
        <v>0</v>
      </c>
      <c r="AU1105" s="35">
        <f t="shared" si="258"/>
        <v>0</v>
      </c>
      <c r="AV1105" s="12">
        <f t="shared" si="254"/>
        <v>0</v>
      </c>
      <c r="AX1105" s="68">
        <f>SUMIFS(инфо!$C$15:$C$28,инфо!$A$15:$A$28,F1105)*H1104</f>
        <v>0</v>
      </c>
    </row>
    <row r="1106" spans="1:50" x14ac:dyDescent="0.25">
      <c r="A1106" s="70">
        <f t="shared" si="246"/>
        <v>46617</v>
      </c>
      <c r="B1106" s="77"/>
      <c r="C1106" s="17"/>
      <c r="D1106" s="18"/>
      <c r="E1106" s="11"/>
      <c r="F1106" s="28"/>
      <c r="G1106" s="19"/>
      <c r="H1106" s="28"/>
      <c r="I1106" s="20"/>
      <c r="J1106" s="20"/>
      <c r="K1106" s="20"/>
      <c r="L1106" s="20"/>
      <c r="M1106" s="20"/>
      <c r="N1106" s="23"/>
      <c r="O1106" s="19"/>
      <c r="P1106" s="19"/>
      <c r="Q1106" s="19"/>
      <c r="R1106" s="19"/>
      <c r="S1106" s="69">
        <f t="shared" si="255"/>
        <v>0</v>
      </c>
      <c r="T1106" s="17"/>
      <c r="U1106" s="18"/>
      <c r="V1106" s="19"/>
      <c r="W1106" s="19"/>
      <c r="X1106" s="19"/>
      <c r="Y1106" s="17"/>
      <c r="Z1106" s="19"/>
      <c r="AA1106" s="19"/>
      <c r="AB1106" s="19"/>
      <c r="AC1106" s="19"/>
      <c r="AD1106" s="18"/>
      <c r="AE1106" s="25">
        <f>SUMIFS(инфо!$D$15:$D$28,инфо!$A$15:$A$28,F1106)</f>
        <v>0</v>
      </c>
      <c r="AF1106" s="35">
        <f t="shared" si="247"/>
        <v>0</v>
      </c>
      <c r="AG1106" s="14">
        <f t="shared" si="256"/>
        <v>0</v>
      </c>
      <c r="AH1106" s="25">
        <f>SUMIFS(инфо!$E$15:$E$28,инфо!$A$15:$A$28,F1106)</f>
        <v>0</v>
      </c>
      <c r="AI1106" s="26">
        <f t="shared" si="259"/>
        <v>0</v>
      </c>
      <c r="AJ1106" s="14">
        <f t="shared" si="257"/>
        <v>0</v>
      </c>
      <c r="AK1106" s="25">
        <f>SUMIFS(инфо!$F$15:$F$28,инфо!$A$15:$A$28,F1106)</f>
        <v>0</v>
      </c>
      <c r="AL1106" s="32">
        <f t="shared" si="248"/>
        <v>0</v>
      </c>
      <c r="AM1106" s="14">
        <f t="shared" si="251"/>
        <v>0</v>
      </c>
      <c r="AN1106" s="25">
        <f>SUMIFS(инфо!$G$15:$G$28,инфо!$A$15:$A$28,F1106)</f>
        <v>0</v>
      </c>
      <c r="AO1106" s="32">
        <f t="shared" si="249"/>
        <v>0</v>
      </c>
      <c r="AP1106" s="14">
        <f t="shared" si="252"/>
        <v>0</v>
      </c>
      <c r="AQ1106" s="25">
        <f>SUMIFS(инфо!$H$15:$H$28,инфо!$A$15:$A$28,F1106)</f>
        <v>0</v>
      </c>
      <c r="AR1106" s="26">
        <f t="shared" si="250"/>
        <v>0</v>
      </c>
      <c r="AS1106" s="14">
        <f t="shared" si="253"/>
        <v>0</v>
      </c>
      <c r="AT1106" s="25">
        <f>SUMIFS(инфо!$I$15:$I$28,инфо!$A$15:$A$28,F1106)</f>
        <v>0</v>
      </c>
      <c r="AU1106" s="35">
        <f t="shared" si="258"/>
        <v>0</v>
      </c>
      <c r="AV1106" s="14">
        <f t="shared" si="254"/>
        <v>0</v>
      </c>
      <c r="AX1106" s="69">
        <f>SUMIFS(инфо!$C$15:$C$28,инфо!$A$15:$A$28,F1106)*H1105</f>
        <v>0</v>
      </c>
    </row>
    <row r="1107" spans="1:50" x14ac:dyDescent="0.25">
      <c r="A1107" s="70">
        <f t="shared" si="246"/>
        <v>46617</v>
      </c>
      <c r="B1107" s="75"/>
      <c r="C1107" s="29"/>
      <c r="D1107" s="30"/>
      <c r="E1107" s="11"/>
      <c r="F1107" s="28"/>
      <c r="G1107" s="27"/>
      <c r="H1107" s="20"/>
      <c r="I1107" s="20"/>
      <c r="J1107" s="20"/>
      <c r="K1107" s="20"/>
      <c r="L1107" s="20"/>
      <c r="M1107" s="20"/>
      <c r="N1107" s="28"/>
      <c r="O1107" s="27"/>
      <c r="P1107" s="27"/>
      <c r="Q1107" s="27"/>
      <c r="R1107" s="27"/>
      <c r="S1107" s="67">
        <f t="shared" si="255"/>
        <v>0</v>
      </c>
      <c r="T1107" s="29"/>
      <c r="U1107" s="30"/>
      <c r="V1107" s="27"/>
      <c r="W1107" s="27"/>
      <c r="X1107" s="27"/>
      <c r="Y1107" s="29"/>
      <c r="Z1107" s="27"/>
      <c r="AA1107" s="27"/>
      <c r="AB1107" s="27"/>
      <c r="AC1107" s="27"/>
      <c r="AD1107" s="30"/>
      <c r="AE1107" s="31">
        <f>SUMIFS(инфо!$D$15:$D$28,инфо!$A$15:$A$28,F1107)</f>
        <v>0</v>
      </c>
      <c r="AF1107" s="35">
        <f t="shared" si="247"/>
        <v>0</v>
      </c>
      <c r="AG1107" s="33">
        <f t="shared" si="256"/>
        <v>0</v>
      </c>
      <c r="AH1107" s="31">
        <f>SUMIFS(инфо!$E$15:$E$28,инфо!$A$15:$A$28,F1107)</f>
        <v>0</v>
      </c>
      <c r="AI1107" s="32">
        <f t="shared" si="259"/>
        <v>0</v>
      </c>
      <c r="AJ1107" s="33">
        <f t="shared" si="257"/>
        <v>0</v>
      </c>
      <c r="AK1107" s="31">
        <f>SUMIFS(инфо!$F$15:$F$28,инфо!$A$15:$A$28,F1107)</f>
        <v>0</v>
      </c>
      <c r="AL1107" s="32">
        <f t="shared" si="248"/>
        <v>0</v>
      </c>
      <c r="AM1107" s="33">
        <f t="shared" si="251"/>
        <v>0</v>
      </c>
      <c r="AN1107" s="31">
        <f>SUMIFS(инфо!$G$15:$G$28,инфо!$A$15:$A$28,F1107)</f>
        <v>0</v>
      </c>
      <c r="AO1107" s="32">
        <f t="shared" si="249"/>
        <v>0</v>
      </c>
      <c r="AP1107" s="33">
        <f t="shared" si="252"/>
        <v>0</v>
      </c>
      <c r="AQ1107" s="31">
        <f>SUMIFS(инфо!$H$15:$H$28,инфо!$A$15:$A$28,F1107)</f>
        <v>0</v>
      </c>
      <c r="AR1107" s="32">
        <f t="shared" si="250"/>
        <v>0</v>
      </c>
      <c r="AS1107" s="33">
        <f t="shared" si="253"/>
        <v>0</v>
      </c>
      <c r="AT1107" s="31">
        <f>SUMIFS(инфо!$I$15:$I$28,инфо!$A$15:$A$28,F1107)</f>
        <v>0</v>
      </c>
      <c r="AU1107" s="35">
        <f t="shared" si="258"/>
        <v>0</v>
      </c>
      <c r="AV1107" s="33">
        <f t="shared" si="254"/>
        <v>0</v>
      </c>
      <c r="AX1107" s="67">
        <f>SUMIFS(инфо!$C$15:$C$28,инфо!$A$15:$A$28,F1107)*H1106</f>
        <v>0</v>
      </c>
    </row>
    <row r="1108" spans="1:50" x14ac:dyDescent="0.25">
      <c r="A1108" s="70">
        <f t="shared" si="246"/>
        <v>46618</v>
      </c>
      <c r="B1108" s="76"/>
      <c r="C1108" s="15"/>
      <c r="D1108" s="16"/>
      <c r="E1108" s="11"/>
      <c r="F1108" s="28"/>
      <c r="G1108" s="34"/>
      <c r="H1108" s="20"/>
      <c r="I1108" s="20"/>
      <c r="J1108" s="20"/>
      <c r="K1108" s="20"/>
      <c r="L1108" s="20"/>
      <c r="M1108" s="20"/>
      <c r="N1108" s="20"/>
      <c r="O1108" s="34"/>
      <c r="P1108" s="34"/>
      <c r="Q1108" s="34"/>
      <c r="R1108" s="34"/>
      <c r="S1108" s="68">
        <f t="shared" si="255"/>
        <v>0</v>
      </c>
      <c r="T1108" s="15"/>
      <c r="U1108" s="16"/>
      <c r="V1108" s="34"/>
      <c r="W1108" s="34"/>
      <c r="X1108" s="34"/>
      <c r="Y1108" s="15"/>
      <c r="Z1108" s="34"/>
      <c r="AA1108" s="34"/>
      <c r="AB1108" s="34"/>
      <c r="AC1108" s="34"/>
      <c r="AD1108" s="16"/>
      <c r="AE1108" s="24">
        <f>SUMIFS(инфо!$D$15:$D$28,инфо!$A$15:$A$28,F1108)</f>
        <v>0</v>
      </c>
      <c r="AF1108" s="35">
        <f t="shared" si="247"/>
        <v>0</v>
      </c>
      <c r="AG1108" s="12">
        <f t="shared" si="256"/>
        <v>0</v>
      </c>
      <c r="AH1108" s="24">
        <f>SUMIFS(инфо!$E$15:$E$28,инфо!$A$15:$A$28,F1108)</f>
        <v>0</v>
      </c>
      <c r="AI1108" s="35">
        <f t="shared" si="259"/>
        <v>0</v>
      </c>
      <c r="AJ1108" s="12">
        <f t="shared" si="257"/>
        <v>0</v>
      </c>
      <c r="AK1108" s="24">
        <f>SUMIFS(инфо!$F$15:$F$28,инфо!$A$15:$A$28,F1108)</f>
        <v>0</v>
      </c>
      <c r="AL1108" s="32">
        <f t="shared" si="248"/>
        <v>0</v>
      </c>
      <c r="AM1108" s="12">
        <f t="shared" si="251"/>
        <v>0</v>
      </c>
      <c r="AN1108" s="24">
        <f>SUMIFS(инфо!$G$15:$G$28,инфо!$A$15:$A$28,F1108)</f>
        <v>0</v>
      </c>
      <c r="AO1108" s="32">
        <f t="shared" si="249"/>
        <v>0</v>
      </c>
      <c r="AP1108" s="12">
        <f t="shared" si="252"/>
        <v>0</v>
      </c>
      <c r="AQ1108" s="24">
        <f>SUMIFS(инфо!$H$15:$H$28,инфо!$A$15:$A$28,F1108)</f>
        <v>0</v>
      </c>
      <c r="AR1108" s="35">
        <f t="shared" si="250"/>
        <v>0</v>
      </c>
      <c r="AS1108" s="12">
        <f t="shared" si="253"/>
        <v>0</v>
      </c>
      <c r="AT1108" s="24">
        <f>SUMIFS(инфо!$I$15:$I$28,инфо!$A$15:$A$28,F1108)</f>
        <v>0</v>
      </c>
      <c r="AU1108" s="35">
        <f t="shared" si="258"/>
        <v>0</v>
      </c>
      <c r="AV1108" s="12">
        <f t="shared" si="254"/>
        <v>0</v>
      </c>
      <c r="AX1108" s="68">
        <f>SUMIFS(инфо!$C$15:$C$28,инфо!$A$15:$A$28,F1108)*H1107</f>
        <v>0</v>
      </c>
    </row>
    <row r="1109" spans="1:50" x14ac:dyDescent="0.25">
      <c r="A1109" s="70">
        <f t="shared" si="246"/>
        <v>46618</v>
      </c>
      <c r="B1109" s="76"/>
      <c r="C1109" s="15"/>
      <c r="D1109" s="16"/>
      <c r="E1109" s="11"/>
      <c r="F1109" s="28"/>
      <c r="G1109" s="34"/>
      <c r="H1109" s="23"/>
      <c r="I1109" s="20"/>
      <c r="J1109" s="20"/>
      <c r="K1109" s="20"/>
      <c r="L1109" s="20"/>
      <c r="M1109" s="20"/>
      <c r="N1109" s="20"/>
      <c r="O1109" s="34"/>
      <c r="P1109" s="34"/>
      <c r="Q1109" s="34"/>
      <c r="R1109" s="34"/>
      <c r="S1109" s="68">
        <f t="shared" si="255"/>
        <v>0</v>
      </c>
      <c r="T1109" s="15"/>
      <c r="U1109" s="16"/>
      <c r="V1109" s="34"/>
      <c r="W1109" s="34"/>
      <c r="X1109" s="34"/>
      <c r="Y1109" s="15"/>
      <c r="Z1109" s="34"/>
      <c r="AA1109" s="34"/>
      <c r="AB1109" s="34"/>
      <c r="AC1109" s="34"/>
      <c r="AD1109" s="16"/>
      <c r="AE1109" s="24">
        <f>SUMIFS(инфо!$D$15:$D$28,инфо!$A$15:$A$28,F1109)</f>
        <v>0</v>
      </c>
      <c r="AF1109" s="35">
        <f t="shared" si="247"/>
        <v>0</v>
      </c>
      <c r="AG1109" s="12">
        <f t="shared" si="256"/>
        <v>0</v>
      </c>
      <c r="AH1109" s="24">
        <f>SUMIFS(инфо!$E$15:$E$28,инфо!$A$15:$A$28,F1109)</f>
        <v>0</v>
      </c>
      <c r="AI1109" s="35">
        <f t="shared" si="259"/>
        <v>0</v>
      </c>
      <c r="AJ1109" s="12">
        <f t="shared" si="257"/>
        <v>0</v>
      </c>
      <c r="AK1109" s="24">
        <f>SUMIFS(инфо!$F$15:$F$28,инфо!$A$15:$A$28,F1109)</f>
        <v>0</v>
      </c>
      <c r="AL1109" s="32">
        <f t="shared" si="248"/>
        <v>0</v>
      </c>
      <c r="AM1109" s="12">
        <f t="shared" si="251"/>
        <v>0</v>
      </c>
      <c r="AN1109" s="24">
        <f>SUMIFS(инфо!$G$15:$G$28,инфо!$A$15:$A$28,F1109)</f>
        <v>0</v>
      </c>
      <c r="AO1109" s="32">
        <f t="shared" si="249"/>
        <v>0</v>
      </c>
      <c r="AP1109" s="12">
        <f t="shared" si="252"/>
        <v>0</v>
      </c>
      <c r="AQ1109" s="24">
        <f>SUMIFS(инфо!$H$15:$H$28,инфо!$A$15:$A$28,F1109)</f>
        <v>0</v>
      </c>
      <c r="AR1109" s="35">
        <f t="shared" si="250"/>
        <v>0</v>
      </c>
      <c r="AS1109" s="12">
        <f t="shared" si="253"/>
        <v>0</v>
      </c>
      <c r="AT1109" s="24">
        <f>SUMIFS(инфо!$I$15:$I$28,инфо!$A$15:$A$28,F1109)</f>
        <v>0</v>
      </c>
      <c r="AU1109" s="35">
        <f t="shared" si="258"/>
        <v>0</v>
      </c>
      <c r="AV1109" s="12">
        <f t="shared" si="254"/>
        <v>0</v>
      </c>
      <c r="AX1109" s="68">
        <f>SUMIFS(инфо!$C$15:$C$28,инфо!$A$15:$A$28,F1109)*H1108</f>
        <v>0</v>
      </c>
    </row>
    <row r="1110" spans="1:50" x14ac:dyDescent="0.25">
      <c r="A1110" s="70">
        <f t="shared" si="246"/>
        <v>46619</v>
      </c>
      <c r="B1110" s="77"/>
      <c r="C1110" s="17"/>
      <c r="D1110" s="18"/>
      <c r="E1110" s="11"/>
      <c r="F1110" s="28"/>
      <c r="G1110" s="19"/>
      <c r="H1110" s="28"/>
      <c r="I1110" s="20"/>
      <c r="J1110" s="20"/>
      <c r="K1110" s="20"/>
      <c r="L1110" s="20"/>
      <c r="M1110" s="20"/>
      <c r="N1110" s="23"/>
      <c r="O1110" s="19"/>
      <c r="P1110" s="19"/>
      <c r="Q1110" s="19"/>
      <c r="R1110" s="19"/>
      <c r="S1110" s="69">
        <f t="shared" si="255"/>
        <v>0</v>
      </c>
      <c r="T1110" s="17"/>
      <c r="U1110" s="18"/>
      <c r="V1110" s="19"/>
      <c r="W1110" s="19"/>
      <c r="X1110" s="19"/>
      <c r="Y1110" s="17"/>
      <c r="Z1110" s="19"/>
      <c r="AA1110" s="19"/>
      <c r="AB1110" s="19"/>
      <c r="AC1110" s="19"/>
      <c r="AD1110" s="18"/>
      <c r="AE1110" s="25">
        <f>SUMIFS(инфо!$D$15:$D$28,инфо!$A$15:$A$28,F1110)</f>
        <v>0</v>
      </c>
      <c r="AF1110" s="35">
        <f t="shared" si="247"/>
        <v>0</v>
      </c>
      <c r="AG1110" s="14">
        <f t="shared" si="256"/>
        <v>0</v>
      </c>
      <c r="AH1110" s="25">
        <f>SUMIFS(инфо!$E$15:$E$28,инфо!$A$15:$A$28,F1110)</f>
        <v>0</v>
      </c>
      <c r="AI1110" s="26">
        <f t="shared" si="259"/>
        <v>0</v>
      </c>
      <c r="AJ1110" s="14">
        <f t="shared" si="257"/>
        <v>0</v>
      </c>
      <c r="AK1110" s="25">
        <f>SUMIFS(инфо!$F$15:$F$28,инфо!$A$15:$A$28,F1110)</f>
        <v>0</v>
      </c>
      <c r="AL1110" s="32">
        <f t="shared" si="248"/>
        <v>0</v>
      </c>
      <c r="AM1110" s="14">
        <f t="shared" si="251"/>
        <v>0</v>
      </c>
      <c r="AN1110" s="25">
        <f>SUMIFS(инфо!$G$15:$G$28,инфо!$A$15:$A$28,F1110)</f>
        <v>0</v>
      </c>
      <c r="AO1110" s="32">
        <f t="shared" si="249"/>
        <v>0</v>
      </c>
      <c r="AP1110" s="14">
        <f t="shared" si="252"/>
        <v>0</v>
      </c>
      <c r="AQ1110" s="25">
        <f>SUMIFS(инфо!$H$15:$H$28,инфо!$A$15:$A$28,F1110)</f>
        <v>0</v>
      </c>
      <c r="AR1110" s="26">
        <f t="shared" si="250"/>
        <v>0</v>
      </c>
      <c r="AS1110" s="14">
        <f t="shared" si="253"/>
        <v>0</v>
      </c>
      <c r="AT1110" s="25">
        <f>SUMIFS(инфо!$I$15:$I$28,инфо!$A$15:$A$28,F1110)</f>
        <v>0</v>
      </c>
      <c r="AU1110" s="35">
        <f t="shared" si="258"/>
        <v>0</v>
      </c>
      <c r="AV1110" s="14">
        <f t="shared" si="254"/>
        <v>0</v>
      </c>
      <c r="AX1110" s="69">
        <f>SUMIFS(инфо!$C$15:$C$28,инфо!$A$15:$A$28,F1110)*H1109</f>
        <v>0</v>
      </c>
    </row>
    <row r="1111" spans="1:50" x14ac:dyDescent="0.25">
      <c r="A1111" s="70">
        <f t="shared" si="246"/>
        <v>46619</v>
      </c>
      <c r="B1111" s="75"/>
      <c r="C1111" s="29"/>
      <c r="D1111" s="30"/>
      <c r="E1111" s="11"/>
      <c r="F1111" s="28"/>
      <c r="G1111" s="27"/>
      <c r="H1111" s="20"/>
      <c r="I1111" s="20"/>
      <c r="J1111" s="20"/>
      <c r="K1111" s="20"/>
      <c r="L1111" s="20"/>
      <c r="M1111" s="20"/>
      <c r="N1111" s="28"/>
      <c r="O1111" s="27"/>
      <c r="P1111" s="27"/>
      <c r="Q1111" s="27"/>
      <c r="R1111" s="27"/>
      <c r="S1111" s="67">
        <f t="shared" si="255"/>
        <v>0</v>
      </c>
      <c r="T1111" s="29"/>
      <c r="U1111" s="30"/>
      <c r="V1111" s="27"/>
      <c r="W1111" s="27"/>
      <c r="X1111" s="27"/>
      <c r="Y1111" s="29"/>
      <c r="Z1111" s="27"/>
      <c r="AA1111" s="27"/>
      <c r="AB1111" s="27"/>
      <c r="AC1111" s="27"/>
      <c r="AD1111" s="30"/>
      <c r="AE1111" s="31">
        <f>SUMIFS(инфо!$D$15:$D$28,инфо!$A$15:$A$28,F1111)</f>
        <v>0</v>
      </c>
      <c r="AF1111" s="35">
        <f t="shared" si="247"/>
        <v>0</v>
      </c>
      <c r="AG1111" s="33">
        <f t="shared" si="256"/>
        <v>0</v>
      </c>
      <c r="AH1111" s="31">
        <f>SUMIFS(инфо!$E$15:$E$28,инфо!$A$15:$A$28,F1111)</f>
        <v>0</v>
      </c>
      <c r="AI1111" s="32">
        <f t="shared" si="259"/>
        <v>0</v>
      </c>
      <c r="AJ1111" s="33">
        <f t="shared" si="257"/>
        <v>0</v>
      </c>
      <c r="AK1111" s="31">
        <f>SUMIFS(инфо!$F$15:$F$28,инфо!$A$15:$A$28,F1111)</f>
        <v>0</v>
      </c>
      <c r="AL1111" s="32">
        <f t="shared" si="248"/>
        <v>0</v>
      </c>
      <c r="AM1111" s="33">
        <f t="shared" si="251"/>
        <v>0</v>
      </c>
      <c r="AN1111" s="31">
        <f>SUMIFS(инфо!$G$15:$G$28,инфо!$A$15:$A$28,F1111)</f>
        <v>0</v>
      </c>
      <c r="AO1111" s="32">
        <f t="shared" si="249"/>
        <v>0</v>
      </c>
      <c r="AP1111" s="33">
        <f t="shared" si="252"/>
        <v>0</v>
      </c>
      <c r="AQ1111" s="31">
        <f>SUMIFS(инфо!$H$15:$H$28,инфо!$A$15:$A$28,F1111)</f>
        <v>0</v>
      </c>
      <c r="AR1111" s="32">
        <f t="shared" si="250"/>
        <v>0</v>
      </c>
      <c r="AS1111" s="33">
        <f t="shared" si="253"/>
        <v>0</v>
      </c>
      <c r="AT1111" s="31">
        <f>SUMIFS(инфо!$I$15:$I$28,инфо!$A$15:$A$28,F1111)</f>
        <v>0</v>
      </c>
      <c r="AU1111" s="35">
        <f t="shared" si="258"/>
        <v>0</v>
      </c>
      <c r="AV1111" s="33">
        <f t="shared" si="254"/>
        <v>0</v>
      </c>
      <c r="AX1111" s="67">
        <f>SUMIFS(инфо!$C$15:$C$28,инфо!$A$15:$A$28,F1111)*H1110</f>
        <v>0</v>
      </c>
    </row>
    <row r="1112" spans="1:50" x14ac:dyDescent="0.25">
      <c r="A1112" s="70">
        <f t="shared" si="246"/>
        <v>46620</v>
      </c>
      <c r="B1112" s="76"/>
      <c r="C1112" s="15"/>
      <c r="D1112" s="16"/>
      <c r="E1112" s="11"/>
      <c r="F1112" s="28"/>
      <c r="G1112" s="34"/>
      <c r="H1112" s="20"/>
      <c r="I1112" s="20"/>
      <c r="J1112" s="20"/>
      <c r="K1112" s="20"/>
      <c r="L1112" s="20"/>
      <c r="M1112" s="20"/>
      <c r="N1112" s="20"/>
      <c r="O1112" s="34"/>
      <c r="P1112" s="34"/>
      <c r="Q1112" s="34"/>
      <c r="R1112" s="34"/>
      <c r="S1112" s="68">
        <f t="shared" si="255"/>
        <v>0</v>
      </c>
      <c r="T1112" s="15"/>
      <c r="U1112" s="16"/>
      <c r="V1112" s="34"/>
      <c r="W1112" s="34"/>
      <c r="X1112" s="34"/>
      <c r="Y1112" s="15"/>
      <c r="Z1112" s="34"/>
      <c r="AA1112" s="34"/>
      <c r="AB1112" s="34"/>
      <c r="AC1112" s="34"/>
      <c r="AD1112" s="16"/>
      <c r="AE1112" s="24">
        <f>SUMIFS(инфо!$D$15:$D$28,инфо!$A$15:$A$28,F1112)</f>
        <v>0</v>
      </c>
      <c r="AF1112" s="35">
        <f t="shared" si="247"/>
        <v>0</v>
      </c>
      <c r="AG1112" s="12">
        <f t="shared" si="256"/>
        <v>0</v>
      </c>
      <c r="AH1112" s="24">
        <f>SUMIFS(инфо!$E$15:$E$28,инфо!$A$15:$A$28,F1112)</f>
        <v>0</v>
      </c>
      <c r="AI1112" s="35">
        <f t="shared" si="259"/>
        <v>0</v>
      </c>
      <c r="AJ1112" s="12">
        <f t="shared" si="257"/>
        <v>0</v>
      </c>
      <c r="AK1112" s="24">
        <f>SUMIFS(инфо!$F$15:$F$28,инфо!$A$15:$A$28,F1112)</f>
        <v>0</v>
      </c>
      <c r="AL1112" s="32">
        <f t="shared" si="248"/>
        <v>0</v>
      </c>
      <c r="AM1112" s="12">
        <f t="shared" si="251"/>
        <v>0</v>
      </c>
      <c r="AN1112" s="24">
        <f>SUMIFS(инфо!$G$15:$G$28,инфо!$A$15:$A$28,F1112)</f>
        <v>0</v>
      </c>
      <c r="AO1112" s="32">
        <f t="shared" si="249"/>
        <v>0</v>
      </c>
      <c r="AP1112" s="12">
        <f t="shared" si="252"/>
        <v>0</v>
      </c>
      <c r="AQ1112" s="24">
        <f>SUMIFS(инфо!$H$15:$H$28,инфо!$A$15:$A$28,F1112)</f>
        <v>0</v>
      </c>
      <c r="AR1112" s="35">
        <f t="shared" si="250"/>
        <v>0</v>
      </c>
      <c r="AS1112" s="12">
        <f t="shared" si="253"/>
        <v>0</v>
      </c>
      <c r="AT1112" s="24">
        <f>SUMIFS(инфо!$I$15:$I$28,инфо!$A$15:$A$28,F1112)</f>
        <v>0</v>
      </c>
      <c r="AU1112" s="35">
        <f t="shared" si="258"/>
        <v>0</v>
      </c>
      <c r="AV1112" s="12">
        <f t="shared" si="254"/>
        <v>0</v>
      </c>
      <c r="AX1112" s="68">
        <f>SUMIFS(инфо!$C$15:$C$28,инфо!$A$15:$A$28,F1112)*H1111</f>
        <v>0</v>
      </c>
    </row>
    <row r="1113" spans="1:50" x14ac:dyDescent="0.25">
      <c r="A1113" s="70">
        <f t="shared" si="246"/>
        <v>46620</v>
      </c>
      <c r="B1113" s="76"/>
      <c r="C1113" s="15"/>
      <c r="D1113" s="16"/>
      <c r="E1113" s="11"/>
      <c r="F1113" s="28"/>
      <c r="G1113" s="34"/>
      <c r="H1113" s="23"/>
      <c r="I1113" s="20"/>
      <c r="J1113" s="20"/>
      <c r="K1113" s="20"/>
      <c r="L1113" s="20"/>
      <c r="M1113" s="20"/>
      <c r="N1113" s="20"/>
      <c r="O1113" s="34"/>
      <c r="P1113" s="34"/>
      <c r="Q1113" s="34"/>
      <c r="R1113" s="34"/>
      <c r="S1113" s="68">
        <f t="shared" si="255"/>
        <v>0</v>
      </c>
      <c r="T1113" s="15"/>
      <c r="U1113" s="16"/>
      <c r="V1113" s="34"/>
      <c r="W1113" s="34"/>
      <c r="X1113" s="34"/>
      <c r="Y1113" s="15"/>
      <c r="Z1113" s="34"/>
      <c r="AA1113" s="34"/>
      <c r="AB1113" s="34"/>
      <c r="AC1113" s="34"/>
      <c r="AD1113" s="16"/>
      <c r="AE1113" s="24">
        <f>SUMIFS(инфо!$D$15:$D$28,инфо!$A$15:$A$28,F1113)</f>
        <v>0</v>
      </c>
      <c r="AF1113" s="35">
        <f t="shared" si="247"/>
        <v>0</v>
      </c>
      <c r="AG1113" s="12">
        <f t="shared" si="256"/>
        <v>0</v>
      </c>
      <c r="AH1113" s="24">
        <f>SUMIFS(инфо!$E$15:$E$28,инфо!$A$15:$A$28,F1113)</f>
        <v>0</v>
      </c>
      <c r="AI1113" s="35">
        <f t="shared" si="259"/>
        <v>0</v>
      </c>
      <c r="AJ1113" s="12">
        <f t="shared" si="257"/>
        <v>0</v>
      </c>
      <c r="AK1113" s="24">
        <f>SUMIFS(инфо!$F$15:$F$28,инфо!$A$15:$A$28,F1113)</f>
        <v>0</v>
      </c>
      <c r="AL1113" s="32">
        <f t="shared" si="248"/>
        <v>0</v>
      </c>
      <c r="AM1113" s="12">
        <f t="shared" si="251"/>
        <v>0</v>
      </c>
      <c r="AN1113" s="24">
        <f>SUMIFS(инфо!$G$15:$G$28,инфо!$A$15:$A$28,F1113)</f>
        <v>0</v>
      </c>
      <c r="AO1113" s="32">
        <f t="shared" si="249"/>
        <v>0</v>
      </c>
      <c r="AP1113" s="12">
        <f t="shared" si="252"/>
        <v>0</v>
      </c>
      <c r="AQ1113" s="24">
        <f>SUMIFS(инфо!$H$15:$H$28,инфо!$A$15:$A$28,F1113)</f>
        <v>0</v>
      </c>
      <c r="AR1113" s="35">
        <f t="shared" si="250"/>
        <v>0</v>
      </c>
      <c r="AS1113" s="12">
        <f t="shared" si="253"/>
        <v>0</v>
      </c>
      <c r="AT1113" s="24">
        <f>SUMIFS(инфо!$I$15:$I$28,инфо!$A$15:$A$28,F1113)</f>
        <v>0</v>
      </c>
      <c r="AU1113" s="35">
        <f t="shared" si="258"/>
        <v>0</v>
      </c>
      <c r="AV1113" s="12">
        <f t="shared" si="254"/>
        <v>0</v>
      </c>
      <c r="AX1113" s="68">
        <f>SUMIFS(инфо!$C$15:$C$28,инфо!$A$15:$A$28,F1113)*H1112</f>
        <v>0</v>
      </c>
    </row>
    <row r="1114" spans="1:50" x14ac:dyDescent="0.25">
      <c r="A1114" s="70">
        <f t="shared" si="246"/>
        <v>46621</v>
      </c>
      <c r="B1114" s="77"/>
      <c r="C1114" s="17"/>
      <c r="D1114" s="18"/>
      <c r="E1114" s="11"/>
      <c r="F1114" s="28"/>
      <c r="G1114" s="19"/>
      <c r="H1114" s="28"/>
      <c r="I1114" s="20"/>
      <c r="J1114" s="20"/>
      <c r="K1114" s="20"/>
      <c r="L1114" s="20"/>
      <c r="M1114" s="20"/>
      <c r="N1114" s="23"/>
      <c r="O1114" s="19"/>
      <c r="P1114" s="19"/>
      <c r="Q1114" s="19"/>
      <c r="R1114" s="19"/>
      <c r="S1114" s="69">
        <f t="shared" si="255"/>
        <v>0</v>
      </c>
      <c r="T1114" s="17"/>
      <c r="U1114" s="18"/>
      <c r="V1114" s="19"/>
      <c r="W1114" s="19"/>
      <c r="X1114" s="19"/>
      <c r="Y1114" s="17"/>
      <c r="Z1114" s="19"/>
      <c r="AA1114" s="19"/>
      <c r="AB1114" s="19"/>
      <c r="AC1114" s="19"/>
      <c r="AD1114" s="18"/>
      <c r="AE1114" s="25">
        <f>SUMIFS(инфо!$D$15:$D$28,инфо!$A$15:$A$28,F1114)</f>
        <v>0</v>
      </c>
      <c r="AF1114" s="35">
        <f t="shared" si="247"/>
        <v>0</v>
      </c>
      <c r="AG1114" s="14">
        <f t="shared" si="256"/>
        <v>0</v>
      </c>
      <c r="AH1114" s="25">
        <f>SUMIFS(инфо!$E$15:$E$28,инфо!$A$15:$A$28,F1114)</f>
        <v>0</v>
      </c>
      <c r="AI1114" s="26">
        <f t="shared" si="259"/>
        <v>0</v>
      </c>
      <c r="AJ1114" s="14">
        <f t="shared" si="257"/>
        <v>0</v>
      </c>
      <c r="AK1114" s="25">
        <f>SUMIFS(инфо!$F$15:$F$28,инфо!$A$15:$A$28,F1114)</f>
        <v>0</v>
      </c>
      <c r="AL1114" s="32">
        <f t="shared" si="248"/>
        <v>0</v>
      </c>
      <c r="AM1114" s="14">
        <f t="shared" si="251"/>
        <v>0</v>
      </c>
      <c r="AN1114" s="25">
        <f>SUMIFS(инфо!$G$15:$G$28,инфо!$A$15:$A$28,F1114)</f>
        <v>0</v>
      </c>
      <c r="AO1114" s="32">
        <f t="shared" si="249"/>
        <v>0</v>
      </c>
      <c r="AP1114" s="14">
        <f t="shared" si="252"/>
        <v>0</v>
      </c>
      <c r="AQ1114" s="25">
        <f>SUMIFS(инфо!$H$15:$H$28,инфо!$A$15:$A$28,F1114)</f>
        <v>0</v>
      </c>
      <c r="AR1114" s="26">
        <f t="shared" si="250"/>
        <v>0</v>
      </c>
      <c r="AS1114" s="14">
        <f t="shared" si="253"/>
        <v>0</v>
      </c>
      <c r="AT1114" s="25">
        <f>SUMIFS(инфо!$I$15:$I$28,инфо!$A$15:$A$28,F1114)</f>
        <v>0</v>
      </c>
      <c r="AU1114" s="35">
        <f t="shared" si="258"/>
        <v>0</v>
      </c>
      <c r="AV1114" s="14">
        <f t="shared" si="254"/>
        <v>0</v>
      </c>
      <c r="AX1114" s="69">
        <f>SUMIFS(инфо!$C$15:$C$28,инфо!$A$15:$A$28,F1114)*H1113</f>
        <v>0</v>
      </c>
    </row>
    <row r="1115" spans="1:50" x14ac:dyDescent="0.25">
      <c r="A1115" s="70">
        <f t="shared" si="246"/>
        <v>46621</v>
      </c>
      <c r="B1115" s="75"/>
      <c r="C1115" s="29"/>
      <c r="D1115" s="30"/>
      <c r="E1115" s="11"/>
      <c r="F1115" s="28"/>
      <c r="G1115" s="27"/>
      <c r="H1115" s="20"/>
      <c r="I1115" s="20"/>
      <c r="J1115" s="20"/>
      <c r="K1115" s="20"/>
      <c r="L1115" s="20"/>
      <c r="M1115" s="20"/>
      <c r="N1115" s="28"/>
      <c r="O1115" s="27"/>
      <c r="P1115" s="27"/>
      <c r="Q1115" s="27"/>
      <c r="R1115" s="27"/>
      <c r="S1115" s="67">
        <f t="shared" si="255"/>
        <v>0</v>
      </c>
      <c r="T1115" s="29"/>
      <c r="U1115" s="30"/>
      <c r="V1115" s="27"/>
      <c r="W1115" s="27"/>
      <c r="X1115" s="27"/>
      <c r="Y1115" s="29"/>
      <c r="Z1115" s="27"/>
      <c r="AA1115" s="27"/>
      <c r="AB1115" s="27"/>
      <c r="AC1115" s="27"/>
      <c r="AD1115" s="30"/>
      <c r="AE1115" s="31">
        <f>SUMIFS(инфо!$D$15:$D$28,инфо!$A$15:$A$28,F1115)</f>
        <v>0</v>
      </c>
      <c r="AF1115" s="35">
        <f t="shared" si="247"/>
        <v>0</v>
      </c>
      <c r="AG1115" s="33">
        <f t="shared" si="256"/>
        <v>0</v>
      </c>
      <c r="AH1115" s="31">
        <f>SUMIFS(инфо!$E$15:$E$28,инфо!$A$15:$A$28,F1115)</f>
        <v>0</v>
      </c>
      <c r="AI1115" s="32">
        <f t="shared" si="259"/>
        <v>0</v>
      </c>
      <c r="AJ1115" s="33">
        <f t="shared" si="257"/>
        <v>0</v>
      </c>
      <c r="AK1115" s="31">
        <f>SUMIFS(инфо!$F$15:$F$28,инфо!$A$15:$A$28,F1115)</f>
        <v>0</v>
      </c>
      <c r="AL1115" s="32">
        <f t="shared" si="248"/>
        <v>0</v>
      </c>
      <c r="AM1115" s="33">
        <f t="shared" si="251"/>
        <v>0</v>
      </c>
      <c r="AN1115" s="31">
        <f>SUMIFS(инфо!$G$15:$G$28,инфо!$A$15:$A$28,F1115)</f>
        <v>0</v>
      </c>
      <c r="AO1115" s="32">
        <f t="shared" si="249"/>
        <v>0</v>
      </c>
      <c r="AP1115" s="33">
        <f t="shared" si="252"/>
        <v>0</v>
      </c>
      <c r="AQ1115" s="31">
        <f>SUMIFS(инфо!$H$15:$H$28,инфо!$A$15:$A$28,F1115)</f>
        <v>0</v>
      </c>
      <c r="AR1115" s="32">
        <f t="shared" si="250"/>
        <v>0</v>
      </c>
      <c r="AS1115" s="33">
        <f t="shared" si="253"/>
        <v>0</v>
      </c>
      <c r="AT1115" s="31">
        <f>SUMIFS(инфо!$I$15:$I$28,инфо!$A$15:$A$28,F1115)</f>
        <v>0</v>
      </c>
      <c r="AU1115" s="35">
        <f t="shared" si="258"/>
        <v>0</v>
      </c>
      <c r="AV1115" s="33">
        <f t="shared" si="254"/>
        <v>0</v>
      </c>
      <c r="AX1115" s="67">
        <f>SUMIFS(инфо!$C$15:$C$28,инфо!$A$15:$A$28,F1115)*H1114</f>
        <v>0</v>
      </c>
    </row>
    <row r="1116" spans="1:50" x14ac:dyDescent="0.25">
      <c r="A1116" s="70">
        <f t="shared" ref="A1116:A1179" si="260">A1114+1</f>
        <v>46622</v>
      </c>
      <c r="B1116" s="76"/>
      <c r="C1116" s="15"/>
      <c r="D1116" s="16"/>
      <c r="E1116" s="11"/>
      <c r="F1116" s="28"/>
      <c r="G1116" s="34"/>
      <c r="H1116" s="20"/>
      <c r="I1116" s="20"/>
      <c r="J1116" s="20"/>
      <c r="K1116" s="20"/>
      <c r="L1116" s="20"/>
      <c r="M1116" s="20"/>
      <c r="N1116" s="20"/>
      <c r="O1116" s="34"/>
      <c r="P1116" s="34"/>
      <c r="Q1116" s="34"/>
      <c r="R1116" s="34"/>
      <c r="S1116" s="68">
        <f t="shared" si="255"/>
        <v>0</v>
      </c>
      <c r="T1116" s="15"/>
      <c r="U1116" s="16"/>
      <c r="V1116" s="34"/>
      <c r="W1116" s="34"/>
      <c r="X1116" s="34"/>
      <c r="Y1116" s="15"/>
      <c r="Z1116" s="34"/>
      <c r="AA1116" s="34"/>
      <c r="AB1116" s="34"/>
      <c r="AC1116" s="34"/>
      <c r="AD1116" s="16"/>
      <c r="AE1116" s="24">
        <f>SUMIFS(инфо!$D$15:$D$28,инфо!$A$15:$A$28,F1116)</f>
        <v>0</v>
      </c>
      <c r="AF1116" s="35">
        <f t="shared" si="247"/>
        <v>0</v>
      </c>
      <c r="AG1116" s="12">
        <f t="shared" si="256"/>
        <v>0</v>
      </c>
      <c r="AH1116" s="24">
        <f>SUMIFS(инфо!$E$15:$E$28,инфо!$A$15:$A$28,F1116)</f>
        <v>0</v>
      </c>
      <c r="AI1116" s="35">
        <f t="shared" si="259"/>
        <v>0</v>
      </c>
      <c r="AJ1116" s="12">
        <f t="shared" si="257"/>
        <v>0</v>
      </c>
      <c r="AK1116" s="24">
        <f>SUMIFS(инфо!$F$15:$F$28,инфо!$A$15:$A$28,F1116)</f>
        <v>0</v>
      </c>
      <c r="AL1116" s="32">
        <f t="shared" si="248"/>
        <v>0</v>
      </c>
      <c r="AM1116" s="12">
        <f t="shared" si="251"/>
        <v>0</v>
      </c>
      <c r="AN1116" s="24">
        <f>SUMIFS(инфо!$G$15:$G$28,инфо!$A$15:$A$28,F1116)</f>
        <v>0</v>
      </c>
      <c r="AO1116" s="32">
        <f t="shared" si="249"/>
        <v>0</v>
      </c>
      <c r="AP1116" s="12">
        <f t="shared" si="252"/>
        <v>0</v>
      </c>
      <c r="AQ1116" s="24">
        <f>SUMIFS(инфо!$H$15:$H$28,инфо!$A$15:$A$28,F1116)</f>
        <v>0</v>
      </c>
      <c r="AR1116" s="35">
        <f t="shared" si="250"/>
        <v>0</v>
      </c>
      <c r="AS1116" s="12">
        <f t="shared" si="253"/>
        <v>0</v>
      </c>
      <c r="AT1116" s="24">
        <f>SUMIFS(инфо!$I$15:$I$28,инфо!$A$15:$A$28,F1116)</f>
        <v>0</v>
      </c>
      <c r="AU1116" s="35">
        <f t="shared" si="258"/>
        <v>0</v>
      </c>
      <c r="AV1116" s="12">
        <f t="shared" si="254"/>
        <v>0</v>
      </c>
      <c r="AX1116" s="68">
        <f>SUMIFS(инфо!$C$15:$C$28,инфо!$A$15:$A$28,F1116)*H1115</f>
        <v>0</v>
      </c>
    </row>
    <row r="1117" spans="1:50" x14ac:dyDescent="0.25">
      <c r="A1117" s="70">
        <f t="shared" si="260"/>
        <v>46622</v>
      </c>
      <c r="B1117" s="76"/>
      <c r="C1117" s="15"/>
      <c r="D1117" s="16"/>
      <c r="E1117" s="11"/>
      <c r="F1117" s="28"/>
      <c r="G1117" s="34"/>
      <c r="H1117" s="23"/>
      <c r="I1117" s="20"/>
      <c r="J1117" s="20"/>
      <c r="K1117" s="20"/>
      <c r="L1117" s="20"/>
      <c r="M1117" s="20"/>
      <c r="N1117" s="20"/>
      <c r="O1117" s="34"/>
      <c r="P1117" s="34"/>
      <c r="Q1117" s="34"/>
      <c r="R1117" s="34"/>
      <c r="S1117" s="68">
        <f t="shared" si="255"/>
        <v>0</v>
      </c>
      <c r="T1117" s="15"/>
      <c r="U1117" s="16"/>
      <c r="V1117" s="34"/>
      <c r="W1117" s="34"/>
      <c r="X1117" s="34"/>
      <c r="Y1117" s="15"/>
      <c r="Z1117" s="34"/>
      <c r="AA1117" s="34"/>
      <c r="AB1117" s="34"/>
      <c r="AC1117" s="34"/>
      <c r="AD1117" s="16"/>
      <c r="AE1117" s="24">
        <f>SUMIFS(инфо!$D$15:$D$28,инфо!$A$15:$A$28,F1117)</f>
        <v>0</v>
      </c>
      <c r="AF1117" s="35">
        <f t="shared" si="247"/>
        <v>0</v>
      </c>
      <c r="AG1117" s="12">
        <f t="shared" si="256"/>
        <v>0</v>
      </c>
      <c r="AH1117" s="24">
        <f>SUMIFS(инфо!$E$15:$E$28,инфо!$A$15:$A$28,F1117)</f>
        <v>0</v>
      </c>
      <c r="AI1117" s="35">
        <f t="shared" si="259"/>
        <v>0</v>
      </c>
      <c r="AJ1117" s="12">
        <f t="shared" si="257"/>
        <v>0</v>
      </c>
      <c r="AK1117" s="24">
        <f>SUMIFS(инфо!$F$15:$F$28,инфо!$A$15:$A$28,F1117)</f>
        <v>0</v>
      </c>
      <c r="AL1117" s="32">
        <f t="shared" si="248"/>
        <v>0</v>
      </c>
      <c r="AM1117" s="12">
        <f t="shared" si="251"/>
        <v>0</v>
      </c>
      <c r="AN1117" s="24">
        <f>SUMIFS(инфо!$G$15:$G$28,инфо!$A$15:$A$28,F1117)</f>
        <v>0</v>
      </c>
      <c r="AO1117" s="32">
        <f t="shared" si="249"/>
        <v>0</v>
      </c>
      <c r="AP1117" s="12">
        <f t="shared" si="252"/>
        <v>0</v>
      </c>
      <c r="AQ1117" s="24">
        <f>SUMIFS(инфо!$H$15:$H$28,инфо!$A$15:$A$28,F1117)</f>
        <v>0</v>
      </c>
      <c r="AR1117" s="35">
        <f t="shared" si="250"/>
        <v>0</v>
      </c>
      <c r="AS1117" s="12">
        <f t="shared" si="253"/>
        <v>0</v>
      </c>
      <c r="AT1117" s="24">
        <f>SUMIFS(инфо!$I$15:$I$28,инфо!$A$15:$A$28,F1117)</f>
        <v>0</v>
      </c>
      <c r="AU1117" s="35">
        <f t="shared" si="258"/>
        <v>0</v>
      </c>
      <c r="AV1117" s="12">
        <f t="shared" si="254"/>
        <v>0</v>
      </c>
      <c r="AX1117" s="68">
        <f>SUMIFS(инфо!$C$15:$C$28,инфо!$A$15:$A$28,F1117)*H1116</f>
        <v>0</v>
      </c>
    </row>
    <row r="1118" spans="1:50" x14ac:dyDescent="0.25">
      <c r="A1118" s="70">
        <f t="shared" si="260"/>
        <v>46623</v>
      </c>
      <c r="B1118" s="77"/>
      <c r="C1118" s="17"/>
      <c r="D1118" s="18"/>
      <c r="E1118" s="11"/>
      <c r="F1118" s="28"/>
      <c r="G1118" s="19"/>
      <c r="H1118" s="28"/>
      <c r="I1118" s="20"/>
      <c r="J1118" s="20"/>
      <c r="K1118" s="20"/>
      <c r="L1118" s="20"/>
      <c r="M1118" s="20"/>
      <c r="N1118" s="23"/>
      <c r="O1118" s="19"/>
      <c r="P1118" s="19"/>
      <c r="Q1118" s="19"/>
      <c r="R1118" s="19"/>
      <c r="S1118" s="69">
        <f t="shared" si="255"/>
        <v>0</v>
      </c>
      <c r="T1118" s="17"/>
      <c r="U1118" s="18"/>
      <c r="V1118" s="19"/>
      <c r="W1118" s="19"/>
      <c r="X1118" s="19"/>
      <c r="Y1118" s="17"/>
      <c r="Z1118" s="19"/>
      <c r="AA1118" s="19"/>
      <c r="AB1118" s="19"/>
      <c r="AC1118" s="19"/>
      <c r="AD1118" s="18"/>
      <c r="AE1118" s="25">
        <f>SUMIFS(инфо!$D$15:$D$28,инфо!$A$15:$A$28,F1118)</f>
        <v>0</v>
      </c>
      <c r="AF1118" s="35">
        <f t="shared" si="247"/>
        <v>0</v>
      </c>
      <c r="AG1118" s="14">
        <f t="shared" si="256"/>
        <v>0</v>
      </c>
      <c r="AH1118" s="25">
        <f>SUMIFS(инфо!$E$15:$E$28,инфо!$A$15:$A$28,F1118)</f>
        <v>0</v>
      </c>
      <c r="AI1118" s="26">
        <f t="shared" si="259"/>
        <v>0</v>
      </c>
      <c r="AJ1118" s="14">
        <f t="shared" si="257"/>
        <v>0</v>
      </c>
      <c r="AK1118" s="25">
        <f>SUMIFS(инфо!$F$15:$F$28,инфо!$A$15:$A$28,F1118)</f>
        <v>0</v>
      </c>
      <c r="AL1118" s="32">
        <f t="shared" si="248"/>
        <v>0</v>
      </c>
      <c r="AM1118" s="14">
        <f t="shared" si="251"/>
        <v>0</v>
      </c>
      <c r="AN1118" s="25">
        <f>SUMIFS(инфо!$G$15:$G$28,инфо!$A$15:$A$28,F1118)</f>
        <v>0</v>
      </c>
      <c r="AO1118" s="32">
        <f t="shared" si="249"/>
        <v>0</v>
      </c>
      <c r="AP1118" s="14">
        <f t="shared" si="252"/>
        <v>0</v>
      </c>
      <c r="AQ1118" s="25">
        <f>SUMIFS(инфо!$H$15:$H$28,инфо!$A$15:$A$28,F1118)</f>
        <v>0</v>
      </c>
      <c r="AR1118" s="26">
        <f t="shared" si="250"/>
        <v>0</v>
      </c>
      <c r="AS1118" s="14">
        <f t="shared" si="253"/>
        <v>0</v>
      </c>
      <c r="AT1118" s="25">
        <f>SUMIFS(инфо!$I$15:$I$28,инфо!$A$15:$A$28,F1118)</f>
        <v>0</v>
      </c>
      <c r="AU1118" s="35">
        <f t="shared" si="258"/>
        <v>0</v>
      </c>
      <c r="AV1118" s="14">
        <f t="shared" si="254"/>
        <v>0</v>
      </c>
      <c r="AX1118" s="69">
        <f>SUMIFS(инфо!$C$15:$C$28,инфо!$A$15:$A$28,F1118)*H1117</f>
        <v>0</v>
      </c>
    </row>
    <row r="1119" spans="1:50" x14ac:dyDescent="0.25">
      <c r="A1119" s="70">
        <f t="shared" si="260"/>
        <v>46623</v>
      </c>
      <c r="B1119" s="75"/>
      <c r="C1119" s="29"/>
      <c r="D1119" s="30"/>
      <c r="E1119" s="11"/>
      <c r="F1119" s="28"/>
      <c r="G1119" s="27"/>
      <c r="H1119" s="20"/>
      <c r="I1119" s="20"/>
      <c r="J1119" s="20"/>
      <c r="K1119" s="20"/>
      <c r="L1119" s="20"/>
      <c r="M1119" s="20"/>
      <c r="N1119" s="28"/>
      <c r="O1119" s="27"/>
      <c r="P1119" s="27"/>
      <c r="Q1119" s="27"/>
      <c r="R1119" s="27"/>
      <c r="S1119" s="67">
        <f t="shared" si="255"/>
        <v>0</v>
      </c>
      <c r="T1119" s="29"/>
      <c r="U1119" s="30"/>
      <c r="V1119" s="27"/>
      <c r="W1119" s="27"/>
      <c r="X1119" s="27"/>
      <c r="Y1119" s="29"/>
      <c r="Z1119" s="27"/>
      <c r="AA1119" s="27"/>
      <c r="AB1119" s="27"/>
      <c r="AC1119" s="27"/>
      <c r="AD1119" s="30"/>
      <c r="AE1119" s="31">
        <f>SUMIFS(инфо!$D$15:$D$28,инфо!$A$15:$A$28,F1119)</f>
        <v>0</v>
      </c>
      <c r="AF1119" s="35">
        <f t="shared" si="247"/>
        <v>0</v>
      </c>
      <c r="AG1119" s="33">
        <f t="shared" si="256"/>
        <v>0</v>
      </c>
      <c r="AH1119" s="31">
        <f>SUMIFS(инфо!$E$15:$E$28,инфо!$A$15:$A$28,F1119)</f>
        <v>0</v>
      </c>
      <c r="AI1119" s="32">
        <f t="shared" si="259"/>
        <v>0</v>
      </c>
      <c r="AJ1119" s="33">
        <f t="shared" si="257"/>
        <v>0</v>
      </c>
      <c r="AK1119" s="31">
        <f>SUMIFS(инфо!$F$15:$F$28,инфо!$A$15:$A$28,F1119)</f>
        <v>0</v>
      </c>
      <c r="AL1119" s="32">
        <f t="shared" si="248"/>
        <v>0</v>
      </c>
      <c r="AM1119" s="33">
        <f t="shared" si="251"/>
        <v>0</v>
      </c>
      <c r="AN1119" s="31">
        <f>SUMIFS(инфо!$G$15:$G$28,инфо!$A$15:$A$28,F1119)</f>
        <v>0</v>
      </c>
      <c r="AO1119" s="32">
        <f t="shared" si="249"/>
        <v>0</v>
      </c>
      <c r="AP1119" s="33">
        <f t="shared" si="252"/>
        <v>0</v>
      </c>
      <c r="AQ1119" s="31">
        <f>SUMIFS(инфо!$H$15:$H$28,инфо!$A$15:$A$28,F1119)</f>
        <v>0</v>
      </c>
      <c r="AR1119" s="32">
        <f t="shared" si="250"/>
        <v>0</v>
      </c>
      <c r="AS1119" s="33">
        <f t="shared" si="253"/>
        <v>0</v>
      </c>
      <c r="AT1119" s="31">
        <f>SUMIFS(инфо!$I$15:$I$28,инфо!$A$15:$A$28,F1119)</f>
        <v>0</v>
      </c>
      <c r="AU1119" s="35">
        <f t="shared" si="258"/>
        <v>0</v>
      </c>
      <c r="AV1119" s="33">
        <f t="shared" si="254"/>
        <v>0</v>
      </c>
      <c r="AX1119" s="67">
        <f>SUMIFS(инфо!$C$15:$C$28,инфо!$A$15:$A$28,F1119)*H1118</f>
        <v>0</v>
      </c>
    </row>
    <row r="1120" spans="1:50" x14ac:dyDescent="0.25">
      <c r="A1120" s="70">
        <f t="shared" si="260"/>
        <v>46624</v>
      </c>
      <c r="B1120" s="76"/>
      <c r="C1120" s="15"/>
      <c r="D1120" s="16"/>
      <c r="E1120" s="11"/>
      <c r="F1120" s="28"/>
      <c r="G1120" s="34"/>
      <c r="H1120" s="20"/>
      <c r="I1120" s="20"/>
      <c r="J1120" s="20"/>
      <c r="K1120" s="20"/>
      <c r="L1120" s="20"/>
      <c r="M1120" s="20"/>
      <c r="N1120" s="20"/>
      <c r="O1120" s="34"/>
      <c r="P1120" s="34"/>
      <c r="Q1120" s="34"/>
      <c r="R1120" s="34"/>
      <c r="S1120" s="68">
        <f t="shared" si="255"/>
        <v>0</v>
      </c>
      <c r="T1120" s="15"/>
      <c r="U1120" s="16"/>
      <c r="V1120" s="34"/>
      <c r="W1120" s="34"/>
      <c r="X1120" s="34"/>
      <c r="Y1120" s="15"/>
      <c r="Z1120" s="34"/>
      <c r="AA1120" s="34"/>
      <c r="AB1120" s="34"/>
      <c r="AC1120" s="34"/>
      <c r="AD1120" s="16"/>
      <c r="AE1120" s="24">
        <f>SUMIFS(инфо!$D$15:$D$28,инфо!$A$15:$A$28,F1120)</f>
        <v>0</v>
      </c>
      <c r="AF1120" s="35">
        <f t="shared" si="247"/>
        <v>0</v>
      </c>
      <c r="AG1120" s="12">
        <f t="shared" si="256"/>
        <v>0</v>
      </c>
      <c r="AH1120" s="24">
        <f>SUMIFS(инфо!$E$15:$E$28,инфо!$A$15:$A$28,F1120)</f>
        <v>0</v>
      </c>
      <c r="AI1120" s="35">
        <f t="shared" si="259"/>
        <v>0</v>
      </c>
      <c r="AJ1120" s="12">
        <f t="shared" si="257"/>
        <v>0</v>
      </c>
      <c r="AK1120" s="24">
        <f>SUMIFS(инфо!$F$15:$F$28,инфо!$A$15:$A$28,F1120)</f>
        <v>0</v>
      </c>
      <c r="AL1120" s="32">
        <f t="shared" si="248"/>
        <v>0</v>
      </c>
      <c r="AM1120" s="12">
        <f t="shared" si="251"/>
        <v>0</v>
      </c>
      <c r="AN1120" s="24">
        <f>SUMIFS(инфо!$G$15:$G$28,инфо!$A$15:$A$28,F1120)</f>
        <v>0</v>
      </c>
      <c r="AO1120" s="32">
        <f t="shared" si="249"/>
        <v>0</v>
      </c>
      <c r="AP1120" s="12">
        <f t="shared" si="252"/>
        <v>0</v>
      </c>
      <c r="AQ1120" s="24">
        <f>SUMIFS(инфо!$H$15:$H$28,инфо!$A$15:$A$28,F1120)</f>
        <v>0</v>
      </c>
      <c r="AR1120" s="35">
        <f t="shared" si="250"/>
        <v>0</v>
      </c>
      <c r="AS1120" s="12">
        <f t="shared" si="253"/>
        <v>0</v>
      </c>
      <c r="AT1120" s="24">
        <f>SUMIFS(инфо!$I$15:$I$28,инфо!$A$15:$A$28,F1120)</f>
        <v>0</v>
      </c>
      <c r="AU1120" s="35">
        <f t="shared" si="258"/>
        <v>0</v>
      </c>
      <c r="AV1120" s="12">
        <f t="shared" si="254"/>
        <v>0</v>
      </c>
      <c r="AX1120" s="68">
        <f>SUMIFS(инфо!$C$15:$C$28,инфо!$A$15:$A$28,F1120)*H1119</f>
        <v>0</v>
      </c>
    </row>
    <row r="1121" spans="1:50" x14ac:dyDescent="0.25">
      <c r="A1121" s="70">
        <f t="shared" si="260"/>
        <v>46624</v>
      </c>
      <c r="B1121" s="76"/>
      <c r="C1121" s="15"/>
      <c r="D1121" s="16"/>
      <c r="E1121" s="11"/>
      <c r="F1121" s="28"/>
      <c r="G1121" s="34"/>
      <c r="H1121" s="23"/>
      <c r="I1121" s="20"/>
      <c r="J1121" s="20"/>
      <c r="K1121" s="20"/>
      <c r="L1121" s="20"/>
      <c r="M1121" s="20"/>
      <c r="N1121" s="20"/>
      <c r="O1121" s="34"/>
      <c r="P1121" s="34"/>
      <c r="Q1121" s="34"/>
      <c r="R1121" s="34"/>
      <c r="S1121" s="68">
        <f t="shared" si="255"/>
        <v>0</v>
      </c>
      <c r="T1121" s="15"/>
      <c r="U1121" s="16"/>
      <c r="V1121" s="34"/>
      <c r="W1121" s="34"/>
      <c r="X1121" s="34"/>
      <c r="Y1121" s="15"/>
      <c r="Z1121" s="34"/>
      <c r="AA1121" s="34"/>
      <c r="AB1121" s="34"/>
      <c r="AC1121" s="34"/>
      <c r="AD1121" s="16"/>
      <c r="AE1121" s="24">
        <f>SUMIFS(инфо!$D$15:$D$28,инфо!$A$15:$A$28,F1121)</f>
        <v>0</v>
      </c>
      <c r="AF1121" s="35">
        <f t="shared" si="247"/>
        <v>0</v>
      </c>
      <c r="AG1121" s="12">
        <f t="shared" si="256"/>
        <v>0</v>
      </c>
      <c r="AH1121" s="24">
        <f>SUMIFS(инфо!$E$15:$E$28,инфо!$A$15:$A$28,F1121)</f>
        <v>0</v>
      </c>
      <c r="AI1121" s="35">
        <f t="shared" si="259"/>
        <v>0</v>
      </c>
      <c r="AJ1121" s="12">
        <f t="shared" si="257"/>
        <v>0</v>
      </c>
      <c r="AK1121" s="24">
        <f>SUMIFS(инфо!$F$15:$F$28,инфо!$A$15:$A$28,F1121)</f>
        <v>0</v>
      </c>
      <c r="AL1121" s="32">
        <f t="shared" si="248"/>
        <v>0</v>
      </c>
      <c r="AM1121" s="12">
        <f t="shared" si="251"/>
        <v>0</v>
      </c>
      <c r="AN1121" s="24">
        <f>SUMIFS(инфо!$G$15:$G$28,инфо!$A$15:$A$28,F1121)</f>
        <v>0</v>
      </c>
      <c r="AO1121" s="32">
        <f t="shared" si="249"/>
        <v>0</v>
      </c>
      <c r="AP1121" s="12">
        <f t="shared" si="252"/>
        <v>0</v>
      </c>
      <c r="AQ1121" s="24">
        <f>SUMIFS(инфо!$H$15:$H$28,инфо!$A$15:$A$28,F1121)</f>
        <v>0</v>
      </c>
      <c r="AR1121" s="35">
        <f t="shared" si="250"/>
        <v>0</v>
      </c>
      <c r="AS1121" s="12">
        <f t="shared" si="253"/>
        <v>0</v>
      </c>
      <c r="AT1121" s="24">
        <f>SUMIFS(инфо!$I$15:$I$28,инфо!$A$15:$A$28,F1121)</f>
        <v>0</v>
      </c>
      <c r="AU1121" s="35">
        <f t="shared" si="258"/>
        <v>0</v>
      </c>
      <c r="AV1121" s="12">
        <f t="shared" si="254"/>
        <v>0</v>
      </c>
      <c r="AX1121" s="68">
        <f>SUMIFS(инфо!$C$15:$C$28,инфо!$A$15:$A$28,F1121)*H1120</f>
        <v>0</v>
      </c>
    </row>
    <row r="1122" spans="1:50" x14ac:dyDescent="0.25">
      <c r="A1122" s="70">
        <f t="shared" si="260"/>
        <v>46625</v>
      </c>
      <c r="B1122" s="77"/>
      <c r="C1122" s="17"/>
      <c r="D1122" s="18"/>
      <c r="E1122" s="11"/>
      <c r="F1122" s="28"/>
      <c r="G1122" s="19"/>
      <c r="H1122" s="28"/>
      <c r="I1122" s="20"/>
      <c r="J1122" s="20"/>
      <c r="K1122" s="20"/>
      <c r="L1122" s="20"/>
      <c r="M1122" s="20"/>
      <c r="N1122" s="23"/>
      <c r="O1122" s="19"/>
      <c r="P1122" s="19"/>
      <c r="Q1122" s="19"/>
      <c r="R1122" s="19"/>
      <c r="S1122" s="69">
        <f t="shared" si="255"/>
        <v>0</v>
      </c>
      <c r="T1122" s="17"/>
      <c r="U1122" s="18"/>
      <c r="V1122" s="19"/>
      <c r="W1122" s="19"/>
      <c r="X1122" s="19"/>
      <c r="Y1122" s="17"/>
      <c r="Z1122" s="19"/>
      <c r="AA1122" s="19"/>
      <c r="AB1122" s="19"/>
      <c r="AC1122" s="19"/>
      <c r="AD1122" s="18"/>
      <c r="AE1122" s="25">
        <f>SUMIFS(инфо!$D$15:$D$28,инфо!$A$15:$A$28,F1122)</f>
        <v>0</v>
      </c>
      <c r="AF1122" s="35">
        <f t="shared" si="247"/>
        <v>0</v>
      </c>
      <c r="AG1122" s="14">
        <f t="shared" si="256"/>
        <v>0</v>
      </c>
      <c r="AH1122" s="25">
        <f>SUMIFS(инфо!$E$15:$E$28,инфо!$A$15:$A$28,F1122)</f>
        <v>0</v>
      </c>
      <c r="AI1122" s="26">
        <f t="shared" si="259"/>
        <v>0</v>
      </c>
      <c r="AJ1122" s="14">
        <f t="shared" si="257"/>
        <v>0</v>
      </c>
      <c r="AK1122" s="25">
        <f>SUMIFS(инфо!$F$15:$F$28,инфо!$A$15:$A$28,F1122)</f>
        <v>0</v>
      </c>
      <c r="AL1122" s="32">
        <f t="shared" si="248"/>
        <v>0</v>
      </c>
      <c r="AM1122" s="14">
        <f t="shared" si="251"/>
        <v>0</v>
      </c>
      <c r="AN1122" s="25">
        <f>SUMIFS(инфо!$G$15:$G$28,инфо!$A$15:$A$28,F1122)</f>
        <v>0</v>
      </c>
      <c r="AO1122" s="32">
        <f t="shared" si="249"/>
        <v>0</v>
      </c>
      <c r="AP1122" s="14">
        <f t="shared" si="252"/>
        <v>0</v>
      </c>
      <c r="AQ1122" s="25">
        <f>SUMIFS(инфо!$H$15:$H$28,инфо!$A$15:$A$28,F1122)</f>
        <v>0</v>
      </c>
      <c r="AR1122" s="26">
        <f t="shared" si="250"/>
        <v>0</v>
      </c>
      <c r="AS1122" s="14">
        <f t="shared" si="253"/>
        <v>0</v>
      </c>
      <c r="AT1122" s="25">
        <f>SUMIFS(инфо!$I$15:$I$28,инфо!$A$15:$A$28,F1122)</f>
        <v>0</v>
      </c>
      <c r="AU1122" s="35">
        <f t="shared" si="258"/>
        <v>0</v>
      </c>
      <c r="AV1122" s="14">
        <f t="shared" si="254"/>
        <v>0</v>
      </c>
      <c r="AX1122" s="69">
        <f>SUMIFS(инфо!$C$15:$C$28,инфо!$A$15:$A$28,F1122)*H1121</f>
        <v>0</v>
      </c>
    </row>
    <row r="1123" spans="1:50" x14ac:dyDescent="0.25">
      <c r="A1123" s="70">
        <f t="shared" si="260"/>
        <v>46625</v>
      </c>
      <c r="B1123" s="75"/>
      <c r="C1123" s="29"/>
      <c r="D1123" s="30"/>
      <c r="E1123" s="11"/>
      <c r="F1123" s="28"/>
      <c r="G1123" s="27"/>
      <c r="H1123" s="20"/>
      <c r="I1123" s="20"/>
      <c r="J1123" s="20"/>
      <c r="K1123" s="20"/>
      <c r="L1123" s="20"/>
      <c r="M1123" s="20"/>
      <c r="N1123" s="28"/>
      <c r="O1123" s="27"/>
      <c r="P1123" s="27"/>
      <c r="Q1123" s="27"/>
      <c r="R1123" s="27"/>
      <c r="S1123" s="67">
        <f t="shared" si="255"/>
        <v>0</v>
      </c>
      <c r="T1123" s="29"/>
      <c r="U1123" s="30"/>
      <c r="V1123" s="27"/>
      <c r="W1123" s="27"/>
      <c r="X1123" s="27"/>
      <c r="Y1123" s="29"/>
      <c r="Z1123" s="27"/>
      <c r="AA1123" s="27"/>
      <c r="AB1123" s="27"/>
      <c r="AC1123" s="27"/>
      <c r="AD1123" s="30"/>
      <c r="AE1123" s="31">
        <f>SUMIFS(инфо!$D$15:$D$28,инфо!$A$15:$A$28,F1123)</f>
        <v>0</v>
      </c>
      <c r="AF1123" s="35">
        <f t="shared" si="247"/>
        <v>0</v>
      </c>
      <c r="AG1123" s="33">
        <f t="shared" si="256"/>
        <v>0</v>
      </c>
      <c r="AH1123" s="31">
        <f>SUMIFS(инфо!$E$15:$E$28,инфо!$A$15:$A$28,F1123)</f>
        <v>0</v>
      </c>
      <c r="AI1123" s="32">
        <f t="shared" si="259"/>
        <v>0</v>
      </c>
      <c r="AJ1123" s="33">
        <f t="shared" si="257"/>
        <v>0</v>
      </c>
      <c r="AK1123" s="31">
        <f>SUMIFS(инфо!$F$15:$F$28,инфо!$A$15:$A$28,F1123)</f>
        <v>0</v>
      </c>
      <c r="AL1123" s="32">
        <f t="shared" si="248"/>
        <v>0</v>
      </c>
      <c r="AM1123" s="33">
        <f t="shared" si="251"/>
        <v>0</v>
      </c>
      <c r="AN1123" s="31">
        <f>SUMIFS(инфо!$G$15:$G$28,инфо!$A$15:$A$28,F1123)</f>
        <v>0</v>
      </c>
      <c r="AO1123" s="32">
        <f t="shared" si="249"/>
        <v>0</v>
      </c>
      <c r="AP1123" s="33">
        <f t="shared" si="252"/>
        <v>0</v>
      </c>
      <c r="AQ1123" s="31">
        <f>SUMIFS(инфо!$H$15:$H$28,инфо!$A$15:$A$28,F1123)</f>
        <v>0</v>
      </c>
      <c r="AR1123" s="32">
        <f t="shared" si="250"/>
        <v>0</v>
      </c>
      <c r="AS1123" s="33">
        <f t="shared" si="253"/>
        <v>0</v>
      </c>
      <c r="AT1123" s="31">
        <f>SUMIFS(инфо!$I$15:$I$28,инфо!$A$15:$A$28,F1123)</f>
        <v>0</v>
      </c>
      <c r="AU1123" s="35">
        <f t="shared" si="258"/>
        <v>0</v>
      </c>
      <c r="AV1123" s="33">
        <f t="shared" si="254"/>
        <v>0</v>
      </c>
      <c r="AX1123" s="67">
        <f>SUMIFS(инфо!$C$15:$C$28,инфо!$A$15:$A$28,F1123)*H1122</f>
        <v>0</v>
      </c>
    </row>
    <row r="1124" spans="1:50" x14ac:dyDescent="0.25">
      <c r="A1124" s="70">
        <f t="shared" si="260"/>
        <v>46626</v>
      </c>
      <c r="B1124" s="76"/>
      <c r="C1124" s="15"/>
      <c r="D1124" s="16"/>
      <c r="E1124" s="11"/>
      <c r="F1124" s="28"/>
      <c r="G1124" s="34"/>
      <c r="H1124" s="20"/>
      <c r="I1124" s="20"/>
      <c r="J1124" s="20"/>
      <c r="K1124" s="20"/>
      <c r="L1124" s="20"/>
      <c r="M1124" s="20"/>
      <c r="N1124" s="20"/>
      <c r="O1124" s="34"/>
      <c r="P1124" s="34"/>
      <c r="Q1124" s="34"/>
      <c r="R1124" s="34"/>
      <c r="S1124" s="68">
        <f t="shared" si="255"/>
        <v>0</v>
      </c>
      <c r="T1124" s="15"/>
      <c r="U1124" s="16"/>
      <c r="V1124" s="34"/>
      <c r="W1124" s="34"/>
      <c r="X1124" s="34"/>
      <c r="Y1124" s="15"/>
      <c r="Z1124" s="34"/>
      <c r="AA1124" s="34"/>
      <c r="AB1124" s="34"/>
      <c r="AC1124" s="34"/>
      <c r="AD1124" s="16"/>
      <c r="AE1124" s="24">
        <f>SUMIFS(инфо!$D$15:$D$28,инфо!$A$15:$A$28,F1124)</f>
        <v>0</v>
      </c>
      <c r="AF1124" s="35">
        <f t="shared" si="247"/>
        <v>0</v>
      </c>
      <c r="AG1124" s="12">
        <f t="shared" si="256"/>
        <v>0</v>
      </c>
      <c r="AH1124" s="24">
        <f>SUMIFS(инфо!$E$15:$E$28,инфо!$A$15:$A$28,F1124)</f>
        <v>0</v>
      </c>
      <c r="AI1124" s="35">
        <f t="shared" si="259"/>
        <v>0</v>
      </c>
      <c r="AJ1124" s="12">
        <f t="shared" si="257"/>
        <v>0</v>
      </c>
      <c r="AK1124" s="24">
        <f>SUMIFS(инфо!$F$15:$F$28,инфо!$A$15:$A$28,F1124)</f>
        <v>0</v>
      </c>
      <c r="AL1124" s="32">
        <f t="shared" si="248"/>
        <v>0</v>
      </c>
      <c r="AM1124" s="12">
        <f t="shared" si="251"/>
        <v>0</v>
      </c>
      <c r="AN1124" s="24">
        <f>SUMIFS(инфо!$G$15:$G$28,инфо!$A$15:$A$28,F1124)</f>
        <v>0</v>
      </c>
      <c r="AO1124" s="32">
        <f t="shared" si="249"/>
        <v>0</v>
      </c>
      <c r="AP1124" s="12">
        <f t="shared" si="252"/>
        <v>0</v>
      </c>
      <c r="AQ1124" s="24">
        <f>SUMIFS(инфо!$H$15:$H$28,инфо!$A$15:$A$28,F1124)</f>
        <v>0</v>
      </c>
      <c r="AR1124" s="35">
        <f t="shared" si="250"/>
        <v>0</v>
      </c>
      <c r="AS1124" s="12">
        <f t="shared" si="253"/>
        <v>0</v>
      </c>
      <c r="AT1124" s="24">
        <f>SUMIFS(инфо!$I$15:$I$28,инфо!$A$15:$A$28,F1124)</f>
        <v>0</v>
      </c>
      <c r="AU1124" s="35">
        <f t="shared" si="258"/>
        <v>0</v>
      </c>
      <c r="AV1124" s="12">
        <f t="shared" si="254"/>
        <v>0</v>
      </c>
      <c r="AX1124" s="68">
        <f>SUMIFS(инфо!$C$15:$C$28,инфо!$A$15:$A$28,F1124)*H1123</f>
        <v>0</v>
      </c>
    </row>
    <row r="1125" spans="1:50" x14ac:dyDescent="0.25">
      <c r="A1125" s="70">
        <f t="shared" si="260"/>
        <v>46626</v>
      </c>
      <c r="B1125" s="76"/>
      <c r="C1125" s="15"/>
      <c r="D1125" s="16"/>
      <c r="E1125" s="11"/>
      <c r="F1125" s="28"/>
      <c r="G1125" s="34"/>
      <c r="H1125" s="23"/>
      <c r="I1125" s="20"/>
      <c r="J1125" s="20"/>
      <c r="K1125" s="20"/>
      <c r="L1125" s="20"/>
      <c r="M1125" s="20"/>
      <c r="N1125" s="20"/>
      <c r="O1125" s="34"/>
      <c r="P1125" s="34"/>
      <c r="Q1125" s="34"/>
      <c r="R1125" s="34"/>
      <c r="S1125" s="68">
        <f t="shared" si="255"/>
        <v>0</v>
      </c>
      <c r="T1125" s="15"/>
      <c r="U1125" s="16"/>
      <c r="V1125" s="34"/>
      <c r="W1125" s="34"/>
      <c r="X1125" s="34"/>
      <c r="Y1125" s="15"/>
      <c r="Z1125" s="34"/>
      <c r="AA1125" s="34"/>
      <c r="AB1125" s="34"/>
      <c r="AC1125" s="34"/>
      <c r="AD1125" s="16"/>
      <c r="AE1125" s="24">
        <f>SUMIFS(инфо!$D$15:$D$28,инфо!$A$15:$A$28,F1125)</f>
        <v>0</v>
      </c>
      <c r="AF1125" s="35">
        <f t="shared" si="247"/>
        <v>0</v>
      </c>
      <c r="AG1125" s="12">
        <f t="shared" si="256"/>
        <v>0</v>
      </c>
      <c r="AH1125" s="24">
        <f>SUMIFS(инфо!$E$15:$E$28,инфо!$A$15:$A$28,F1125)</f>
        <v>0</v>
      </c>
      <c r="AI1125" s="35">
        <f t="shared" si="259"/>
        <v>0</v>
      </c>
      <c r="AJ1125" s="12">
        <f t="shared" si="257"/>
        <v>0</v>
      </c>
      <c r="AK1125" s="24">
        <f>SUMIFS(инфо!$F$15:$F$28,инфо!$A$15:$A$28,F1125)</f>
        <v>0</v>
      </c>
      <c r="AL1125" s="32">
        <f t="shared" si="248"/>
        <v>0</v>
      </c>
      <c r="AM1125" s="12">
        <f t="shared" si="251"/>
        <v>0</v>
      </c>
      <c r="AN1125" s="24">
        <f>SUMIFS(инфо!$G$15:$G$28,инфо!$A$15:$A$28,F1125)</f>
        <v>0</v>
      </c>
      <c r="AO1125" s="32">
        <f t="shared" si="249"/>
        <v>0</v>
      </c>
      <c r="AP1125" s="12">
        <f t="shared" si="252"/>
        <v>0</v>
      </c>
      <c r="AQ1125" s="24">
        <f>SUMIFS(инфо!$H$15:$H$28,инфо!$A$15:$A$28,F1125)</f>
        <v>0</v>
      </c>
      <c r="AR1125" s="35">
        <f t="shared" si="250"/>
        <v>0</v>
      </c>
      <c r="AS1125" s="12">
        <f t="shared" si="253"/>
        <v>0</v>
      </c>
      <c r="AT1125" s="24">
        <f>SUMIFS(инфо!$I$15:$I$28,инфо!$A$15:$A$28,F1125)</f>
        <v>0</v>
      </c>
      <c r="AU1125" s="35">
        <f t="shared" si="258"/>
        <v>0</v>
      </c>
      <c r="AV1125" s="12">
        <f t="shared" si="254"/>
        <v>0</v>
      </c>
      <c r="AX1125" s="68">
        <f>SUMIFS(инфо!$C$15:$C$28,инфо!$A$15:$A$28,F1125)*H1124</f>
        <v>0</v>
      </c>
    </row>
    <row r="1126" spans="1:50" x14ac:dyDescent="0.25">
      <c r="A1126" s="70">
        <f t="shared" si="260"/>
        <v>46627</v>
      </c>
      <c r="B1126" s="77"/>
      <c r="C1126" s="17"/>
      <c r="D1126" s="18"/>
      <c r="E1126" s="11"/>
      <c r="F1126" s="28"/>
      <c r="G1126" s="19"/>
      <c r="H1126" s="28"/>
      <c r="I1126" s="20"/>
      <c r="J1126" s="20"/>
      <c r="K1126" s="20"/>
      <c r="L1126" s="20"/>
      <c r="M1126" s="20"/>
      <c r="N1126" s="23"/>
      <c r="O1126" s="19"/>
      <c r="P1126" s="19"/>
      <c r="Q1126" s="19"/>
      <c r="R1126" s="19"/>
      <c r="S1126" s="69">
        <f t="shared" si="255"/>
        <v>0</v>
      </c>
      <c r="T1126" s="17"/>
      <c r="U1126" s="18"/>
      <c r="V1126" s="19"/>
      <c r="W1126" s="19"/>
      <c r="X1126" s="19"/>
      <c r="Y1126" s="17"/>
      <c r="Z1126" s="19"/>
      <c r="AA1126" s="19"/>
      <c r="AB1126" s="19"/>
      <c r="AC1126" s="19"/>
      <c r="AD1126" s="18"/>
      <c r="AE1126" s="25">
        <f>SUMIFS(инфо!$D$15:$D$28,инфо!$A$15:$A$28,F1126)</f>
        <v>0</v>
      </c>
      <c r="AF1126" s="35">
        <f t="shared" si="247"/>
        <v>0</v>
      </c>
      <c r="AG1126" s="14">
        <f t="shared" si="256"/>
        <v>0</v>
      </c>
      <c r="AH1126" s="25">
        <f>SUMIFS(инфо!$E$15:$E$28,инфо!$A$15:$A$28,F1126)</f>
        <v>0</v>
      </c>
      <c r="AI1126" s="26">
        <f t="shared" si="259"/>
        <v>0</v>
      </c>
      <c r="AJ1126" s="14">
        <f t="shared" si="257"/>
        <v>0</v>
      </c>
      <c r="AK1126" s="25">
        <f>SUMIFS(инфо!$F$15:$F$28,инфо!$A$15:$A$28,F1126)</f>
        <v>0</v>
      </c>
      <c r="AL1126" s="32">
        <f t="shared" si="248"/>
        <v>0</v>
      </c>
      <c r="AM1126" s="14">
        <f t="shared" si="251"/>
        <v>0</v>
      </c>
      <c r="AN1126" s="25">
        <f>SUMIFS(инфо!$G$15:$G$28,инфо!$A$15:$A$28,F1126)</f>
        <v>0</v>
      </c>
      <c r="AO1126" s="32">
        <f t="shared" si="249"/>
        <v>0</v>
      </c>
      <c r="AP1126" s="14">
        <f t="shared" si="252"/>
        <v>0</v>
      </c>
      <c r="AQ1126" s="25">
        <f>SUMIFS(инфо!$H$15:$H$28,инфо!$A$15:$A$28,F1126)</f>
        <v>0</v>
      </c>
      <c r="AR1126" s="26">
        <f t="shared" si="250"/>
        <v>0</v>
      </c>
      <c r="AS1126" s="14">
        <f t="shared" si="253"/>
        <v>0</v>
      </c>
      <c r="AT1126" s="25">
        <f>SUMIFS(инфо!$I$15:$I$28,инфо!$A$15:$A$28,F1126)</f>
        <v>0</v>
      </c>
      <c r="AU1126" s="35">
        <f t="shared" si="258"/>
        <v>0</v>
      </c>
      <c r="AV1126" s="14">
        <f t="shared" si="254"/>
        <v>0</v>
      </c>
      <c r="AX1126" s="69">
        <f>SUMIFS(инфо!$C$15:$C$28,инфо!$A$15:$A$28,F1126)*H1125</f>
        <v>0</v>
      </c>
    </row>
    <row r="1127" spans="1:50" x14ac:dyDescent="0.25">
      <c r="A1127" s="70">
        <f t="shared" si="260"/>
        <v>46627</v>
      </c>
      <c r="B1127" s="75"/>
      <c r="C1127" s="29"/>
      <c r="D1127" s="30"/>
      <c r="E1127" s="11"/>
      <c r="F1127" s="28"/>
      <c r="G1127" s="27"/>
      <c r="H1127" s="20"/>
      <c r="I1127" s="20"/>
      <c r="J1127" s="20"/>
      <c r="K1127" s="20"/>
      <c r="L1127" s="20"/>
      <c r="M1127" s="20"/>
      <c r="N1127" s="28"/>
      <c r="O1127" s="27"/>
      <c r="P1127" s="27"/>
      <c r="Q1127" s="27"/>
      <c r="R1127" s="27"/>
      <c r="S1127" s="67">
        <f t="shared" si="255"/>
        <v>0</v>
      </c>
      <c r="T1127" s="29"/>
      <c r="U1127" s="30"/>
      <c r="V1127" s="27"/>
      <c r="W1127" s="27"/>
      <c r="X1127" s="27"/>
      <c r="Y1127" s="29"/>
      <c r="Z1127" s="27"/>
      <c r="AA1127" s="27"/>
      <c r="AB1127" s="27"/>
      <c r="AC1127" s="27"/>
      <c r="AD1127" s="30"/>
      <c r="AE1127" s="31">
        <f>SUMIFS(инфо!$D$15:$D$28,инфо!$A$15:$A$28,F1127)</f>
        <v>0</v>
      </c>
      <c r="AF1127" s="35">
        <f t="shared" si="247"/>
        <v>0</v>
      </c>
      <c r="AG1127" s="33">
        <f t="shared" si="256"/>
        <v>0</v>
      </c>
      <c r="AH1127" s="31">
        <f>SUMIFS(инфо!$E$15:$E$28,инфо!$A$15:$A$28,F1127)</f>
        <v>0</v>
      </c>
      <c r="AI1127" s="32">
        <f t="shared" si="259"/>
        <v>0</v>
      </c>
      <c r="AJ1127" s="33">
        <f t="shared" si="257"/>
        <v>0</v>
      </c>
      <c r="AK1127" s="31">
        <f>SUMIFS(инфо!$F$15:$F$28,инфо!$A$15:$A$28,F1127)</f>
        <v>0</v>
      </c>
      <c r="AL1127" s="32">
        <f t="shared" si="248"/>
        <v>0</v>
      </c>
      <c r="AM1127" s="33">
        <f t="shared" si="251"/>
        <v>0</v>
      </c>
      <c r="AN1127" s="31">
        <f>SUMIFS(инфо!$G$15:$G$28,инфо!$A$15:$A$28,F1127)</f>
        <v>0</v>
      </c>
      <c r="AO1127" s="32">
        <f t="shared" si="249"/>
        <v>0</v>
      </c>
      <c r="AP1127" s="33">
        <f t="shared" si="252"/>
        <v>0</v>
      </c>
      <c r="AQ1127" s="31">
        <f>SUMIFS(инфо!$H$15:$H$28,инфо!$A$15:$A$28,F1127)</f>
        <v>0</v>
      </c>
      <c r="AR1127" s="32">
        <f t="shared" si="250"/>
        <v>0</v>
      </c>
      <c r="AS1127" s="33">
        <f t="shared" si="253"/>
        <v>0</v>
      </c>
      <c r="AT1127" s="31">
        <f>SUMIFS(инфо!$I$15:$I$28,инфо!$A$15:$A$28,F1127)</f>
        <v>0</v>
      </c>
      <c r="AU1127" s="35">
        <f t="shared" si="258"/>
        <v>0</v>
      </c>
      <c r="AV1127" s="33">
        <f t="shared" si="254"/>
        <v>0</v>
      </c>
      <c r="AX1127" s="67">
        <f>SUMIFS(инфо!$C$15:$C$28,инфо!$A$15:$A$28,F1127)*H1126</f>
        <v>0</v>
      </c>
    </row>
    <row r="1128" spans="1:50" x14ac:dyDescent="0.25">
      <c r="A1128" s="70">
        <f t="shared" si="260"/>
        <v>46628</v>
      </c>
      <c r="B1128" s="76"/>
      <c r="C1128" s="15"/>
      <c r="D1128" s="16"/>
      <c r="E1128" s="11"/>
      <c r="F1128" s="28"/>
      <c r="G1128" s="34"/>
      <c r="H1128" s="20"/>
      <c r="I1128" s="20"/>
      <c r="J1128" s="20"/>
      <c r="K1128" s="20"/>
      <c r="L1128" s="20"/>
      <c r="M1128" s="20"/>
      <c r="N1128" s="20"/>
      <c r="O1128" s="34"/>
      <c r="P1128" s="34"/>
      <c r="Q1128" s="34"/>
      <c r="R1128" s="34"/>
      <c r="S1128" s="68">
        <f t="shared" si="255"/>
        <v>0</v>
      </c>
      <c r="T1128" s="15"/>
      <c r="U1128" s="16"/>
      <c r="V1128" s="34"/>
      <c r="W1128" s="34"/>
      <c r="X1128" s="34"/>
      <c r="Y1128" s="15"/>
      <c r="Z1128" s="34"/>
      <c r="AA1128" s="34"/>
      <c r="AB1128" s="34"/>
      <c r="AC1128" s="34"/>
      <c r="AD1128" s="16"/>
      <c r="AE1128" s="24">
        <f>SUMIFS(инфо!$D$15:$D$28,инфо!$A$15:$A$28,F1128)</f>
        <v>0</v>
      </c>
      <c r="AF1128" s="35">
        <f t="shared" si="247"/>
        <v>0</v>
      </c>
      <c r="AG1128" s="12">
        <f t="shared" si="256"/>
        <v>0</v>
      </c>
      <c r="AH1128" s="24">
        <f>SUMIFS(инфо!$E$15:$E$28,инфо!$A$15:$A$28,F1128)</f>
        <v>0</v>
      </c>
      <c r="AI1128" s="35">
        <f t="shared" si="259"/>
        <v>0</v>
      </c>
      <c r="AJ1128" s="12">
        <f t="shared" si="257"/>
        <v>0</v>
      </c>
      <c r="AK1128" s="24">
        <f>SUMIFS(инфо!$F$15:$F$28,инфо!$A$15:$A$28,F1128)</f>
        <v>0</v>
      </c>
      <c r="AL1128" s="32">
        <f t="shared" si="248"/>
        <v>0</v>
      </c>
      <c r="AM1128" s="12">
        <f t="shared" si="251"/>
        <v>0</v>
      </c>
      <c r="AN1128" s="24">
        <f>SUMIFS(инфо!$G$15:$G$28,инфо!$A$15:$A$28,F1128)</f>
        <v>0</v>
      </c>
      <c r="AO1128" s="32">
        <f t="shared" si="249"/>
        <v>0</v>
      </c>
      <c r="AP1128" s="12">
        <f t="shared" si="252"/>
        <v>0</v>
      </c>
      <c r="AQ1128" s="24">
        <f>SUMIFS(инфо!$H$15:$H$28,инфо!$A$15:$A$28,F1128)</f>
        <v>0</v>
      </c>
      <c r="AR1128" s="35">
        <f t="shared" si="250"/>
        <v>0</v>
      </c>
      <c r="AS1128" s="12">
        <f t="shared" si="253"/>
        <v>0</v>
      </c>
      <c r="AT1128" s="24">
        <f>SUMIFS(инфо!$I$15:$I$28,инфо!$A$15:$A$28,F1128)</f>
        <v>0</v>
      </c>
      <c r="AU1128" s="35">
        <f t="shared" si="258"/>
        <v>0</v>
      </c>
      <c r="AV1128" s="12">
        <f t="shared" si="254"/>
        <v>0</v>
      </c>
      <c r="AX1128" s="68">
        <f>SUMIFS(инфо!$C$15:$C$28,инфо!$A$15:$A$28,F1128)*H1127</f>
        <v>0</v>
      </c>
    </row>
    <row r="1129" spans="1:50" x14ac:dyDescent="0.25">
      <c r="A1129" s="70">
        <f t="shared" si="260"/>
        <v>46628</v>
      </c>
      <c r="B1129" s="76"/>
      <c r="C1129" s="15"/>
      <c r="D1129" s="16"/>
      <c r="E1129" s="11"/>
      <c r="F1129" s="28"/>
      <c r="G1129" s="34"/>
      <c r="H1129" s="23"/>
      <c r="I1129" s="20"/>
      <c r="J1129" s="20"/>
      <c r="K1129" s="20"/>
      <c r="L1129" s="20"/>
      <c r="M1129" s="20"/>
      <c r="N1129" s="20"/>
      <c r="O1129" s="34"/>
      <c r="P1129" s="34"/>
      <c r="Q1129" s="34"/>
      <c r="R1129" s="34"/>
      <c r="S1129" s="68">
        <f t="shared" si="255"/>
        <v>0</v>
      </c>
      <c r="T1129" s="15"/>
      <c r="U1129" s="16"/>
      <c r="V1129" s="34"/>
      <c r="W1129" s="34"/>
      <c r="X1129" s="34"/>
      <c r="Y1129" s="15"/>
      <c r="Z1129" s="34"/>
      <c r="AA1129" s="34"/>
      <c r="AB1129" s="34"/>
      <c r="AC1129" s="34"/>
      <c r="AD1129" s="16"/>
      <c r="AE1129" s="24">
        <f>SUMIFS(инфо!$D$15:$D$28,инфо!$A$15:$A$28,F1129)</f>
        <v>0</v>
      </c>
      <c r="AF1129" s="35">
        <f t="shared" si="247"/>
        <v>0</v>
      </c>
      <c r="AG1129" s="12">
        <f t="shared" si="256"/>
        <v>0</v>
      </c>
      <c r="AH1129" s="24">
        <f>SUMIFS(инфо!$E$15:$E$28,инфо!$A$15:$A$28,F1129)</f>
        <v>0</v>
      </c>
      <c r="AI1129" s="35">
        <f t="shared" si="259"/>
        <v>0</v>
      </c>
      <c r="AJ1129" s="12">
        <f t="shared" si="257"/>
        <v>0</v>
      </c>
      <c r="AK1129" s="24">
        <f>SUMIFS(инфо!$F$15:$F$28,инфо!$A$15:$A$28,F1129)</f>
        <v>0</v>
      </c>
      <c r="AL1129" s="32">
        <f t="shared" si="248"/>
        <v>0</v>
      </c>
      <c r="AM1129" s="12">
        <f t="shared" si="251"/>
        <v>0</v>
      </c>
      <c r="AN1129" s="24">
        <f>SUMIFS(инфо!$G$15:$G$28,инфо!$A$15:$A$28,F1129)</f>
        <v>0</v>
      </c>
      <c r="AO1129" s="32">
        <f t="shared" si="249"/>
        <v>0</v>
      </c>
      <c r="AP1129" s="12">
        <f t="shared" si="252"/>
        <v>0</v>
      </c>
      <c r="AQ1129" s="24">
        <f>SUMIFS(инфо!$H$15:$H$28,инфо!$A$15:$A$28,F1129)</f>
        <v>0</v>
      </c>
      <c r="AR1129" s="35">
        <f t="shared" si="250"/>
        <v>0</v>
      </c>
      <c r="AS1129" s="12">
        <f t="shared" si="253"/>
        <v>0</v>
      </c>
      <c r="AT1129" s="24">
        <f>SUMIFS(инфо!$I$15:$I$28,инфо!$A$15:$A$28,F1129)</f>
        <v>0</v>
      </c>
      <c r="AU1129" s="35">
        <f t="shared" si="258"/>
        <v>0</v>
      </c>
      <c r="AV1129" s="12">
        <f t="shared" si="254"/>
        <v>0</v>
      </c>
      <c r="AX1129" s="68">
        <f>SUMIFS(инфо!$C$15:$C$28,инфо!$A$15:$A$28,F1129)*H1128</f>
        <v>0</v>
      </c>
    </row>
    <row r="1130" spans="1:50" x14ac:dyDescent="0.25">
      <c r="A1130" s="70">
        <f t="shared" si="260"/>
        <v>46629</v>
      </c>
      <c r="B1130" s="77"/>
      <c r="C1130" s="17"/>
      <c r="D1130" s="18"/>
      <c r="E1130" s="11"/>
      <c r="F1130" s="28"/>
      <c r="G1130" s="19"/>
      <c r="H1130" s="28"/>
      <c r="I1130" s="20"/>
      <c r="J1130" s="20"/>
      <c r="K1130" s="20"/>
      <c r="L1130" s="20"/>
      <c r="M1130" s="20"/>
      <c r="N1130" s="23"/>
      <c r="O1130" s="19"/>
      <c r="P1130" s="19"/>
      <c r="Q1130" s="19"/>
      <c r="R1130" s="19"/>
      <c r="S1130" s="69">
        <f t="shared" si="255"/>
        <v>0</v>
      </c>
      <c r="T1130" s="17"/>
      <c r="U1130" s="18"/>
      <c r="V1130" s="19"/>
      <c r="W1130" s="19"/>
      <c r="X1130" s="19"/>
      <c r="Y1130" s="17"/>
      <c r="Z1130" s="19"/>
      <c r="AA1130" s="19"/>
      <c r="AB1130" s="19"/>
      <c r="AC1130" s="19"/>
      <c r="AD1130" s="18"/>
      <c r="AE1130" s="25">
        <f>SUMIFS(инфо!$D$15:$D$28,инфо!$A$15:$A$28,F1130)</f>
        <v>0</v>
      </c>
      <c r="AF1130" s="35">
        <f t="shared" si="247"/>
        <v>0</v>
      </c>
      <c r="AG1130" s="14">
        <f t="shared" si="256"/>
        <v>0</v>
      </c>
      <c r="AH1130" s="25">
        <f>SUMIFS(инфо!$E$15:$E$28,инфо!$A$15:$A$28,F1130)</f>
        <v>0</v>
      </c>
      <c r="AI1130" s="26">
        <f t="shared" si="259"/>
        <v>0</v>
      </c>
      <c r="AJ1130" s="14">
        <f t="shared" si="257"/>
        <v>0</v>
      </c>
      <c r="AK1130" s="25">
        <f>SUMIFS(инфо!$F$15:$F$28,инфо!$A$15:$A$28,F1130)</f>
        <v>0</v>
      </c>
      <c r="AL1130" s="32">
        <f t="shared" si="248"/>
        <v>0</v>
      </c>
      <c r="AM1130" s="14">
        <f t="shared" si="251"/>
        <v>0</v>
      </c>
      <c r="AN1130" s="25">
        <f>SUMIFS(инфо!$G$15:$G$28,инфо!$A$15:$A$28,F1130)</f>
        <v>0</v>
      </c>
      <c r="AO1130" s="32">
        <f t="shared" si="249"/>
        <v>0</v>
      </c>
      <c r="AP1130" s="14">
        <f t="shared" si="252"/>
        <v>0</v>
      </c>
      <c r="AQ1130" s="25">
        <f>SUMIFS(инфо!$H$15:$H$28,инфо!$A$15:$A$28,F1130)</f>
        <v>0</v>
      </c>
      <c r="AR1130" s="26">
        <f t="shared" si="250"/>
        <v>0</v>
      </c>
      <c r="AS1130" s="14">
        <f t="shared" si="253"/>
        <v>0</v>
      </c>
      <c r="AT1130" s="25">
        <f>SUMIFS(инфо!$I$15:$I$28,инфо!$A$15:$A$28,F1130)</f>
        <v>0</v>
      </c>
      <c r="AU1130" s="35">
        <f t="shared" si="258"/>
        <v>0</v>
      </c>
      <c r="AV1130" s="14">
        <f t="shared" si="254"/>
        <v>0</v>
      </c>
      <c r="AX1130" s="69">
        <f>SUMIFS(инфо!$C$15:$C$28,инфо!$A$15:$A$28,F1130)*H1129</f>
        <v>0</v>
      </c>
    </row>
    <row r="1131" spans="1:50" x14ac:dyDescent="0.25">
      <c r="A1131" s="70">
        <f t="shared" si="260"/>
        <v>46629</v>
      </c>
      <c r="B1131" s="75"/>
      <c r="C1131" s="29"/>
      <c r="D1131" s="30"/>
      <c r="E1131" s="11"/>
      <c r="F1131" s="28"/>
      <c r="G1131" s="27"/>
      <c r="H1131" s="20"/>
      <c r="I1131" s="20"/>
      <c r="J1131" s="20"/>
      <c r="K1131" s="20"/>
      <c r="L1131" s="20"/>
      <c r="M1131" s="20"/>
      <c r="N1131" s="28"/>
      <c r="O1131" s="27"/>
      <c r="P1131" s="27"/>
      <c r="Q1131" s="27"/>
      <c r="R1131" s="27"/>
      <c r="S1131" s="67">
        <f t="shared" si="255"/>
        <v>0</v>
      </c>
      <c r="T1131" s="29"/>
      <c r="U1131" s="30"/>
      <c r="V1131" s="27"/>
      <c r="W1131" s="27"/>
      <c r="X1131" s="27"/>
      <c r="Y1131" s="29"/>
      <c r="Z1131" s="27"/>
      <c r="AA1131" s="27"/>
      <c r="AB1131" s="27"/>
      <c r="AC1131" s="27"/>
      <c r="AD1131" s="30"/>
      <c r="AE1131" s="31">
        <f>SUMIFS(инфо!$D$15:$D$28,инфо!$A$15:$A$28,F1131)</f>
        <v>0</v>
      </c>
      <c r="AF1131" s="35">
        <f t="shared" si="247"/>
        <v>0</v>
      </c>
      <c r="AG1131" s="33">
        <f t="shared" si="256"/>
        <v>0</v>
      </c>
      <c r="AH1131" s="31">
        <f>SUMIFS(инфо!$E$15:$E$28,инфо!$A$15:$A$28,F1131)</f>
        <v>0</v>
      </c>
      <c r="AI1131" s="32">
        <f t="shared" si="259"/>
        <v>0</v>
      </c>
      <c r="AJ1131" s="33">
        <f t="shared" si="257"/>
        <v>0</v>
      </c>
      <c r="AK1131" s="31">
        <f>SUMIFS(инфо!$F$15:$F$28,инфо!$A$15:$A$28,F1131)</f>
        <v>0</v>
      </c>
      <c r="AL1131" s="32">
        <f t="shared" si="248"/>
        <v>0</v>
      </c>
      <c r="AM1131" s="33">
        <f t="shared" si="251"/>
        <v>0</v>
      </c>
      <c r="AN1131" s="31">
        <f>SUMIFS(инфо!$G$15:$G$28,инфо!$A$15:$A$28,F1131)</f>
        <v>0</v>
      </c>
      <c r="AO1131" s="32">
        <f t="shared" si="249"/>
        <v>0</v>
      </c>
      <c r="AP1131" s="33">
        <f t="shared" si="252"/>
        <v>0</v>
      </c>
      <c r="AQ1131" s="31">
        <f>SUMIFS(инфо!$H$15:$H$28,инфо!$A$15:$A$28,F1131)</f>
        <v>0</v>
      </c>
      <c r="AR1131" s="32">
        <f t="shared" si="250"/>
        <v>0</v>
      </c>
      <c r="AS1131" s="33">
        <f t="shared" si="253"/>
        <v>0</v>
      </c>
      <c r="AT1131" s="31">
        <f>SUMIFS(инфо!$I$15:$I$28,инфо!$A$15:$A$28,F1131)</f>
        <v>0</v>
      </c>
      <c r="AU1131" s="35">
        <f t="shared" si="258"/>
        <v>0</v>
      </c>
      <c r="AV1131" s="33">
        <f t="shared" si="254"/>
        <v>0</v>
      </c>
      <c r="AX1131" s="67">
        <f>SUMIFS(инфо!$C$15:$C$28,инфо!$A$15:$A$28,F1131)*H1130</f>
        <v>0</v>
      </c>
    </row>
    <row r="1132" spans="1:50" x14ac:dyDescent="0.25">
      <c r="A1132" s="70">
        <f t="shared" si="260"/>
        <v>46630</v>
      </c>
      <c r="B1132" s="76"/>
      <c r="C1132" s="15"/>
      <c r="D1132" s="16"/>
      <c r="E1132" s="11"/>
      <c r="F1132" s="28"/>
      <c r="G1132" s="34"/>
      <c r="H1132" s="20"/>
      <c r="I1132" s="20"/>
      <c r="J1132" s="20"/>
      <c r="K1132" s="20"/>
      <c r="L1132" s="20"/>
      <c r="M1132" s="20"/>
      <c r="N1132" s="20"/>
      <c r="O1132" s="34"/>
      <c r="P1132" s="34"/>
      <c r="Q1132" s="34"/>
      <c r="R1132" s="34"/>
      <c r="S1132" s="68">
        <f t="shared" si="255"/>
        <v>0</v>
      </c>
      <c r="T1132" s="15"/>
      <c r="U1132" s="16"/>
      <c r="V1132" s="34"/>
      <c r="W1132" s="34"/>
      <c r="X1132" s="34"/>
      <c r="Y1132" s="15"/>
      <c r="Z1132" s="34"/>
      <c r="AA1132" s="34"/>
      <c r="AB1132" s="34"/>
      <c r="AC1132" s="34"/>
      <c r="AD1132" s="16"/>
      <c r="AE1132" s="24">
        <f>SUMIFS(инфо!$D$15:$D$28,инфо!$A$15:$A$28,F1132)</f>
        <v>0</v>
      </c>
      <c r="AF1132" s="35">
        <f t="shared" si="247"/>
        <v>0</v>
      </c>
      <c r="AG1132" s="12">
        <f t="shared" si="256"/>
        <v>0</v>
      </c>
      <c r="AH1132" s="24">
        <f>SUMIFS(инфо!$E$15:$E$28,инфо!$A$15:$A$28,F1132)</f>
        <v>0</v>
      </c>
      <c r="AI1132" s="35">
        <f t="shared" si="259"/>
        <v>0</v>
      </c>
      <c r="AJ1132" s="12">
        <f t="shared" si="257"/>
        <v>0</v>
      </c>
      <c r="AK1132" s="24">
        <f>SUMIFS(инфо!$F$15:$F$28,инфо!$A$15:$A$28,F1132)</f>
        <v>0</v>
      </c>
      <c r="AL1132" s="32">
        <f t="shared" si="248"/>
        <v>0</v>
      </c>
      <c r="AM1132" s="12">
        <f t="shared" si="251"/>
        <v>0</v>
      </c>
      <c r="AN1132" s="24">
        <f>SUMIFS(инфо!$G$15:$G$28,инфо!$A$15:$A$28,F1132)</f>
        <v>0</v>
      </c>
      <c r="AO1132" s="32">
        <f t="shared" si="249"/>
        <v>0</v>
      </c>
      <c r="AP1132" s="12">
        <f t="shared" si="252"/>
        <v>0</v>
      </c>
      <c r="AQ1132" s="24">
        <f>SUMIFS(инфо!$H$15:$H$28,инфо!$A$15:$A$28,F1132)</f>
        <v>0</v>
      </c>
      <c r="AR1132" s="35">
        <f t="shared" si="250"/>
        <v>0</v>
      </c>
      <c r="AS1132" s="12">
        <f t="shared" si="253"/>
        <v>0</v>
      </c>
      <c r="AT1132" s="24">
        <f>SUMIFS(инфо!$I$15:$I$28,инфо!$A$15:$A$28,F1132)</f>
        <v>0</v>
      </c>
      <c r="AU1132" s="35">
        <f t="shared" si="258"/>
        <v>0</v>
      </c>
      <c r="AV1132" s="12">
        <f t="shared" si="254"/>
        <v>0</v>
      </c>
      <c r="AX1132" s="68">
        <f>SUMIFS(инфо!$C$15:$C$28,инфо!$A$15:$A$28,F1132)*H1131</f>
        <v>0</v>
      </c>
    </row>
    <row r="1133" spans="1:50" x14ac:dyDescent="0.25">
      <c r="A1133" s="70">
        <f t="shared" si="260"/>
        <v>46630</v>
      </c>
      <c r="B1133" s="76"/>
      <c r="C1133" s="15"/>
      <c r="D1133" s="16"/>
      <c r="E1133" s="11"/>
      <c r="F1133" s="28"/>
      <c r="G1133" s="34"/>
      <c r="H1133" s="23"/>
      <c r="I1133" s="20"/>
      <c r="J1133" s="20"/>
      <c r="K1133" s="20"/>
      <c r="L1133" s="20"/>
      <c r="M1133" s="20"/>
      <c r="N1133" s="20"/>
      <c r="O1133" s="34"/>
      <c r="P1133" s="34"/>
      <c r="Q1133" s="34"/>
      <c r="R1133" s="34"/>
      <c r="S1133" s="68">
        <f t="shared" si="255"/>
        <v>0</v>
      </c>
      <c r="T1133" s="15"/>
      <c r="U1133" s="16"/>
      <c r="V1133" s="34"/>
      <c r="W1133" s="34"/>
      <c r="X1133" s="34"/>
      <c r="Y1133" s="15"/>
      <c r="Z1133" s="34"/>
      <c r="AA1133" s="34"/>
      <c r="AB1133" s="34"/>
      <c r="AC1133" s="34"/>
      <c r="AD1133" s="16"/>
      <c r="AE1133" s="24">
        <f>SUMIFS(инфо!$D$15:$D$28,инфо!$A$15:$A$28,F1133)</f>
        <v>0</v>
      </c>
      <c r="AF1133" s="35">
        <f t="shared" ref="AF1133:AF1196" si="261">IF(H1133=0,0,N1133/H1133)</f>
        <v>0</v>
      </c>
      <c r="AG1133" s="12">
        <f t="shared" si="256"/>
        <v>0</v>
      </c>
      <c r="AH1133" s="24">
        <f>SUMIFS(инфо!$E$15:$E$28,инфо!$A$15:$A$28,F1133)</f>
        <v>0</v>
      </c>
      <c r="AI1133" s="35">
        <f t="shared" si="259"/>
        <v>0</v>
      </c>
      <c r="AJ1133" s="12">
        <f t="shared" si="257"/>
        <v>0</v>
      </c>
      <c r="AK1133" s="24">
        <f>SUMIFS(инфо!$F$15:$F$28,инфо!$A$15:$A$28,F1133)</f>
        <v>0</v>
      </c>
      <c r="AL1133" s="32">
        <f t="shared" ref="AL1133:AL1196" si="262">IF(H1133=0,0,Y1133/H1133)</f>
        <v>0</v>
      </c>
      <c r="AM1133" s="12">
        <f t="shared" si="251"/>
        <v>0</v>
      </c>
      <c r="AN1133" s="24">
        <f>SUMIFS(инфо!$G$15:$G$28,инфо!$A$15:$A$28,F1133)</f>
        <v>0</v>
      </c>
      <c r="AO1133" s="32">
        <f t="shared" ref="AO1133:AO1196" si="263">IF(H1133=0,0,AA1133/H1133)</f>
        <v>0</v>
      </c>
      <c r="AP1133" s="12">
        <f t="shared" si="252"/>
        <v>0</v>
      </c>
      <c r="AQ1133" s="24">
        <f>SUMIFS(инфо!$H$15:$H$28,инфо!$A$15:$A$28,F1133)</f>
        <v>0</v>
      </c>
      <c r="AR1133" s="35">
        <f t="shared" si="250"/>
        <v>0</v>
      </c>
      <c r="AS1133" s="12">
        <f t="shared" si="253"/>
        <v>0</v>
      </c>
      <c r="AT1133" s="24">
        <f>SUMIFS(инфо!$I$15:$I$28,инфо!$A$15:$A$28,F1133)</f>
        <v>0</v>
      </c>
      <c r="AU1133" s="35">
        <f t="shared" si="258"/>
        <v>0</v>
      </c>
      <c r="AV1133" s="12">
        <f t="shared" si="254"/>
        <v>0</v>
      </c>
      <c r="AX1133" s="68">
        <f>SUMIFS(инфо!$C$15:$C$28,инфо!$A$15:$A$28,F1133)*H1132</f>
        <v>0</v>
      </c>
    </row>
    <row r="1134" spans="1:50" x14ac:dyDescent="0.25">
      <c r="A1134" s="70">
        <f t="shared" si="260"/>
        <v>46631</v>
      </c>
      <c r="B1134" s="77"/>
      <c r="C1134" s="17"/>
      <c r="D1134" s="18"/>
      <c r="E1134" s="11"/>
      <c r="F1134" s="28"/>
      <c r="G1134" s="19"/>
      <c r="H1134" s="28"/>
      <c r="I1134" s="20"/>
      <c r="J1134" s="20"/>
      <c r="K1134" s="20"/>
      <c r="L1134" s="20"/>
      <c r="M1134" s="20"/>
      <c r="N1134" s="23"/>
      <c r="O1134" s="19"/>
      <c r="P1134" s="19"/>
      <c r="Q1134" s="19"/>
      <c r="R1134" s="19"/>
      <c r="S1134" s="69">
        <f t="shared" si="255"/>
        <v>0</v>
      </c>
      <c r="T1134" s="17"/>
      <c r="U1134" s="18"/>
      <c r="V1134" s="19"/>
      <c r="W1134" s="19"/>
      <c r="X1134" s="19"/>
      <c r="Y1134" s="17"/>
      <c r="Z1134" s="19"/>
      <c r="AA1134" s="19"/>
      <c r="AB1134" s="19"/>
      <c r="AC1134" s="19"/>
      <c r="AD1134" s="18"/>
      <c r="AE1134" s="25">
        <f>SUMIFS(инфо!$D$15:$D$28,инфо!$A$15:$A$28,F1134)</f>
        <v>0</v>
      </c>
      <c r="AF1134" s="35">
        <f t="shared" si="261"/>
        <v>0</v>
      </c>
      <c r="AG1134" s="14">
        <f t="shared" si="256"/>
        <v>0</v>
      </c>
      <c r="AH1134" s="25">
        <f>SUMIFS(инфо!$E$15:$E$28,инфо!$A$15:$A$28,F1134)</f>
        <v>0</v>
      </c>
      <c r="AI1134" s="26">
        <f t="shared" si="259"/>
        <v>0</v>
      </c>
      <c r="AJ1134" s="14">
        <f t="shared" si="257"/>
        <v>0</v>
      </c>
      <c r="AK1134" s="25">
        <f>SUMIFS(инфо!$F$15:$F$28,инфо!$A$15:$A$28,F1134)</f>
        <v>0</v>
      </c>
      <c r="AL1134" s="32">
        <f t="shared" si="262"/>
        <v>0</v>
      </c>
      <c r="AM1134" s="14">
        <f t="shared" si="251"/>
        <v>0</v>
      </c>
      <c r="AN1134" s="25">
        <f>SUMIFS(инфо!$G$15:$G$28,инфо!$A$15:$A$28,F1134)</f>
        <v>0</v>
      </c>
      <c r="AO1134" s="32">
        <f t="shared" si="263"/>
        <v>0</v>
      </c>
      <c r="AP1134" s="14">
        <f t="shared" si="252"/>
        <v>0</v>
      </c>
      <c r="AQ1134" s="25">
        <f>SUMIFS(инфо!$H$15:$H$28,инфо!$A$15:$A$28,F1134)</f>
        <v>0</v>
      </c>
      <c r="AR1134" s="26">
        <f t="shared" ref="AR1134:AR1197" si="264">IF(H1133=0,0,AC1134/H1133)</f>
        <v>0</v>
      </c>
      <c r="AS1134" s="14">
        <f t="shared" si="253"/>
        <v>0</v>
      </c>
      <c r="AT1134" s="25">
        <f>SUMIFS(инфо!$I$15:$I$28,инфо!$A$15:$A$28,F1134)</f>
        <v>0</v>
      </c>
      <c r="AU1134" s="35">
        <f t="shared" si="258"/>
        <v>0</v>
      </c>
      <c r="AV1134" s="14">
        <f t="shared" si="254"/>
        <v>0</v>
      </c>
      <c r="AX1134" s="69">
        <f>SUMIFS(инфо!$C$15:$C$28,инфо!$A$15:$A$28,F1134)*H1133</f>
        <v>0</v>
      </c>
    </row>
    <row r="1135" spans="1:50" x14ac:dyDescent="0.25">
      <c r="A1135" s="70">
        <f t="shared" si="260"/>
        <v>46631</v>
      </c>
      <c r="B1135" s="75"/>
      <c r="C1135" s="29"/>
      <c r="D1135" s="30"/>
      <c r="E1135" s="11"/>
      <c r="F1135" s="28"/>
      <c r="G1135" s="27"/>
      <c r="H1135" s="20"/>
      <c r="I1135" s="20"/>
      <c r="J1135" s="20"/>
      <c r="K1135" s="20"/>
      <c r="L1135" s="20"/>
      <c r="M1135" s="20"/>
      <c r="N1135" s="28"/>
      <c r="O1135" s="27"/>
      <c r="P1135" s="27"/>
      <c r="Q1135" s="27"/>
      <c r="R1135" s="27"/>
      <c r="S1135" s="67">
        <f t="shared" si="255"/>
        <v>0</v>
      </c>
      <c r="T1135" s="29"/>
      <c r="U1135" s="30"/>
      <c r="V1135" s="27"/>
      <c r="W1135" s="27"/>
      <c r="X1135" s="27"/>
      <c r="Y1135" s="29"/>
      <c r="Z1135" s="27"/>
      <c r="AA1135" s="27"/>
      <c r="AB1135" s="27"/>
      <c r="AC1135" s="27"/>
      <c r="AD1135" s="30"/>
      <c r="AE1135" s="31">
        <f>SUMIFS(инфо!$D$15:$D$28,инфо!$A$15:$A$28,F1135)</f>
        <v>0</v>
      </c>
      <c r="AF1135" s="35">
        <f t="shared" si="261"/>
        <v>0</v>
      </c>
      <c r="AG1135" s="33">
        <f t="shared" si="256"/>
        <v>0</v>
      </c>
      <c r="AH1135" s="31">
        <f>SUMIFS(инфо!$E$15:$E$28,инфо!$A$15:$A$28,F1135)</f>
        <v>0</v>
      </c>
      <c r="AI1135" s="32">
        <f t="shared" si="259"/>
        <v>0</v>
      </c>
      <c r="AJ1135" s="33">
        <f t="shared" si="257"/>
        <v>0</v>
      </c>
      <c r="AK1135" s="31">
        <f>SUMIFS(инфо!$F$15:$F$28,инфо!$A$15:$A$28,F1135)</f>
        <v>0</v>
      </c>
      <c r="AL1135" s="32">
        <f t="shared" si="262"/>
        <v>0</v>
      </c>
      <c r="AM1135" s="33">
        <f t="shared" ref="AM1135:AM1198" si="265">AL1135-AK1135</f>
        <v>0</v>
      </c>
      <c r="AN1135" s="31">
        <f>SUMIFS(инфо!$G$15:$G$28,инфо!$A$15:$A$28,F1135)</f>
        <v>0</v>
      </c>
      <c r="AO1135" s="32">
        <f t="shared" si="263"/>
        <v>0</v>
      </c>
      <c r="AP1135" s="33">
        <f t="shared" ref="AP1135:AP1198" si="266">AO1135-AN1135</f>
        <v>0</v>
      </c>
      <c r="AQ1135" s="31">
        <f>SUMIFS(инфо!$H$15:$H$28,инфо!$A$15:$A$28,F1135)</f>
        <v>0</v>
      </c>
      <c r="AR1135" s="32">
        <f t="shared" si="264"/>
        <v>0</v>
      </c>
      <c r="AS1135" s="33">
        <f t="shared" ref="AS1135:AS1198" si="267">AR1135-AQ1135</f>
        <v>0</v>
      </c>
      <c r="AT1135" s="31">
        <f>SUMIFS(инфо!$I$15:$I$28,инфо!$A$15:$A$28,F1135)</f>
        <v>0</v>
      </c>
      <c r="AU1135" s="35">
        <f t="shared" si="258"/>
        <v>0</v>
      </c>
      <c r="AV1135" s="33">
        <f t="shared" ref="AV1135:AV1198" si="268">AU1135-AT1135</f>
        <v>0</v>
      </c>
      <c r="AX1135" s="67">
        <f>SUMIFS(инфо!$C$15:$C$28,инфо!$A$15:$A$28,F1135)*H1134</f>
        <v>0</v>
      </c>
    </row>
    <row r="1136" spans="1:50" x14ac:dyDescent="0.25">
      <c r="A1136" s="70">
        <f t="shared" si="260"/>
        <v>46632</v>
      </c>
      <c r="B1136" s="76"/>
      <c r="C1136" s="15"/>
      <c r="D1136" s="16"/>
      <c r="E1136" s="11"/>
      <c r="F1136" s="28"/>
      <c r="G1136" s="34"/>
      <c r="H1136" s="20"/>
      <c r="I1136" s="20"/>
      <c r="J1136" s="20"/>
      <c r="K1136" s="20"/>
      <c r="L1136" s="20"/>
      <c r="M1136" s="20"/>
      <c r="N1136" s="20"/>
      <c r="O1136" s="34"/>
      <c r="P1136" s="34"/>
      <c r="Q1136" s="34"/>
      <c r="R1136" s="34"/>
      <c r="S1136" s="68">
        <f t="shared" ref="S1136:S1199" si="269">SUM(O1136:R1136)</f>
        <v>0</v>
      </c>
      <c r="T1136" s="15"/>
      <c r="U1136" s="16"/>
      <c r="V1136" s="34"/>
      <c r="W1136" s="34"/>
      <c r="X1136" s="34"/>
      <c r="Y1136" s="15"/>
      <c r="Z1136" s="34"/>
      <c r="AA1136" s="34"/>
      <c r="AB1136" s="34"/>
      <c r="AC1136" s="34"/>
      <c r="AD1136" s="16"/>
      <c r="AE1136" s="24">
        <f>SUMIFS(инфо!$D$15:$D$28,инфо!$A$15:$A$28,F1136)</f>
        <v>0</v>
      </c>
      <c r="AF1136" s="35">
        <f t="shared" si="261"/>
        <v>0</v>
      </c>
      <c r="AG1136" s="12">
        <f t="shared" si="256"/>
        <v>0</v>
      </c>
      <c r="AH1136" s="24">
        <f>SUMIFS(инфо!$E$15:$E$28,инфо!$A$15:$A$28,F1136)</f>
        <v>0</v>
      </c>
      <c r="AI1136" s="35">
        <f t="shared" si="259"/>
        <v>0</v>
      </c>
      <c r="AJ1136" s="12">
        <f t="shared" si="257"/>
        <v>0</v>
      </c>
      <c r="AK1136" s="24">
        <f>SUMIFS(инфо!$F$15:$F$28,инфо!$A$15:$A$28,F1136)</f>
        <v>0</v>
      </c>
      <c r="AL1136" s="32">
        <f t="shared" si="262"/>
        <v>0</v>
      </c>
      <c r="AM1136" s="12">
        <f t="shared" si="265"/>
        <v>0</v>
      </c>
      <c r="AN1136" s="24">
        <f>SUMIFS(инфо!$G$15:$G$28,инфо!$A$15:$A$28,F1136)</f>
        <v>0</v>
      </c>
      <c r="AO1136" s="32">
        <f t="shared" si="263"/>
        <v>0</v>
      </c>
      <c r="AP1136" s="12">
        <f t="shared" si="266"/>
        <v>0</v>
      </c>
      <c r="AQ1136" s="24">
        <f>SUMIFS(инфо!$H$15:$H$28,инфо!$A$15:$A$28,F1136)</f>
        <v>0</v>
      </c>
      <c r="AR1136" s="35">
        <f t="shared" si="264"/>
        <v>0</v>
      </c>
      <c r="AS1136" s="12">
        <f t="shared" si="267"/>
        <v>0</v>
      </c>
      <c r="AT1136" s="24">
        <f>SUMIFS(инфо!$I$15:$I$28,инфо!$A$15:$A$28,F1136)</f>
        <v>0</v>
      </c>
      <c r="AU1136" s="35">
        <f t="shared" si="258"/>
        <v>0</v>
      </c>
      <c r="AV1136" s="12">
        <f t="shared" si="268"/>
        <v>0</v>
      </c>
      <c r="AX1136" s="68">
        <f>SUMIFS(инфо!$C$15:$C$28,инфо!$A$15:$A$28,F1136)*H1135</f>
        <v>0</v>
      </c>
    </row>
    <row r="1137" spans="1:50" x14ac:dyDescent="0.25">
      <c r="A1137" s="70">
        <f t="shared" si="260"/>
        <v>46632</v>
      </c>
      <c r="B1137" s="76"/>
      <c r="C1137" s="15"/>
      <c r="D1137" s="16"/>
      <c r="E1137" s="11"/>
      <c r="F1137" s="28"/>
      <c r="G1137" s="34"/>
      <c r="H1137" s="23"/>
      <c r="I1137" s="20"/>
      <c r="J1137" s="20"/>
      <c r="K1137" s="20"/>
      <c r="L1137" s="20"/>
      <c r="M1137" s="20"/>
      <c r="N1137" s="20"/>
      <c r="O1137" s="34"/>
      <c r="P1137" s="34"/>
      <c r="Q1137" s="34"/>
      <c r="R1137" s="34"/>
      <c r="S1137" s="68">
        <f t="shared" si="269"/>
        <v>0</v>
      </c>
      <c r="T1137" s="15"/>
      <c r="U1137" s="16"/>
      <c r="V1137" s="34"/>
      <c r="W1137" s="34"/>
      <c r="X1137" s="34"/>
      <c r="Y1137" s="15"/>
      <c r="Z1137" s="34"/>
      <c r="AA1137" s="34"/>
      <c r="AB1137" s="34"/>
      <c r="AC1137" s="34"/>
      <c r="AD1137" s="16"/>
      <c r="AE1137" s="24">
        <f>SUMIFS(инфо!$D$15:$D$28,инфо!$A$15:$A$28,F1137)</f>
        <v>0</v>
      </c>
      <c r="AF1137" s="35">
        <f t="shared" si="261"/>
        <v>0</v>
      </c>
      <c r="AG1137" s="12">
        <f t="shared" si="256"/>
        <v>0</v>
      </c>
      <c r="AH1137" s="24">
        <f>SUMIFS(инфо!$E$15:$E$28,инфо!$A$15:$A$28,F1137)</f>
        <v>0</v>
      </c>
      <c r="AI1137" s="35">
        <f t="shared" si="259"/>
        <v>0</v>
      </c>
      <c r="AJ1137" s="12">
        <f t="shared" si="257"/>
        <v>0</v>
      </c>
      <c r="AK1137" s="24">
        <f>SUMIFS(инфо!$F$15:$F$28,инфо!$A$15:$A$28,F1137)</f>
        <v>0</v>
      </c>
      <c r="AL1137" s="32">
        <f t="shared" si="262"/>
        <v>0</v>
      </c>
      <c r="AM1137" s="12">
        <f t="shared" si="265"/>
        <v>0</v>
      </c>
      <c r="AN1137" s="24">
        <f>SUMIFS(инфо!$G$15:$G$28,инфо!$A$15:$A$28,F1137)</f>
        <v>0</v>
      </c>
      <c r="AO1137" s="32">
        <f t="shared" si="263"/>
        <v>0</v>
      </c>
      <c r="AP1137" s="12">
        <f t="shared" si="266"/>
        <v>0</v>
      </c>
      <c r="AQ1137" s="24">
        <f>SUMIFS(инфо!$H$15:$H$28,инфо!$A$15:$A$28,F1137)</f>
        <v>0</v>
      </c>
      <c r="AR1137" s="35">
        <f t="shared" si="264"/>
        <v>0</v>
      </c>
      <c r="AS1137" s="12">
        <f t="shared" si="267"/>
        <v>0</v>
      </c>
      <c r="AT1137" s="24">
        <f>SUMIFS(инфо!$I$15:$I$28,инфо!$A$15:$A$28,F1137)</f>
        <v>0</v>
      </c>
      <c r="AU1137" s="35">
        <f t="shared" si="258"/>
        <v>0</v>
      </c>
      <c r="AV1137" s="12">
        <f t="shared" si="268"/>
        <v>0</v>
      </c>
      <c r="AX1137" s="68">
        <f>SUMIFS(инфо!$C$15:$C$28,инфо!$A$15:$A$28,F1137)*H1136</f>
        <v>0</v>
      </c>
    </row>
    <row r="1138" spans="1:50" x14ac:dyDescent="0.25">
      <c r="A1138" s="70">
        <f t="shared" si="260"/>
        <v>46633</v>
      </c>
      <c r="B1138" s="77"/>
      <c r="C1138" s="17"/>
      <c r="D1138" s="18"/>
      <c r="E1138" s="11"/>
      <c r="F1138" s="28"/>
      <c r="G1138" s="19"/>
      <c r="H1138" s="28"/>
      <c r="I1138" s="20"/>
      <c r="J1138" s="20"/>
      <c r="K1138" s="20"/>
      <c r="L1138" s="20"/>
      <c r="M1138" s="20"/>
      <c r="N1138" s="23"/>
      <c r="O1138" s="19"/>
      <c r="P1138" s="19"/>
      <c r="Q1138" s="19"/>
      <c r="R1138" s="19"/>
      <c r="S1138" s="69">
        <f t="shared" si="269"/>
        <v>0</v>
      </c>
      <c r="T1138" s="17"/>
      <c r="U1138" s="18"/>
      <c r="V1138" s="19"/>
      <c r="W1138" s="19"/>
      <c r="X1138" s="19"/>
      <c r="Y1138" s="17"/>
      <c r="Z1138" s="19"/>
      <c r="AA1138" s="19"/>
      <c r="AB1138" s="19"/>
      <c r="AC1138" s="19"/>
      <c r="AD1138" s="18"/>
      <c r="AE1138" s="25">
        <f>SUMIFS(инфо!$D$15:$D$28,инфо!$A$15:$A$28,F1138)</f>
        <v>0</v>
      </c>
      <c r="AF1138" s="35">
        <f t="shared" si="261"/>
        <v>0</v>
      </c>
      <c r="AG1138" s="14">
        <f t="shared" si="256"/>
        <v>0</v>
      </c>
      <c r="AH1138" s="25">
        <f>SUMIFS(инфо!$E$15:$E$28,инфо!$A$15:$A$28,F1138)</f>
        <v>0</v>
      </c>
      <c r="AI1138" s="26">
        <f t="shared" si="259"/>
        <v>0</v>
      </c>
      <c r="AJ1138" s="14">
        <f t="shared" si="257"/>
        <v>0</v>
      </c>
      <c r="AK1138" s="25">
        <f>SUMIFS(инфо!$F$15:$F$28,инфо!$A$15:$A$28,F1138)</f>
        <v>0</v>
      </c>
      <c r="AL1138" s="32">
        <f t="shared" si="262"/>
        <v>0</v>
      </c>
      <c r="AM1138" s="14">
        <f t="shared" si="265"/>
        <v>0</v>
      </c>
      <c r="AN1138" s="25">
        <f>SUMIFS(инфо!$G$15:$G$28,инфо!$A$15:$A$28,F1138)</f>
        <v>0</v>
      </c>
      <c r="AO1138" s="32">
        <f t="shared" si="263"/>
        <v>0</v>
      </c>
      <c r="AP1138" s="14">
        <f t="shared" si="266"/>
        <v>0</v>
      </c>
      <c r="AQ1138" s="25">
        <f>SUMIFS(инфо!$H$15:$H$28,инфо!$A$15:$A$28,F1138)</f>
        <v>0</v>
      </c>
      <c r="AR1138" s="26">
        <f t="shared" si="264"/>
        <v>0</v>
      </c>
      <c r="AS1138" s="14">
        <f t="shared" si="267"/>
        <v>0</v>
      </c>
      <c r="AT1138" s="25">
        <f>SUMIFS(инфо!$I$15:$I$28,инфо!$A$15:$A$28,F1138)</f>
        <v>0</v>
      </c>
      <c r="AU1138" s="35">
        <f t="shared" si="258"/>
        <v>0</v>
      </c>
      <c r="AV1138" s="14">
        <f t="shared" si="268"/>
        <v>0</v>
      </c>
      <c r="AX1138" s="69">
        <f>SUMIFS(инфо!$C$15:$C$28,инфо!$A$15:$A$28,F1138)*H1137</f>
        <v>0</v>
      </c>
    </row>
    <row r="1139" spans="1:50" x14ac:dyDescent="0.25">
      <c r="A1139" s="70">
        <f t="shared" si="260"/>
        <v>46633</v>
      </c>
      <c r="B1139" s="75"/>
      <c r="C1139" s="29"/>
      <c r="D1139" s="30"/>
      <c r="E1139" s="11"/>
      <c r="F1139" s="28"/>
      <c r="G1139" s="27"/>
      <c r="H1139" s="20"/>
      <c r="I1139" s="20"/>
      <c r="J1139" s="20"/>
      <c r="K1139" s="20"/>
      <c r="L1139" s="20"/>
      <c r="M1139" s="20"/>
      <c r="N1139" s="28"/>
      <c r="O1139" s="27"/>
      <c r="P1139" s="27"/>
      <c r="Q1139" s="27"/>
      <c r="R1139" s="27"/>
      <c r="S1139" s="67">
        <f t="shared" si="269"/>
        <v>0</v>
      </c>
      <c r="T1139" s="29"/>
      <c r="U1139" s="30"/>
      <c r="V1139" s="27"/>
      <c r="W1139" s="27"/>
      <c r="X1139" s="27"/>
      <c r="Y1139" s="29"/>
      <c r="Z1139" s="27"/>
      <c r="AA1139" s="27"/>
      <c r="AB1139" s="27"/>
      <c r="AC1139" s="27"/>
      <c r="AD1139" s="30"/>
      <c r="AE1139" s="31">
        <f>SUMIFS(инфо!$D$15:$D$28,инфо!$A$15:$A$28,F1139)</f>
        <v>0</v>
      </c>
      <c r="AF1139" s="35">
        <f t="shared" si="261"/>
        <v>0</v>
      </c>
      <c r="AG1139" s="33">
        <f t="shared" si="256"/>
        <v>0</v>
      </c>
      <c r="AH1139" s="31">
        <f>SUMIFS(инфо!$E$15:$E$28,инфо!$A$15:$A$28,F1139)</f>
        <v>0</v>
      </c>
      <c r="AI1139" s="32">
        <f t="shared" si="259"/>
        <v>0</v>
      </c>
      <c r="AJ1139" s="33">
        <f t="shared" si="257"/>
        <v>0</v>
      </c>
      <c r="AK1139" s="31">
        <f>SUMIFS(инфо!$F$15:$F$28,инфо!$A$15:$A$28,F1139)</f>
        <v>0</v>
      </c>
      <c r="AL1139" s="32">
        <f t="shared" si="262"/>
        <v>0</v>
      </c>
      <c r="AM1139" s="33">
        <f t="shared" si="265"/>
        <v>0</v>
      </c>
      <c r="AN1139" s="31">
        <f>SUMIFS(инфо!$G$15:$G$28,инфо!$A$15:$A$28,F1139)</f>
        <v>0</v>
      </c>
      <c r="AO1139" s="32">
        <f t="shared" si="263"/>
        <v>0</v>
      </c>
      <c r="AP1139" s="33">
        <f t="shared" si="266"/>
        <v>0</v>
      </c>
      <c r="AQ1139" s="31">
        <f>SUMIFS(инфо!$H$15:$H$28,инфо!$A$15:$A$28,F1139)</f>
        <v>0</v>
      </c>
      <c r="AR1139" s="32">
        <f t="shared" si="264"/>
        <v>0</v>
      </c>
      <c r="AS1139" s="33">
        <f t="shared" si="267"/>
        <v>0</v>
      </c>
      <c r="AT1139" s="31">
        <f>SUMIFS(инфо!$I$15:$I$28,инфо!$A$15:$A$28,F1139)</f>
        <v>0</v>
      </c>
      <c r="AU1139" s="35">
        <f t="shared" si="258"/>
        <v>0</v>
      </c>
      <c r="AV1139" s="33">
        <f t="shared" si="268"/>
        <v>0</v>
      </c>
      <c r="AX1139" s="67">
        <f>SUMIFS(инфо!$C$15:$C$28,инфо!$A$15:$A$28,F1139)*H1138</f>
        <v>0</v>
      </c>
    </row>
    <row r="1140" spans="1:50" x14ac:dyDescent="0.25">
      <c r="A1140" s="70">
        <f t="shared" si="260"/>
        <v>46634</v>
      </c>
      <c r="B1140" s="76"/>
      <c r="C1140" s="15"/>
      <c r="D1140" s="16"/>
      <c r="E1140" s="11"/>
      <c r="F1140" s="28"/>
      <c r="G1140" s="34"/>
      <c r="H1140" s="20"/>
      <c r="I1140" s="20"/>
      <c r="J1140" s="20"/>
      <c r="K1140" s="20"/>
      <c r="L1140" s="20"/>
      <c r="M1140" s="20"/>
      <c r="N1140" s="20"/>
      <c r="O1140" s="34"/>
      <c r="P1140" s="34"/>
      <c r="Q1140" s="34"/>
      <c r="R1140" s="34"/>
      <c r="S1140" s="68">
        <f t="shared" si="269"/>
        <v>0</v>
      </c>
      <c r="T1140" s="15"/>
      <c r="U1140" s="16"/>
      <c r="V1140" s="34"/>
      <c r="W1140" s="34"/>
      <c r="X1140" s="34"/>
      <c r="Y1140" s="15"/>
      <c r="Z1140" s="34"/>
      <c r="AA1140" s="34"/>
      <c r="AB1140" s="34"/>
      <c r="AC1140" s="34"/>
      <c r="AD1140" s="16"/>
      <c r="AE1140" s="24">
        <f>SUMIFS(инфо!$D$15:$D$28,инфо!$A$15:$A$28,F1140)</f>
        <v>0</v>
      </c>
      <c r="AF1140" s="35">
        <f t="shared" si="261"/>
        <v>0</v>
      </c>
      <c r="AG1140" s="12">
        <f t="shared" si="256"/>
        <v>0</v>
      </c>
      <c r="AH1140" s="24">
        <f>SUMIFS(инфо!$E$15:$E$28,инфо!$A$15:$A$28,F1140)</f>
        <v>0</v>
      </c>
      <c r="AI1140" s="35">
        <f t="shared" si="259"/>
        <v>0</v>
      </c>
      <c r="AJ1140" s="12">
        <f t="shared" si="257"/>
        <v>0</v>
      </c>
      <c r="AK1140" s="24">
        <f>SUMIFS(инфо!$F$15:$F$28,инфо!$A$15:$A$28,F1140)</f>
        <v>0</v>
      </c>
      <c r="AL1140" s="32">
        <f t="shared" si="262"/>
        <v>0</v>
      </c>
      <c r="AM1140" s="12">
        <f t="shared" si="265"/>
        <v>0</v>
      </c>
      <c r="AN1140" s="24">
        <f>SUMIFS(инфо!$G$15:$G$28,инфо!$A$15:$A$28,F1140)</f>
        <v>0</v>
      </c>
      <c r="AO1140" s="32">
        <f t="shared" si="263"/>
        <v>0</v>
      </c>
      <c r="AP1140" s="12">
        <f t="shared" si="266"/>
        <v>0</v>
      </c>
      <c r="AQ1140" s="24">
        <f>SUMIFS(инфо!$H$15:$H$28,инфо!$A$15:$A$28,F1140)</f>
        <v>0</v>
      </c>
      <c r="AR1140" s="35">
        <f t="shared" si="264"/>
        <v>0</v>
      </c>
      <c r="AS1140" s="12">
        <f t="shared" si="267"/>
        <v>0</v>
      </c>
      <c r="AT1140" s="24">
        <f>SUMIFS(инфо!$I$15:$I$28,инфо!$A$15:$A$28,F1140)</f>
        <v>0</v>
      </c>
      <c r="AU1140" s="35">
        <f t="shared" si="258"/>
        <v>0</v>
      </c>
      <c r="AV1140" s="12">
        <f t="shared" si="268"/>
        <v>0</v>
      </c>
      <c r="AX1140" s="68">
        <f>SUMIFS(инфо!$C$15:$C$28,инфо!$A$15:$A$28,F1140)*H1139</f>
        <v>0</v>
      </c>
    </row>
    <row r="1141" spans="1:50" x14ac:dyDescent="0.25">
      <c r="A1141" s="70">
        <f t="shared" si="260"/>
        <v>46634</v>
      </c>
      <c r="B1141" s="76"/>
      <c r="C1141" s="15"/>
      <c r="D1141" s="16"/>
      <c r="E1141" s="11"/>
      <c r="F1141" s="28"/>
      <c r="G1141" s="34"/>
      <c r="H1141" s="23"/>
      <c r="I1141" s="20"/>
      <c r="J1141" s="20"/>
      <c r="K1141" s="20"/>
      <c r="L1141" s="20"/>
      <c r="M1141" s="20"/>
      <c r="N1141" s="20"/>
      <c r="O1141" s="34"/>
      <c r="P1141" s="34"/>
      <c r="Q1141" s="34"/>
      <c r="R1141" s="34"/>
      <c r="S1141" s="68">
        <f t="shared" si="269"/>
        <v>0</v>
      </c>
      <c r="T1141" s="15"/>
      <c r="U1141" s="16"/>
      <c r="V1141" s="34"/>
      <c r="W1141" s="34"/>
      <c r="X1141" s="34"/>
      <c r="Y1141" s="15"/>
      <c r="Z1141" s="34"/>
      <c r="AA1141" s="34"/>
      <c r="AB1141" s="34"/>
      <c r="AC1141" s="34"/>
      <c r="AD1141" s="16"/>
      <c r="AE1141" s="24">
        <f>SUMIFS(инфо!$D$15:$D$28,инфо!$A$15:$A$28,F1141)</f>
        <v>0</v>
      </c>
      <c r="AF1141" s="35">
        <f t="shared" si="261"/>
        <v>0</v>
      </c>
      <c r="AG1141" s="12">
        <f t="shared" si="256"/>
        <v>0</v>
      </c>
      <c r="AH1141" s="24">
        <f>SUMIFS(инфо!$E$15:$E$28,инфо!$A$15:$A$28,F1141)</f>
        <v>0</v>
      </c>
      <c r="AI1141" s="35">
        <f t="shared" si="259"/>
        <v>0</v>
      </c>
      <c r="AJ1141" s="12">
        <f t="shared" si="257"/>
        <v>0</v>
      </c>
      <c r="AK1141" s="24">
        <f>SUMIFS(инфо!$F$15:$F$28,инфо!$A$15:$A$28,F1141)</f>
        <v>0</v>
      </c>
      <c r="AL1141" s="32">
        <f t="shared" si="262"/>
        <v>0</v>
      </c>
      <c r="AM1141" s="12">
        <f t="shared" si="265"/>
        <v>0</v>
      </c>
      <c r="AN1141" s="24">
        <f>SUMIFS(инфо!$G$15:$G$28,инфо!$A$15:$A$28,F1141)</f>
        <v>0</v>
      </c>
      <c r="AO1141" s="32">
        <f t="shared" si="263"/>
        <v>0</v>
      </c>
      <c r="AP1141" s="12">
        <f t="shared" si="266"/>
        <v>0</v>
      </c>
      <c r="AQ1141" s="24">
        <f>SUMIFS(инфо!$H$15:$H$28,инфо!$A$15:$A$28,F1141)</f>
        <v>0</v>
      </c>
      <c r="AR1141" s="35">
        <f t="shared" si="264"/>
        <v>0</v>
      </c>
      <c r="AS1141" s="12">
        <f t="shared" si="267"/>
        <v>0</v>
      </c>
      <c r="AT1141" s="24">
        <f>SUMIFS(инфо!$I$15:$I$28,инфо!$A$15:$A$28,F1141)</f>
        <v>0</v>
      </c>
      <c r="AU1141" s="35">
        <f t="shared" si="258"/>
        <v>0</v>
      </c>
      <c r="AV1141" s="12">
        <f t="shared" si="268"/>
        <v>0</v>
      </c>
      <c r="AX1141" s="68">
        <f>SUMIFS(инфо!$C$15:$C$28,инфо!$A$15:$A$28,F1141)*H1140</f>
        <v>0</v>
      </c>
    </row>
    <row r="1142" spans="1:50" x14ac:dyDescent="0.25">
      <c r="A1142" s="70">
        <f t="shared" si="260"/>
        <v>46635</v>
      </c>
      <c r="B1142" s="77"/>
      <c r="C1142" s="17"/>
      <c r="D1142" s="18"/>
      <c r="E1142" s="11"/>
      <c r="F1142" s="28"/>
      <c r="G1142" s="19"/>
      <c r="H1142" s="28"/>
      <c r="I1142" s="20"/>
      <c r="J1142" s="20"/>
      <c r="K1142" s="20"/>
      <c r="L1142" s="20"/>
      <c r="M1142" s="20"/>
      <c r="N1142" s="23"/>
      <c r="O1142" s="19"/>
      <c r="P1142" s="19"/>
      <c r="Q1142" s="19"/>
      <c r="R1142" s="19"/>
      <c r="S1142" s="69">
        <f t="shared" si="269"/>
        <v>0</v>
      </c>
      <c r="T1142" s="17"/>
      <c r="U1142" s="18"/>
      <c r="V1142" s="19"/>
      <c r="W1142" s="19"/>
      <c r="X1142" s="19"/>
      <c r="Y1142" s="17"/>
      <c r="Z1142" s="19"/>
      <c r="AA1142" s="19"/>
      <c r="AB1142" s="19"/>
      <c r="AC1142" s="19"/>
      <c r="AD1142" s="18"/>
      <c r="AE1142" s="25">
        <f>SUMIFS(инфо!$D$15:$D$28,инфо!$A$15:$A$28,F1142)</f>
        <v>0</v>
      </c>
      <c r="AF1142" s="35">
        <f t="shared" si="261"/>
        <v>0</v>
      </c>
      <c r="AG1142" s="14">
        <f t="shared" si="256"/>
        <v>0</v>
      </c>
      <c r="AH1142" s="25">
        <f>SUMIFS(инфо!$E$15:$E$28,инфо!$A$15:$A$28,F1142)</f>
        <v>0</v>
      </c>
      <c r="AI1142" s="26">
        <f t="shared" si="259"/>
        <v>0</v>
      </c>
      <c r="AJ1142" s="14">
        <f t="shared" si="257"/>
        <v>0</v>
      </c>
      <c r="AK1142" s="25">
        <f>SUMIFS(инфо!$F$15:$F$28,инфо!$A$15:$A$28,F1142)</f>
        <v>0</v>
      </c>
      <c r="AL1142" s="32">
        <f t="shared" si="262"/>
        <v>0</v>
      </c>
      <c r="AM1142" s="14">
        <f t="shared" si="265"/>
        <v>0</v>
      </c>
      <c r="AN1142" s="25">
        <f>SUMIFS(инфо!$G$15:$G$28,инфо!$A$15:$A$28,F1142)</f>
        <v>0</v>
      </c>
      <c r="AO1142" s="32">
        <f t="shared" si="263"/>
        <v>0</v>
      </c>
      <c r="AP1142" s="14">
        <f t="shared" si="266"/>
        <v>0</v>
      </c>
      <c r="AQ1142" s="25">
        <f>SUMIFS(инфо!$H$15:$H$28,инфо!$A$15:$A$28,F1142)</f>
        <v>0</v>
      </c>
      <c r="AR1142" s="26">
        <f t="shared" si="264"/>
        <v>0</v>
      </c>
      <c r="AS1142" s="14">
        <f t="shared" si="267"/>
        <v>0</v>
      </c>
      <c r="AT1142" s="25">
        <f>SUMIFS(инфо!$I$15:$I$28,инфо!$A$15:$A$28,F1142)</f>
        <v>0</v>
      </c>
      <c r="AU1142" s="35">
        <f t="shared" si="258"/>
        <v>0</v>
      </c>
      <c r="AV1142" s="14">
        <f t="shared" si="268"/>
        <v>0</v>
      </c>
      <c r="AX1142" s="69">
        <f>SUMIFS(инфо!$C$15:$C$28,инфо!$A$15:$A$28,F1142)*H1141</f>
        <v>0</v>
      </c>
    </row>
    <row r="1143" spans="1:50" x14ac:dyDescent="0.25">
      <c r="A1143" s="70">
        <f t="shared" si="260"/>
        <v>46635</v>
      </c>
      <c r="B1143" s="75"/>
      <c r="C1143" s="29"/>
      <c r="D1143" s="30"/>
      <c r="E1143" s="11"/>
      <c r="F1143" s="28"/>
      <c r="G1143" s="27"/>
      <c r="H1143" s="20"/>
      <c r="I1143" s="20"/>
      <c r="J1143" s="20"/>
      <c r="K1143" s="20"/>
      <c r="L1143" s="20"/>
      <c r="M1143" s="20"/>
      <c r="N1143" s="28"/>
      <c r="O1143" s="27"/>
      <c r="P1143" s="27"/>
      <c r="Q1143" s="27"/>
      <c r="R1143" s="27"/>
      <c r="S1143" s="67">
        <f t="shared" si="269"/>
        <v>0</v>
      </c>
      <c r="T1143" s="29"/>
      <c r="U1143" s="30"/>
      <c r="V1143" s="27"/>
      <c r="W1143" s="27"/>
      <c r="X1143" s="27"/>
      <c r="Y1143" s="29"/>
      <c r="Z1143" s="27"/>
      <c r="AA1143" s="27"/>
      <c r="AB1143" s="27"/>
      <c r="AC1143" s="27"/>
      <c r="AD1143" s="30"/>
      <c r="AE1143" s="31">
        <f>SUMIFS(инфо!$D$15:$D$28,инфо!$A$15:$A$28,F1143)</f>
        <v>0</v>
      </c>
      <c r="AF1143" s="35">
        <f t="shared" si="261"/>
        <v>0</v>
      </c>
      <c r="AG1143" s="33">
        <f t="shared" si="256"/>
        <v>0</v>
      </c>
      <c r="AH1143" s="31">
        <f>SUMIFS(инфо!$E$15:$E$28,инфо!$A$15:$A$28,F1143)</f>
        <v>0</v>
      </c>
      <c r="AI1143" s="32">
        <f t="shared" si="259"/>
        <v>0</v>
      </c>
      <c r="AJ1143" s="33">
        <f t="shared" si="257"/>
        <v>0</v>
      </c>
      <c r="AK1143" s="31">
        <f>SUMIFS(инфо!$F$15:$F$28,инфо!$A$15:$A$28,F1143)</f>
        <v>0</v>
      </c>
      <c r="AL1143" s="32">
        <f t="shared" si="262"/>
        <v>0</v>
      </c>
      <c r="AM1143" s="33">
        <f t="shared" si="265"/>
        <v>0</v>
      </c>
      <c r="AN1143" s="31">
        <f>SUMIFS(инфо!$G$15:$G$28,инфо!$A$15:$A$28,F1143)</f>
        <v>0</v>
      </c>
      <c r="AO1143" s="32">
        <f t="shared" si="263"/>
        <v>0</v>
      </c>
      <c r="AP1143" s="33">
        <f t="shared" si="266"/>
        <v>0</v>
      </c>
      <c r="AQ1143" s="31">
        <f>SUMIFS(инфо!$H$15:$H$28,инфо!$A$15:$A$28,F1143)</f>
        <v>0</v>
      </c>
      <c r="AR1143" s="32">
        <f t="shared" si="264"/>
        <v>0</v>
      </c>
      <c r="AS1143" s="33">
        <f t="shared" si="267"/>
        <v>0</v>
      </c>
      <c r="AT1143" s="31">
        <f>SUMIFS(инфо!$I$15:$I$28,инфо!$A$15:$A$28,F1143)</f>
        <v>0</v>
      </c>
      <c r="AU1143" s="35">
        <f t="shared" si="258"/>
        <v>0</v>
      </c>
      <c r="AV1143" s="33">
        <f t="shared" si="268"/>
        <v>0</v>
      </c>
      <c r="AX1143" s="67">
        <f>SUMIFS(инфо!$C$15:$C$28,инфо!$A$15:$A$28,F1143)*H1142</f>
        <v>0</v>
      </c>
    </row>
    <row r="1144" spans="1:50" x14ac:dyDescent="0.25">
      <c r="A1144" s="70">
        <f t="shared" si="260"/>
        <v>46636</v>
      </c>
      <c r="B1144" s="76"/>
      <c r="C1144" s="15"/>
      <c r="D1144" s="16"/>
      <c r="E1144" s="11"/>
      <c r="F1144" s="28"/>
      <c r="G1144" s="34"/>
      <c r="H1144" s="20"/>
      <c r="I1144" s="20"/>
      <c r="J1144" s="20"/>
      <c r="K1144" s="20"/>
      <c r="L1144" s="20"/>
      <c r="M1144" s="20"/>
      <c r="N1144" s="20"/>
      <c r="O1144" s="34"/>
      <c r="P1144" s="34"/>
      <c r="Q1144" s="34"/>
      <c r="R1144" s="34"/>
      <c r="S1144" s="68">
        <f t="shared" si="269"/>
        <v>0</v>
      </c>
      <c r="T1144" s="15"/>
      <c r="U1144" s="16"/>
      <c r="V1144" s="34"/>
      <c r="W1144" s="34"/>
      <c r="X1144" s="34"/>
      <c r="Y1144" s="15"/>
      <c r="Z1144" s="34"/>
      <c r="AA1144" s="34"/>
      <c r="AB1144" s="34"/>
      <c r="AC1144" s="34"/>
      <c r="AD1144" s="16"/>
      <c r="AE1144" s="24">
        <f>SUMIFS(инфо!$D$15:$D$28,инфо!$A$15:$A$28,F1144)</f>
        <v>0</v>
      </c>
      <c r="AF1144" s="35">
        <f t="shared" si="261"/>
        <v>0</v>
      </c>
      <c r="AG1144" s="12">
        <f t="shared" si="256"/>
        <v>0</v>
      </c>
      <c r="AH1144" s="24">
        <f>SUMIFS(инфо!$E$15:$E$28,инфо!$A$15:$A$28,F1144)</f>
        <v>0</v>
      </c>
      <c r="AI1144" s="35">
        <f t="shared" si="259"/>
        <v>0</v>
      </c>
      <c r="AJ1144" s="12">
        <f t="shared" si="257"/>
        <v>0</v>
      </c>
      <c r="AK1144" s="24">
        <f>SUMIFS(инфо!$F$15:$F$28,инфо!$A$15:$A$28,F1144)</f>
        <v>0</v>
      </c>
      <c r="AL1144" s="32">
        <f t="shared" si="262"/>
        <v>0</v>
      </c>
      <c r="AM1144" s="12">
        <f t="shared" si="265"/>
        <v>0</v>
      </c>
      <c r="AN1144" s="24">
        <f>SUMIFS(инфо!$G$15:$G$28,инфо!$A$15:$A$28,F1144)</f>
        <v>0</v>
      </c>
      <c r="AO1144" s="32">
        <f t="shared" si="263"/>
        <v>0</v>
      </c>
      <c r="AP1144" s="12">
        <f t="shared" si="266"/>
        <v>0</v>
      </c>
      <c r="AQ1144" s="24">
        <f>SUMIFS(инфо!$H$15:$H$28,инфо!$A$15:$A$28,F1144)</f>
        <v>0</v>
      </c>
      <c r="AR1144" s="35">
        <f t="shared" si="264"/>
        <v>0</v>
      </c>
      <c r="AS1144" s="12">
        <f t="shared" si="267"/>
        <v>0</v>
      </c>
      <c r="AT1144" s="24">
        <f>SUMIFS(инфо!$I$15:$I$28,инфо!$A$15:$A$28,F1144)</f>
        <v>0</v>
      </c>
      <c r="AU1144" s="35">
        <f t="shared" si="258"/>
        <v>0</v>
      </c>
      <c r="AV1144" s="12">
        <f t="shared" si="268"/>
        <v>0</v>
      </c>
      <c r="AX1144" s="68">
        <f>SUMIFS(инфо!$C$15:$C$28,инфо!$A$15:$A$28,F1144)*H1143</f>
        <v>0</v>
      </c>
    </row>
    <row r="1145" spans="1:50" x14ac:dyDescent="0.25">
      <c r="A1145" s="70">
        <f t="shared" si="260"/>
        <v>46636</v>
      </c>
      <c r="B1145" s="76"/>
      <c r="C1145" s="15"/>
      <c r="D1145" s="16"/>
      <c r="E1145" s="11"/>
      <c r="F1145" s="28"/>
      <c r="G1145" s="34"/>
      <c r="H1145" s="23"/>
      <c r="I1145" s="20"/>
      <c r="J1145" s="20"/>
      <c r="K1145" s="20"/>
      <c r="L1145" s="20"/>
      <c r="M1145" s="20"/>
      <c r="N1145" s="20"/>
      <c r="O1145" s="34"/>
      <c r="P1145" s="34"/>
      <c r="Q1145" s="34"/>
      <c r="R1145" s="34"/>
      <c r="S1145" s="68">
        <f t="shared" si="269"/>
        <v>0</v>
      </c>
      <c r="T1145" s="15"/>
      <c r="U1145" s="16"/>
      <c r="V1145" s="34"/>
      <c r="W1145" s="34"/>
      <c r="X1145" s="34"/>
      <c r="Y1145" s="15"/>
      <c r="Z1145" s="34"/>
      <c r="AA1145" s="34"/>
      <c r="AB1145" s="34"/>
      <c r="AC1145" s="34"/>
      <c r="AD1145" s="16"/>
      <c r="AE1145" s="24">
        <f>SUMIFS(инфо!$D$15:$D$28,инфо!$A$15:$A$28,F1145)</f>
        <v>0</v>
      </c>
      <c r="AF1145" s="35">
        <f t="shared" si="261"/>
        <v>0</v>
      </c>
      <c r="AG1145" s="12">
        <f t="shared" si="256"/>
        <v>0</v>
      </c>
      <c r="AH1145" s="24">
        <f>SUMIFS(инфо!$E$15:$E$28,инфо!$A$15:$A$28,F1145)</f>
        <v>0</v>
      </c>
      <c r="AI1145" s="35">
        <f t="shared" si="259"/>
        <v>0</v>
      </c>
      <c r="AJ1145" s="12">
        <f t="shared" si="257"/>
        <v>0</v>
      </c>
      <c r="AK1145" s="24">
        <f>SUMIFS(инфо!$F$15:$F$28,инфо!$A$15:$A$28,F1145)</f>
        <v>0</v>
      </c>
      <c r="AL1145" s="32">
        <f t="shared" si="262"/>
        <v>0</v>
      </c>
      <c r="AM1145" s="12">
        <f t="shared" si="265"/>
        <v>0</v>
      </c>
      <c r="AN1145" s="24">
        <f>SUMIFS(инфо!$G$15:$G$28,инфо!$A$15:$A$28,F1145)</f>
        <v>0</v>
      </c>
      <c r="AO1145" s="32">
        <f t="shared" si="263"/>
        <v>0</v>
      </c>
      <c r="AP1145" s="12">
        <f t="shared" si="266"/>
        <v>0</v>
      </c>
      <c r="AQ1145" s="24">
        <f>SUMIFS(инфо!$H$15:$H$28,инфо!$A$15:$A$28,F1145)</f>
        <v>0</v>
      </c>
      <c r="AR1145" s="35">
        <f t="shared" si="264"/>
        <v>0</v>
      </c>
      <c r="AS1145" s="12">
        <f t="shared" si="267"/>
        <v>0</v>
      </c>
      <c r="AT1145" s="24">
        <f>SUMIFS(инфо!$I$15:$I$28,инфо!$A$15:$A$28,F1145)</f>
        <v>0</v>
      </c>
      <c r="AU1145" s="35">
        <f t="shared" si="258"/>
        <v>0</v>
      </c>
      <c r="AV1145" s="12">
        <f t="shared" si="268"/>
        <v>0</v>
      </c>
      <c r="AX1145" s="68">
        <f>SUMIFS(инфо!$C$15:$C$28,инфо!$A$15:$A$28,F1145)*H1144</f>
        <v>0</v>
      </c>
    </row>
    <row r="1146" spans="1:50" x14ac:dyDescent="0.25">
      <c r="A1146" s="70">
        <f t="shared" si="260"/>
        <v>46637</v>
      </c>
      <c r="B1146" s="77"/>
      <c r="C1146" s="17"/>
      <c r="D1146" s="18"/>
      <c r="E1146" s="11"/>
      <c r="F1146" s="28"/>
      <c r="G1146" s="19"/>
      <c r="H1146" s="28"/>
      <c r="I1146" s="20"/>
      <c r="J1146" s="20"/>
      <c r="K1146" s="20"/>
      <c r="L1146" s="20"/>
      <c r="M1146" s="20"/>
      <c r="N1146" s="23"/>
      <c r="O1146" s="19"/>
      <c r="P1146" s="19"/>
      <c r="Q1146" s="19"/>
      <c r="R1146" s="19"/>
      <c r="S1146" s="69">
        <f t="shared" si="269"/>
        <v>0</v>
      </c>
      <c r="T1146" s="17"/>
      <c r="U1146" s="18"/>
      <c r="V1146" s="19"/>
      <c r="W1146" s="19"/>
      <c r="X1146" s="19"/>
      <c r="Y1146" s="17"/>
      <c r="Z1146" s="19"/>
      <c r="AA1146" s="19"/>
      <c r="AB1146" s="19"/>
      <c r="AC1146" s="19"/>
      <c r="AD1146" s="18"/>
      <c r="AE1146" s="25">
        <f>SUMIFS(инфо!$D$15:$D$28,инфо!$A$15:$A$28,F1146)</f>
        <v>0</v>
      </c>
      <c r="AF1146" s="35">
        <f t="shared" si="261"/>
        <v>0</v>
      </c>
      <c r="AG1146" s="14">
        <f t="shared" si="256"/>
        <v>0</v>
      </c>
      <c r="AH1146" s="25">
        <f>SUMIFS(инфо!$E$15:$E$28,инфо!$A$15:$A$28,F1146)</f>
        <v>0</v>
      </c>
      <c r="AI1146" s="26">
        <f t="shared" si="259"/>
        <v>0</v>
      </c>
      <c r="AJ1146" s="14">
        <f t="shared" si="257"/>
        <v>0</v>
      </c>
      <c r="AK1146" s="25">
        <f>SUMIFS(инфо!$F$15:$F$28,инфо!$A$15:$A$28,F1146)</f>
        <v>0</v>
      </c>
      <c r="AL1146" s="32">
        <f t="shared" si="262"/>
        <v>0</v>
      </c>
      <c r="AM1146" s="14">
        <f t="shared" si="265"/>
        <v>0</v>
      </c>
      <c r="AN1146" s="25">
        <f>SUMIFS(инфо!$G$15:$G$28,инфо!$A$15:$A$28,F1146)</f>
        <v>0</v>
      </c>
      <c r="AO1146" s="32">
        <f t="shared" si="263"/>
        <v>0</v>
      </c>
      <c r="AP1146" s="14">
        <f t="shared" si="266"/>
        <v>0</v>
      </c>
      <c r="AQ1146" s="25">
        <f>SUMIFS(инфо!$H$15:$H$28,инфо!$A$15:$A$28,F1146)</f>
        <v>0</v>
      </c>
      <c r="AR1146" s="26">
        <f t="shared" si="264"/>
        <v>0</v>
      </c>
      <c r="AS1146" s="14">
        <f t="shared" si="267"/>
        <v>0</v>
      </c>
      <c r="AT1146" s="25">
        <f>SUMIFS(инфо!$I$15:$I$28,инфо!$A$15:$A$28,F1146)</f>
        <v>0</v>
      </c>
      <c r="AU1146" s="35">
        <f t="shared" si="258"/>
        <v>0</v>
      </c>
      <c r="AV1146" s="14">
        <f t="shared" si="268"/>
        <v>0</v>
      </c>
      <c r="AX1146" s="69">
        <f>SUMIFS(инфо!$C$15:$C$28,инфо!$A$15:$A$28,F1146)*H1145</f>
        <v>0</v>
      </c>
    </row>
    <row r="1147" spans="1:50" x14ac:dyDescent="0.25">
      <c r="A1147" s="70">
        <f t="shared" si="260"/>
        <v>46637</v>
      </c>
      <c r="B1147" s="75"/>
      <c r="C1147" s="29"/>
      <c r="D1147" s="30"/>
      <c r="E1147" s="11"/>
      <c r="F1147" s="28"/>
      <c r="G1147" s="27"/>
      <c r="H1147" s="20"/>
      <c r="I1147" s="20"/>
      <c r="J1147" s="20"/>
      <c r="K1147" s="20"/>
      <c r="L1147" s="20"/>
      <c r="M1147" s="20"/>
      <c r="N1147" s="28"/>
      <c r="O1147" s="27"/>
      <c r="P1147" s="27"/>
      <c r="Q1147" s="27"/>
      <c r="R1147" s="27"/>
      <c r="S1147" s="67">
        <f t="shared" si="269"/>
        <v>0</v>
      </c>
      <c r="T1147" s="29"/>
      <c r="U1147" s="30"/>
      <c r="V1147" s="27"/>
      <c r="W1147" s="27"/>
      <c r="X1147" s="27"/>
      <c r="Y1147" s="29"/>
      <c r="Z1147" s="27"/>
      <c r="AA1147" s="27"/>
      <c r="AB1147" s="27"/>
      <c r="AC1147" s="27"/>
      <c r="AD1147" s="30"/>
      <c r="AE1147" s="31">
        <f>SUMIFS(инфо!$D$15:$D$28,инфо!$A$15:$A$28,F1147)</f>
        <v>0</v>
      </c>
      <c r="AF1147" s="35">
        <f t="shared" si="261"/>
        <v>0</v>
      </c>
      <c r="AG1147" s="33">
        <f t="shared" si="256"/>
        <v>0</v>
      </c>
      <c r="AH1147" s="31">
        <f>SUMIFS(инфо!$E$15:$E$28,инфо!$A$15:$A$28,F1147)</f>
        <v>0</v>
      </c>
      <c r="AI1147" s="32">
        <f t="shared" si="259"/>
        <v>0</v>
      </c>
      <c r="AJ1147" s="33">
        <f t="shared" si="257"/>
        <v>0</v>
      </c>
      <c r="AK1147" s="31">
        <f>SUMIFS(инфо!$F$15:$F$28,инфо!$A$15:$A$28,F1147)</f>
        <v>0</v>
      </c>
      <c r="AL1147" s="32">
        <f t="shared" si="262"/>
        <v>0</v>
      </c>
      <c r="AM1147" s="33">
        <f t="shared" si="265"/>
        <v>0</v>
      </c>
      <c r="AN1147" s="31">
        <f>SUMIFS(инфо!$G$15:$G$28,инфо!$A$15:$A$28,F1147)</f>
        <v>0</v>
      </c>
      <c r="AO1147" s="32">
        <f t="shared" si="263"/>
        <v>0</v>
      </c>
      <c r="AP1147" s="33">
        <f t="shared" si="266"/>
        <v>0</v>
      </c>
      <c r="AQ1147" s="31">
        <f>SUMIFS(инфо!$H$15:$H$28,инфо!$A$15:$A$28,F1147)</f>
        <v>0</v>
      </c>
      <c r="AR1147" s="32">
        <f t="shared" si="264"/>
        <v>0</v>
      </c>
      <c r="AS1147" s="33">
        <f t="shared" si="267"/>
        <v>0</v>
      </c>
      <c r="AT1147" s="31">
        <f>SUMIFS(инфо!$I$15:$I$28,инфо!$A$15:$A$28,F1147)</f>
        <v>0</v>
      </c>
      <c r="AU1147" s="35">
        <f t="shared" si="258"/>
        <v>0</v>
      </c>
      <c r="AV1147" s="33">
        <f t="shared" si="268"/>
        <v>0</v>
      </c>
      <c r="AX1147" s="67">
        <f>SUMIFS(инфо!$C$15:$C$28,инфо!$A$15:$A$28,F1147)*H1146</f>
        <v>0</v>
      </c>
    </row>
    <row r="1148" spans="1:50" x14ac:dyDescent="0.25">
      <c r="A1148" s="70">
        <f t="shared" si="260"/>
        <v>46638</v>
      </c>
      <c r="B1148" s="76"/>
      <c r="C1148" s="15"/>
      <c r="D1148" s="16"/>
      <c r="E1148" s="11"/>
      <c r="F1148" s="28"/>
      <c r="G1148" s="34"/>
      <c r="H1148" s="20"/>
      <c r="I1148" s="20"/>
      <c r="J1148" s="20"/>
      <c r="K1148" s="20"/>
      <c r="L1148" s="20"/>
      <c r="M1148" s="20"/>
      <c r="N1148" s="20"/>
      <c r="O1148" s="34"/>
      <c r="P1148" s="34"/>
      <c r="Q1148" s="34"/>
      <c r="R1148" s="34"/>
      <c r="S1148" s="68">
        <f t="shared" si="269"/>
        <v>0</v>
      </c>
      <c r="T1148" s="15"/>
      <c r="U1148" s="16"/>
      <c r="V1148" s="34"/>
      <c r="W1148" s="34"/>
      <c r="X1148" s="34"/>
      <c r="Y1148" s="15"/>
      <c r="Z1148" s="34"/>
      <c r="AA1148" s="34"/>
      <c r="AB1148" s="34"/>
      <c r="AC1148" s="34"/>
      <c r="AD1148" s="16"/>
      <c r="AE1148" s="24">
        <f>SUMIFS(инфо!$D$15:$D$28,инфо!$A$15:$A$28,F1148)</f>
        <v>0</v>
      </c>
      <c r="AF1148" s="35">
        <f t="shared" si="261"/>
        <v>0</v>
      </c>
      <c r="AG1148" s="12">
        <f t="shared" si="256"/>
        <v>0</v>
      </c>
      <c r="AH1148" s="24">
        <f>SUMIFS(инфо!$E$15:$E$28,инфо!$A$15:$A$28,F1148)</f>
        <v>0</v>
      </c>
      <c r="AI1148" s="35">
        <f t="shared" si="259"/>
        <v>0</v>
      </c>
      <c r="AJ1148" s="12">
        <f t="shared" si="257"/>
        <v>0</v>
      </c>
      <c r="AK1148" s="24">
        <f>SUMIFS(инфо!$F$15:$F$28,инфо!$A$15:$A$28,F1148)</f>
        <v>0</v>
      </c>
      <c r="AL1148" s="32">
        <f t="shared" si="262"/>
        <v>0</v>
      </c>
      <c r="AM1148" s="12">
        <f t="shared" si="265"/>
        <v>0</v>
      </c>
      <c r="AN1148" s="24">
        <f>SUMIFS(инфо!$G$15:$G$28,инфо!$A$15:$A$28,F1148)</f>
        <v>0</v>
      </c>
      <c r="AO1148" s="32">
        <f t="shared" si="263"/>
        <v>0</v>
      </c>
      <c r="AP1148" s="12">
        <f t="shared" si="266"/>
        <v>0</v>
      </c>
      <c r="AQ1148" s="24">
        <f>SUMIFS(инфо!$H$15:$H$28,инфо!$A$15:$A$28,F1148)</f>
        <v>0</v>
      </c>
      <c r="AR1148" s="35">
        <f t="shared" si="264"/>
        <v>0</v>
      </c>
      <c r="AS1148" s="12">
        <f t="shared" si="267"/>
        <v>0</v>
      </c>
      <c r="AT1148" s="24">
        <f>SUMIFS(инфо!$I$15:$I$28,инфо!$A$15:$A$28,F1148)</f>
        <v>0</v>
      </c>
      <c r="AU1148" s="35">
        <f t="shared" si="258"/>
        <v>0</v>
      </c>
      <c r="AV1148" s="12">
        <f t="shared" si="268"/>
        <v>0</v>
      </c>
      <c r="AX1148" s="68">
        <f>SUMIFS(инфо!$C$15:$C$28,инфо!$A$15:$A$28,F1148)*H1147</f>
        <v>0</v>
      </c>
    </row>
    <row r="1149" spans="1:50" x14ac:dyDescent="0.25">
      <c r="A1149" s="70">
        <f t="shared" si="260"/>
        <v>46638</v>
      </c>
      <c r="B1149" s="76"/>
      <c r="C1149" s="15"/>
      <c r="D1149" s="16"/>
      <c r="E1149" s="11"/>
      <c r="F1149" s="28"/>
      <c r="G1149" s="34"/>
      <c r="H1149" s="23"/>
      <c r="I1149" s="20"/>
      <c r="J1149" s="20"/>
      <c r="K1149" s="20"/>
      <c r="L1149" s="20"/>
      <c r="M1149" s="20"/>
      <c r="N1149" s="20"/>
      <c r="O1149" s="34"/>
      <c r="P1149" s="34"/>
      <c r="Q1149" s="34"/>
      <c r="R1149" s="34"/>
      <c r="S1149" s="68">
        <f t="shared" si="269"/>
        <v>0</v>
      </c>
      <c r="T1149" s="15"/>
      <c r="U1149" s="16"/>
      <c r="V1149" s="34"/>
      <c r="W1149" s="34"/>
      <c r="X1149" s="34"/>
      <c r="Y1149" s="15"/>
      <c r="Z1149" s="34"/>
      <c r="AA1149" s="34"/>
      <c r="AB1149" s="34"/>
      <c r="AC1149" s="34"/>
      <c r="AD1149" s="16"/>
      <c r="AE1149" s="24">
        <f>SUMIFS(инфо!$D$15:$D$28,инфо!$A$15:$A$28,F1149)</f>
        <v>0</v>
      </c>
      <c r="AF1149" s="35">
        <f t="shared" si="261"/>
        <v>0</v>
      </c>
      <c r="AG1149" s="12">
        <f t="shared" ref="AG1149:AG1212" si="270">AF1149-AE1149</f>
        <v>0</v>
      </c>
      <c r="AH1149" s="24">
        <f>SUMIFS(инфо!$E$15:$E$28,инфо!$A$15:$A$28,F1149)</f>
        <v>0</v>
      </c>
      <c r="AI1149" s="35">
        <f t="shared" si="259"/>
        <v>0</v>
      </c>
      <c r="AJ1149" s="12">
        <f t="shared" ref="AJ1149:AJ1212" si="271">AI1149-AH1149</f>
        <v>0</v>
      </c>
      <c r="AK1149" s="24">
        <f>SUMIFS(инфо!$F$15:$F$28,инфо!$A$15:$A$28,F1149)</f>
        <v>0</v>
      </c>
      <c r="AL1149" s="32">
        <f t="shared" si="262"/>
        <v>0</v>
      </c>
      <c r="AM1149" s="12">
        <f t="shared" si="265"/>
        <v>0</v>
      </c>
      <c r="AN1149" s="24">
        <f>SUMIFS(инфо!$G$15:$G$28,инфо!$A$15:$A$28,F1149)</f>
        <v>0</v>
      </c>
      <c r="AO1149" s="32">
        <f t="shared" si="263"/>
        <v>0</v>
      </c>
      <c r="AP1149" s="12">
        <f t="shared" si="266"/>
        <v>0</v>
      </c>
      <c r="AQ1149" s="24">
        <f>SUMIFS(инфо!$H$15:$H$28,инфо!$A$15:$A$28,F1149)</f>
        <v>0</v>
      </c>
      <c r="AR1149" s="35">
        <f t="shared" si="264"/>
        <v>0</v>
      </c>
      <c r="AS1149" s="12">
        <f t="shared" si="267"/>
        <v>0</v>
      </c>
      <c r="AT1149" s="24">
        <f>SUMIFS(инфо!$I$15:$I$28,инфо!$A$15:$A$28,F1149)</f>
        <v>0</v>
      </c>
      <c r="AU1149" s="35">
        <f t="shared" si="258"/>
        <v>0</v>
      </c>
      <c r="AV1149" s="12">
        <f t="shared" si="268"/>
        <v>0</v>
      </c>
      <c r="AX1149" s="68">
        <f>SUMIFS(инфо!$C$15:$C$28,инфо!$A$15:$A$28,F1149)*H1148</f>
        <v>0</v>
      </c>
    </row>
    <row r="1150" spans="1:50" x14ac:dyDescent="0.25">
      <c r="A1150" s="70">
        <f t="shared" si="260"/>
        <v>46639</v>
      </c>
      <c r="B1150" s="77"/>
      <c r="C1150" s="17"/>
      <c r="D1150" s="18"/>
      <c r="E1150" s="11"/>
      <c r="F1150" s="28"/>
      <c r="G1150" s="19"/>
      <c r="H1150" s="28"/>
      <c r="I1150" s="20"/>
      <c r="J1150" s="20"/>
      <c r="K1150" s="20"/>
      <c r="L1150" s="20"/>
      <c r="M1150" s="20"/>
      <c r="N1150" s="23"/>
      <c r="O1150" s="19"/>
      <c r="P1150" s="19"/>
      <c r="Q1150" s="19"/>
      <c r="R1150" s="19"/>
      <c r="S1150" s="69">
        <f t="shared" si="269"/>
        <v>0</v>
      </c>
      <c r="T1150" s="17"/>
      <c r="U1150" s="18"/>
      <c r="V1150" s="19"/>
      <c r="W1150" s="19"/>
      <c r="X1150" s="19"/>
      <c r="Y1150" s="17"/>
      <c r="Z1150" s="19"/>
      <c r="AA1150" s="19"/>
      <c r="AB1150" s="19"/>
      <c r="AC1150" s="19"/>
      <c r="AD1150" s="18"/>
      <c r="AE1150" s="25">
        <f>SUMIFS(инфо!$D$15:$D$28,инфо!$A$15:$A$28,F1150)</f>
        <v>0</v>
      </c>
      <c r="AF1150" s="35">
        <f t="shared" si="261"/>
        <v>0</v>
      </c>
      <c r="AG1150" s="14">
        <f t="shared" si="270"/>
        <v>0</v>
      </c>
      <c r="AH1150" s="25">
        <f>SUMIFS(инфо!$E$15:$E$28,инфо!$A$15:$A$28,F1150)</f>
        <v>0</v>
      </c>
      <c r="AI1150" s="26">
        <f t="shared" si="259"/>
        <v>0</v>
      </c>
      <c r="AJ1150" s="14">
        <f t="shared" si="271"/>
        <v>0</v>
      </c>
      <c r="AK1150" s="25">
        <f>SUMIFS(инфо!$F$15:$F$28,инфо!$A$15:$A$28,F1150)</f>
        <v>0</v>
      </c>
      <c r="AL1150" s="32">
        <f t="shared" si="262"/>
        <v>0</v>
      </c>
      <c r="AM1150" s="14">
        <f t="shared" si="265"/>
        <v>0</v>
      </c>
      <c r="AN1150" s="25">
        <f>SUMIFS(инфо!$G$15:$G$28,инфо!$A$15:$A$28,F1150)</f>
        <v>0</v>
      </c>
      <c r="AO1150" s="32">
        <f t="shared" si="263"/>
        <v>0</v>
      </c>
      <c r="AP1150" s="14">
        <f t="shared" si="266"/>
        <v>0</v>
      </c>
      <c r="AQ1150" s="25">
        <f>SUMIFS(инфо!$H$15:$H$28,инфо!$A$15:$A$28,F1150)</f>
        <v>0</v>
      </c>
      <c r="AR1150" s="26">
        <f t="shared" si="264"/>
        <v>0</v>
      </c>
      <c r="AS1150" s="14">
        <f t="shared" si="267"/>
        <v>0</v>
      </c>
      <c r="AT1150" s="25">
        <f>SUMIFS(инфо!$I$15:$I$28,инфо!$A$15:$A$28,F1150)</f>
        <v>0</v>
      </c>
      <c r="AU1150" s="35">
        <f t="shared" si="258"/>
        <v>0</v>
      </c>
      <c r="AV1150" s="14">
        <f t="shared" si="268"/>
        <v>0</v>
      </c>
      <c r="AX1150" s="69">
        <f>SUMIFS(инфо!$C$15:$C$28,инфо!$A$15:$A$28,F1150)*H1149</f>
        <v>0</v>
      </c>
    </row>
    <row r="1151" spans="1:50" x14ac:dyDescent="0.25">
      <c r="A1151" s="70">
        <f t="shared" si="260"/>
        <v>46639</v>
      </c>
      <c r="B1151" s="75"/>
      <c r="C1151" s="29"/>
      <c r="D1151" s="30"/>
      <c r="E1151" s="11"/>
      <c r="F1151" s="28"/>
      <c r="G1151" s="27"/>
      <c r="H1151" s="20"/>
      <c r="I1151" s="20"/>
      <c r="J1151" s="20"/>
      <c r="K1151" s="20"/>
      <c r="L1151" s="20"/>
      <c r="M1151" s="20"/>
      <c r="N1151" s="28"/>
      <c r="O1151" s="27"/>
      <c r="P1151" s="27"/>
      <c r="Q1151" s="27"/>
      <c r="R1151" s="27"/>
      <c r="S1151" s="67">
        <f t="shared" si="269"/>
        <v>0</v>
      </c>
      <c r="T1151" s="29"/>
      <c r="U1151" s="30"/>
      <c r="V1151" s="27"/>
      <c r="W1151" s="27"/>
      <c r="X1151" s="27"/>
      <c r="Y1151" s="29"/>
      <c r="Z1151" s="27"/>
      <c r="AA1151" s="27"/>
      <c r="AB1151" s="27"/>
      <c r="AC1151" s="27"/>
      <c r="AD1151" s="30"/>
      <c r="AE1151" s="31">
        <f>SUMIFS(инфо!$D$15:$D$28,инфо!$A$15:$A$28,F1151)</f>
        <v>0</v>
      </c>
      <c r="AF1151" s="35">
        <f t="shared" si="261"/>
        <v>0</v>
      </c>
      <c r="AG1151" s="33">
        <f t="shared" si="270"/>
        <v>0</v>
      </c>
      <c r="AH1151" s="31">
        <f>SUMIFS(инфо!$E$15:$E$28,инфо!$A$15:$A$28,F1151)</f>
        <v>0</v>
      </c>
      <c r="AI1151" s="32">
        <f t="shared" si="259"/>
        <v>0</v>
      </c>
      <c r="AJ1151" s="33">
        <f t="shared" si="271"/>
        <v>0</v>
      </c>
      <c r="AK1151" s="31">
        <f>SUMIFS(инфо!$F$15:$F$28,инфо!$A$15:$A$28,F1151)</f>
        <v>0</v>
      </c>
      <c r="AL1151" s="32">
        <f t="shared" si="262"/>
        <v>0</v>
      </c>
      <c r="AM1151" s="33">
        <f t="shared" si="265"/>
        <v>0</v>
      </c>
      <c r="AN1151" s="31">
        <f>SUMIFS(инфо!$G$15:$G$28,инфо!$A$15:$A$28,F1151)</f>
        <v>0</v>
      </c>
      <c r="AO1151" s="32">
        <f t="shared" si="263"/>
        <v>0</v>
      </c>
      <c r="AP1151" s="33">
        <f t="shared" si="266"/>
        <v>0</v>
      </c>
      <c r="AQ1151" s="31">
        <f>SUMIFS(инфо!$H$15:$H$28,инфо!$A$15:$A$28,F1151)</f>
        <v>0</v>
      </c>
      <c r="AR1151" s="32">
        <f t="shared" si="264"/>
        <v>0</v>
      </c>
      <c r="AS1151" s="33">
        <f t="shared" si="267"/>
        <v>0</v>
      </c>
      <c r="AT1151" s="31">
        <f>SUMIFS(инфо!$I$15:$I$28,инфо!$A$15:$A$28,F1151)</f>
        <v>0</v>
      </c>
      <c r="AU1151" s="35">
        <f t="shared" si="258"/>
        <v>0</v>
      </c>
      <c r="AV1151" s="33">
        <f t="shared" si="268"/>
        <v>0</v>
      </c>
      <c r="AX1151" s="67">
        <f>SUMIFS(инфо!$C$15:$C$28,инфо!$A$15:$A$28,F1151)*H1150</f>
        <v>0</v>
      </c>
    </row>
    <row r="1152" spans="1:50" x14ac:dyDescent="0.25">
      <c r="A1152" s="70">
        <f t="shared" si="260"/>
        <v>46640</v>
      </c>
      <c r="B1152" s="76"/>
      <c r="C1152" s="15"/>
      <c r="D1152" s="16"/>
      <c r="E1152" s="11"/>
      <c r="F1152" s="28"/>
      <c r="G1152" s="34"/>
      <c r="H1152" s="20"/>
      <c r="I1152" s="20"/>
      <c r="J1152" s="20"/>
      <c r="K1152" s="20"/>
      <c r="L1152" s="20"/>
      <c r="M1152" s="20"/>
      <c r="N1152" s="20"/>
      <c r="O1152" s="34"/>
      <c r="P1152" s="34"/>
      <c r="Q1152" s="34"/>
      <c r="R1152" s="34"/>
      <c r="S1152" s="68">
        <f t="shared" si="269"/>
        <v>0</v>
      </c>
      <c r="T1152" s="15"/>
      <c r="U1152" s="16"/>
      <c r="V1152" s="34"/>
      <c r="W1152" s="34"/>
      <c r="X1152" s="34"/>
      <c r="Y1152" s="15"/>
      <c r="Z1152" s="34"/>
      <c r="AA1152" s="34"/>
      <c r="AB1152" s="34"/>
      <c r="AC1152" s="34"/>
      <c r="AD1152" s="16"/>
      <c r="AE1152" s="24">
        <f>SUMIFS(инфо!$D$15:$D$28,инфо!$A$15:$A$28,F1152)</f>
        <v>0</v>
      </c>
      <c r="AF1152" s="35">
        <f t="shared" si="261"/>
        <v>0</v>
      </c>
      <c r="AG1152" s="12">
        <f t="shared" si="270"/>
        <v>0</v>
      </c>
      <c r="AH1152" s="24">
        <f>SUMIFS(инфо!$E$15:$E$28,инфо!$A$15:$A$28,F1152)</f>
        <v>0</v>
      </c>
      <c r="AI1152" s="35">
        <f t="shared" si="259"/>
        <v>0</v>
      </c>
      <c r="AJ1152" s="12">
        <f t="shared" si="271"/>
        <v>0</v>
      </c>
      <c r="AK1152" s="24">
        <f>SUMIFS(инфо!$F$15:$F$28,инфо!$A$15:$A$28,F1152)</f>
        <v>0</v>
      </c>
      <c r="AL1152" s="32">
        <f t="shared" si="262"/>
        <v>0</v>
      </c>
      <c r="AM1152" s="12">
        <f t="shared" si="265"/>
        <v>0</v>
      </c>
      <c r="AN1152" s="24">
        <f>SUMIFS(инфо!$G$15:$G$28,инфо!$A$15:$A$28,F1152)</f>
        <v>0</v>
      </c>
      <c r="AO1152" s="32">
        <f t="shared" si="263"/>
        <v>0</v>
      </c>
      <c r="AP1152" s="12">
        <f t="shared" si="266"/>
        <v>0</v>
      </c>
      <c r="AQ1152" s="24">
        <f>SUMIFS(инфо!$H$15:$H$28,инфо!$A$15:$A$28,F1152)</f>
        <v>0</v>
      </c>
      <c r="AR1152" s="35">
        <f t="shared" si="264"/>
        <v>0</v>
      </c>
      <c r="AS1152" s="12">
        <f t="shared" si="267"/>
        <v>0</v>
      </c>
      <c r="AT1152" s="24">
        <f>SUMIFS(инфо!$I$15:$I$28,инфо!$A$15:$A$28,F1152)</f>
        <v>0</v>
      </c>
      <c r="AU1152" s="35">
        <f t="shared" si="258"/>
        <v>0</v>
      </c>
      <c r="AV1152" s="12">
        <f t="shared" si="268"/>
        <v>0</v>
      </c>
      <c r="AX1152" s="68">
        <f>SUMIFS(инфо!$C$15:$C$28,инфо!$A$15:$A$28,F1152)*H1151</f>
        <v>0</v>
      </c>
    </row>
    <row r="1153" spans="1:50" x14ac:dyDescent="0.25">
      <c r="A1153" s="70">
        <f t="shared" si="260"/>
        <v>46640</v>
      </c>
      <c r="B1153" s="76"/>
      <c r="C1153" s="15"/>
      <c r="D1153" s="16"/>
      <c r="E1153" s="11"/>
      <c r="F1153" s="28"/>
      <c r="G1153" s="34"/>
      <c r="H1153" s="23"/>
      <c r="I1153" s="20"/>
      <c r="J1153" s="20"/>
      <c r="K1153" s="20"/>
      <c r="L1153" s="20"/>
      <c r="M1153" s="20"/>
      <c r="N1153" s="20"/>
      <c r="O1153" s="34"/>
      <c r="P1153" s="34"/>
      <c r="Q1153" s="34"/>
      <c r="R1153" s="34"/>
      <c r="S1153" s="68">
        <f t="shared" si="269"/>
        <v>0</v>
      </c>
      <c r="T1153" s="15"/>
      <c r="U1153" s="16"/>
      <c r="V1153" s="34"/>
      <c r="W1153" s="34"/>
      <c r="X1153" s="34"/>
      <c r="Y1153" s="15"/>
      <c r="Z1153" s="34"/>
      <c r="AA1153" s="34"/>
      <c r="AB1153" s="34"/>
      <c r="AC1153" s="34"/>
      <c r="AD1153" s="16"/>
      <c r="AE1153" s="24">
        <f>SUMIFS(инфо!$D$15:$D$28,инфо!$A$15:$A$28,F1153)</f>
        <v>0</v>
      </c>
      <c r="AF1153" s="35">
        <f t="shared" si="261"/>
        <v>0</v>
      </c>
      <c r="AG1153" s="12">
        <f t="shared" si="270"/>
        <v>0</v>
      </c>
      <c r="AH1153" s="24">
        <f>SUMIFS(инфо!$E$15:$E$28,инфо!$A$15:$A$28,F1153)</f>
        <v>0</v>
      </c>
      <c r="AI1153" s="35">
        <f t="shared" si="259"/>
        <v>0</v>
      </c>
      <c r="AJ1153" s="12">
        <f t="shared" si="271"/>
        <v>0</v>
      </c>
      <c r="AK1153" s="24">
        <f>SUMIFS(инфо!$F$15:$F$28,инфо!$A$15:$A$28,F1153)</f>
        <v>0</v>
      </c>
      <c r="AL1153" s="32">
        <f t="shared" si="262"/>
        <v>0</v>
      </c>
      <c r="AM1153" s="12">
        <f t="shared" si="265"/>
        <v>0</v>
      </c>
      <c r="AN1153" s="24">
        <f>SUMIFS(инфо!$G$15:$G$28,инфо!$A$15:$A$28,F1153)</f>
        <v>0</v>
      </c>
      <c r="AO1153" s="32">
        <f t="shared" si="263"/>
        <v>0</v>
      </c>
      <c r="AP1153" s="12">
        <f t="shared" si="266"/>
        <v>0</v>
      </c>
      <c r="AQ1153" s="24">
        <f>SUMIFS(инфо!$H$15:$H$28,инфо!$A$15:$A$28,F1153)</f>
        <v>0</v>
      </c>
      <c r="AR1153" s="35">
        <f t="shared" si="264"/>
        <v>0</v>
      </c>
      <c r="AS1153" s="12">
        <f t="shared" si="267"/>
        <v>0</v>
      </c>
      <c r="AT1153" s="24">
        <f>SUMIFS(инфо!$I$15:$I$28,инфо!$A$15:$A$28,F1153)</f>
        <v>0</v>
      </c>
      <c r="AU1153" s="35">
        <f t="shared" si="258"/>
        <v>0</v>
      </c>
      <c r="AV1153" s="12">
        <f t="shared" si="268"/>
        <v>0</v>
      </c>
      <c r="AX1153" s="68">
        <f>SUMIFS(инфо!$C$15:$C$28,инфо!$A$15:$A$28,F1153)*H1152</f>
        <v>0</v>
      </c>
    </row>
    <row r="1154" spans="1:50" x14ac:dyDescent="0.25">
      <c r="A1154" s="70">
        <f t="shared" si="260"/>
        <v>46641</v>
      </c>
      <c r="B1154" s="77"/>
      <c r="C1154" s="17"/>
      <c r="D1154" s="18"/>
      <c r="E1154" s="11"/>
      <c r="F1154" s="28"/>
      <c r="G1154" s="19"/>
      <c r="H1154" s="28"/>
      <c r="I1154" s="20"/>
      <c r="J1154" s="20"/>
      <c r="K1154" s="20"/>
      <c r="L1154" s="20"/>
      <c r="M1154" s="20"/>
      <c r="N1154" s="23"/>
      <c r="O1154" s="19"/>
      <c r="P1154" s="19"/>
      <c r="Q1154" s="19"/>
      <c r="R1154" s="19"/>
      <c r="S1154" s="69">
        <f t="shared" si="269"/>
        <v>0</v>
      </c>
      <c r="T1154" s="17"/>
      <c r="U1154" s="18"/>
      <c r="V1154" s="19"/>
      <c r="W1154" s="19"/>
      <c r="X1154" s="19"/>
      <c r="Y1154" s="17"/>
      <c r="Z1154" s="19"/>
      <c r="AA1154" s="19"/>
      <c r="AB1154" s="19"/>
      <c r="AC1154" s="19"/>
      <c r="AD1154" s="18"/>
      <c r="AE1154" s="25">
        <f>SUMIFS(инфо!$D$15:$D$28,инфо!$A$15:$A$28,F1154)</f>
        <v>0</v>
      </c>
      <c r="AF1154" s="35">
        <f t="shared" si="261"/>
        <v>0</v>
      </c>
      <c r="AG1154" s="14">
        <f t="shared" si="270"/>
        <v>0</v>
      </c>
      <c r="AH1154" s="25">
        <f>SUMIFS(инфо!$E$15:$E$28,инфо!$A$15:$A$28,F1154)</f>
        <v>0</v>
      </c>
      <c r="AI1154" s="26">
        <f t="shared" si="259"/>
        <v>0</v>
      </c>
      <c r="AJ1154" s="14">
        <f t="shared" si="271"/>
        <v>0</v>
      </c>
      <c r="AK1154" s="25">
        <f>SUMIFS(инфо!$F$15:$F$28,инфо!$A$15:$A$28,F1154)</f>
        <v>0</v>
      </c>
      <c r="AL1154" s="32">
        <f t="shared" si="262"/>
        <v>0</v>
      </c>
      <c r="AM1154" s="14">
        <f t="shared" si="265"/>
        <v>0</v>
      </c>
      <c r="AN1154" s="25">
        <f>SUMIFS(инфо!$G$15:$G$28,инфо!$A$15:$A$28,F1154)</f>
        <v>0</v>
      </c>
      <c r="AO1154" s="32">
        <f t="shared" si="263"/>
        <v>0</v>
      </c>
      <c r="AP1154" s="14">
        <f t="shared" si="266"/>
        <v>0</v>
      </c>
      <c r="AQ1154" s="25">
        <f>SUMIFS(инфо!$H$15:$H$28,инфо!$A$15:$A$28,F1154)</f>
        <v>0</v>
      </c>
      <c r="AR1154" s="26">
        <f t="shared" si="264"/>
        <v>0</v>
      </c>
      <c r="AS1154" s="14">
        <f t="shared" si="267"/>
        <v>0</v>
      </c>
      <c r="AT1154" s="25">
        <f>SUMIFS(инфо!$I$15:$I$28,инфо!$A$15:$A$28,F1154)</f>
        <v>0</v>
      </c>
      <c r="AU1154" s="35">
        <f t="shared" si="258"/>
        <v>0</v>
      </c>
      <c r="AV1154" s="14">
        <f t="shared" si="268"/>
        <v>0</v>
      </c>
      <c r="AX1154" s="69">
        <f>SUMIFS(инфо!$C$15:$C$28,инфо!$A$15:$A$28,F1154)*H1153</f>
        <v>0</v>
      </c>
    </row>
    <row r="1155" spans="1:50" x14ac:dyDescent="0.25">
      <c r="A1155" s="70">
        <f t="shared" si="260"/>
        <v>46641</v>
      </c>
      <c r="B1155" s="75"/>
      <c r="C1155" s="29"/>
      <c r="D1155" s="30"/>
      <c r="E1155" s="11"/>
      <c r="F1155" s="28"/>
      <c r="G1155" s="27"/>
      <c r="H1155" s="20"/>
      <c r="I1155" s="20"/>
      <c r="J1155" s="20"/>
      <c r="K1155" s="20"/>
      <c r="L1155" s="20"/>
      <c r="M1155" s="20"/>
      <c r="N1155" s="28"/>
      <c r="O1155" s="27"/>
      <c r="P1155" s="27"/>
      <c r="Q1155" s="27"/>
      <c r="R1155" s="27"/>
      <c r="S1155" s="67">
        <f t="shared" si="269"/>
        <v>0</v>
      </c>
      <c r="T1155" s="29"/>
      <c r="U1155" s="30"/>
      <c r="V1155" s="27"/>
      <c r="W1155" s="27"/>
      <c r="X1155" s="27"/>
      <c r="Y1155" s="29"/>
      <c r="Z1155" s="27"/>
      <c r="AA1155" s="27"/>
      <c r="AB1155" s="27"/>
      <c r="AC1155" s="27"/>
      <c r="AD1155" s="30"/>
      <c r="AE1155" s="31">
        <f>SUMIFS(инфо!$D$15:$D$28,инфо!$A$15:$A$28,F1155)</f>
        <v>0</v>
      </c>
      <c r="AF1155" s="35">
        <f t="shared" si="261"/>
        <v>0</v>
      </c>
      <c r="AG1155" s="33">
        <f t="shared" si="270"/>
        <v>0</v>
      </c>
      <c r="AH1155" s="31">
        <f>SUMIFS(инфо!$E$15:$E$28,инфо!$A$15:$A$28,F1155)</f>
        <v>0</v>
      </c>
      <c r="AI1155" s="32">
        <f t="shared" si="259"/>
        <v>0</v>
      </c>
      <c r="AJ1155" s="33">
        <f t="shared" si="271"/>
        <v>0</v>
      </c>
      <c r="AK1155" s="31">
        <f>SUMIFS(инфо!$F$15:$F$28,инфо!$A$15:$A$28,F1155)</f>
        <v>0</v>
      </c>
      <c r="AL1155" s="32">
        <f t="shared" si="262"/>
        <v>0</v>
      </c>
      <c r="AM1155" s="33">
        <f t="shared" si="265"/>
        <v>0</v>
      </c>
      <c r="AN1155" s="31">
        <f>SUMIFS(инфо!$G$15:$G$28,инфо!$A$15:$A$28,F1155)</f>
        <v>0</v>
      </c>
      <c r="AO1155" s="32">
        <f t="shared" si="263"/>
        <v>0</v>
      </c>
      <c r="AP1155" s="33">
        <f t="shared" si="266"/>
        <v>0</v>
      </c>
      <c r="AQ1155" s="31">
        <f>SUMIFS(инфо!$H$15:$H$28,инфо!$A$15:$A$28,F1155)</f>
        <v>0</v>
      </c>
      <c r="AR1155" s="32">
        <f t="shared" si="264"/>
        <v>0</v>
      </c>
      <c r="AS1155" s="33">
        <f t="shared" si="267"/>
        <v>0</v>
      </c>
      <c r="AT1155" s="31">
        <f>SUMIFS(инфо!$I$15:$I$28,инфо!$A$15:$A$28,F1155)</f>
        <v>0</v>
      </c>
      <c r="AU1155" s="35">
        <f t="shared" si="258"/>
        <v>0</v>
      </c>
      <c r="AV1155" s="33">
        <f t="shared" si="268"/>
        <v>0</v>
      </c>
      <c r="AX1155" s="67">
        <f>SUMIFS(инфо!$C$15:$C$28,инфо!$A$15:$A$28,F1155)*H1154</f>
        <v>0</v>
      </c>
    </row>
    <row r="1156" spans="1:50" x14ac:dyDescent="0.25">
      <c r="A1156" s="70">
        <f t="shared" si="260"/>
        <v>46642</v>
      </c>
      <c r="B1156" s="76"/>
      <c r="C1156" s="15"/>
      <c r="D1156" s="16"/>
      <c r="E1156" s="11"/>
      <c r="F1156" s="28"/>
      <c r="G1156" s="34"/>
      <c r="H1156" s="20"/>
      <c r="I1156" s="20"/>
      <c r="J1156" s="20"/>
      <c r="K1156" s="20"/>
      <c r="L1156" s="20"/>
      <c r="M1156" s="20"/>
      <c r="N1156" s="20"/>
      <c r="O1156" s="34"/>
      <c r="P1156" s="34"/>
      <c r="Q1156" s="34"/>
      <c r="R1156" s="34"/>
      <c r="S1156" s="68">
        <f t="shared" si="269"/>
        <v>0</v>
      </c>
      <c r="T1156" s="15"/>
      <c r="U1156" s="16"/>
      <c r="V1156" s="34"/>
      <c r="W1156" s="34"/>
      <c r="X1156" s="34"/>
      <c r="Y1156" s="15"/>
      <c r="Z1156" s="34"/>
      <c r="AA1156" s="34"/>
      <c r="AB1156" s="34"/>
      <c r="AC1156" s="34"/>
      <c r="AD1156" s="16"/>
      <c r="AE1156" s="24">
        <f>SUMIFS(инфо!$D$15:$D$28,инфо!$A$15:$A$28,F1156)</f>
        <v>0</v>
      </c>
      <c r="AF1156" s="35">
        <f t="shared" si="261"/>
        <v>0</v>
      </c>
      <c r="AG1156" s="12">
        <f t="shared" si="270"/>
        <v>0</v>
      </c>
      <c r="AH1156" s="24">
        <f>SUMIFS(инфо!$E$15:$E$28,инфо!$A$15:$A$28,F1156)</f>
        <v>0</v>
      </c>
      <c r="AI1156" s="35">
        <f t="shared" si="259"/>
        <v>0</v>
      </c>
      <c r="AJ1156" s="12">
        <f t="shared" si="271"/>
        <v>0</v>
      </c>
      <c r="AK1156" s="24">
        <f>SUMIFS(инфо!$F$15:$F$28,инфо!$A$15:$A$28,F1156)</f>
        <v>0</v>
      </c>
      <c r="AL1156" s="32">
        <f t="shared" si="262"/>
        <v>0</v>
      </c>
      <c r="AM1156" s="12">
        <f t="shared" si="265"/>
        <v>0</v>
      </c>
      <c r="AN1156" s="24">
        <f>SUMIFS(инфо!$G$15:$G$28,инфо!$A$15:$A$28,F1156)</f>
        <v>0</v>
      </c>
      <c r="AO1156" s="32">
        <f t="shared" si="263"/>
        <v>0</v>
      </c>
      <c r="AP1156" s="12">
        <f t="shared" si="266"/>
        <v>0</v>
      </c>
      <c r="AQ1156" s="24">
        <f>SUMIFS(инфо!$H$15:$H$28,инфо!$A$15:$A$28,F1156)</f>
        <v>0</v>
      </c>
      <c r="AR1156" s="35">
        <f t="shared" si="264"/>
        <v>0</v>
      </c>
      <c r="AS1156" s="12">
        <f t="shared" si="267"/>
        <v>0</v>
      </c>
      <c r="AT1156" s="24">
        <f>SUMIFS(инфо!$I$15:$I$28,инфо!$A$15:$A$28,F1156)</f>
        <v>0</v>
      </c>
      <c r="AU1156" s="35">
        <f t="shared" si="258"/>
        <v>0</v>
      </c>
      <c r="AV1156" s="12">
        <f t="shared" si="268"/>
        <v>0</v>
      </c>
      <c r="AX1156" s="68">
        <f>SUMIFS(инфо!$C$15:$C$28,инфо!$A$15:$A$28,F1156)*H1155</f>
        <v>0</v>
      </c>
    </row>
    <row r="1157" spans="1:50" x14ac:dyDescent="0.25">
      <c r="A1157" s="70">
        <f t="shared" si="260"/>
        <v>46642</v>
      </c>
      <c r="B1157" s="76"/>
      <c r="C1157" s="15"/>
      <c r="D1157" s="16"/>
      <c r="E1157" s="11"/>
      <c r="F1157" s="28"/>
      <c r="G1157" s="34"/>
      <c r="H1157" s="23"/>
      <c r="I1157" s="20"/>
      <c r="J1157" s="20"/>
      <c r="K1157" s="20"/>
      <c r="L1157" s="20"/>
      <c r="M1157" s="20"/>
      <c r="N1157" s="20"/>
      <c r="O1157" s="34"/>
      <c r="P1157" s="34"/>
      <c r="Q1157" s="34"/>
      <c r="R1157" s="34"/>
      <c r="S1157" s="68">
        <f t="shared" si="269"/>
        <v>0</v>
      </c>
      <c r="T1157" s="15"/>
      <c r="U1157" s="16"/>
      <c r="V1157" s="34"/>
      <c r="W1157" s="34"/>
      <c r="X1157" s="34"/>
      <c r="Y1157" s="15"/>
      <c r="Z1157" s="34"/>
      <c r="AA1157" s="34"/>
      <c r="AB1157" s="34"/>
      <c r="AC1157" s="34"/>
      <c r="AD1157" s="16"/>
      <c r="AE1157" s="24">
        <f>SUMIFS(инфо!$D$15:$D$28,инфо!$A$15:$A$28,F1157)</f>
        <v>0</v>
      </c>
      <c r="AF1157" s="35">
        <f t="shared" si="261"/>
        <v>0</v>
      </c>
      <c r="AG1157" s="12">
        <f t="shared" si="270"/>
        <v>0</v>
      </c>
      <c r="AH1157" s="24">
        <f>SUMIFS(инфо!$E$15:$E$28,инфо!$A$15:$A$28,F1157)</f>
        <v>0</v>
      </c>
      <c r="AI1157" s="35">
        <f t="shared" si="259"/>
        <v>0</v>
      </c>
      <c r="AJ1157" s="12">
        <f t="shared" si="271"/>
        <v>0</v>
      </c>
      <c r="AK1157" s="24">
        <f>SUMIFS(инфо!$F$15:$F$28,инфо!$A$15:$A$28,F1157)</f>
        <v>0</v>
      </c>
      <c r="AL1157" s="32">
        <f t="shared" si="262"/>
        <v>0</v>
      </c>
      <c r="AM1157" s="12">
        <f t="shared" si="265"/>
        <v>0</v>
      </c>
      <c r="AN1157" s="24">
        <f>SUMIFS(инфо!$G$15:$G$28,инфо!$A$15:$A$28,F1157)</f>
        <v>0</v>
      </c>
      <c r="AO1157" s="32">
        <f t="shared" si="263"/>
        <v>0</v>
      </c>
      <c r="AP1157" s="12">
        <f t="shared" si="266"/>
        <v>0</v>
      </c>
      <c r="AQ1157" s="24">
        <f>SUMIFS(инфо!$H$15:$H$28,инфо!$A$15:$A$28,F1157)</f>
        <v>0</v>
      </c>
      <c r="AR1157" s="35">
        <f t="shared" si="264"/>
        <v>0</v>
      </c>
      <c r="AS1157" s="12">
        <f t="shared" si="267"/>
        <v>0</v>
      </c>
      <c r="AT1157" s="24">
        <f>SUMIFS(инфо!$I$15:$I$28,инфо!$A$15:$A$28,F1157)</f>
        <v>0</v>
      </c>
      <c r="AU1157" s="35">
        <f t="shared" si="258"/>
        <v>0</v>
      </c>
      <c r="AV1157" s="12">
        <f t="shared" si="268"/>
        <v>0</v>
      </c>
      <c r="AX1157" s="68">
        <f>SUMIFS(инфо!$C$15:$C$28,инфо!$A$15:$A$28,F1157)*H1156</f>
        <v>0</v>
      </c>
    </row>
    <row r="1158" spans="1:50" x14ac:dyDescent="0.25">
      <c r="A1158" s="70">
        <f t="shared" si="260"/>
        <v>46643</v>
      </c>
      <c r="B1158" s="77"/>
      <c r="C1158" s="17"/>
      <c r="D1158" s="18"/>
      <c r="E1158" s="11"/>
      <c r="F1158" s="28"/>
      <c r="G1158" s="19"/>
      <c r="H1158" s="28"/>
      <c r="I1158" s="20"/>
      <c r="J1158" s="20"/>
      <c r="K1158" s="20"/>
      <c r="L1158" s="20"/>
      <c r="M1158" s="20"/>
      <c r="N1158" s="23"/>
      <c r="O1158" s="19"/>
      <c r="P1158" s="19"/>
      <c r="Q1158" s="19"/>
      <c r="R1158" s="19"/>
      <c r="S1158" s="69">
        <f t="shared" si="269"/>
        <v>0</v>
      </c>
      <c r="T1158" s="17"/>
      <c r="U1158" s="18"/>
      <c r="V1158" s="19"/>
      <c r="W1158" s="19"/>
      <c r="X1158" s="19"/>
      <c r="Y1158" s="17"/>
      <c r="Z1158" s="19"/>
      <c r="AA1158" s="19"/>
      <c r="AB1158" s="19"/>
      <c r="AC1158" s="19"/>
      <c r="AD1158" s="18"/>
      <c r="AE1158" s="25">
        <f>SUMIFS(инфо!$D$15:$D$28,инфо!$A$15:$A$28,F1158)</f>
        <v>0</v>
      </c>
      <c r="AF1158" s="35">
        <f t="shared" si="261"/>
        <v>0</v>
      </c>
      <c r="AG1158" s="14">
        <f t="shared" si="270"/>
        <v>0</v>
      </c>
      <c r="AH1158" s="25">
        <f>SUMIFS(инфо!$E$15:$E$28,инфо!$A$15:$A$28,F1158)</f>
        <v>0</v>
      </c>
      <c r="AI1158" s="26">
        <f t="shared" si="259"/>
        <v>0</v>
      </c>
      <c r="AJ1158" s="14">
        <f t="shared" si="271"/>
        <v>0</v>
      </c>
      <c r="AK1158" s="25">
        <f>SUMIFS(инфо!$F$15:$F$28,инфо!$A$15:$A$28,F1158)</f>
        <v>0</v>
      </c>
      <c r="AL1158" s="32">
        <f t="shared" si="262"/>
        <v>0</v>
      </c>
      <c r="AM1158" s="14">
        <f t="shared" si="265"/>
        <v>0</v>
      </c>
      <c r="AN1158" s="25">
        <f>SUMIFS(инфо!$G$15:$G$28,инфо!$A$15:$A$28,F1158)</f>
        <v>0</v>
      </c>
      <c r="AO1158" s="32">
        <f t="shared" si="263"/>
        <v>0</v>
      </c>
      <c r="AP1158" s="14">
        <f t="shared" si="266"/>
        <v>0</v>
      </c>
      <c r="AQ1158" s="25">
        <f>SUMIFS(инфо!$H$15:$H$28,инфо!$A$15:$A$28,F1158)</f>
        <v>0</v>
      </c>
      <c r="AR1158" s="26">
        <f t="shared" si="264"/>
        <v>0</v>
      </c>
      <c r="AS1158" s="14">
        <f t="shared" si="267"/>
        <v>0</v>
      </c>
      <c r="AT1158" s="25">
        <f>SUMIFS(инфо!$I$15:$I$28,инфо!$A$15:$A$28,F1158)</f>
        <v>0</v>
      </c>
      <c r="AU1158" s="35">
        <f t="shared" si="258"/>
        <v>0</v>
      </c>
      <c r="AV1158" s="14">
        <f t="shared" si="268"/>
        <v>0</v>
      </c>
      <c r="AX1158" s="69">
        <f>SUMIFS(инфо!$C$15:$C$28,инфо!$A$15:$A$28,F1158)*H1157</f>
        <v>0</v>
      </c>
    </row>
    <row r="1159" spans="1:50" x14ac:dyDescent="0.25">
      <c r="A1159" s="70">
        <f t="shared" si="260"/>
        <v>46643</v>
      </c>
      <c r="B1159" s="75"/>
      <c r="C1159" s="29"/>
      <c r="D1159" s="30"/>
      <c r="E1159" s="11"/>
      <c r="F1159" s="28"/>
      <c r="G1159" s="27"/>
      <c r="H1159" s="20"/>
      <c r="I1159" s="20"/>
      <c r="J1159" s="20"/>
      <c r="K1159" s="20"/>
      <c r="L1159" s="20"/>
      <c r="M1159" s="20"/>
      <c r="N1159" s="28"/>
      <c r="O1159" s="27"/>
      <c r="P1159" s="27"/>
      <c r="Q1159" s="27"/>
      <c r="R1159" s="27"/>
      <c r="S1159" s="67">
        <f t="shared" si="269"/>
        <v>0</v>
      </c>
      <c r="T1159" s="29"/>
      <c r="U1159" s="30"/>
      <c r="V1159" s="27"/>
      <c r="W1159" s="27"/>
      <c r="X1159" s="27"/>
      <c r="Y1159" s="29"/>
      <c r="Z1159" s="27"/>
      <c r="AA1159" s="27"/>
      <c r="AB1159" s="27"/>
      <c r="AC1159" s="27"/>
      <c r="AD1159" s="30"/>
      <c r="AE1159" s="31">
        <f>SUMIFS(инфо!$D$15:$D$28,инфо!$A$15:$A$28,F1159)</f>
        <v>0</v>
      </c>
      <c r="AF1159" s="35">
        <f t="shared" si="261"/>
        <v>0</v>
      </c>
      <c r="AG1159" s="33">
        <f t="shared" si="270"/>
        <v>0</v>
      </c>
      <c r="AH1159" s="31">
        <f>SUMIFS(инфо!$E$15:$E$28,инфо!$A$15:$A$28,F1159)</f>
        <v>0</v>
      </c>
      <c r="AI1159" s="32">
        <f t="shared" si="259"/>
        <v>0</v>
      </c>
      <c r="AJ1159" s="33">
        <f t="shared" si="271"/>
        <v>0</v>
      </c>
      <c r="AK1159" s="31">
        <f>SUMIFS(инфо!$F$15:$F$28,инфо!$A$15:$A$28,F1159)</f>
        <v>0</v>
      </c>
      <c r="AL1159" s="32">
        <f t="shared" si="262"/>
        <v>0</v>
      </c>
      <c r="AM1159" s="33">
        <f t="shared" si="265"/>
        <v>0</v>
      </c>
      <c r="AN1159" s="31">
        <f>SUMIFS(инфо!$G$15:$G$28,инфо!$A$15:$A$28,F1159)</f>
        <v>0</v>
      </c>
      <c r="AO1159" s="32">
        <f t="shared" si="263"/>
        <v>0</v>
      </c>
      <c r="AP1159" s="33">
        <f t="shared" si="266"/>
        <v>0</v>
      </c>
      <c r="AQ1159" s="31">
        <f>SUMIFS(инфо!$H$15:$H$28,инфо!$A$15:$A$28,F1159)</f>
        <v>0</v>
      </c>
      <c r="AR1159" s="32">
        <f t="shared" si="264"/>
        <v>0</v>
      </c>
      <c r="AS1159" s="33">
        <f t="shared" si="267"/>
        <v>0</v>
      </c>
      <c r="AT1159" s="31">
        <f>SUMIFS(инфо!$I$15:$I$28,инфо!$A$15:$A$28,F1159)</f>
        <v>0</v>
      </c>
      <c r="AU1159" s="35">
        <f t="shared" si="258"/>
        <v>0</v>
      </c>
      <c r="AV1159" s="33">
        <f t="shared" si="268"/>
        <v>0</v>
      </c>
      <c r="AX1159" s="67">
        <f>SUMIFS(инфо!$C$15:$C$28,инфо!$A$15:$A$28,F1159)*H1158</f>
        <v>0</v>
      </c>
    </row>
    <row r="1160" spans="1:50" x14ac:dyDescent="0.25">
      <c r="A1160" s="70">
        <f t="shared" si="260"/>
        <v>46644</v>
      </c>
      <c r="B1160" s="76"/>
      <c r="C1160" s="15"/>
      <c r="D1160" s="16"/>
      <c r="E1160" s="11"/>
      <c r="F1160" s="28"/>
      <c r="G1160" s="34"/>
      <c r="H1160" s="20"/>
      <c r="I1160" s="20"/>
      <c r="J1160" s="20"/>
      <c r="K1160" s="20"/>
      <c r="L1160" s="20"/>
      <c r="M1160" s="20"/>
      <c r="N1160" s="20"/>
      <c r="O1160" s="34"/>
      <c r="P1160" s="34"/>
      <c r="Q1160" s="34"/>
      <c r="R1160" s="34"/>
      <c r="S1160" s="68">
        <f t="shared" si="269"/>
        <v>0</v>
      </c>
      <c r="T1160" s="15"/>
      <c r="U1160" s="16"/>
      <c r="V1160" s="34"/>
      <c r="W1160" s="34"/>
      <c r="X1160" s="34"/>
      <c r="Y1160" s="15"/>
      <c r="Z1160" s="34"/>
      <c r="AA1160" s="34"/>
      <c r="AB1160" s="34"/>
      <c r="AC1160" s="34"/>
      <c r="AD1160" s="16"/>
      <c r="AE1160" s="24">
        <f>SUMIFS(инфо!$D$15:$D$28,инфо!$A$15:$A$28,F1160)</f>
        <v>0</v>
      </c>
      <c r="AF1160" s="35">
        <f t="shared" si="261"/>
        <v>0</v>
      </c>
      <c r="AG1160" s="12">
        <f t="shared" si="270"/>
        <v>0</v>
      </c>
      <c r="AH1160" s="24">
        <f>SUMIFS(инфо!$E$15:$E$28,инфо!$A$15:$A$28,F1160)</f>
        <v>0</v>
      </c>
      <c r="AI1160" s="35">
        <f t="shared" si="259"/>
        <v>0</v>
      </c>
      <c r="AJ1160" s="12">
        <f t="shared" si="271"/>
        <v>0</v>
      </c>
      <c r="AK1160" s="24">
        <f>SUMIFS(инфо!$F$15:$F$28,инфо!$A$15:$A$28,F1160)</f>
        <v>0</v>
      </c>
      <c r="AL1160" s="32">
        <f t="shared" si="262"/>
        <v>0</v>
      </c>
      <c r="AM1160" s="12">
        <f t="shared" si="265"/>
        <v>0</v>
      </c>
      <c r="AN1160" s="24">
        <f>SUMIFS(инфо!$G$15:$G$28,инфо!$A$15:$A$28,F1160)</f>
        <v>0</v>
      </c>
      <c r="AO1160" s="32">
        <f t="shared" si="263"/>
        <v>0</v>
      </c>
      <c r="AP1160" s="12">
        <f t="shared" si="266"/>
        <v>0</v>
      </c>
      <c r="AQ1160" s="24">
        <f>SUMIFS(инфо!$H$15:$H$28,инфо!$A$15:$A$28,F1160)</f>
        <v>0</v>
      </c>
      <c r="AR1160" s="35">
        <f t="shared" si="264"/>
        <v>0</v>
      </c>
      <c r="AS1160" s="12">
        <f t="shared" si="267"/>
        <v>0</v>
      </c>
      <c r="AT1160" s="24">
        <f>SUMIFS(инфо!$I$15:$I$28,инфо!$A$15:$A$28,F1160)</f>
        <v>0</v>
      </c>
      <c r="AU1160" s="35">
        <f t="shared" si="258"/>
        <v>0</v>
      </c>
      <c r="AV1160" s="12">
        <f t="shared" si="268"/>
        <v>0</v>
      </c>
      <c r="AX1160" s="68">
        <f>SUMIFS(инфо!$C$15:$C$28,инфо!$A$15:$A$28,F1160)*H1159</f>
        <v>0</v>
      </c>
    </row>
    <row r="1161" spans="1:50" x14ac:dyDescent="0.25">
      <c r="A1161" s="70">
        <f t="shared" si="260"/>
        <v>46644</v>
      </c>
      <c r="B1161" s="76"/>
      <c r="C1161" s="15"/>
      <c r="D1161" s="16"/>
      <c r="E1161" s="11"/>
      <c r="F1161" s="28"/>
      <c r="G1161" s="34"/>
      <c r="H1161" s="23"/>
      <c r="I1161" s="20"/>
      <c r="J1161" s="20"/>
      <c r="K1161" s="20"/>
      <c r="L1161" s="20"/>
      <c r="M1161" s="20"/>
      <c r="N1161" s="20"/>
      <c r="O1161" s="34"/>
      <c r="P1161" s="34"/>
      <c r="Q1161" s="34"/>
      <c r="R1161" s="34"/>
      <c r="S1161" s="68">
        <f t="shared" si="269"/>
        <v>0</v>
      </c>
      <c r="T1161" s="15"/>
      <c r="U1161" s="16"/>
      <c r="V1161" s="34"/>
      <c r="W1161" s="34"/>
      <c r="X1161" s="34"/>
      <c r="Y1161" s="15"/>
      <c r="Z1161" s="34"/>
      <c r="AA1161" s="34"/>
      <c r="AB1161" s="34"/>
      <c r="AC1161" s="34"/>
      <c r="AD1161" s="16"/>
      <c r="AE1161" s="24">
        <f>SUMIFS(инфо!$D$15:$D$28,инфо!$A$15:$A$28,F1161)</f>
        <v>0</v>
      </c>
      <c r="AF1161" s="35">
        <f t="shared" si="261"/>
        <v>0</v>
      </c>
      <c r="AG1161" s="12">
        <f t="shared" si="270"/>
        <v>0</v>
      </c>
      <c r="AH1161" s="24">
        <f>SUMIFS(инфо!$E$15:$E$28,инфо!$A$15:$A$28,F1161)</f>
        <v>0</v>
      </c>
      <c r="AI1161" s="35">
        <f t="shared" si="259"/>
        <v>0</v>
      </c>
      <c r="AJ1161" s="12">
        <f t="shared" si="271"/>
        <v>0</v>
      </c>
      <c r="AK1161" s="24">
        <f>SUMIFS(инфо!$F$15:$F$28,инфо!$A$15:$A$28,F1161)</f>
        <v>0</v>
      </c>
      <c r="AL1161" s="32">
        <f t="shared" si="262"/>
        <v>0</v>
      </c>
      <c r="AM1161" s="12">
        <f t="shared" si="265"/>
        <v>0</v>
      </c>
      <c r="AN1161" s="24">
        <f>SUMIFS(инфо!$G$15:$G$28,инфо!$A$15:$A$28,F1161)</f>
        <v>0</v>
      </c>
      <c r="AO1161" s="32">
        <f t="shared" si="263"/>
        <v>0</v>
      </c>
      <c r="AP1161" s="12">
        <f t="shared" si="266"/>
        <v>0</v>
      </c>
      <c r="AQ1161" s="24">
        <f>SUMIFS(инфо!$H$15:$H$28,инфо!$A$15:$A$28,F1161)</f>
        <v>0</v>
      </c>
      <c r="AR1161" s="35">
        <f t="shared" si="264"/>
        <v>0</v>
      </c>
      <c r="AS1161" s="12">
        <f t="shared" si="267"/>
        <v>0</v>
      </c>
      <c r="AT1161" s="24">
        <f>SUMIFS(инфо!$I$15:$I$28,инфо!$A$15:$A$28,F1161)</f>
        <v>0</v>
      </c>
      <c r="AU1161" s="35">
        <f t="shared" ref="AU1161:AU1224" si="272">IF(H1161=0,0,AD1161/H1161)</f>
        <v>0</v>
      </c>
      <c r="AV1161" s="12">
        <f t="shared" si="268"/>
        <v>0</v>
      </c>
      <c r="AX1161" s="68">
        <f>SUMIFS(инфо!$C$15:$C$28,инфо!$A$15:$A$28,F1161)*H1160</f>
        <v>0</v>
      </c>
    </row>
    <row r="1162" spans="1:50" x14ac:dyDescent="0.25">
      <c r="A1162" s="70">
        <f t="shared" si="260"/>
        <v>46645</v>
      </c>
      <c r="B1162" s="77"/>
      <c r="C1162" s="17"/>
      <c r="D1162" s="18"/>
      <c r="E1162" s="11"/>
      <c r="F1162" s="28"/>
      <c r="G1162" s="19"/>
      <c r="H1162" s="28"/>
      <c r="I1162" s="20"/>
      <c r="J1162" s="20"/>
      <c r="K1162" s="20"/>
      <c r="L1162" s="20"/>
      <c r="M1162" s="20"/>
      <c r="N1162" s="23"/>
      <c r="O1162" s="19"/>
      <c r="P1162" s="19"/>
      <c r="Q1162" s="19"/>
      <c r="R1162" s="19"/>
      <c r="S1162" s="69">
        <f t="shared" si="269"/>
        <v>0</v>
      </c>
      <c r="T1162" s="17"/>
      <c r="U1162" s="18"/>
      <c r="V1162" s="19"/>
      <c r="W1162" s="19"/>
      <c r="X1162" s="19"/>
      <c r="Y1162" s="17"/>
      <c r="Z1162" s="19"/>
      <c r="AA1162" s="19"/>
      <c r="AB1162" s="19"/>
      <c r="AC1162" s="19"/>
      <c r="AD1162" s="18"/>
      <c r="AE1162" s="25">
        <f>SUMIFS(инфо!$D$15:$D$28,инфо!$A$15:$A$28,F1162)</f>
        <v>0</v>
      </c>
      <c r="AF1162" s="35">
        <f t="shared" si="261"/>
        <v>0</v>
      </c>
      <c r="AG1162" s="14">
        <f t="shared" si="270"/>
        <v>0</v>
      </c>
      <c r="AH1162" s="25">
        <f>SUMIFS(инфо!$E$15:$E$28,инфо!$A$15:$A$28,F1162)</f>
        <v>0</v>
      </c>
      <c r="AI1162" s="26">
        <f t="shared" si="259"/>
        <v>0</v>
      </c>
      <c r="AJ1162" s="14">
        <f t="shared" si="271"/>
        <v>0</v>
      </c>
      <c r="AK1162" s="25">
        <f>SUMIFS(инфо!$F$15:$F$28,инфо!$A$15:$A$28,F1162)</f>
        <v>0</v>
      </c>
      <c r="AL1162" s="32">
        <f t="shared" si="262"/>
        <v>0</v>
      </c>
      <c r="AM1162" s="14">
        <f t="shared" si="265"/>
        <v>0</v>
      </c>
      <c r="AN1162" s="25">
        <f>SUMIFS(инфо!$G$15:$G$28,инфо!$A$15:$A$28,F1162)</f>
        <v>0</v>
      </c>
      <c r="AO1162" s="32">
        <f t="shared" si="263"/>
        <v>0</v>
      </c>
      <c r="AP1162" s="14">
        <f t="shared" si="266"/>
        <v>0</v>
      </c>
      <c r="AQ1162" s="25">
        <f>SUMIFS(инфо!$H$15:$H$28,инфо!$A$15:$A$28,F1162)</f>
        <v>0</v>
      </c>
      <c r="AR1162" s="26">
        <f t="shared" si="264"/>
        <v>0</v>
      </c>
      <c r="AS1162" s="14">
        <f t="shared" si="267"/>
        <v>0</v>
      </c>
      <c r="AT1162" s="25">
        <f>SUMIFS(инфо!$I$15:$I$28,инфо!$A$15:$A$28,F1162)</f>
        <v>0</v>
      </c>
      <c r="AU1162" s="35">
        <f t="shared" si="272"/>
        <v>0</v>
      </c>
      <c r="AV1162" s="14">
        <f t="shared" si="268"/>
        <v>0</v>
      </c>
      <c r="AX1162" s="69">
        <f>SUMIFS(инфо!$C$15:$C$28,инфо!$A$15:$A$28,F1162)*H1161</f>
        <v>0</v>
      </c>
    </row>
    <row r="1163" spans="1:50" x14ac:dyDescent="0.25">
      <c r="A1163" s="70">
        <f t="shared" si="260"/>
        <v>46645</v>
      </c>
      <c r="B1163" s="75"/>
      <c r="C1163" s="29"/>
      <c r="D1163" s="30"/>
      <c r="E1163" s="11"/>
      <c r="F1163" s="28"/>
      <c r="G1163" s="27"/>
      <c r="H1163" s="20"/>
      <c r="I1163" s="20"/>
      <c r="J1163" s="20"/>
      <c r="K1163" s="20"/>
      <c r="L1163" s="20"/>
      <c r="M1163" s="20"/>
      <c r="N1163" s="28"/>
      <c r="O1163" s="27"/>
      <c r="P1163" s="27"/>
      <c r="Q1163" s="27"/>
      <c r="R1163" s="27"/>
      <c r="S1163" s="67">
        <f t="shared" si="269"/>
        <v>0</v>
      </c>
      <c r="T1163" s="29"/>
      <c r="U1163" s="30"/>
      <c r="V1163" s="27"/>
      <c r="W1163" s="27"/>
      <c r="X1163" s="27"/>
      <c r="Y1163" s="29"/>
      <c r="Z1163" s="27"/>
      <c r="AA1163" s="27"/>
      <c r="AB1163" s="27"/>
      <c r="AC1163" s="27"/>
      <c r="AD1163" s="30"/>
      <c r="AE1163" s="31">
        <f>SUMIFS(инфо!$D$15:$D$28,инфо!$A$15:$A$28,F1163)</f>
        <v>0</v>
      </c>
      <c r="AF1163" s="35">
        <f t="shared" si="261"/>
        <v>0</v>
      </c>
      <c r="AG1163" s="33">
        <f t="shared" si="270"/>
        <v>0</v>
      </c>
      <c r="AH1163" s="31">
        <f>SUMIFS(инфо!$E$15:$E$28,инфо!$A$15:$A$28,F1163)</f>
        <v>0</v>
      </c>
      <c r="AI1163" s="32">
        <f t="shared" si="259"/>
        <v>0</v>
      </c>
      <c r="AJ1163" s="33">
        <f t="shared" si="271"/>
        <v>0</v>
      </c>
      <c r="AK1163" s="31">
        <f>SUMIFS(инфо!$F$15:$F$28,инфо!$A$15:$A$28,F1163)</f>
        <v>0</v>
      </c>
      <c r="AL1163" s="32">
        <f t="shared" si="262"/>
        <v>0</v>
      </c>
      <c r="AM1163" s="33">
        <f t="shared" si="265"/>
        <v>0</v>
      </c>
      <c r="AN1163" s="31">
        <f>SUMIFS(инфо!$G$15:$G$28,инфо!$A$15:$A$28,F1163)</f>
        <v>0</v>
      </c>
      <c r="AO1163" s="32">
        <f t="shared" si="263"/>
        <v>0</v>
      </c>
      <c r="AP1163" s="33">
        <f t="shared" si="266"/>
        <v>0</v>
      </c>
      <c r="AQ1163" s="31">
        <f>SUMIFS(инфо!$H$15:$H$28,инфо!$A$15:$A$28,F1163)</f>
        <v>0</v>
      </c>
      <c r="AR1163" s="32">
        <f t="shared" si="264"/>
        <v>0</v>
      </c>
      <c r="AS1163" s="33">
        <f t="shared" si="267"/>
        <v>0</v>
      </c>
      <c r="AT1163" s="31">
        <f>SUMIFS(инфо!$I$15:$I$28,инфо!$A$15:$A$28,F1163)</f>
        <v>0</v>
      </c>
      <c r="AU1163" s="35">
        <f t="shared" si="272"/>
        <v>0</v>
      </c>
      <c r="AV1163" s="33">
        <f t="shared" si="268"/>
        <v>0</v>
      </c>
      <c r="AX1163" s="67">
        <f>SUMIFS(инфо!$C$15:$C$28,инфо!$A$15:$A$28,F1163)*H1162</f>
        <v>0</v>
      </c>
    </row>
    <row r="1164" spans="1:50" x14ac:dyDescent="0.25">
      <c r="A1164" s="70">
        <f t="shared" si="260"/>
        <v>46646</v>
      </c>
      <c r="B1164" s="76"/>
      <c r="C1164" s="15"/>
      <c r="D1164" s="16"/>
      <c r="E1164" s="11"/>
      <c r="F1164" s="28"/>
      <c r="G1164" s="34"/>
      <c r="H1164" s="20"/>
      <c r="I1164" s="20"/>
      <c r="J1164" s="20"/>
      <c r="K1164" s="20"/>
      <c r="L1164" s="20"/>
      <c r="M1164" s="20"/>
      <c r="N1164" s="20"/>
      <c r="O1164" s="34"/>
      <c r="P1164" s="34"/>
      <c r="Q1164" s="34"/>
      <c r="R1164" s="34"/>
      <c r="S1164" s="68">
        <f t="shared" si="269"/>
        <v>0</v>
      </c>
      <c r="T1164" s="15"/>
      <c r="U1164" s="16"/>
      <c r="V1164" s="34"/>
      <c r="W1164" s="34"/>
      <c r="X1164" s="34"/>
      <c r="Y1164" s="15"/>
      <c r="Z1164" s="34"/>
      <c r="AA1164" s="34"/>
      <c r="AB1164" s="34"/>
      <c r="AC1164" s="34"/>
      <c r="AD1164" s="16"/>
      <c r="AE1164" s="24">
        <f>SUMIFS(инфо!$D$15:$D$28,инфо!$A$15:$A$28,F1164)</f>
        <v>0</v>
      </c>
      <c r="AF1164" s="35">
        <f t="shared" si="261"/>
        <v>0</v>
      </c>
      <c r="AG1164" s="12">
        <f t="shared" si="270"/>
        <v>0</v>
      </c>
      <c r="AH1164" s="24">
        <f>SUMIFS(инфо!$E$15:$E$28,инфо!$A$15:$A$28,F1164)</f>
        <v>0</v>
      </c>
      <c r="AI1164" s="35">
        <f t="shared" si="259"/>
        <v>0</v>
      </c>
      <c r="AJ1164" s="12">
        <f t="shared" si="271"/>
        <v>0</v>
      </c>
      <c r="AK1164" s="24">
        <f>SUMIFS(инфо!$F$15:$F$28,инфо!$A$15:$A$28,F1164)</f>
        <v>0</v>
      </c>
      <c r="AL1164" s="32">
        <f t="shared" si="262"/>
        <v>0</v>
      </c>
      <c r="AM1164" s="12">
        <f t="shared" si="265"/>
        <v>0</v>
      </c>
      <c r="AN1164" s="24">
        <f>SUMIFS(инфо!$G$15:$G$28,инфо!$A$15:$A$28,F1164)</f>
        <v>0</v>
      </c>
      <c r="AO1164" s="32">
        <f t="shared" si="263"/>
        <v>0</v>
      </c>
      <c r="AP1164" s="12">
        <f t="shared" si="266"/>
        <v>0</v>
      </c>
      <c r="AQ1164" s="24">
        <f>SUMIFS(инфо!$H$15:$H$28,инфо!$A$15:$A$28,F1164)</f>
        <v>0</v>
      </c>
      <c r="AR1164" s="35">
        <f t="shared" si="264"/>
        <v>0</v>
      </c>
      <c r="AS1164" s="12">
        <f t="shared" si="267"/>
        <v>0</v>
      </c>
      <c r="AT1164" s="24">
        <f>SUMIFS(инфо!$I$15:$I$28,инфо!$A$15:$A$28,F1164)</f>
        <v>0</v>
      </c>
      <c r="AU1164" s="35">
        <f t="shared" si="272"/>
        <v>0</v>
      </c>
      <c r="AV1164" s="12">
        <f t="shared" si="268"/>
        <v>0</v>
      </c>
      <c r="AX1164" s="68">
        <f>SUMIFS(инфо!$C$15:$C$28,инфо!$A$15:$A$28,F1164)*H1163</f>
        <v>0</v>
      </c>
    </row>
    <row r="1165" spans="1:50" x14ac:dyDescent="0.25">
      <c r="A1165" s="70">
        <f t="shared" si="260"/>
        <v>46646</v>
      </c>
      <c r="B1165" s="76"/>
      <c r="C1165" s="15"/>
      <c r="D1165" s="16"/>
      <c r="E1165" s="11"/>
      <c r="F1165" s="28"/>
      <c r="G1165" s="34"/>
      <c r="H1165" s="23"/>
      <c r="I1165" s="20"/>
      <c r="J1165" s="20"/>
      <c r="K1165" s="20"/>
      <c r="L1165" s="20"/>
      <c r="M1165" s="20"/>
      <c r="N1165" s="20"/>
      <c r="O1165" s="34"/>
      <c r="P1165" s="34"/>
      <c r="Q1165" s="34"/>
      <c r="R1165" s="34"/>
      <c r="S1165" s="68">
        <f t="shared" si="269"/>
        <v>0</v>
      </c>
      <c r="T1165" s="15"/>
      <c r="U1165" s="16"/>
      <c r="V1165" s="34"/>
      <c r="W1165" s="34"/>
      <c r="X1165" s="34"/>
      <c r="Y1165" s="15"/>
      <c r="Z1165" s="34"/>
      <c r="AA1165" s="34"/>
      <c r="AB1165" s="34"/>
      <c r="AC1165" s="34"/>
      <c r="AD1165" s="16"/>
      <c r="AE1165" s="24">
        <f>SUMIFS(инфо!$D$15:$D$28,инфо!$A$15:$A$28,F1165)</f>
        <v>0</v>
      </c>
      <c r="AF1165" s="35">
        <f t="shared" si="261"/>
        <v>0</v>
      </c>
      <c r="AG1165" s="12">
        <f t="shared" si="270"/>
        <v>0</v>
      </c>
      <c r="AH1165" s="24">
        <f>SUMIFS(инфо!$E$15:$E$28,инфо!$A$15:$A$28,F1165)</f>
        <v>0</v>
      </c>
      <c r="AI1165" s="35">
        <f t="shared" si="259"/>
        <v>0</v>
      </c>
      <c r="AJ1165" s="12">
        <f t="shared" si="271"/>
        <v>0</v>
      </c>
      <c r="AK1165" s="24">
        <f>SUMIFS(инфо!$F$15:$F$28,инфо!$A$15:$A$28,F1165)</f>
        <v>0</v>
      </c>
      <c r="AL1165" s="32">
        <f t="shared" si="262"/>
        <v>0</v>
      </c>
      <c r="AM1165" s="12">
        <f t="shared" si="265"/>
        <v>0</v>
      </c>
      <c r="AN1165" s="24">
        <f>SUMIFS(инфо!$G$15:$G$28,инфо!$A$15:$A$28,F1165)</f>
        <v>0</v>
      </c>
      <c r="AO1165" s="32">
        <f t="shared" si="263"/>
        <v>0</v>
      </c>
      <c r="AP1165" s="12">
        <f t="shared" si="266"/>
        <v>0</v>
      </c>
      <c r="AQ1165" s="24">
        <f>SUMIFS(инфо!$H$15:$H$28,инфо!$A$15:$A$28,F1165)</f>
        <v>0</v>
      </c>
      <c r="AR1165" s="35">
        <f t="shared" si="264"/>
        <v>0</v>
      </c>
      <c r="AS1165" s="12">
        <f t="shared" si="267"/>
        <v>0</v>
      </c>
      <c r="AT1165" s="24">
        <f>SUMIFS(инфо!$I$15:$I$28,инфо!$A$15:$A$28,F1165)</f>
        <v>0</v>
      </c>
      <c r="AU1165" s="35">
        <f t="shared" si="272"/>
        <v>0</v>
      </c>
      <c r="AV1165" s="12">
        <f t="shared" si="268"/>
        <v>0</v>
      </c>
      <c r="AX1165" s="68">
        <f>SUMIFS(инфо!$C$15:$C$28,инфо!$A$15:$A$28,F1165)*H1164</f>
        <v>0</v>
      </c>
    </row>
    <row r="1166" spans="1:50" x14ac:dyDescent="0.25">
      <c r="A1166" s="70">
        <f t="shared" si="260"/>
        <v>46647</v>
      </c>
      <c r="B1166" s="77"/>
      <c r="C1166" s="17"/>
      <c r="D1166" s="18"/>
      <c r="E1166" s="11"/>
      <c r="F1166" s="28"/>
      <c r="G1166" s="19"/>
      <c r="H1166" s="28"/>
      <c r="I1166" s="20"/>
      <c r="J1166" s="20"/>
      <c r="K1166" s="20"/>
      <c r="L1166" s="20"/>
      <c r="M1166" s="20"/>
      <c r="N1166" s="23"/>
      <c r="O1166" s="19"/>
      <c r="P1166" s="19"/>
      <c r="Q1166" s="19"/>
      <c r="R1166" s="19"/>
      <c r="S1166" s="69">
        <f t="shared" si="269"/>
        <v>0</v>
      </c>
      <c r="T1166" s="17"/>
      <c r="U1166" s="18"/>
      <c r="V1166" s="19"/>
      <c r="W1166" s="19"/>
      <c r="X1166" s="19"/>
      <c r="Y1166" s="17"/>
      <c r="Z1166" s="19"/>
      <c r="AA1166" s="19"/>
      <c r="AB1166" s="19"/>
      <c r="AC1166" s="19"/>
      <c r="AD1166" s="18"/>
      <c r="AE1166" s="25">
        <f>SUMIFS(инфо!$D$15:$D$28,инфо!$A$15:$A$28,F1166)</f>
        <v>0</v>
      </c>
      <c r="AF1166" s="35">
        <f t="shared" si="261"/>
        <v>0</v>
      </c>
      <c r="AG1166" s="14">
        <f t="shared" si="270"/>
        <v>0</v>
      </c>
      <c r="AH1166" s="25">
        <f>SUMIFS(инфо!$E$15:$E$28,инфо!$A$15:$A$28,F1166)</f>
        <v>0</v>
      </c>
      <c r="AI1166" s="26">
        <f t="shared" si="259"/>
        <v>0</v>
      </c>
      <c r="AJ1166" s="14">
        <f t="shared" si="271"/>
        <v>0</v>
      </c>
      <c r="AK1166" s="25">
        <f>SUMIFS(инфо!$F$15:$F$28,инфо!$A$15:$A$28,F1166)</f>
        <v>0</v>
      </c>
      <c r="AL1166" s="32">
        <f t="shared" si="262"/>
        <v>0</v>
      </c>
      <c r="AM1166" s="14">
        <f t="shared" si="265"/>
        <v>0</v>
      </c>
      <c r="AN1166" s="25">
        <f>SUMIFS(инфо!$G$15:$G$28,инфо!$A$15:$A$28,F1166)</f>
        <v>0</v>
      </c>
      <c r="AO1166" s="32">
        <f t="shared" si="263"/>
        <v>0</v>
      </c>
      <c r="AP1166" s="14">
        <f t="shared" si="266"/>
        <v>0</v>
      </c>
      <c r="AQ1166" s="25">
        <f>SUMIFS(инфо!$H$15:$H$28,инфо!$A$15:$A$28,F1166)</f>
        <v>0</v>
      </c>
      <c r="AR1166" s="26">
        <f t="shared" si="264"/>
        <v>0</v>
      </c>
      <c r="AS1166" s="14">
        <f t="shared" si="267"/>
        <v>0</v>
      </c>
      <c r="AT1166" s="25">
        <f>SUMIFS(инфо!$I$15:$I$28,инфо!$A$15:$A$28,F1166)</f>
        <v>0</v>
      </c>
      <c r="AU1166" s="35">
        <f t="shared" si="272"/>
        <v>0</v>
      </c>
      <c r="AV1166" s="14">
        <f t="shared" si="268"/>
        <v>0</v>
      </c>
      <c r="AX1166" s="69">
        <f>SUMIFS(инфо!$C$15:$C$28,инфо!$A$15:$A$28,F1166)*H1165</f>
        <v>0</v>
      </c>
    </row>
    <row r="1167" spans="1:50" x14ac:dyDescent="0.25">
      <c r="A1167" s="70">
        <f t="shared" si="260"/>
        <v>46647</v>
      </c>
      <c r="B1167" s="75"/>
      <c r="C1167" s="29"/>
      <c r="D1167" s="30"/>
      <c r="E1167" s="11"/>
      <c r="F1167" s="28"/>
      <c r="G1167" s="27"/>
      <c r="H1167" s="20"/>
      <c r="I1167" s="20"/>
      <c r="J1167" s="20"/>
      <c r="K1167" s="20"/>
      <c r="L1167" s="20"/>
      <c r="M1167" s="20"/>
      <c r="N1167" s="28"/>
      <c r="O1167" s="27"/>
      <c r="P1167" s="27"/>
      <c r="Q1167" s="27"/>
      <c r="R1167" s="27"/>
      <c r="S1167" s="67">
        <f t="shared" si="269"/>
        <v>0</v>
      </c>
      <c r="T1167" s="29"/>
      <c r="U1167" s="30"/>
      <c r="V1167" s="27"/>
      <c r="W1167" s="27"/>
      <c r="X1167" s="27"/>
      <c r="Y1167" s="29"/>
      <c r="Z1167" s="27"/>
      <c r="AA1167" s="27"/>
      <c r="AB1167" s="27"/>
      <c r="AC1167" s="27"/>
      <c r="AD1167" s="30"/>
      <c r="AE1167" s="31">
        <f>SUMIFS(инфо!$D$15:$D$28,инфо!$A$15:$A$28,F1167)</f>
        <v>0</v>
      </c>
      <c r="AF1167" s="35">
        <f t="shared" si="261"/>
        <v>0</v>
      </c>
      <c r="AG1167" s="33">
        <f t="shared" si="270"/>
        <v>0</v>
      </c>
      <c r="AH1167" s="31">
        <f>SUMIFS(инфо!$E$15:$E$28,инфо!$A$15:$A$28,F1167)</f>
        <v>0</v>
      </c>
      <c r="AI1167" s="32">
        <f t="shared" ref="AI1167:AI1230" si="273">IF(H1166=0,0,S1167/H1166)</f>
        <v>0</v>
      </c>
      <c r="AJ1167" s="33">
        <f t="shared" si="271"/>
        <v>0</v>
      </c>
      <c r="AK1167" s="31">
        <f>SUMIFS(инфо!$F$15:$F$28,инфо!$A$15:$A$28,F1167)</f>
        <v>0</v>
      </c>
      <c r="AL1167" s="32">
        <f t="shared" si="262"/>
        <v>0</v>
      </c>
      <c r="AM1167" s="33">
        <f t="shared" si="265"/>
        <v>0</v>
      </c>
      <c r="AN1167" s="31">
        <f>SUMIFS(инфо!$G$15:$G$28,инфо!$A$15:$A$28,F1167)</f>
        <v>0</v>
      </c>
      <c r="AO1167" s="32">
        <f t="shared" si="263"/>
        <v>0</v>
      </c>
      <c r="AP1167" s="33">
        <f t="shared" si="266"/>
        <v>0</v>
      </c>
      <c r="AQ1167" s="31">
        <f>SUMIFS(инфо!$H$15:$H$28,инфо!$A$15:$A$28,F1167)</f>
        <v>0</v>
      </c>
      <c r="AR1167" s="32">
        <f t="shared" si="264"/>
        <v>0</v>
      </c>
      <c r="AS1167" s="33">
        <f t="shared" si="267"/>
        <v>0</v>
      </c>
      <c r="AT1167" s="31">
        <f>SUMIFS(инфо!$I$15:$I$28,инфо!$A$15:$A$28,F1167)</f>
        <v>0</v>
      </c>
      <c r="AU1167" s="35">
        <f t="shared" si="272"/>
        <v>0</v>
      </c>
      <c r="AV1167" s="33">
        <f t="shared" si="268"/>
        <v>0</v>
      </c>
      <c r="AX1167" s="67">
        <f>SUMIFS(инфо!$C$15:$C$28,инфо!$A$15:$A$28,F1167)*H1166</f>
        <v>0</v>
      </c>
    </row>
    <row r="1168" spans="1:50" x14ac:dyDescent="0.25">
      <c r="A1168" s="70">
        <f t="shared" si="260"/>
        <v>46648</v>
      </c>
      <c r="B1168" s="76"/>
      <c r="C1168" s="15"/>
      <c r="D1168" s="16"/>
      <c r="E1168" s="11"/>
      <c r="F1168" s="28"/>
      <c r="G1168" s="34"/>
      <c r="H1168" s="20"/>
      <c r="I1168" s="20"/>
      <c r="J1168" s="20"/>
      <c r="K1168" s="20"/>
      <c r="L1168" s="20"/>
      <c r="M1168" s="20"/>
      <c r="N1168" s="20"/>
      <c r="O1168" s="34"/>
      <c r="P1168" s="34"/>
      <c r="Q1168" s="34"/>
      <c r="R1168" s="34"/>
      <c r="S1168" s="68">
        <f t="shared" si="269"/>
        <v>0</v>
      </c>
      <c r="T1168" s="15"/>
      <c r="U1168" s="16"/>
      <c r="V1168" s="34"/>
      <c r="W1168" s="34"/>
      <c r="X1168" s="34"/>
      <c r="Y1168" s="15"/>
      <c r="Z1168" s="34"/>
      <c r="AA1168" s="34"/>
      <c r="AB1168" s="34"/>
      <c r="AC1168" s="34"/>
      <c r="AD1168" s="16"/>
      <c r="AE1168" s="24">
        <f>SUMIFS(инфо!$D$15:$D$28,инфо!$A$15:$A$28,F1168)</f>
        <v>0</v>
      </c>
      <c r="AF1168" s="35">
        <f t="shared" si="261"/>
        <v>0</v>
      </c>
      <c r="AG1168" s="12">
        <f t="shared" si="270"/>
        <v>0</v>
      </c>
      <c r="AH1168" s="24">
        <f>SUMIFS(инфо!$E$15:$E$28,инфо!$A$15:$A$28,F1168)</f>
        <v>0</v>
      </c>
      <c r="AI1168" s="35">
        <f t="shared" si="273"/>
        <v>0</v>
      </c>
      <c r="AJ1168" s="12">
        <f t="shared" si="271"/>
        <v>0</v>
      </c>
      <c r="AK1168" s="24">
        <f>SUMIFS(инфо!$F$15:$F$28,инфо!$A$15:$A$28,F1168)</f>
        <v>0</v>
      </c>
      <c r="AL1168" s="32">
        <f t="shared" si="262"/>
        <v>0</v>
      </c>
      <c r="AM1168" s="12">
        <f t="shared" si="265"/>
        <v>0</v>
      </c>
      <c r="AN1168" s="24">
        <f>SUMIFS(инфо!$G$15:$G$28,инфо!$A$15:$A$28,F1168)</f>
        <v>0</v>
      </c>
      <c r="AO1168" s="32">
        <f t="shared" si="263"/>
        <v>0</v>
      </c>
      <c r="AP1168" s="12">
        <f t="shared" si="266"/>
        <v>0</v>
      </c>
      <c r="AQ1168" s="24">
        <f>SUMIFS(инфо!$H$15:$H$28,инфо!$A$15:$A$28,F1168)</f>
        <v>0</v>
      </c>
      <c r="AR1168" s="35">
        <f t="shared" si="264"/>
        <v>0</v>
      </c>
      <c r="AS1168" s="12">
        <f t="shared" si="267"/>
        <v>0</v>
      </c>
      <c r="AT1168" s="24">
        <f>SUMIFS(инфо!$I$15:$I$28,инфо!$A$15:$A$28,F1168)</f>
        <v>0</v>
      </c>
      <c r="AU1168" s="35">
        <f t="shared" si="272"/>
        <v>0</v>
      </c>
      <c r="AV1168" s="12">
        <f t="shared" si="268"/>
        <v>0</v>
      </c>
      <c r="AX1168" s="68">
        <f>SUMIFS(инфо!$C$15:$C$28,инфо!$A$15:$A$28,F1168)*H1167</f>
        <v>0</v>
      </c>
    </row>
    <row r="1169" spans="1:50" x14ac:dyDescent="0.25">
      <c r="A1169" s="70">
        <f t="shared" si="260"/>
        <v>46648</v>
      </c>
      <c r="B1169" s="76"/>
      <c r="C1169" s="15"/>
      <c r="D1169" s="16"/>
      <c r="E1169" s="11"/>
      <c r="F1169" s="28"/>
      <c r="G1169" s="34"/>
      <c r="H1169" s="23"/>
      <c r="I1169" s="20"/>
      <c r="J1169" s="20"/>
      <c r="K1169" s="20"/>
      <c r="L1169" s="20"/>
      <c r="M1169" s="20"/>
      <c r="N1169" s="20"/>
      <c r="O1169" s="34"/>
      <c r="P1169" s="34"/>
      <c r="Q1169" s="34"/>
      <c r="R1169" s="34"/>
      <c r="S1169" s="68">
        <f t="shared" si="269"/>
        <v>0</v>
      </c>
      <c r="T1169" s="15"/>
      <c r="U1169" s="16"/>
      <c r="V1169" s="34"/>
      <c r="W1169" s="34"/>
      <c r="X1169" s="34"/>
      <c r="Y1169" s="15"/>
      <c r="Z1169" s="34"/>
      <c r="AA1169" s="34"/>
      <c r="AB1169" s="34"/>
      <c r="AC1169" s="34"/>
      <c r="AD1169" s="16"/>
      <c r="AE1169" s="24">
        <f>SUMIFS(инфо!$D$15:$D$28,инфо!$A$15:$A$28,F1169)</f>
        <v>0</v>
      </c>
      <c r="AF1169" s="35">
        <f t="shared" si="261"/>
        <v>0</v>
      </c>
      <c r="AG1169" s="12">
        <f t="shared" si="270"/>
        <v>0</v>
      </c>
      <c r="AH1169" s="24">
        <f>SUMIFS(инфо!$E$15:$E$28,инфо!$A$15:$A$28,F1169)</f>
        <v>0</v>
      </c>
      <c r="AI1169" s="35">
        <f t="shared" si="273"/>
        <v>0</v>
      </c>
      <c r="AJ1169" s="12">
        <f t="shared" si="271"/>
        <v>0</v>
      </c>
      <c r="AK1169" s="24">
        <f>SUMIFS(инфо!$F$15:$F$28,инфо!$A$15:$A$28,F1169)</f>
        <v>0</v>
      </c>
      <c r="AL1169" s="32">
        <f t="shared" si="262"/>
        <v>0</v>
      </c>
      <c r="AM1169" s="12">
        <f t="shared" si="265"/>
        <v>0</v>
      </c>
      <c r="AN1169" s="24">
        <f>SUMIFS(инфо!$G$15:$G$28,инфо!$A$15:$A$28,F1169)</f>
        <v>0</v>
      </c>
      <c r="AO1169" s="32">
        <f t="shared" si="263"/>
        <v>0</v>
      </c>
      <c r="AP1169" s="12">
        <f t="shared" si="266"/>
        <v>0</v>
      </c>
      <c r="AQ1169" s="24">
        <f>SUMIFS(инфо!$H$15:$H$28,инфо!$A$15:$A$28,F1169)</f>
        <v>0</v>
      </c>
      <c r="AR1169" s="35">
        <f t="shared" si="264"/>
        <v>0</v>
      </c>
      <c r="AS1169" s="12">
        <f t="shared" si="267"/>
        <v>0</v>
      </c>
      <c r="AT1169" s="24">
        <f>SUMIFS(инфо!$I$15:$I$28,инфо!$A$15:$A$28,F1169)</f>
        <v>0</v>
      </c>
      <c r="AU1169" s="35">
        <f t="shared" si="272"/>
        <v>0</v>
      </c>
      <c r="AV1169" s="12">
        <f t="shared" si="268"/>
        <v>0</v>
      </c>
      <c r="AX1169" s="68">
        <f>SUMIFS(инфо!$C$15:$C$28,инфо!$A$15:$A$28,F1169)*H1168</f>
        <v>0</v>
      </c>
    </row>
    <row r="1170" spans="1:50" x14ac:dyDescent="0.25">
      <c r="A1170" s="70">
        <f t="shared" si="260"/>
        <v>46649</v>
      </c>
      <c r="B1170" s="77"/>
      <c r="C1170" s="17"/>
      <c r="D1170" s="18"/>
      <c r="E1170" s="11"/>
      <c r="F1170" s="28"/>
      <c r="G1170" s="19"/>
      <c r="H1170" s="28"/>
      <c r="I1170" s="20"/>
      <c r="J1170" s="20"/>
      <c r="K1170" s="20"/>
      <c r="L1170" s="20"/>
      <c r="M1170" s="20"/>
      <c r="N1170" s="23"/>
      <c r="O1170" s="19"/>
      <c r="P1170" s="19"/>
      <c r="Q1170" s="19"/>
      <c r="R1170" s="19"/>
      <c r="S1170" s="69">
        <f t="shared" si="269"/>
        <v>0</v>
      </c>
      <c r="T1170" s="17"/>
      <c r="U1170" s="18"/>
      <c r="V1170" s="19"/>
      <c r="W1170" s="19"/>
      <c r="X1170" s="19"/>
      <c r="Y1170" s="17"/>
      <c r="Z1170" s="19"/>
      <c r="AA1170" s="19"/>
      <c r="AB1170" s="19"/>
      <c r="AC1170" s="19"/>
      <c r="AD1170" s="18"/>
      <c r="AE1170" s="25">
        <f>SUMIFS(инфо!$D$15:$D$28,инфо!$A$15:$A$28,F1170)</f>
        <v>0</v>
      </c>
      <c r="AF1170" s="35">
        <f t="shared" si="261"/>
        <v>0</v>
      </c>
      <c r="AG1170" s="14">
        <f t="shared" si="270"/>
        <v>0</v>
      </c>
      <c r="AH1170" s="25">
        <f>SUMIFS(инфо!$E$15:$E$28,инфо!$A$15:$A$28,F1170)</f>
        <v>0</v>
      </c>
      <c r="AI1170" s="26">
        <f t="shared" si="273"/>
        <v>0</v>
      </c>
      <c r="AJ1170" s="14">
        <f t="shared" si="271"/>
        <v>0</v>
      </c>
      <c r="AK1170" s="25">
        <f>SUMIFS(инфо!$F$15:$F$28,инфо!$A$15:$A$28,F1170)</f>
        <v>0</v>
      </c>
      <c r="AL1170" s="32">
        <f t="shared" si="262"/>
        <v>0</v>
      </c>
      <c r="AM1170" s="14">
        <f t="shared" si="265"/>
        <v>0</v>
      </c>
      <c r="AN1170" s="25">
        <f>SUMIFS(инфо!$G$15:$G$28,инфо!$A$15:$A$28,F1170)</f>
        <v>0</v>
      </c>
      <c r="AO1170" s="32">
        <f t="shared" si="263"/>
        <v>0</v>
      </c>
      <c r="AP1170" s="14">
        <f t="shared" si="266"/>
        <v>0</v>
      </c>
      <c r="AQ1170" s="25">
        <f>SUMIFS(инфо!$H$15:$H$28,инфо!$A$15:$A$28,F1170)</f>
        <v>0</v>
      </c>
      <c r="AR1170" s="26">
        <f t="shared" si="264"/>
        <v>0</v>
      </c>
      <c r="AS1170" s="14">
        <f t="shared" si="267"/>
        <v>0</v>
      </c>
      <c r="AT1170" s="25">
        <f>SUMIFS(инфо!$I$15:$I$28,инфо!$A$15:$A$28,F1170)</f>
        <v>0</v>
      </c>
      <c r="AU1170" s="35">
        <f t="shared" si="272"/>
        <v>0</v>
      </c>
      <c r="AV1170" s="14">
        <f t="shared" si="268"/>
        <v>0</v>
      </c>
      <c r="AX1170" s="69">
        <f>SUMIFS(инфо!$C$15:$C$28,инфо!$A$15:$A$28,F1170)*H1169</f>
        <v>0</v>
      </c>
    </row>
    <row r="1171" spans="1:50" x14ac:dyDescent="0.25">
      <c r="A1171" s="70">
        <f t="shared" si="260"/>
        <v>46649</v>
      </c>
      <c r="B1171" s="75"/>
      <c r="C1171" s="29"/>
      <c r="D1171" s="30"/>
      <c r="E1171" s="11"/>
      <c r="F1171" s="28"/>
      <c r="G1171" s="27"/>
      <c r="H1171" s="20"/>
      <c r="I1171" s="20"/>
      <c r="J1171" s="20"/>
      <c r="K1171" s="20"/>
      <c r="L1171" s="20"/>
      <c r="M1171" s="20"/>
      <c r="N1171" s="28"/>
      <c r="O1171" s="27"/>
      <c r="P1171" s="27"/>
      <c r="Q1171" s="27"/>
      <c r="R1171" s="27"/>
      <c r="S1171" s="67">
        <f t="shared" si="269"/>
        <v>0</v>
      </c>
      <c r="T1171" s="29"/>
      <c r="U1171" s="30"/>
      <c r="V1171" s="27"/>
      <c r="W1171" s="27"/>
      <c r="X1171" s="27"/>
      <c r="Y1171" s="29"/>
      <c r="Z1171" s="27"/>
      <c r="AA1171" s="27"/>
      <c r="AB1171" s="27"/>
      <c r="AC1171" s="27"/>
      <c r="AD1171" s="30"/>
      <c r="AE1171" s="31">
        <f>SUMIFS(инфо!$D$15:$D$28,инфо!$A$15:$A$28,F1171)</f>
        <v>0</v>
      </c>
      <c r="AF1171" s="35">
        <f t="shared" si="261"/>
        <v>0</v>
      </c>
      <c r="AG1171" s="33">
        <f t="shared" si="270"/>
        <v>0</v>
      </c>
      <c r="AH1171" s="31">
        <f>SUMIFS(инфо!$E$15:$E$28,инфо!$A$15:$A$28,F1171)</f>
        <v>0</v>
      </c>
      <c r="AI1171" s="32">
        <f t="shared" si="273"/>
        <v>0</v>
      </c>
      <c r="AJ1171" s="33">
        <f t="shared" si="271"/>
        <v>0</v>
      </c>
      <c r="AK1171" s="31">
        <f>SUMIFS(инфо!$F$15:$F$28,инфо!$A$15:$A$28,F1171)</f>
        <v>0</v>
      </c>
      <c r="AL1171" s="32">
        <f t="shared" si="262"/>
        <v>0</v>
      </c>
      <c r="AM1171" s="33">
        <f t="shared" si="265"/>
        <v>0</v>
      </c>
      <c r="AN1171" s="31">
        <f>SUMIFS(инфо!$G$15:$G$28,инфо!$A$15:$A$28,F1171)</f>
        <v>0</v>
      </c>
      <c r="AO1171" s="32">
        <f t="shared" si="263"/>
        <v>0</v>
      </c>
      <c r="AP1171" s="33">
        <f t="shared" si="266"/>
        <v>0</v>
      </c>
      <c r="AQ1171" s="31">
        <f>SUMIFS(инфо!$H$15:$H$28,инфо!$A$15:$A$28,F1171)</f>
        <v>0</v>
      </c>
      <c r="AR1171" s="32">
        <f t="shared" si="264"/>
        <v>0</v>
      </c>
      <c r="AS1171" s="33">
        <f t="shared" si="267"/>
        <v>0</v>
      </c>
      <c r="AT1171" s="31">
        <f>SUMIFS(инфо!$I$15:$I$28,инфо!$A$15:$A$28,F1171)</f>
        <v>0</v>
      </c>
      <c r="AU1171" s="35">
        <f t="shared" si="272"/>
        <v>0</v>
      </c>
      <c r="AV1171" s="33">
        <f t="shared" si="268"/>
        <v>0</v>
      </c>
      <c r="AX1171" s="67">
        <f>SUMIFS(инфо!$C$15:$C$28,инфо!$A$15:$A$28,F1171)*H1170</f>
        <v>0</v>
      </c>
    </row>
    <row r="1172" spans="1:50" x14ac:dyDescent="0.25">
      <c r="A1172" s="70">
        <f t="shared" si="260"/>
        <v>46650</v>
      </c>
      <c r="B1172" s="76"/>
      <c r="C1172" s="15"/>
      <c r="D1172" s="16"/>
      <c r="E1172" s="11"/>
      <c r="F1172" s="28"/>
      <c r="G1172" s="34"/>
      <c r="H1172" s="20"/>
      <c r="I1172" s="20"/>
      <c r="J1172" s="20"/>
      <c r="K1172" s="20"/>
      <c r="L1172" s="20"/>
      <c r="M1172" s="20"/>
      <c r="N1172" s="20"/>
      <c r="O1172" s="34"/>
      <c r="P1172" s="34"/>
      <c r="Q1172" s="34"/>
      <c r="R1172" s="34"/>
      <c r="S1172" s="68">
        <f t="shared" si="269"/>
        <v>0</v>
      </c>
      <c r="T1172" s="15"/>
      <c r="U1172" s="16"/>
      <c r="V1172" s="34"/>
      <c r="W1172" s="34"/>
      <c r="X1172" s="34"/>
      <c r="Y1172" s="15"/>
      <c r="Z1172" s="34"/>
      <c r="AA1172" s="34"/>
      <c r="AB1172" s="34"/>
      <c r="AC1172" s="34"/>
      <c r="AD1172" s="16"/>
      <c r="AE1172" s="24">
        <f>SUMIFS(инфо!$D$15:$D$28,инфо!$A$15:$A$28,F1172)</f>
        <v>0</v>
      </c>
      <c r="AF1172" s="35">
        <f t="shared" si="261"/>
        <v>0</v>
      </c>
      <c r="AG1172" s="12">
        <f t="shared" si="270"/>
        <v>0</v>
      </c>
      <c r="AH1172" s="24">
        <f>SUMIFS(инфо!$E$15:$E$28,инфо!$A$15:$A$28,F1172)</f>
        <v>0</v>
      </c>
      <c r="AI1172" s="35">
        <f t="shared" si="273"/>
        <v>0</v>
      </c>
      <c r="AJ1172" s="12">
        <f t="shared" si="271"/>
        <v>0</v>
      </c>
      <c r="AK1172" s="24">
        <f>SUMIFS(инфо!$F$15:$F$28,инфо!$A$15:$A$28,F1172)</f>
        <v>0</v>
      </c>
      <c r="AL1172" s="32">
        <f t="shared" si="262"/>
        <v>0</v>
      </c>
      <c r="AM1172" s="12">
        <f t="shared" si="265"/>
        <v>0</v>
      </c>
      <c r="AN1172" s="24">
        <f>SUMIFS(инфо!$G$15:$G$28,инфо!$A$15:$A$28,F1172)</f>
        <v>0</v>
      </c>
      <c r="AO1172" s="32">
        <f t="shared" si="263"/>
        <v>0</v>
      </c>
      <c r="AP1172" s="12">
        <f t="shared" si="266"/>
        <v>0</v>
      </c>
      <c r="AQ1172" s="24">
        <f>SUMIFS(инфо!$H$15:$H$28,инфо!$A$15:$A$28,F1172)</f>
        <v>0</v>
      </c>
      <c r="AR1172" s="35">
        <f t="shared" si="264"/>
        <v>0</v>
      </c>
      <c r="AS1172" s="12">
        <f t="shared" si="267"/>
        <v>0</v>
      </c>
      <c r="AT1172" s="24">
        <f>SUMIFS(инфо!$I$15:$I$28,инфо!$A$15:$A$28,F1172)</f>
        <v>0</v>
      </c>
      <c r="AU1172" s="35">
        <f t="shared" si="272"/>
        <v>0</v>
      </c>
      <c r="AV1172" s="12">
        <f t="shared" si="268"/>
        <v>0</v>
      </c>
      <c r="AX1172" s="68">
        <f>SUMIFS(инфо!$C$15:$C$28,инфо!$A$15:$A$28,F1172)*H1171</f>
        <v>0</v>
      </c>
    </row>
    <row r="1173" spans="1:50" x14ac:dyDescent="0.25">
      <c r="A1173" s="70">
        <f t="shared" si="260"/>
        <v>46650</v>
      </c>
      <c r="B1173" s="76"/>
      <c r="C1173" s="15"/>
      <c r="D1173" s="16"/>
      <c r="E1173" s="11"/>
      <c r="F1173" s="28"/>
      <c r="G1173" s="34"/>
      <c r="H1173" s="23"/>
      <c r="I1173" s="20"/>
      <c r="J1173" s="20"/>
      <c r="K1173" s="20"/>
      <c r="L1173" s="20"/>
      <c r="M1173" s="20"/>
      <c r="N1173" s="20"/>
      <c r="O1173" s="34"/>
      <c r="P1173" s="34"/>
      <c r="Q1173" s="34"/>
      <c r="R1173" s="34"/>
      <c r="S1173" s="68">
        <f t="shared" si="269"/>
        <v>0</v>
      </c>
      <c r="T1173" s="15"/>
      <c r="U1173" s="16"/>
      <c r="V1173" s="34"/>
      <c r="W1173" s="34"/>
      <c r="X1173" s="34"/>
      <c r="Y1173" s="15"/>
      <c r="Z1173" s="34"/>
      <c r="AA1173" s="34"/>
      <c r="AB1173" s="34"/>
      <c r="AC1173" s="34"/>
      <c r="AD1173" s="16"/>
      <c r="AE1173" s="24">
        <f>SUMIFS(инфо!$D$15:$D$28,инфо!$A$15:$A$28,F1173)</f>
        <v>0</v>
      </c>
      <c r="AF1173" s="35">
        <f t="shared" si="261"/>
        <v>0</v>
      </c>
      <c r="AG1173" s="12">
        <f t="shared" si="270"/>
        <v>0</v>
      </c>
      <c r="AH1173" s="24">
        <f>SUMIFS(инфо!$E$15:$E$28,инфо!$A$15:$A$28,F1173)</f>
        <v>0</v>
      </c>
      <c r="AI1173" s="35">
        <f t="shared" si="273"/>
        <v>0</v>
      </c>
      <c r="AJ1173" s="12">
        <f t="shared" si="271"/>
        <v>0</v>
      </c>
      <c r="AK1173" s="24">
        <f>SUMIFS(инфо!$F$15:$F$28,инфо!$A$15:$A$28,F1173)</f>
        <v>0</v>
      </c>
      <c r="AL1173" s="32">
        <f t="shared" si="262"/>
        <v>0</v>
      </c>
      <c r="AM1173" s="12">
        <f t="shared" si="265"/>
        <v>0</v>
      </c>
      <c r="AN1173" s="24">
        <f>SUMIFS(инфо!$G$15:$G$28,инфо!$A$15:$A$28,F1173)</f>
        <v>0</v>
      </c>
      <c r="AO1173" s="32">
        <f t="shared" si="263"/>
        <v>0</v>
      </c>
      <c r="AP1173" s="12">
        <f t="shared" si="266"/>
        <v>0</v>
      </c>
      <c r="AQ1173" s="24">
        <f>SUMIFS(инфо!$H$15:$H$28,инфо!$A$15:$A$28,F1173)</f>
        <v>0</v>
      </c>
      <c r="AR1173" s="35">
        <f t="shared" si="264"/>
        <v>0</v>
      </c>
      <c r="AS1173" s="12">
        <f t="shared" si="267"/>
        <v>0</v>
      </c>
      <c r="AT1173" s="24">
        <f>SUMIFS(инфо!$I$15:$I$28,инфо!$A$15:$A$28,F1173)</f>
        <v>0</v>
      </c>
      <c r="AU1173" s="35">
        <f t="shared" si="272"/>
        <v>0</v>
      </c>
      <c r="AV1173" s="12">
        <f t="shared" si="268"/>
        <v>0</v>
      </c>
      <c r="AX1173" s="68">
        <f>SUMIFS(инфо!$C$15:$C$28,инфо!$A$15:$A$28,F1173)*H1172</f>
        <v>0</v>
      </c>
    </row>
    <row r="1174" spans="1:50" x14ac:dyDescent="0.25">
      <c r="A1174" s="70">
        <f t="shared" si="260"/>
        <v>46651</v>
      </c>
      <c r="B1174" s="77"/>
      <c r="C1174" s="17"/>
      <c r="D1174" s="18"/>
      <c r="E1174" s="11"/>
      <c r="F1174" s="28"/>
      <c r="G1174" s="19"/>
      <c r="H1174" s="28"/>
      <c r="I1174" s="20"/>
      <c r="J1174" s="20"/>
      <c r="K1174" s="20"/>
      <c r="L1174" s="20"/>
      <c r="M1174" s="20"/>
      <c r="N1174" s="23"/>
      <c r="O1174" s="19"/>
      <c r="P1174" s="19"/>
      <c r="Q1174" s="19"/>
      <c r="R1174" s="19"/>
      <c r="S1174" s="69">
        <f t="shared" si="269"/>
        <v>0</v>
      </c>
      <c r="T1174" s="17"/>
      <c r="U1174" s="18"/>
      <c r="V1174" s="19"/>
      <c r="W1174" s="19"/>
      <c r="X1174" s="19"/>
      <c r="Y1174" s="17"/>
      <c r="Z1174" s="19"/>
      <c r="AA1174" s="19"/>
      <c r="AB1174" s="19"/>
      <c r="AC1174" s="19"/>
      <c r="AD1174" s="18"/>
      <c r="AE1174" s="25">
        <f>SUMIFS(инфо!$D$15:$D$28,инфо!$A$15:$A$28,F1174)</f>
        <v>0</v>
      </c>
      <c r="AF1174" s="35">
        <f t="shared" si="261"/>
        <v>0</v>
      </c>
      <c r="AG1174" s="14">
        <f t="shared" si="270"/>
        <v>0</v>
      </c>
      <c r="AH1174" s="25">
        <f>SUMIFS(инфо!$E$15:$E$28,инфо!$A$15:$A$28,F1174)</f>
        <v>0</v>
      </c>
      <c r="AI1174" s="26">
        <f t="shared" si="273"/>
        <v>0</v>
      </c>
      <c r="AJ1174" s="14">
        <f t="shared" si="271"/>
        <v>0</v>
      </c>
      <c r="AK1174" s="25">
        <f>SUMIFS(инфо!$F$15:$F$28,инфо!$A$15:$A$28,F1174)</f>
        <v>0</v>
      </c>
      <c r="AL1174" s="32">
        <f t="shared" si="262"/>
        <v>0</v>
      </c>
      <c r="AM1174" s="14">
        <f t="shared" si="265"/>
        <v>0</v>
      </c>
      <c r="AN1174" s="25">
        <f>SUMIFS(инфо!$G$15:$G$28,инфо!$A$15:$A$28,F1174)</f>
        <v>0</v>
      </c>
      <c r="AO1174" s="32">
        <f t="shared" si="263"/>
        <v>0</v>
      </c>
      <c r="AP1174" s="14">
        <f t="shared" si="266"/>
        <v>0</v>
      </c>
      <c r="AQ1174" s="25">
        <f>SUMIFS(инфо!$H$15:$H$28,инфо!$A$15:$A$28,F1174)</f>
        <v>0</v>
      </c>
      <c r="AR1174" s="26">
        <f t="shared" si="264"/>
        <v>0</v>
      </c>
      <c r="AS1174" s="14">
        <f t="shared" si="267"/>
        <v>0</v>
      </c>
      <c r="AT1174" s="25">
        <f>SUMIFS(инфо!$I$15:$I$28,инфо!$A$15:$A$28,F1174)</f>
        <v>0</v>
      </c>
      <c r="AU1174" s="35">
        <f t="shared" si="272"/>
        <v>0</v>
      </c>
      <c r="AV1174" s="14">
        <f t="shared" si="268"/>
        <v>0</v>
      </c>
      <c r="AX1174" s="69">
        <f>SUMIFS(инфо!$C$15:$C$28,инфо!$A$15:$A$28,F1174)*H1173</f>
        <v>0</v>
      </c>
    </row>
    <row r="1175" spans="1:50" x14ac:dyDescent="0.25">
      <c r="A1175" s="70">
        <f t="shared" si="260"/>
        <v>46651</v>
      </c>
      <c r="B1175" s="75"/>
      <c r="C1175" s="29"/>
      <c r="D1175" s="30"/>
      <c r="E1175" s="11"/>
      <c r="F1175" s="28"/>
      <c r="G1175" s="27"/>
      <c r="H1175" s="20"/>
      <c r="I1175" s="20"/>
      <c r="J1175" s="20"/>
      <c r="K1175" s="20"/>
      <c r="L1175" s="20"/>
      <c r="M1175" s="20"/>
      <c r="N1175" s="28"/>
      <c r="O1175" s="27"/>
      <c r="P1175" s="27"/>
      <c r="Q1175" s="27"/>
      <c r="R1175" s="27"/>
      <c r="S1175" s="67">
        <f t="shared" si="269"/>
        <v>0</v>
      </c>
      <c r="T1175" s="29"/>
      <c r="U1175" s="30"/>
      <c r="V1175" s="27"/>
      <c r="W1175" s="27"/>
      <c r="X1175" s="27"/>
      <c r="Y1175" s="29"/>
      <c r="Z1175" s="27"/>
      <c r="AA1175" s="27"/>
      <c r="AB1175" s="27"/>
      <c r="AC1175" s="27"/>
      <c r="AD1175" s="30"/>
      <c r="AE1175" s="31">
        <f>SUMIFS(инфо!$D$15:$D$28,инфо!$A$15:$A$28,F1175)</f>
        <v>0</v>
      </c>
      <c r="AF1175" s="35">
        <f t="shared" si="261"/>
        <v>0</v>
      </c>
      <c r="AG1175" s="33">
        <f t="shared" si="270"/>
        <v>0</v>
      </c>
      <c r="AH1175" s="31">
        <f>SUMIFS(инфо!$E$15:$E$28,инфо!$A$15:$A$28,F1175)</f>
        <v>0</v>
      </c>
      <c r="AI1175" s="32">
        <f t="shared" si="273"/>
        <v>0</v>
      </c>
      <c r="AJ1175" s="33">
        <f t="shared" si="271"/>
        <v>0</v>
      </c>
      <c r="AK1175" s="31">
        <f>SUMIFS(инфо!$F$15:$F$28,инфо!$A$15:$A$28,F1175)</f>
        <v>0</v>
      </c>
      <c r="AL1175" s="32">
        <f t="shared" si="262"/>
        <v>0</v>
      </c>
      <c r="AM1175" s="33">
        <f t="shared" si="265"/>
        <v>0</v>
      </c>
      <c r="AN1175" s="31">
        <f>SUMIFS(инфо!$G$15:$G$28,инфо!$A$15:$A$28,F1175)</f>
        <v>0</v>
      </c>
      <c r="AO1175" s="32">
        <f t="shared" si="263"/>
        <v>0</v>
      </c>
      <c r="AP1175" s="33">
        <f t="shared" si="266"/>
        <v>0</v>
      </c>
      <c r="AQ1175" s="31">
        <f>SUMIFS(инфо!$H$15:$H$28,инфо!$A$15:$A$28,F1175)</f>
        <v>0</v>
      </c>
      <c r="AR1175" s="32">
        <f t="shared" si="264"/>
        <v>0</v>
      </c>
      <c r="AS1175" s="33">
        <f t="shared" si="267"/>
        <v>0</v>
      </c>
      <c r="AT1175" s="31">
        <f>SUMIFS(инфо!$I$15:$I$28,инфо!$A$15:$A$28,F1175)</f>
        <v>0</v>
      </c>
      <c r="AU1175" s="35">
        <f t="shared" si="272"/>
        <v>0</v>
      </c>
      <c r="AV1175" s="33">
        <f t="shared" si="268"/>
        <v>0</v>
      </c>
      <c r="AX1175" s="67">
        <f>SUMIFS(инфо!$C$15:$C$28,инфо!$A$15:$A$28,F1175)*H1174</f>
        <v>0</v>
      </c>
    </row>
    <row r="1176" spans="1:50" x14ac:dyDescent="0.25">
      <c r="A1176" s="70">
        <f t="shared" si="260"/>
        <v>46652</v>
      </c>
      <c r="B1176" s="76"/>
      <c r="C1176" s="15"/>
      <c r="D1176" s="16"/>
      <c r="E1176" s="11"/>
      <c r="F1176" s="28"/>
      <c r="G1176" s="34"/>
      <c r="H1176" s="20"/>
      <c r="I1176" s="20"/>
      <c r="J1176" s="20"/>
      <c r="K1176" s="20"/>
      <c r="L1176" s="20"/>
      <c r="M1176" s="20"/>
      <c r="N1176" s="20"/>
      <c r="O1176" s="34"/>
      <c r="P1176" s="34"/>
      <c r="Q1176" s="34"/>
      <c r="R1176" s="34"/>
      <c r="S1176" s="68">
        <f t="shared" si="269"/>
        <v>0</v>
      </c>
      <c r="T1176" s="15"/>
      <c r="U1176" s="16"/>
      <c r="V1176" s="34"/>
      <c r="W1176" s="34"/>
      <c r="X1176" s="34"/>
      <c r="Y1176" s="15"/>
      <c r="Z1176" s="34"/>
      <c r="AA1176" s="34"/>
      <c r="AB1176" s="34"/>
      <c r="AC1176" s="34"/>
      <c r="AD1176" s="16"/>
      <c r="AE1176" s="24">
        <f>SUMIFS(инфо!$D$15:$D$28,инфо!$A$15:$A$28,F1176)</f>
        <v>0</v>
      </c>
      <c r="AF1176" s="35">
        <f t="shared" si="261"/>
        <v>0</v>
      </c>
      <c r="AG1176" s="12">
        <f t="shared" si="270"/>
        <v>0</v>
      </c>
      <c r="AH1176" s="24">
        <f>SUMIFS(инфо!$E$15:$E$28,инфо!$A$15:$A$28,F1176)</f>
        <v>0</v>
      </c>
      <c r="AI1176" s="35">
        <f t="shared" si="273"/>
        <v>0</v>
      </c>
      <c r="AJ1176" s="12">
        <f t="shared" si="271"/>
        <v>0</v>
      </c>
      <c r="AK1176" s="24">
        <f>SUMIFS(инфо!$F$15:$F$28,инфо!$A$15:$A$28,F1176)</f>
        <v>0</v>
      </c>
      <c r="AL1176" s="32">
        <f t="shared" si="262"/>
        <v>0</v>
      </c>
      <c r="AM1176" s="12">
        <f t="shared" si="265"/>
        <v>0</v>
      </c>
      <c r="AN1176" s="24">
        <f>SUMIFS(инфо!$G$15:$G$28,инфо!$A$15:$A$28,F1176)</f>
        <v>0</v>
      </c>
      <c r="AO1176" s="32">
        <f t="shared" si="263"/>
        <v>0</v>
      </c>
      <c r="AP1176" s="12">
        <f t="shared" si="266"/>
        <v>0</v>
      </c>
      <c r="AQ1176" s="24">
        <f>SUMIFS(инфо!$H$15:$H$28,инфо!$A$15:$A$28,F1176)</f>
        <v>0</v>
      </c>
      <c r="AR1176" s="35">
        <f t="shared" si="264"/>
        <v>0</v>
      </c>
      <c r="AS1176" s="12">
        <f t="shared" si="267"/>
        <v>0</v>
      </c>
      <c r="AT1176" s="24">
        <f>SUMIFS(инфо!$I$15:$I$28,инфо!$A$15:$A$28,F1176)</f>
        <v>0</v>
      </c>
      <c r="AU1176" s="35">
        <f t="shared" si="272"/>
        <v>0</v>
      </c>
      <c r="AV1176" s="12">
        <f t="shared" si="268"/>
        <v>0</v>
      </c>
      <c r="AX1176" s="68">
        <f>SUMIFS(инфо!$C$15:$C$28,инфо!$A$15:$A$28,F1176)*H1175</f>
        <v>0</v>
      </c>
    </row>
    <row r="1177" spans="1:50" x14ac:dyDescent="0.25">
      <c r="A1177" s="70">
        <f t="shared" si="260"/>
        <v>46652</v>
      </c>
      <c r="B1177" s="76"/>
      <c r="C1177" s="15"/>
      <c r="D1177" s="16"/>
      <c r="E1177" s="11"/>
      <c r="F1177" s="28"/>
      <c r="G1177" s="34"/>
      <c r="H1177" s="23"/>
      <c r="I1177" s="20"/>
      <c r="J1177" s="20"/>
      <c r="K1177" s="20"/>
      <c r="L1177" s="20"/>
      <c r="M1177" s="20"/>
      <c r="N1177" s="20"/>
      <c r="O1177" s="34"/>
      <c r="P1177" s="34"/>
      <c r="Q1177" s="34"/>
      <c r="R1177" s="34"/>
      <c r="S1177" s="68">
        <f t="shared" si="269"/>
        <v>0</v>
      </c>
      <c r="T1177" s="15"/>
      <c r="U1177" s="16"/>
      <c r="V1177" s="34"/>
      <c r="W1177" s="34"/>
      <c r="X1177" s="34"/>
      <c r="Y1177" s="15"/>
      <c r="Z1177" s="34"/>
      <c r="AA1177" s="34"/>
      <c r="AB1177" s="34"/>
      <c r="AC1177" s="34"/>
      <c r="AD1177" s="16"/>
      <c r="AE1177" s="24">
        <f>SUMIFS(инфо!$D$15:$D$28,инфо!$A$15:$A$28,F1177)</f>
        <v>0</v>
      </c>
      <c r="AF1177" s="35">
        <f t="shared" si="261"/>
        <v>0</v>
      </c>
      <c r="AG1177" s="12">
        <f t="shared" si="270"/>
        <v>0</v>
      </c>
      <c r="AH1177" s="24">
        <f>SUMIFS(инфо!$E$15:$E$28,инфо!$A$15:$A$28,F1177)</f>
        <v>0</v>
      </c>
      <c r="AI1177" s="35">
        <f t="shared" si="273"/>
        <v>0</v>
      </c>
      <c r="AJ1177" s="12">
        <f t="shared" si="271"/>
        <v>0</v>
      </c>
      <c r="AK1177" s="24">
        <f>SUMIFS(инфо!$F$15:$F$28,инфо!$A$15:$A$28,F1177)</f>
        <v>0</v>
      </c>
      <c r="AL1177" s="32">
        <f t="shared" si="262"/>
        <v>0</v>
      </c>
      <c r="AM1177" s="12">
        <f t="shared" si="265"/>
        <v>0</v>
      </c>
      <c r="AN1177" s="24">
        <f>SUMIFS(инфо!$G$15:$G$28,инфо!$A$15:$A$28,F1177)</f>
        <v>0</v>
      </c>
      <c r="AO1177" s="32">
        <f t="shared" si="263"/>
        <v>0</v>
      </c>
      <c r="AP1177" s="12">
        <f t="shared" si="266"/>
        <v>0</v>
      </c>
      <c r="AQ1177" s="24">
        <f>SUMIFS(инфо!$H$15:$H$28,инфо!$A$15:$A$28,F1177)</f>
        <v>0</v>
      </c>
      <c r="AR1177" s="35">
        <f t="shared" si="264"/>
        <v>0</v>
      </c>
      <c r="AS1177" s="12">
        <f t="shared" si="267"/>
        <v>0</v>
      </c>
      <c r="AT1177" s="24">
        <f>SUMIFS(инфо!$I$15:$I$28,инфо!$A$15:$A$28,F1177)</f>
        <v>0</v>
      </c>
      <c r="AU1177" s="35">
        <f t="shared" si="272"/>
        <v>0</v>
      </c>
      <c r="AV1177" s="12">
        <f t="shared" si="268"/>
        <v>0</v>
      </c>
      <c r="AX1177" s="68">
        <f>SUMIFS(инфо!$C$15:$C$28,инфо!$A$15:$A$28,F1177)*H1176</f>
        <v>0</v>
      </c>
    </row>
    <row r="1178" spans="1:50" x14ac:dyDescent="0.25">
      <c r="A1178" s="70">
        <f t="shared" si="260"/>
        <v>46653</v>
      </c>
      <c r="B1178" s="77"/>
      <c r="C1178" s="17"/>
      <c r="D1178" s="18"/>
      <c r="E1178" s="11"/>
      <c r="F1178" s="28"/>
      <c r="G1178" s="19"/>
      <c r="H1178" s="28"/>
      <c r="I1178" s="20"/>
      <c r="J1178" s="20"/>
      <c r="K1178" s="20"/>
      <c r="L1178" s="20"/>
      <c r="M1178" s="20"/>
      <c r="N1178" s="23"/>
      <c r="O1178" s="19"/>
      <c r="P1178" s="19"/>
      <c r="Q1178" s="19"/>
      <c r="R1178" s="19"/>
      <c r="S1178" s="69">
        <f t="shared" si="269"/>
        <v>0</v>
      </c>
      <c r="T1178" s="17"/>
      <c r="U1178" s="18"/>
      <c r="V1178" s="19"/>
      <c r="W1178" s="19"/>
      <c r="X1178" s="19"/>
      <c r="Y1178" s="17"/>
      <c r="Z1178" s="19"/>
      <c r="AA1178" s="19"/>
      <c r="AB1178" s="19"/>
      <c r="AC1178" s="19"/>
      <c r="AD1178" s="18"/>
      <c r="AE1178" s="25">
        <f>SUMIFS(инфо!$D$15:$D$28,инфо!$A$15:$A$28,F1178)</f>
        <v>0</v>
      </c>
      <c r="AF1178" s="35">
        <f t="shared" si="261"/>
        <v>0</v>
      </c>
      <c r="AG1178" s="14">
        <f t="shared" si="270"/>
        <v>0</v>
      </c>
      <c r="AH1178" s="25">
        <f>SUMIFS(инфо!$E$15:$E$28,инфо!$A$15:$A$28,F1178)</f>
        <v>0</v>
      </c>
      <c r="AI1178" s="26">
        <f t="shared" si="273"/>
        <v>0</v>
      </c>
      <c r="AJ1178" s="14">
        <f t="shared" si="271"/>
        <v>0</v>
      </c>
      <c r="AK1178" s="25">
        <f>SUMIFS(инфо!$F$15:$F$28,инфо!$A$15:$A$28,F1178)</f>
        <v>0</v>
      </c>
      <c r="AL1178" s="32">
        <f t="shared" si="262"/>
        <v>0</v>
      </c>
      <c r="AM1178" s="14">
        <f t="shared" si="265"/>
        <v>0</v>
      </c>
      <c r="AN1178" s="25">
        <f>SUMIFS(инфо!$G$15:$G$28,инфо!$A$15:$A$28,F1178)</f>
        <v>0</v>
      </c>
      <c r="AO1178" s="32">
        <f t="shared" si="263"/>
        <v>0</v>
      </c>
      <c r="AP1178" s="14">
        <f t="shared" si="266"/>
        <v>0</v>
      </c>
      <c r="AQ1178" s="25">
        <f>SUMIFS(инфо!$H$15:$H$28,инфо!$A$15:$A$28,F1178)</f>
        <v>0</v>
      </c>
      <c r="AR1178" s="26">
        <f t="shared" si="264"/>
        <v>0</v>
      </c>
      <c r="AS1178" s="14">
        <f t="shared" si="267"/>
        <v>0</v>
      </c>
      <c r="AT1178" s="25">
        <f>SUMIFS(инфо!$I$15:$I$28,инфо!$A$15:$A$28,F1178)</f>
        <v>0</v>
      </c>
      <c r="AU1178" s="35">
        <f t="shared" si="272"/>
        <v>0</v>
      </c>
      <c r="AV1178" s="14">
        <f t="shared" si="268"/>
        <v>0</v>
      </c>
      <c r="AX1178" s="69">
        <f>SUMIFS(инфо!$C$15:$C$28,инфо!$A$15:$A$28,F1178)*H1177</f>
        <v>0</v>
      </c>
    </row>
    <row r="1179" spans="1:50" x14ac:dyDescent="0.25">
      <c r="A1179" s="70">
        <f t="shared" si="260"/>
        <v>46653</v>
      </c>
      <c r="B1179" s="75"/>
      <c r="C1179" s="29"/>
      <c r="D1179" s="30"/>
      <c r="E1179" s="11"/>
      <c r="F1179" s="28"/>
      <c r="G1179" s="27"/>
      <c r="H1179" s="20"/>
      <c r="I1179" s="20"/>
      <c r="J1179" s="20"/>
      <c r="K1179" s="20"/>
      <c r="L1179" s="20"/>
      <c r="M1179" s="20"/>
      <c r="N1179" s="28"/>
      <c r="O1179" s="27"/>
      <c r="P1179" s="27"/>
      <c r="Q1179" s="27"/>
      <c r="R1179" s="27"/>
      <c r="S1179" s="67">
        <f t="shared" si="269"/>
        <v>0</v>
      </c>
      <c r="T1179" s="29"/>
      <c r="U1179" s="30"/>
      <c r="V1179" s="27"/>
      <c r="W1179" s="27"/>
      <c r="X1179" s="27"/>
      <c r="Y1179" s="29"/>
      <c r="Z1179" s="27"/>
      <c r="AA1179" s="27"/>
      <c r="AB1179" s="27"/>
      <c r="AC1179" s="27"/>
      <c r="AD1179" s="30"/>
      <c r="AE1179" s="31">
        <f>SUMIFS(инфо!$D$15:$D$28,инфо!$A$15:$A$28,F1179)</f>
        <v>0</v>
      </c>
      <c r="AF1179" s="35">
        <f t="shared" si="261"/>
        <v>0</v>
      </c>
      <c r="AG1179" s="33">
        <f t="shared" si="270"/>
        <v>0</v>
      </c>
      <c r="AH1179" s="31">
        <f>SUMIFS(инфо!$E$15:$E$28,инфо!$A$15:$A$28,F1179)</f>
        <v>0</v>
      </c>
      <c r="AI1179" s="32">
        <f t="shared" si="273"/>
        <v>0</v>
      </c>
      <c r="AJ1179" s="33">
        <f t="shared" si="271"/>
        <v>0</v>
      </c>
      <c r="AK1179" s="31">
        <f>SUMIFS(инфо!$F$15:$F$28,инфо!$A$15:$A$28,F1179)</f>
        <v>0</v>
      </c>
      <c r="AL1179" s="32">
        <f t="shared" si="262"/>
        <v>0</v>
      </c>
      <c r="AM1179" s="33">
        <f t="shared" si="265"/>
        <v>0</v>
      </c>
      <c r="AN1179" s="31">
        <f>SUMIFS(инфо!$G$15:$G$28,инфо!$A$15:$A$28,F1179)</f>
        <v>0</v>
      </c>
      <c r="AO1179" s="32">
        <f t="shared" si="263"/>
        <v>0</v>
      </c>
      <c r="AP1179" s="33">
        <f t="shared" si="266"/>
        <v>0</v>
      </c>
      <c r="AQ1179" s="31">
        <f>SUMIFS(инфо!$H$15:$H$28,инфо!$A$15:$A$28,F1179)</f>
        <v>0</v>
      </c>
      <c r="AR1179" s="32">
        <f t="shared" si="264"/>
        <v>0</v>
      </c>
      <c r="AS1179" s="33">
        <f t="shared" si="267"/>
        <v>0</v>
      </c>
      <c r="AT1179" s="31">
        <f>SUMIFS(инфо!$I$15:$I$28,инфо!$A$15:$A$28,F1179)</f>
        <v>0</v>
      </c>
      <c r="AU1179" s="35">
        <f t="shared" si="272"/>
        <v>0</v>
      </c>
      <c r="AV1179" s="33">
        <f t="shared" si="268"/>
        <v>0</v>
      </c>
      <c r="AX1179" s="67">
        <f>SUMIFS(инфо!$C$15:$C$28,инфо!$A$15:$A$28,F1179)*H1178</f>
        <v>0</v>
      </c>
    </row>
    <row r="1180" spans="1:50" x14ac:dyDescent="0.25">
      <c r="A1180" s="70">
        <f t="shared" ref="A1180:A1243" si="274">A1178+1</f>
        <v>46654</v>
      </c>
      <c r="B1180" s="76"/>
      <c r="C1180" s="15"/>
      <c r="D1180" s="16"/>
      <c r="E1180" s="11"/>
      <c r="F1180" s="28"/>
      <c r="G1180" s="34"/>
      <c r="H1180" s="20"/>
      <c r="I1180" s="20"/>
      <c r="J1180" s="20"/>
      <c r="K1180" s="20"/>
      <c r="L1180" s="20"/>
      <c r="M1180" s="20"/>
      <c r="N1180" s="20"/>
      <c r="O1180" s="34"/>
      <c r="P1180" s="34"/>
      <c r="Q1180" s="34"/>
      <c r="R1180" s="34"/>
      <c r="S1180" s="68">
        <f t="shared" si="269"/>
        <v>0</v>
      </c>
      <c r="T1180" s="15"/>
      <c r="U1180" s="16"/>
      <c r="V1180" s="34"/>
      <c r="W1180" s="34"/>
      <c r="X1180" s="34"/>
      <c r="Y1180" s="15"/>
      <c r="Z1180" s="34"/>
      <c r="AA1180" s="34"/>
      <c r="AB1180" s="34"/>
      <c r="AC1180" s="34"/>
      <c r="AD1180" s="16"/>
      <c r="AE1180" s="24">
        <f>SUMIFS(инфо!$D$15:$D$28,инфо!$A$15:$A$28,F1180)</f>
        <v>0</v>
      </c>
      <c r="AF1180" s="35">
        <f t="shared" si="261"/>
        <v>0</v>
      </c>
      <c r="AG1180" s="12">
        <f t="shared" si="270"/>
        <v>0</v>
      </c>
      <c r="AH1180" s="24">
        <f>SUMIFS(инфо!$E$15:$E$28,инфо!$A$15:$A$28,F1180)</f>
        <v>0</v>
      </c>
      <c r="AI1180" s="35">
        <f t="shared" si="273"/>
        <v>0</v>
      </c>
      <c r="AJ1180" s="12">
        <f t="shared" si="271"/>
        <v>0</v>
      </c>
      <c r="AK1180" s="24">
        <f>SUMIFS(инфо!$F$15:$F$28,инфо!$A$15:$A$28,F1180)</f>
        <v>0</v>
      </c>
      <c r="AL1180" s="32">
        <f t="shared" si="262"/>
        <v>0</v>
      </c>
      <c r="AM1180" s="12">
        <f t="shared" si="265"/>
        <v>0</v>
      </c>
      <c r="AN1180" s="24">
        <f>SUMIFS(инфо!$G$15:$G$28,инфо!$A$15:$A$28,F1180)</f>
        <v>0</v>
      </c>
      <c r="AO1180" s="32">
        <f t="shared" si="263"/>
        <v>0</v>
      </c>
      <c r="AP1180" s="12">
        <f t="shared" si="266"/>
        <v>0</v>
      </c>
      <c r="AQ1180" s="24">
        <f>SUMIFS(инфо!$H$15:$H$28,инфо!$A$15:$A$28,F1180)</f>
        <v>0</v>
      </c>
      <c r="AR1180" s="35">
        <f t="shared" si="264"/>
        <v>0</v>
      </c>
      <c r="AS1180" s="12">
        <f t="shared" si="267"/>
        <v>0</v>
      </c>
      <c r="AT1180" s="24">
        <f>SUMIFS(инфо!$I$15:$I$28,инфо!$A$15:$A$28,F1180)</f>
        <v>0</v>
      </c>
      <c r="AU1180" s="35">
        <f t="shared" si="272"/>
        <v>0</v>
      </c>
      <c r="AV1180" s="12">
        <f t="shared" si="268"/>
        <v>0</v>
      </c>
      <c r="AX1180" s="68">
        <f>SUMIFS(инфо!$C$15:$C$28,инфо!$A$15:$A$28,F1180)*H1179</f>
        <v>0</v>
      </c>
    </row>
    <row r="1181" spans="1:50" x14ac:dyDescent="0.25">
      <c r="A1181" s="70">
        <f t="shared" si="274"/>
        <v>46654</v>
      </c>
      <c r="B1181" s="76"/>
      <c r="C1181" s="15"/>
      <c r="D1181" s="16"/>
      <c r="E1181" s="11"/>
      <c r="F1181" s="28"/>
      <c r="G1181" s="34"/>
      <c r="H1181" s="23"/>
      <c r="I1181" s="20"/>
      <c r="J1181" s="20"/>
      <c r="K1181" s="20"/>
      <c r="L1181" s="20"/>
      <c r="M1181" s="20"/>
      <c r="N1181" s="20"/>
      <c r="O1181" s="34"/>
      <c r="P1181" s="34"/>
      <c r="Q1181" s="34"/>
      <c r="R1181" s="34"/>
      <c r="S1181" s="68">
        <f t="shared" si="269"/>
        <v>0</v>
      </c>
      <c r="T1181" s="15"/>
      <c r="U1181" s="16"/>
      <c r="V1181" s="34"/>
      <c r="W1181" s="34"/>
      <c r="X1181" s="34"/>
      <c r="Y1181" s="15"/>
      <c r="Z1181" s="34"/>
      <c r="AA1181" s="34"/>
      <c r="AB1181" s="34"/>
      <c r="AC1181" s="34"/>
      <c r="AD1181" s="16"/>
      <c r="AE1181" s="24">
        <f>SUMIFS(инфо!$D$15:$D$28,инфо!$A$15:$A$28,F1181)</f>
        <v>0</v>
      </c>
      <c r="AF1181" s="35">
        <f t="shared" si="261"/>
        <v>0</v>
      </c>
      <c r="AG1181" s="12">
        <f t="shared" si="270"/>
        <v>0</v>
      </c>
      <c r="AH1181" s="24">
        <f>SUMIFS(инфо!$E$15:$E$28,инфо!$A$15:$A$28,F1181)</f>
        <v>0</v>
      </c>
      <c r="AI1181" s="35">
        <f t="shared" si="273"/>
        <v>0</v>
      </c>
      <c r="AJ1181" s="12">
        <f t="shared" si="271"/>
        <v>0</v>
      </c>
      <c r="AK1181" s="24">
        <f>SUMIFS(инфо!$F$15:$F$28,инфо!$A$15:$A$28,F1181)</f>
        <v>0</v>
      </c>
      <c r="AL1181" s="32">
        <f t="shared" si="262"/>
        <v>0</v>
      </c>
      <c r="AM1181" s="12">
        <f t="shared" si="265"/>
        <v>0</v>
      </c>
      <c r="AN1181" s="24">
        <f>SUMIFS(инфо!$G$15:$G$28,инфо!$A$15:$A$28,F1181)</f>
        <v>0</v>
      </c>
      <c r="AO1181" s="32">
        <f t="shared" si="263"/>
        <v>0</v>
      </c>
      <c r="AP1181" s="12">
        <f t="shared" si="266"/>
        <v>0</v>
      </c>
      <c r="AQ1181" s="24">
        <f>SUMIFS(инфо!$H$15:$H$28,инфо!$A$15:$A$28,F1181)</f>
        <v>0</v>
      </c>
      <c r="AR1181" s="35">
        <f t="shared" si="264"/>
        <v>0</v>
      </c>
      <c r="AS1181" s="12">
        <f t="shared" si="267"/>
        <v>0</v>
      </c>
      <c r="AT1181" s="24">
        <f>SUMIFS(инфо!$I$15:$I$28,инфо!$A$15:$A$28,F1181)</f>
        <v>0</v>
      </c>
      <c r="AU1181" s="35">
        <f t="shared" si="272"/>
        <v>0</v>
      </c>
      <c r="AV1181" s="12">
        <f t="shared" si="268"/>
        <v>0</v>
      </c>
      <c r="AX1181" s="68">
        <f>SUMIFS(инфо!$C$15:$C$28,инфо!$A$15:$A$28,F1181)*H1180</f>
        <v>0</v>
      </c>
    </row>
    <row r="1182" spans="1:50" x14ac:dyDescent="0.25">
      <c r="A1182" s="70">
        <f t="shared" si="274"/>
        <v>46655</v>
      </c>
      <c r="B1182" s="77"/>
      <c r="C1182" s="17"/>
      <c r="D1182" s="18"/>
      <c r="E1182" s="11"/>
      <c r="F1182" s="28"/>
      <c r="G1182" s="19"/>
      <c r="H1182" s="28"/>
      <c r="I1182" s="20"/>
      <c r="J1182" s="20"/>
      <c r="K1182" s="20"/>
      <c r="L1182" s="20"/>
      <c r="M1182" s="20"/>
      <c r="N1182" s="23"/>
      <c r="O1182" s="19"/>
      <c r="P1182" s="19"/>
      <c r="Q1182" s="19"/>
      <c r="R1182" s="19"/>
      <c r="S1182" s="69">
        <f t="shared" si="269"/>
        <v>0</v>
      </c>
      <c r="T1182" s="17"/>
      <c r="U1182" s="18"/>
      <c r="V1182" s="19"/>
      <c r="W1182" s="19"/>
      <c r="X1182" s="19"/>
      <c r="Y1182" s="17"/>
      <c r="Z1182" s="19"/>
      <c r="AA1182" s="19"/>
      <c r="AB1182" s="19"/>
      <c r="AC1182" s="19"/>
      <c r="AD1182" s="18"/>
      <c r="AE1182" s="25">
        <f>SUMIFS(инфо!$D$15:$D$28,инфо!$A$15:$A$28,F1182)</f>
        <v>0</v>
      </c>
      <c r="AF1182" s="35">
        <f t="shared" si="261"/>
        <v>0</v>
      </c>
      <c r="AG1182" s="14">
        <f t="shared" si="270"/>
        <v>0</v>
      </c>
      <c r="AH1182" s="25">
        <f>SUMIFS(инфо!$E$15:$E$28,инфо!$A$15:$A$28,F1182)</f>
        <v>0</v>
      </c>
      <c r="AI1182" s="26">
        <f t="shared" si="273"/>
        <v>0</v>
      </c>
      <c r="AJ1182" s="14">
        <f t="shared" si="271"/>
        <v>0</v>
      </c>
      <c r="AK1182" s="25">
        <f>SUMIFS(инфо!$F$15:$F$28,инфо!$A$15:$A$28,F1182)</f>
        <v>0</v>
      </c>
      <c r="AL1182" s="32">
        <f t="shared" si="262"/>
        <v>0</v>
      </c>
      <c r="AM1182" s="14">
        <f t="shared" si="265"/>
        <v>0</v>
      </c>
      <c r="AN1182" s="25">
        <f>SUMIFS(инфо!$G$15:$G$28,инфо!$A$15:$A$28,F1182)</f>
        <v>0</v>
      </c>
      <c r="AO1182" s="32">
        <f t="shared" si="263"/>
        <v>0</v>
      </c>
      <c r="AP1182" s="14">
        <f t="shared" si="266"/>
        <v>0</v>
      </c>
      <c r="AQ1182" s="25">
        <f>SUMIFS(инфо!$H$15:$H$28,инфо!$A$15:$A$28,F1182)</f>
        <v>0</v>
      </c>
      <c r="AR1182" s="26">
        <f t="shared" si="264"/>
        <v>0</v>
      </c>
      <c r="AS1182" s="14">
        <f t="shared" si="267"/>
        <v>0</v>
      </c>
      <c r="AT1182" s="25">
        <f>SUMIFS(инфо!$I$15:$I$28,инфо!$A$15:$A$28,F1182)</f>
        <v>0</v>
      </c>
      <c r="AU1182" s="35">
        <f t="shared" si="272"/>
        <v>0</v>
      </c>
      <c r="AV1182" s="14">
        <f t="shared" si="268"/>
        <v>0</v>
      </c>
      <c r="AX1182" s="69">
        <f>SUMIFS(инфо!$C$15:$C$28,инфо!$A$15:$A$28,F1182)*H1181</f>
        <v>0</v>
      </c>
    </row>
    <row r="1183" spans="1:50" x14ac:dyDescent="0.25">
      <c r="A1183" s="70">
        <f t="shared" si="274"/>
        <v>46655</v>
      </c>
      <c r="B1183" s="75"/>
      <c r="C1183" s="29"/>
      <c r="D1183" s="30"/>
      <c r="E1183" s="11"/>
      <c r="F1183" s="28"/>
      <c r="G1183" s="27"/>
      <c r="H1183" s="20"/>
      <c r="I1183" s="20"/>
      <c r="J1183" s="20"/>
      <c r="K1183" s="20"/>
      <c r="L1183" s="20"/>
      <c r="M1183" s="20"/>
      <c r="N1183" s="28"/>
      <c r="O1183" s="27"/>
      <c r="P1183" s="27"/>
      <c r="Q1183" s="27"/>
      <c r="R1183" s="27"/>
      <c r="S1183" s="67">
        <f t="shared" si="269"/>
        <v>0</v>
      </c>
      <c r="T1183" s="29"/>
      <c r="U1183" s="30"/>
      <c r="V1183" s="27"/>
      <c r="W1183" s="27"/>
      <c r="X1183" s="27"/>
      <c r="Y1183" s="29"/>
      <c r="Z1183" s="27"/>
      <c r="AA1183" s="27"/>
      <c r="AB1183" s="27"/>
      <c r="AC1183" s="27"/>
      <c r="AD1183" s="30"/>
      <c r="AE1183" s="31">
        <f>SUMIFS(инфо!$D$15:$D$28,инфо!$A$15:$A$28,F1183)</f>
        <v>0</v>
      </c>
      <c r="AF1183" s="35">
        <f t="shared" si="261"/>
        <v>0</v>
      </c>
      <c r="AG1183" s="33">
        <f t="shared" si="270"/>
        <v>0</v>
      </c>
      <c r="AH1183" s="31">
        <f>SUMIFS(инфо!$E$15:$E$28,инфо!$A$15:$A$28,F1183)</f>
        <v>0</v>
      </c>
      <c r="AI1183" s="32">
        <f t="shared" si="273"/>
        <v>0</v>
      </c>
      <c r="AJ1183" s="33">
        <f t="shared" si="271"/>
        <v>0</v>
      </c>
      <c r="AK1183" s="31">
        <f>SUMIFS(инфо!$F$15:$F$28,инфо!$A$15:$A$28,F1183)</f>
        <v>0</v>
      </c>
      <c r="AL1183" s="32">
        <f t="shared" si="262"/>
        <v>0</v>
      </c>
      <c r="AM1183" s="33">
        <f t="shared" si="265"/>
        <v>0</v>
      </c>
      <c r="AN1183" s="31">
        <f>SUMIFS(инфо!$G$15:$G$28,инфо!$A$15:$A$28,F1183)</f>
        <v>0</v>
      </c>
      <c r="AO1183" s="32">
        <f t="shared" si="263"/>
        <v>0</v>
      </c>
      <c r="AP1183" s="33">
        <f t="shared" si="266"/>
        <v>0</v>
      </c>
      <c r="AQ1183" s="31">
        <f>SUMIFS(инфо!$H$15:$H$28,инфо!$A$15:$A$28,F1183)</f>
        <v>0</v>
      </c>
      <c r="AR1183" s="32">
        <f t="shared" si="264"/>
        <v>0</v>
      </c>
      <c r="AS1183" s="33">
        <f t="shared" si="267"/>
        <v>0</v>
      </c>
      <c r="AT1183" s="31">
        <f>SUMIFS(инфо!$I$15:$I$28,инфо!$A$15:$A$28,F1183)</f>
        <v>0</v>
      </c>
      <c r="AU1183" s="35">
        <f t="shared" si="272"/>
        <v>0</v>
      </c>
      <c r="AV1183" s="33">
        <f t="shared" si="268"/>
        <v>0</v>
      </c>
      <c r="AX1183" s="67">
        <f>SUMIFS(инфо!$C$15:$C$28,инфо!$A$15:$A$28,F1183)*H1182</f>
        <v>0</v>
      </c>
    </row>
    <row r="1184" spans="1:50" x14ac:dyDescent="0.25">
      <c r="A1184" s="70">
        <f t="shared" si="274"/>
        <v>46656</v>
      </c>
      <c r="B1184" s="76"/>
      <c r="C1184" s="15"/>
      <c r="D1184" s="16"/>
      <c r="E1184" s="11"/>
      <c r="F1184" s="28"/>
      <c r="G1184" s="34"/>
      <c r="H1184" s="20"/>
      <c r="I1184" s="20"/>
      <c r="J1184" s="20"/>
      <c r="K1184" s="20"/>
      <c r="L1184" s="20"/>
      <c r="M1184" s="20"/>
      <c r="N1184" s="20"/>
      <c r="O1184" s="34"/>
      <c r="P1184" s="34"/>
      <c r="Q1184" s="34"/>
      <c r="R1184" s="34"/>
      <c r="S1184" s="68">
        <f t="shared" si="269"/>
        <v>0</v>
      </c>
      <c r="T1184" s="15"/>
      <c r="U1184" s="16"/>
      <c r="V1184" s="34"/>
      <c r="W1184" s="34"/>
      <c r="X1184" s="34"/>
      <c r="Y1184" s="15"/>
      <c r="Z1184" s="34"/>
      <c r="AA1184" s="34"/>
      <c r="AB1184" s="34"/>
      <c r="AC1184" s="34"/>
      <c r="AD1184" s="16"/>
      <c r="AE1184" s="24">
        <f>SUMIFS(инфо!$D$15:$D$28,инфо!$A$15:$A$28,F1184)</f>
        <v>0</v>
      </c>
      <c r="AF1184" s="35">
        <f t="shared" si="261"/>
        <v>0</v>
      </c>
      <c r="AG1184" s="12">
        <f t="shared" si="270"/>
        <v>0</v>
      </c>
      <c r="AH1184" s="24">
        <f>SUMIFS(инфо!$E$15:$E$28,инфо!$A$15:$A$28,F1184)</f>
        <v>0</v>
      </c>
      <c r="AI1184" s="35">
        <f t="shared" si="273"/>
        <v>0</v>
      </c>
      <c r="AJ1184" s="12">
        <f t="shared" si="271"/>
        <v>0</v>
      </c>
      <c r="AK1184" s="24">
        <f>SUMIFS(инфо!$F$15:$F$28,инфо!$A$15:$A$28,F1184)</f>
        <v>0</v>
      </c>
      <c r="AL1184" s="32">
        <f t="shared" si="262"/>
        <v>0</v>
      </c>
      <c r="AM1184" s="12">
        <f t="shared" si="265"/>
        <v>0</v>
      </c>
      <c r="AN1184" s="24">
        <f>SUMIFS(инфо!$G$15:$G$28,инфо!$A$15:$A$28,F1184)</f>
        <v>0</v>
      </c>
      <c r="AO1184" s="32">
        <f t="shared" si="263"/>
        <v>0</v>
      </c>
      <c r="AP1184" s="12">
        <f t="shared" si="266"/>
        <v>0</v>
      </c>
      <c r="AQ1184" s="24">
        <f>SUMIFS(инфо!$H$15:$H$28,инфо!$A$15:$A$28,F1184)</f>
        <v>0</v>
      </c>
      <c r="AR1184" s="35">
        <f t="shared" si="264"/>
        <v>0</v>
      </c>
      <c r="AS1184" s="12">
        <f t="shared" si="267"/>
        <v>0</v>
      </c>
      <c r="AT1184" s="24">
        <f>SUMIFS(инфо!$I$15:$I$28,инфо!$A$15:$A$28,F1184)</f>
        <v>0</v>
      </c>
      <c r="AU1184" s="35">
        <f t="shared" si="272"/>
        <v>0</v>
      </c>
      <c r="AV1184" s="12">
        <f t="shared" si="268"/>
        <v>0</v>
      </c>
      <c r="AX1184" s="68">
        <f>SUMIFS(инфо!$C$15:$C$28,инфо!$A$15:$A$28,F1184)*H1183</f>
        <v>0</v>
      </c>
    </row>
    <row r="1185" spans="1:50" x14ac:dyDescent="0.25">
      <c r="A1185" s="70">
        <f t="shared" si="274"/>
        <v>46656</v>
      </c>
      <c r="B1185" s="76"/>
      <c r="C1185" s="15"/>
      <c r="D1185" s="16"/>
      <c r="E1185" s="11"/>
      <c r="F1185" s="28"/>
      <c r="G1185" s="34"/>
      <c r="H1185" s="23"/>
      <c r="I1185" s="20"/>
      <c r="J1185" s="20"/>
      <c r="K1185" s="20"/>
      <c r="L1185" s="20"/>
      <c r="M1185" s="20"/>
      <c r="N1185" s="20"/>
      <c r="O1185" s="34"/>
      <c r="P1185" s="34"/>
      <c r="Q1185" s="34"/>
      <c r="R1185" s="34"/>
      <c r="S1185" s="68">
        <f t="shared" si="269"/>
        <v>0</v>
      </c>
      <c r="T1185" s="15"/>
      <c r="U1185" s="16"/>
      <c r="V1185" s="34"/>
      <c r="W1185" s="34"/>
      <c r="X1185" s="34"/>
      <c r="Y1185" s="15"/>
      <c r="Z1185" s="34"/>
      <c r="AA1185" s="34"/>
      <c r="AB1185" s="34"/>
      <c r="AC1185" s="34"/>
      <c r="AD1185" s="16"/>
      <c r="AE1185" s="24">
        <f>SUMIFS(инфо!$D$15:$D$28,инфо!$A$15:$A$28,F1185)</f>
        <v>0</v>
      </c>
      <c r="AF1185" s="35">
        <f t="shared" si="261"/>
        <v>0</v>
      </c>
      <c r="AG1185" s="12">
        <f t="shared" si="270"/>
        <v>0</v>
      </c>
      <c r="AH1185" s="24">
        <f>SUMIFS(инфо!$E$15:$E$28,инфо!$A$15:$A$28,F1185)</f>
        <v>0</v>
      </c>
      <c r="AI1185" s="35">
        <f t="shared" si="273"/>
        <v>0</v>
      </c>
      <c r="AJ1185" s="12">
        <f t="shared" si="271"/>
        <v>0</v>
      </c>
      <c r="AK1185" s="24">
        <f>SUMIFS(инфо!$F$15:$F$28,инфо!$A$15:$A$28,F1185)</f>
        <v>0</v>
      </c>
      <c r="AL1185" s="32">
        <f t="shared" si="262"/>
        <v>0</v>
      </c>
      <c r="AM1185" s="12">
        <f t="shared" si="265"/>
        <v>0</v>
      </c>
      <c r="AN1185" s="24">
        <f>SUMIFS(инфо!$G$15:$G$28,инфо!$A$15:$A$28,F1185)</f>
        <v>0</v>
      </c>
      <c r="AO1185" s="32">
        <f t="shared" si="263"/>
        <v>0</v>
      </c>
      <c r="AP1185" s="12">
        <f t="shared" si="266"/>
        <v>0</v>
      </c>
      <c r="AQ1185" s="24">
        <f>SUMIFS(инфо!$H$15:$H$28,инфо!$A$15:$A$28,F1185)</f>
        <v>0</v>
      </c>
      <c r="AR1185" s="35">
        <f t="shared" si="264"/>
        <v>0</v>
      </c>
      <c r="AS1185" s="12">
        <f t="shared" si="267"/>
        <v>0</v>
      </c>
      <c r="AT1185" s="24">
        <f>SUMIFS(инфо!$I$15:$I$28,инфо!$A$15:$A$28,F1185)</f>
        <v>0</v>
      </c>
      <c r="AU1185" s="35">
        <f t="shared" si="272"/>
        <v>0</v>
      </c>
      <c r="AV1185" s="12">
        <f t="shared" si="268"/>
        <v>0</v>
      </c>
      <c r="AX1185" s="68">
        <f>SUMIFS(инфо!$C$15:$C$28,инфо!$A$15:$A$28,F1185)*H1184</f>
        <v>0</v>
      </c>
    </row>
    <row r="1186" spans="1:50" x14ac:dyDescent="0.25">
      <c r="A1186" s="70">
        <f t="shared" si="274"/>
        <v>46657</v>
      </c>
      <c r="B1186" s="77"/>
      <c r="C1186" s="17"/>
      <c r="D1186" s="18"/>
      <c r="E1186" s="11"/>
      <c r="F1186" s="28"/>
      <c r="G1186" s="19"/>
      <c r="H1186" s="28"/>
      <c r="I1186" s="20"/>
      <c r="J1186" s="20"/>
      <c r="K1186" s="20"/>
      <c r="L1186" s="20"/>
      <c r="M1186" s="20"/>
      <c r="N1186" s="23"/>
      <c r="O1186" s="19"/>
      <c r="P1186" s="19"/>
      <c r="Q1186" s="19"/>
      <c r="R1186" s="19"/>
      <c r="S1186" s="69">
        <f t="shared" si="269"/>
        <v>0</v>
      </c>
      <c r="T1186" s="17"/>
      <c r="U1186" s="18"/>
      <c r="V1186" s="19"/>
      <c r="W1186" s="19"/>
      <c r="X1186" s="19"/>
      <c r="Y1186" s="17"/>
      <c r="Z1186" s="19"/>
      <c r="AA1186" s="19"/>
      <c r="AB1186" s="19"/>
      <c r="AC1186" s="19"/>
      <c r="AD1186" s="18"/>
      <c r="AE1186" s="25">
        <f>SUMIFS(инфо!$D$15:$D$28,инфо!$A$15:$A$28,F1186)</f>
        <v>0</v>
      </c>
      <c r="AF1186" s="35">
        <f t="shared" si="261"/>
        <v>0</v>
      </c>
      <c r="AG1186" s="14">
        <f t="shared" si="270"/>
        <v>0</v>
      </c>
      <c r="AH1186" s="25">
        <f>SUMIFS(инфо!$E$15:$E$28,инфо!$A$15:$A$28,F1186)</f>
        <v>0</v>
      </c>
      <c r="AI1186" s="26">
        <f t="shared" si="273"/>
        <v>0</v>
      </c>
      <c r="AJ1186" s="14">
        <f t="shared" si="271"/>
        <v>0</v>
      </c>
      <c r="AK1186" s="25">
        <f>SUMIFS(инфо!$F$15:$F$28,инфо!$A$15:$A$28,F1186)</f>
        <v>0</v>
      </c>
      <c r="AL1186" s="32">
        <f t="shared" si="262"/>
        <v>0</v>
      </c>
      <c r="AM1186" s="14">
        <f t="shared" si="265"/>
        <v>0</v>
      </c>
      <c r="AN1186" s="25">
        <f>SUMIFS(инфо!$G$15:$G$28,инфо!$A$15:$A$28,F1186)</f>
        <v>0</v>
      </c>
      <c r="AO1186" s="32">
        <f t="shared" si="263"/>
        <v>0</v>
      </c>
      <c r="AP1186" s="14">
        <f t="shared" si="266"/>
        <v>0</v>
      </c>
      <c r="AQ1186" s="25">
        <f>SUMIFS(инфо!$H$15:$H$28,инфо!$A$15:$A$28,F1186)</f>
        <v>0</v>
      </c>
      <c r="AR1186" s="26">
        <f t="shared" si="264"/>
        <v>0</v>
      </c>
      <c r="AS1186" s="14">
        <f t="shared" si="267"/>
        <v>0</v>
      </c>
      <c r="AT1186" s="25">
        <f>SUMIFS(инфо!$I$15:$I$28,инфо!$A$15:$A$28,F1186)</f>
        <v>0</v>
      </c>
      <c r="AU1186" s="35">
        <f t="shared" si="272"/>
        <v>0</v>
      </c>
      <c r="AV1186" s="14">
        <f t="shared" si="268"/>
        <v>0</v>
      </c>
      <c r="AX1186" s="69">
        <f>SUMIFS(инфо!$C$15:$C$28,инфо!$A$15:$A$28,F1186)*H1185</f>
        <v>0</v>
      </c>
    </row>
    <row r="1187" spans="1:50" x14ac:dyDescent="0.25">
      <c r="A1187" s="70">
        <f t="shared" si="274"/>
        <v>46657</v>
      </c>
      <c r="B1187" s="75"/>
      <c r="C1187" s="29"/>
      <c r="D1187" s="30"/>
      <c r="E1187" s="11"/>
      <c r="F1187" s="28"/>
      <c r="G1187" s="27"/>
      <c r="H1187" s="20"/>
      <c r="I1187" s="20"/>
      <c r="J1187" s="20"/>
      <c r="K1187" s="20"/>
      <c r="L1187" s="20"/>
      <c r="M1187" s="20"/>
      <c r="N1187" s="28"/>
      <c r="O1187" s="27"/>
      <c r="P1187" s="27"/>
      <c r="Q1187" s="27"/>
      <c r="R1187" s="27"/>
      <c r="S1187" s="67">
        <f t="shared" si="269"/>
        <v>0</v>
      </c>
      <c r="T1187" s="29"/>
      <c r="U1187" s="30"/>
      <c r="V1187" s="27"/>
      <c r="W1187" s="27"/>
      <c r="X1187" s="27"/>
      <c r="Y1187" s="29"/>
      <c r="Z1187" s="27"/>
      <c r="AA1187" s="27"/>
      <c r="AB1187" s="27"/>
      <c r="AC1187" s="27"/>
      <c r="AD1187" s="30"/>
      <c r="AE1187" s="31">
        <f>SUMIFS(инфо!$D$15:$D$28,инфо!$A$15:$A$28,F1187)</f>
        <v>0</v>
      </c>
      <c r="AF1187" s="35">
        <f t="shared" si="261"/>
        <v>0</v>
      </c>
      <c r="AG1187" s="33">
        <f t="shared" si="270"/>
        <v>0</v>
      </c>
      <c r="AH1187" s="31">
        <f>SUMIFS(инфо!$E$15:$E$28,инфо!$A$15:$A$28,F1187)</f>
        <v>0</v>
      </c>
      <c r="AI1187" s="32">
        <f t="shared" si="273"/>
        <v>0</v>
      </c>
      <c r="AJ1187" s="33">
        <f t="shared" si="271"/>
        <v>0</v>
      </c>
      <c r="AK1187" s="31">
        <f>SUMIFS(инфо!$F$15:$F$28,инфо!$A$15:$A$28,F1187)</f>
        <v>0</v>
      </c>
      <c r="AL1187" s="32">
        <f t="shared" si="262"/>
        <v>0</v>
      </c>
      <c r="AM1187" s="33">
        <f t="shared" si="265"/>
        <v>0</v>
      </c>
      <c r="AN1187" s="31">
        <f>SUMIFS(инфо!$G$15:$G$28,инфо!$A$15:$A$28,F1187)</f>
        <v>0</v>
      </c>
      <c r="AO1187" s="32">
        <f t="shared" si="263"/>
        <v>0</v>
      </c>
      <c r="AP1187" s="33">
        <f t="shared" si="266"/>
        <v>0</v>
      </c>
      <c r="AQ1187" s="31">
        <f>SUMIFS(инфо!$H$15:$H$28,инфо!$A$15:$A$28,F1187)</f>
        <v>0</v>
      </c>
      <c r="AR1187" s="32">
        <f t="shared" si="264"/>
        <v>0</v>
      </c>
      <c r="AS1187" s="33">
        <f t="shared" si="267"/>
        <v>0</v>
      </c>
      <c r="AT1187" s="31">
        <f>SUMIFS(инфо!$I$15:$I$28,инфо!$A$15:$A$28,F1187)</f>
        <v>0</v>
      </c>
      <c r="AU1187" s="35">
        <f t="shared" si="272"/>
        <v>0</v>
      </c>
      <c r="AV1187" s="33">
        <f t="shared" si="268"/>
        <v>0</v>
      </c>
      <c r="AX1187" s="67">
        <f>SUMIFS(инфо!$C$15:$C$28,инфо!$A$15:$A$28,F1187)*H1186</f>
        <v>0</v>
      </c>
    </row>
    <row r="1188" spans="1:50" x14ac:dyDescent="0.25">
      <c r="A1188" s="70">
        <f t="shared" si="274"/>
        <v>46658</v>
      </c>
      <c r="B1188" s="76"/>
      <c r="C1188" s="15"/>
      <c r="D1188" s="16"/>
      <c r="E1188" s="11"/>
      <c r="F1188" s="28"/>
      <c r="G1188" s="34"/>
      <c r="H1188" s="20"/>
      <c r="I1188" s="20"/>
      <c r="J1188" s="20"/>
      <c r="K1188" s="20"/>
      <c r="L1188" s="20"/>
      <c r="M1188" s="20"/>
      <c r="N1188" s="20"/>
      <c r="O1188" s="34"/>
      <c r="P1188" s="34"/>
      <c r="Q1188" s="34"/>
      <c r="R1188" s="34"/>
      <c r="S1188" s="68">
        <f t="shared" si="269"/>
        <v>0</v>
      </c>
      <c r="T1188" s="15"/>
      <c r="U1188" s="16"/>
      <c r="V1188" s="34"/>
      <c r="W1188" s="34"/>
      <c r="X1188" s="34"/>
      <c r="Y1188" s="15"/>
      <c r="Z1188" s="34"/>
      <c r="AA1188" s="34"/>
      <c r="AB1188" s="34"/>
      <c r="AC1188" s="34"/>
      <c r="AD1188" s="16"/>
      <c r="AE1188" s="24">
        <f>SUMIFS(инфо!$D$15:$D$28,инфо!$A$15:$A$28,F1188)</f>
        <v>0</v>
      </c>
      <c r="AF1188" s="35">
        <f t="shared" si="261"/>
        <v>0</v>
      </c>
      <c r="AG1188" s="12">
        <f t="shared" si="270"/>
        <v>0</v>
      </c>
      <c r="AH1188" s="24">
        <f>SUMIFS(инфо!$E$15:$E$28,инфо!$A$15:$A$28,F1188)</f>
        <v>0</v>
      </c>
      <c r="AI1188" s="35">
        <f t="shared" si="273"/>
        <v>0</v>
      </c>
      <c r="AJ1188" s="12">
        <f t="shared" si="271"/>
        <v>0</v>
      </c>
      <c r="AK1188" s="24">
        <f>SUMIFS(инфо!$F$15:$F$28,инфо!$A$15:$A$28,F1188)</f>
        <v>0</v>
      </c>
      <c r="AL1188" s="32">
        <f t="shared" si="262"/>
        <v>0</v>
      </c>
      <c r="AM1188" s="12">
        <f t="shared" si="265"/>
        <v>0</v>
      </c>
      <c r="AN1188" s="24">
        <f>SUMIFS(инфо!$G$15:$G$28,инфо!$A$15:$A$28,F1188)</f>
        <v>0</v>
      </c>
      <c r="AO1188" s="32">
        <f t="shared" si="263"/>
        <v>0</v>
      </c>
      <c r="AP1188" s="12">
        <f t="shared" si="266"/>
        <v>0</v>
      </c>
      <c r="AQ1188" s="24">
        <f>SUMIFS(инфо!$H$15:$H$28,инфо!$A$15:$A$28,F1188)</f>
        <v>0</v>
      </c>
      <c r="AR1188" s="35">
        <f t="shared" si="264"/>
        <v>0</v>
      </c>
      <c r="AS1188" s="12">
        <f t="shared" si="267"/>
        <v>0</v>
      </c>
      <c r="AT1188" s="24">
        <f>SUMIFS(инфо!$I$15:$I$28,инфо!$A$15:$A$28,F1188)</f>
        <v>0</v>
      </c>
      <c r="AU1188" s="35">
        <f t="shared" si="272"/>
        <v>0</v>
      </c>
      <c r="AV1188" s="12">
        <f t="shared" si="268"/>
        <v>0</v>
      </c>
      <c r="AX1188" s="68">
        <f>SUMIFS(инфо!$C$15:$C$28,инфо!$A$15:$A$28,F1188)*H1187</f>
        <v>0</v>
      </c>
    </row>
    <row r="1189" spans="1:50" x14ac:dyDescent="0.25">
      <c r="A1189" s="70">
        <f t="shared" si="274"/>
        <v>46658</v>
      </c>
      <c r="B1189" s="76"/>
      <c r="C1189" s="15"/>
      <c r="D1189" s="16"/>
      <c r="E1189" s="11"/>
      <c r="F1189" s="28"/>
      <c r="G1189" s="34"/>
      <c r="H1189" s="23"/>
      <c r="I1189" s="20"/>
      <c r="J1189" s="20"/>
      <c r="K1189" s="20"/>
      <c r="L1189" s="20"/>
      <c r="M1189" s="20"/>
      <c r="N1189" s="20"/>
      <c r="O1189" s="34"/>
      <c r="P1189" s="34"/>
      <c r="Q1189" s="34"/>
      <c r="R1189" s="34"/>
      <c r="S1189" s="68">
        <f t="shared" si="269"/>
        <v>0</v>
      </c>
      <c r="T1189" s="15"/>
      <c r="U1189" s="16"/>
      <c r="V1189" s="34"/>
      <c r="W1189" s="34"/>
      <c r="X1189" s="34"/>
      <c r="Y1189" s="15"/>
      <c r="Z1189" s="34"/>
      <c r="AA1189" s="34"/>
      <c r="AB1189" s="34"/>
      <c r="AC1189" s="34"/>
      <c r="AD1189" s="16"/>
      <c r="AE1189" s="24">
        <f>SUMIFS(инфо!$D$15:$D$28,инфо!$A$15:$A$28,F1189)</f>
        <v>0</v>
      </c>
      <c r="AF1189" s="35">
        <f t="shared" si="261"/>
        <v>0</v>
      </c>
      <c r="AG1189" s="12">
        <f t="shared" si="270"/>
        <v>0</v>
      </c>
      <c r="AH1189" s="24">
        <f>SUMIFS(инфо!$E$15:$E$28,инфо!$A$15:$A$28,F1189)</f>
        <v>0</v>
      </c>
      <c r="AI1189" s="35">
        <f t="shared" si="273"/>
        <v>0</v>
      </c>
      <c r="AJ1189" s="12">
        <f t="shared" si="271"/>
        <v>0</v>
      </c>
      <c r="AK1189" s="24">
        <f>SUMIFS(инфо!$F$15:$F$28,инфо!$A$15:$A$28,F1189)</f>
        <v>0</v>
      </c>
      <c r="AL1189" s="32">
        <f t="shared" si="262"/>
        <v>0</v>
      </c>
      <c r="AM1189" s="12">
        <f t="shared" si="265"/>
        <v>0</v>
      </c>
      <c r="AN1189" s="24">
        <f>SUMIFS(инфо!$G$15:$G$28,инфо!$A$15:$A$28,F1189)</f>
        <v>0</v>
      </c>
      <c r="AO1189" s="32">
        <f t="shared" si="263"/>
        <v>0</v>
      </c>
      <c r="AP1189" s="12">
        <f t="shared" si="266"/>
        <v>0</v>
      </c>
      <c r="AQ1189" s="24">
        <f>SUMIFS(инфо!$H$15:$H$28,инфо!$A$15:$A$28,F1189)</f>
        <v>0</v>
      </c>
      <c r="AR1189" s="35">
        <f t="shared" si="264"/>
        <v>0</v>
      </c>
      <c r="AS1189" s="12">
        <f t="shared" si="267"/>
        <v>0</v>
      </c>
      <c r="AT1189" s="24">
        <f>SUMIFS(инфо!$I$15:$I$28,инфо!$A$15:$A$28,F1189)</f>
        <v>0</v>
      </c>
      <c r="AU1189" s="35">
        <f t="shared" si="272"/>
        <v>0</v>
      </c>
      <c r="AV1189" s="12">
        <f t="shared" si="268"/>
        <v>0</v>
      </c>
      <c r="AX1189" s="68">
        <f>SUMIFS(инфо!$C$15:$C$28,инфо!$A$15:$A$28,F1189)*H1188</f>
        <v>0</v>
      </c>
    </row>
    <row r="1190" spans="1:50" x14ac:dyDescent="0.25">
      <c r="A1190" s="70">
        <f t="shared" si="274"/>
        <v>46659</v>
      </c>
      <c r="B1190" s="77"/>
      <c r="C1190" s="17"/>
      <c r="D1190" s="18"/>
      <c r="E1190" s="11"/>
      <c r="F1190" s="28"/>
      <c r="G1190" s="19"/>
      <c r="H1190" s="28"/>
      <c r="I1190" s="20"/>
      <c r="J1190" s="20"/>
      <c r="K1190" s="20"/>
      <c r="L1190" s="20"/>
      <c r="M1190" s="20"/>
      <c r="N1190" s="23"/>
      <c r="O1190" s="19"/>
      <c r="P1190" s="19"/>
      <c r="Q1190" s="19"/>
      <c r="R1190" s="19"/>
      <c r="S1190" s="69">
        <f t="shared" si="269"/>
        <v>0</v>
      </c>
      <c r="T1190" s="17"/>
      <c r="U1190" s="18"/>
      <c r="V1190" s="19"/>
      <c r="W1190" s="19"/>
      <c r="X1190" s="19"/>
      <c r="Y1190" s="17"/>
      <c r="Z1190" s="19"/>
      <c r="AA1190" s="19"/>
      <c r="AB1190" s="19"/>
      <c r="AC1190" s="19"/>
      <c r="AD1190" s="18"/>
      <c r="AE1190" s="25">
        <f>SUMIFS(инфо!$D$15:$D$28,инфо!$A$15:$A$28,F1190)</f>
        <v>0</v>
      </c>
      <c r="AF1190" s="35">
        <f t="shared" si="261"/>
        <v>0</v>
      </c>
      <c r="AG1190" s="14">
        <f t="shared" si="270"/>
        <v>0</v>
      </c>
      <c r="AH1190" s="25">
        <f>SUMIFS(инфо!$E$15:$E$28,инфо!$A$15:$A$28,F1190)</f>
        <v>0</v>
      </c>
      <c r="AI1190" s="26">
        <f t="shared" si="273"/>
        <v>0</v>
      </c>
      <c r="AJ1190" s="14">
        <f t="shared" si="271"/>
        <v>0</v>
      </c>
      <c r="AK1190" s="25">
        <f>SUMIFS(инфо!$F$15:$F$28,инфо!$A$15:$A$28,F1190)</f>
        <v>0</v>
      </c>
      <c r="AL1190" s="32">
        <f t="shared" si="262"/>
        <v>0</v>
      </c>
      <c r="AM1190" s="14">
        <f t="shared" si="265"/>
        <v>0</v>
      </c>
      <c r="AN1190" s="25">
        <f>SUMIFS(инфо!$G$15:$G$28,инфо!$A$15:$A$28,F1190)</f>
        <v>0</v>
      </c>
      <c r="AO1190" s="32">
        <f t="shared" si="263"/>
        <v>0</v>
      </c>
      <c r="AP1190" s="14">
        <f t="shared" si="266"/>
        <v>0</v>
      </c>
      <c r="AQ1190" s="25">
        <f>SUMIFS(инфо!$H$15:$H$28,инфо!$A$15:$A$28,F1190)</f>
        <v>0</v>
      </c>
      <c r="AR1190" s="26">
        <f t="shared" si="264"/>
        <v>0</v>
      </c>
      <c r="AS1190" s="14">
        <f t="shared" si="267"/>
        <v>0</v>
      </c>
      <c r="AT1190" s="25">
        <f>SUMIFS(инфо!$I$15:$I$28,инфо!$A$15:$A$28,F1190)</f>
        <v>0</v>
      </c>
      <c r="AU1190" s="35">
        <f t="shared" si="272"/>
        <v>0</v>
      </c>
      <c r="AV1190" s="14">
        <f t="shared" si="268"/>
        <v>0</v>
      </c>
      <c r="AX1190" s="69">
        <f>SUMIFS(инфо!$C$15:$C$28,инфо!$A$15:$A$28,F1190)*H1189</f>
        <v>0</v>
      </c>
    </row>
    <row r="1191" spans="1:50" x14ac:dyDescent="0.25">
      <c r="A1191" s="70">
        <f t="shared" si="274"/>
        <v>46659</v>
      </c>
      <c r="B1191" s="75"/>
      <c r="C1191" s="29"/>
      <c r="D1191" s="30"/>
      <c r="E1191" s="11"/>
      <c r="F1191" s="28"/>
      <c r="G1191" s="27"/>
      <c r="H1191" s="20"/>
      <c r="I1191" s="20"/>
      <c r="J1191" s="20"/>
      <c r="K1191" s="20"/>
      <c r="L1191" s="20"/>
      <c r="M1191" s="20"/>
      <c r="N1191" s="28"/>
      <c r="O1191" s="27"/>
      <c r="P1191" s="27"/>
      <c r="Q1191" s="27"/>
      <c r="R1191" s="27"/>
      <c r="S1191" s="67">
        <f t="shared" si="269"/>
        <v>0</v>
      </c>
      <c r="T1191" s="29"/>
      <c r="U1191" s="30"/>
      <c r="V1191" s="27"/>
      <c r="W1191" s="27"/>
      <c r="X1191" s="27"/>
      <c r="Y1191" s="29"/>
      <c r="Z1191" s="27"/>
      <c r="AA1191" s="27"/>
      <c r="AB1191" s="27"/>
      <c r="AC1191" s="27"/>
      <c r="AD1191" s="30"/>
      <c r="AE1191" s="31">
        <f>SUMIFS(инфо!$D$15:$D$28,инфо!$A$15:$A$28,F1191)</f>
        <v>0</v>
      </c>
      <c r="AF1191" s="35">
        <f t="shared" si="261"/>
        <v>0</v>
      </c>
      <c r="AG1191" s="33">
        <f t="shared" si="270"/>
        <v>0</v>
      </c>
      <c r="AH1191" s="31">
        <f>SUMIFS(инфо!$E$15:$E$28,инфо!$A$15:$A$28,F1191)</f>
        <v>0</v>
      </c>
      <c r="AI1191" s="32">
        <f t="shared" si="273"/>
        <v>0</v>
      </c>
      <c r="AJ1191" s="33">
        <f t="shared" si="271"/>
        <v>0</v>
      </c>
      <c r="AK1191" s="31">
        <f>SUMIFS(инфо!$F$15:$F$28,инфо!$A$15:$A$28,F1191)</f>
        <v>0</v>
      </c>
      <c r="AL1191" s="32">
        <f t="shared" si="262"/>
        <v>0</v>
      </c>
      <c r="AM1191" s="33">
        <f t="shared" si="265"/>
        <v>0</v>
      </c>
      <c r="AN1191" s="31">
        <f>SUMIFS(инфо!$G$15:$G$28,инфо!$A$15:$A$28,F1191)</f>
        <v>0</v>
      </c>
      <c r="AO1191" s="32">
        <f t="shared" si="263"/>
        <v>0</v>
      </c>
      <c r="AP1191" s="33">
        <f t="shared" si="266"/>
        <v>0</v>
      </c>
      <c r="AQ1191" s="31">
        <f>SUMIFS(инфо!$H$15:$H$28,инфо!$A$15:$A$28,F1191)</f>
        <v>0</v>
      </c>
      <c r="AR1191" s="32">
        <f t="shared" si="264"/>
        <v>0</v>
      </c>
      <c r="AS1191" s="33">
        <f t="shared" si="267"/>
        <v>0</v>
      </c>
      <c r="AT1191" s="31">
        <f>SUMIFS(инфо!$I$15:$I$28,инфо!$A$15:$A$28,F1191)</f>
        <v>0</v>
      </c>
      <c r="AU1191" s="35">
        <f t="shared" si="272"/>
        <v>0</v>
      </c>
      <c r="AV1191" s="33">
        <f t="shared" si="268"/>
        <v>0</v>
      </c>
      <c r="AX1191" s="67">
        <f>SUMIFS(инфо!$C$15:$C$28,инфо!$A$15:$A$28,F1191)*H1190</f>
        <v>0</v>
      </c>
    </row>
    <row r="1192" spans="1:50" x14ac:dyDescent="0.25">
      <c r="A1192" s="70">
        <f t="shared" si="274"/>
        <v>46660</v>
      </c>
      <c r="B1192" s="76"/>
      <c r="C1192" s="15"/>
      <c r="D1192" s="16"/>
      <c r="E1192" s="11"/>
      <c r="F1192" s="28"/>
      <c r="G1192" s="34"/>
      <c r="H1192" s="20"/>
      <c r="I1192" s="20"/>
      <c r="J1192" s="20"/>
      <c r="K1192" s="20"/>
      <c r="L1192" s="20"/>
      <c r="M1192" s="20"/>
      <c r="N1192" s="20"/>
      <c r="O1192" s="34"/>
      <c r="P1192" s="34"/>
      <c r="Q1192" s="34"/>
      <c r="R1192" s="34"/>
      <c r="S1192" s="68">
        <f t="shared" si="269"/>
        <v>0</v>
      </c>
      <c r="T1192" s="15"/>
      <c r="U1192" s="16"/>
      <c r="V1192" s="34"/>
      <c r="W1192" s="34"/>
      <c r="X1192" s="34"/>
      <c r="Y1192" s="15"/>
      <c r="Z1192" s="34"/>
      <c r="AA1192" s="34"/>
      <c r="AB1192" s="34"/>
      <c r="AC1192" s="34"/>
      <c r="AD1192" s="16"/>
      <c r="AE1192" s="24">
        <f>SUMIFS(инфо!$D$15:$D$28,инфо!$A$15:$A$28,F1192)</f>
        <v>0</v>
      </c>
      <c r="AF1192" s="35">
        <f t="shared" si="261"/>
        <v>0</v>
      </c>
      <c r="AG1192" s="12">
        <f t="shared" si="270"/>
        <v>0</v>
      </c>
      <c r="AH1192" s="24">
        <f>SUMIFS(инфо!$E$15:$E$28,инфо!$A$15:$A$28,F1192)</f>
        <v>0</v>
      </c>
      <c r="AI1192" s="35">
        <f t="shared" si="273"/>
        <v>0</v>
      </c>
      <c r="AJ1192" s="12">
        <f t="shared" si="271"/>
        <v>0</v>
      </c>
      <c r="AK1192" s="24">
        <f>SUMIFS(инфо!$F$15:$F$28,инфо!$A$15:$A$28,F1192)</f>
        <v>0</v>
      </c>
      <c r="AL1192" s="32">
        <f t="shared" si="262"/>
        <v>0</v>
      </c>
      <c r="AM1192" s="12">
        <f t="shared" si="265"/>
        <v>0</v>
      </c>
      <c r="AN1192" s="24">
        <f>SUMIFS(инфо!$G$15:$G$28,инфо!$A$15:$A$28,F1192)</f>
        <v>0</v>
      </c>
      <c r="AO1192" s="32">
        <f t="shared" si="263"/>
        <v>0</v>
      </c>
      <c r="AP1192" s="12">
        <f t="shared" si="266"/>
        <v>0</v>
      </c>
      <c r="AQ1192" s="24">
        <f>SUMIFS(инфо!$H$15:$H$28,инфо!$A$15:$A$28,F1192)</f>
        <v>0</v>
      </c>
      <c r="AR1192" s="35">
        <f t="shared" si="264"/>
        <v>0</v>
      </c>
      <c r="AS1192" s="12">
        <f t="shared" si="267"/>
        <v>0</v>
      </c>
      <c r="AT1192" s="24">
        <f>SUMIFS(инфо!$I$15:$I$28,инфо!$A$15:$A$28,F1192)</f>
        <v>0</v>
      </c>
      <c r="AU1192" s="35">
        <f t="shared" si="272"/>
        <v>0</v>
      </c>
      <c r="AV1192" s="12">
        <f t="shared" si="268"/>
        <v>0</v>
      </c>
      <c r="AX1192" s="68">
        <f>SUMIFS(инфо!$C$15:$C$28,инфо!$A$15:$A$28,F1192)*H1191</f>
        <v>0</v>
      </c>
    </row>
    <row r="1193" spans="1:50" x14ac:dyDescent="0.25">
      <c r="A1193" s="70">
        <f t="shared" si="274"/>
        <v>46660</v>
      </c>
      <c r="B1193" s="76"/>
      <c r="C1193" s="15"/>
      <c r="D1193" s="16"/>
      <c r="E1193" s="11"/>
      <c r="F1193" s="28"/>
      <c r="G1193" s="34"/>
      <c r="H1193" s="23"/>
      <c r="I1193" s="20"/>
      <c r="J1193" s="20"/>
      <c r="K1193" s="20"/>
      <c r="L1193" s="20"/>
      <c r="M1193" s="20"/>
      <c r="N1193" s="20"/>
      <c r="O1193" s="34"/>
      <c r="P1193" s="34"/>
      <c r="Q1193" s="34"/>
      <c r="R1193" s="34"/>
      <c r="S1193" s="68">
        <f t="shared" si="269"/>
        <v>0</v>
      </c>
      <c r="T1193" s="15"/>
      <c r="U1193" s="16"/>
      <c r="V1193" s="34"/>
      <c r="W1193" s="34"/>
      <c r="X1193" s="34"/>
      <c r="Y1193" s="15"/>
      <c r="Z1193" s="34"/>
      <c r="AA1193" s="34"/>
      <c r="AB1193" s="34"/>
      <c r="AC1193" s="34"/>
      <c r="AD1193" s="16"/>
      <c r="AE1193" s="24">
        <f>SUMIFS(инфо!$D$15:$D$28,инфо!$A$15:$A$28,F1193)</f>
        <v>0</v>
      </c>
      <c r="AF1193" s="35">
        <f t="shared" si="261"/>
        <v>0</v>
      </c>
      <c r="AG1193" s="12">
        <f t="shared" si="270"/>
        <v>0</v>
      </c>
      <c r="AH1193" s="24">
        <f>SUMIFS(инфо!$E$15:$E$28,инфо!$A$15:$A$28,F1193)</f>
        <v>0</v>
      </c>
      <c r="AI1193" s="35">
        <f t="shared" si="273"/>
        <v>0</v>
      </c>
      <c r="AJ1193" s="12">
        <f t="shared" si="271"/>
        <v>0</v>
      </c>
      <c r="AK1193" s="24">
        <f>SUMIFS(инфо!$F$15:$F$28,инфо!$A$15:$A$28,F1193)</f>
        <v>0</v>
      </c>
      <c r="AL1193" s="32">
        <f t="shared" si="262"/>
        <v>0</v>
      </c>
      <c r="AM1193" s="12">
        <f t="shared" si="265"/>
        <v>0</v>
      </c>
      <c r="AN1193" s="24">
        <f>SUMIFS(инфо!$G$15:$G$28,инфо!$A$15:$A$28,F1193)</f>
        <v>0</v>
      </c>
      <c r="AO1193" s="32">
        <f t="shared" si="263"/>
        <v>0</v>
      </c>
      <c r="AP1193" s="12">
        <f t="shared" si="266"/>
        <v>0</v>
      </c>
      <c r="AQ1193" s="24">
        <f>SUMIFS(инфо!$H$15:$H$28,инфо!$A$15:$A$28,F1193)</f>
        <v>0</v>
      </c>
      <c r="AR1193" s="35">
        <f t="shared" si="264"/>
        <v>0</v>
      </c>
      <c r="AS1193" s="12">
        <f t="shared" si="267"/>
        <v>0</v>
      </c>
      <c r="AT1193" s="24">
        <f>SUMIFS(инфо!$I$15:$I$28,инфо!$A$15:$A$28,F1193)</f>
        <v>0</v>
      </c>
      <c r="AU1193" s="35">
        <f t="shared" si="272"/>
        <v>0</v>
      </c>
      <c r="AV1193" s="12">
        <f t="shared" si="268"/>
        <v>0</v>
      </c>
      <c r="AX1193" s="68">
        <f>SUMIFS(инфо!$C$15:$C$28,инфо!$A$15:$A$28,F1193)*H1192</f>
        <v>0</v>
      </c>
    </row>
    <row r="1194" spans="1:50" x14ac:dyDescent="0.25">
      <c r="A1194" s="70">
        <f t="shared" si="274"/>
        <v>46661</v>
      </c>
      <c r="B1194" s="77"/>
      <c r="C1194" s="17"/>
      <c r="D1194" s="18"/>
      <c r="E1194" s="11"/>
      <c r="F1194" s="28"/>
      <c r="G1194" s="19"/>
      <c r="H1194" s="28"/>
      <c r="I1194" s="20"/>
      <c r="J1194" s="20"/>
      <c r="K1194" s="20"/>
      <c r="L1194" s="20"/>
      <c r="M1194" s="20"/>
      <c r="N1194" s="23"/>
      <c r="O1194" s="19"/>
      <c r="P1194" s="19"/>
      <c r="Q1194" s="19"/>
      <c r="R1194" s="19"/>
      <c r="S1194" s="69">
        <f t="shared" si="269"/>
        <v>0</v>
      </c>
      <c r="T1194" s="17"/>
      <c r="U1194" s="18"/>
      <c r="V1194" s="19"/>
      <c r="W1194" s="19"/>
      <c r="X1194" s="19"/>
      <c r="Y1194" s="17"/>
      <c r="Z1194" s="19"/>
      <c r="AA1194" s="19"/>
      <c r="AB1194" s="19"/>
      <c r="AC1194" s="19"/>
      <c r="AD1194" s="18"/>
      <c r="AE1194" s="25">
        <f>SUMIFS(инфо!$D$15:$D$28,инфо!$A$15:$A$28,F1194)</f>
        <v>0</v>
      </c>
      <c r="AF1194" s="35">
        <f t="shared" si="261"/>
        <v>0</v>
      </c>
      <c r="AG1194" s="14">
        <f t="shared" si="270"/>
        <v>0</v>
      </c>
      <c r="AH1194" s="25">
        <f>SUMIFS(инфо!$E$15:$E$28,инфо!$A$15:$A$28,F1194)</f>
        <v>0</v>
      </c>
      <c r="AI1194" s="26">
        <f t="shared" si="273"/>
        <v>0</v>
      </c>
      <c r="AJ1194" s="14">
        <f t="shared" si="271"/>
        <v>0</v>
      </c>
      <c r="AK1194" s="25">
        <f>SUMIFS(инфо!$F$15:$F$28,инфо!$A$15:$A$28,F1194)</f>
        <v>0</v>
      </c>
      <c r="AL1194" s="32">
        <f t="shared" si="262"/>
        <v>0</v>
      </c>
      <c r="AM1194" s="14">
        <f t="shared" si="265"/>
        <v>0</v>
      </c>
      <c r="AN1194" s="25">
        <f>SUMIFS(инфо!$G$15:$G$28,инфо!$A$15:$A$28,F1194)</f>
        <v>0</v>
      </c>
      <c r="AO1194" s="32">
        <f t="shared" si="263"/>
        <v>0</v>
      </c>
      <c r="AP1194" s="14">
        <f t="shared" si="266"/>
        <v>0</v>
      </c>
      <c r="AQ1194" s="25">
        <f>SUMIFS(инфо!$H$15:$H$28,инфо!$A$15:$A$28,F1194)</f>
        <v>0</v>
      </c>
      <c r="AR1194" s="26">
        <f t="shared" si="264"/>
        <v>0</v>
      </c>
      <c r="AS1194" s="14">
        <f t="shared" si="267"/>
        <v>0</v>
      </c>
      <c r="AT1194" s="25">
        <f>SUMIFS(инфо!$I$15:$I$28,инфо!$A$15:$A$28,F1194)</f>
        <v>0</v>
      </c>
      <c r="AU1194" s="35">
        <f t="shared" si="272"/>
        <v>0</v>
      </c>
      <c r="AV1194" s="14">
        <f t="shared" si="268"/>
        <v>0</v>
      </c>
      <c r="AX1194" s="69">
        <f>SUMIFS(инфо!$C$15:$C$28,инфо!$A$15:$A$28,F1194)*H1193</f>
        <v>0</v>
      </c>
    </row>
    <row r="1195" spans="1:50" x14ac:dyDescent="0.25">
      <c r="A1195" s="70">
        <f t="shared" si="274"/>
        <v>46661</v>
      </c>
      <c r="B1195" s="75"/>
      <c r="C1195" s="29"/>
      <c r="D1195" s="30"/>
      <c r="E1195" s="11"/>
      <c r="F1195" s="28"/>
      <c r="G1195" s="27"/>
      <c r="H1195" s="20"/>
      <c r="I1195" s="20"/>
      <c r="J1195" s="20"/>
      <c r="K1195" s="20"/>
      <c r="L1195" s="20"/>
      <c r="M1195" s="20"/>
      <c r="N1195" s="28"/>
      <c r="O1195" s="27"/>
      <c r="P1195" s="27"/>
      <c r="Q1195" s="27"/>
      <c r="R1195" s="27"/>
      <c r="S1195" s="67">
        <f t="shared" si="269"/>
        <v>0</v>
      </c>
      <c r="T1195" s="29"/>
      <c r="U1195" s="30"/>
      <c r="V1195" s="27"/>
      <c r="W1195" s="27"/>
      <c r="X1195" s="27"/>
      <c r="Y1195" s="29"/>
      <c r="Z1195" s="27"/>
      <c r="AA1195" s="27"/>
      <c r="AB1195" s="27"/>
      <c r="AC1195" s="27"/>
      <c r="AD1195" s="30"/>
      <c r="AE1195" s="31">
        <f>SUMIFS(инфо!$D$15:$D$28,инфо!$A$15:$A$28,F1195)</f>
        <v>0</v>
      </c>
      <c r="AF1195" s="35">
        <f t="shared" si="261"/>
        <v>0</v>
      </c>
      <c r="AG1195" s="33">
        <f t="shared" si="270"/>
        <v>0</v>
      </c>
      <c r="AH1195" s="31">
        <f>SUMIFS(инфо!$E$15:$E$28,инфо!$A$15:$A$28,F1195)</f>
        <v>0</v>
      </c>
      <c r="AI1195" s="32">
        <f t="shared" si="273"/>
        <v>0</v>
      </c>
      <c r="AJ1195" s="33">
        <f t="shared" si="271"/>
        <v>0</v>
      </c>
      <c r="AK1195" s="31">
        <f>SUMIFS(инфо!$F$15:$F$28,инфо!$A$15:$A$28,F1195)</f>
        <v>0</v>
      </c>
      <c r="AL1195" s="32">
        <f t="shared" si="262"/>
        <v>0</v>
      </c>
      <c r="AM1195" s="33">
        <f t="shared" si="265"/>
        <v>0</v>
      </c>
      <c r="AN1195" s="31">
        <f>SUMIFS(инфо!$G$15:$G$28,инфо!$A$15:$A$28,F1195)</f>
        <v>0</v>
      </c>
      <c r="AO1195" s="32">
        <f t="shared" si="263"/>
        <v>0</v>
      </c>
      <c r="AP1195" s="33">
        <f t="shared" si="266"/>
        <v>0</v>
      </c>
      <c r="AQ1195" s="31">
        <f>SUMIFS(инфо!$H$15:$H$28,инфо!$A$15:$A$28,F1195)</f>
        <v>0</v>
      </c>
      <c r="AR1195" s="32">
        <f t="shared" si="264"/>
        <v>0</v>
      </c>
      <c r="AS1195" s="33">
        <f t="shared" si="267"/>
        <v>0</v>
      </c>
      <c r="AT1195" s="31">
        <f>SUMIFS(инфо!$I$15:$I$28,инфо!$A$15:$A$28,F1195)</f>
        <v>0</v>
      </c>
      <c r="AU1195" s="35">
        <f t="shared" si="272"/>
        <v>0</v>
      </c>
      <c r="AV1195" s="33">
        <f t="shared" si="268"/>
        <v>0</v>
      </c>
      <c r="AX1195" s="67">
        <f>SUMIFS(инфо!$C$15:$C$28,инфо!$A$15:$A$28,F1195)*H1194</f>
        <v>0</v>
      </c>
    </row>
    <row r="1196" spans="1:50" x14ac:dyDescent="0.25">
      <c r="A1196" s="70">
        <f t="shared" si="274"/>
        <v>46662</v>
      </c>
      <c r="B1196" s="76"/>
      <c r="C1196" s="15"/>
      <c r="D1196" s="16"/>
      <c r="E1196" s="11"/>
      <c r="F1196" s="28"/>
      <c r="G1196" s="34"/>
      <c r="H1196" s="20"/>
      <c r="I1196" s="20"/>
      <c r="J1196" s="20"/>
      <c r="K1196" s="20"/>
      <c r="L1196" s="20"/>
      <c r="M1196" s="20"/>
      <c r="N1196" s="20"/>
      <c r="O1196" s="34"/>
      <c r="P1196" s="34"/>
      <c r="Q1196" s="34"/>
      <c r="R1196" s="34"/>
      <c r="S1196" s="68">
        <f t="shared" si="269"/>
        <v>0</v>
      </c>
      <c r="T1196" s="15"/>
      <c r="U1196" s="16"/>
      <c r="V1196" s="34"/>
      <c r="W1196" s="34"/>
      <c r="X1196" s="34"/>
      <c r="Y1196" s="15"/>
      <c r="Z1196" s="34"/>
      <c r="AA1196" s="34"/>
      <c r="AB1196" s="34"/>
      <c r="AC1196" s="34"/>
      <c r="AD1196" s="16"/>
      <c r="AE1196" s="24">
        <f>SUMIFS(инфо!$D$15:$D$28,инфо!$A$15:$A$28,F1196)</f>
        <v>0</v>
      </c>
      <c r="AF1196" s="35">
        <f t="shared" si="261"/>
        <v>0</v>
      </c>
      <c r="AG1196" s="12">
        <f t="shared" si="270"/>
        <v>0</v>
      </c>
      <c r="AH1196" s="24">
        <f>SUMIFS(инфо!$E$15:$E$28,инфо!$A$15:$A$28,F1196)</f>
        <v>0</v>
      </c>
      <c r="AI1196" s="35">
        <f t="shared" si="273"/>
        <v>0</v>
      </c>
      <c r="AJ1196" s="12">
        <f t="shared" si="271"/>
        <v>0</v>
      </c>
      <c r="AK1196" s="24">
        <f>SUMIFS(инфо!$F$15:$F$28,инфо!$A$15:$A$28,F1196)</f>
        <v>0</v>
      </c>
      <c r="AL1196" s="32">
        <f t="shared" si="262"/>
        <v>0</v>
      </c>
      <c r="AM1196" s="12">
        <f t="shared" si="265"/>
        <v>0</v>
      </c>
      <c r="AN1196" s="24">
        <f>SUMIFS(инфо!$G$15:$G$28,инфо!$A$15:$A$28,F1196)</f>
        <v>0</v>
      </c>
      <c r="AO1196" s="32">
        <f t="shared" si="263"/>
        <v>0</v>
      </c>
      <c r="AP1196" s="12">
        <f t="shared" si="266"/>
        <v>0</v>
      </c>
      <c r="AQ1196" s="24">
        <f>SUMIFS(инфо!$H$15:$H$28,инфо!$A$15:$A$28,F1196)</f>
        <v>0</v>
      </c>
      <c r="AR1196" s="35">
        <f t="shared" si="264"/>
        <v>0</v>
      </c>
      <c r="AS1196" s="12">
        <f t="shared" si="267"/>
        <v>0</v>
      </c>
      <c r="AT1196" s="24">
        <f>SUMIFS(инфо!$I$15:$I$28,инфо!$A$15:$A$28,F1196)</f>
        <v>0</v>
      </c>
      <c r="AU1196" s="35">
        <f t="shared" si="272"/>
        <v>0</v>
      </c>
      <c r="AV1196" s="12">
        <f t="shared" si="268"/>
        <v>0</v>
      </c>
      <c r="AX1196" s="68">
        <f>SUMIFS(инфо!$C$15:$C$28,инфо!$A$15:$A$28,F1196)*H1195</f>
        <v>0</v>
      </c>
    </row>
    <row r="1197" spans="1:50" x14ac:dyDescent="0.25">
      <c r="A1197" s="70">
        <f t="shared" si="274"/>
        <v>46662</v>
      </c>
      <c r="B1197" s="76"/>
      <c r="C1197" s="15"/>
      <c r="D1197" s="16"/>
      <c r="E1197" s="11"/>
      <c r="F1197" s="28"/>
      <c r="G1197" s="34"/>
      <c r="H1197" s="23"/>
      <c r="I1197" s="20"/>
      <c r="J1197" s="20"/>
      <c r="K1197" s="20"/>
      <c r="L1197" s="20"/>
      <c r="M1197" s="20"/>
      <c r="N1197" s="20"/>
      <c r="O1197" s="34"/>
      <c r="P1197" s="34"/>
      <c r="Q1197" s="34"/>
      <c r="R1197" s="34"/>
      <c r="S1197" s="68">
        <f t="shared" si="269"/>
        <v>0</v>
      </c>
      <c r="T1197" s="15"/>
      <c r="U1197" s="16"/>
      <c r="V1197" s="34"/>
      <c r="W1197" s="34"/>
      <c r="X1197" s="34"/>
      <c r="Y1197" s="15"/>
      <c r="Z1197" s="34"/>
      <c r="AA1197" s="34"/>
      <c r="AB1197" s="34"/>
      <c r="AC1197" s="34"/>
      <c r="AD1197" s="16"/>
      <c r="AE1197" s="24">
        <f>SUMIFS(инфо!$D$15:$D$28,инфо!$A$15:$A$28,F1197)</f>
        <v>0</v>
      </c>
      <c r="AF1197" s="35">
        <f t="shared" ref="AF1197:AF1258" si="275">IF(H1197=0,0,N1197/H1197)</f>
        <v>0</v>
      </c>
      <c r="AG1197" s="12">
        <f t="shared" si="270"/>
        <v>0</v>
      </c>
      <c r="AH1197" s="24">
        <f>SUMIFS(инфо!$E$15:$E$28,инфо!$A$15:$A$28,F1197)</f>
        <v>0</v>
      </c>
      <c r="AI1197" s="35">
        <f t="shared" si="273"/>
        <v>0</v>
      </c>
      <c r="AJ1197" s="12">
        <f t="shared" si="271"/>
        <v>0</v>
      </c>
      <c r="AK1197" s="24">
        <f>SUMIFS(инфо!$F$15:$F$28,инфо!$A$15:$A$28,F1197)</f>
        <v>0</v>
      </c>
      <c r="AL1197" s="32">
        <f t="shared" ref="AL1197:AL1258" si="276">IF(H1197=0,0,Y1197/H1197)</f>
        <v>0</v>
      </c>
      <c r="AM1197" s="12">
        <f t="shared" si="265"/>
        <v>0</v>
      </c>
      <c r="AN1197" s="24">
        <f>SUMIFS(инфо!$G$15:$G$28,инфо!$A$15:$A$28,F1197)</f>
        <v>0</v>
      </c>
      <c r="AO1197" s="32">
        <f t="shared" ref="AO1197:AO1258" si="277">IF(H1197=0,0,AA1197/H1197)</f>
        <v>0</v>
      </c>
      <c r="AP1197" s="12">
        <f t="shared" si="266"/>
        <v>0</v>
      </c>
      <c r="AQ1197" s="24">
        <f>SUMIFS(инфо!$H$15:$H$28,инфо!$A$15:$A$28,F1197)</f>
        <v>0</v>
      </c>
      <c r="AR1197" s="35">
        <f t="shared" si="264"/>
        <v>0</v>
      </c>
      <c r="AS1197" s="12">
        <f t="shared" si="267"/>
        <v>0</v>
      </c>
      <c r="AT1197" s="24">
        <f>SUMIFS(инфо!$I$15:$I$28,инфо!$A$15:$A$28,F1197)</f>
        <v>0</v>
      </c>
      <c r="AU1197" s="35">
        <f t="shared" si="272"/>
        <v>0</v>
      </c>
      <c r="AV1197" s="12">
        <f t="shared" si="268"/>
        <v>0</v>
      </c>
      <c r="AX1197" s="68">
        <f>SUMIFS(инфо!$C$15:$C$28,инфо!$A$15:$A$28,F1197)*H1196</f>
        <v>0</v>
      </c>
    </row>
    <row r="1198" spans="1:50" x14ac:dyDescent="0.25">
      <c r="A1198" s="70">
        <f t="shared" si="274"/>
        <v>46663</v>
      </c>
      <c r="B1198" s="77"/>
      <c r="C1198" s="17"/>
      <c r="D1198" s="18"/>
      <c r="E1198" s="11"/>
      <c r="F1198" s="28"/>
      <c r="G1198" s="19"/>
      <c r="H1198" s="28"/>
      <c r="I1198" s="20"/>
      <c r="J1198" s="20"/>
      <c r="K1198" s="20"/>
      <c r="L1198" s="20"/>
      <c r="M1198" s="20"/>
      <c r="N1198" s="23"/>
      <c r="O1198" s="19"/>
      <c r="P1198" s="19"/>
      <c r="Q1198" s="19"/>
      <c r="R1198" s="19"/>
      <c r="S1198" s="69">
        <f t="shared" si="269"/>
        <v>0</v>
      </c>
      <c r="T1198" s="17"/>
      <c r="U1198" s="18"/>
      <c r="V1198" s="19"/>
      <c r="W1198" s="19"/>
      <c r="X1198" s="19"/>
      <c r="Y1198" s="17"/>
      <c r="Z1198" s="19"/>
      <c r="AA1198" s="19"/>
      <c r="AB1198" s="19"/>
      <c r="AC1198" s="19"/>
      <c r="AD1198" s="18"/>
      <c r="AE1198" s="25">
        <f>SUMIFS(инфо!$D$15:$D$28,инфо!$A$15:$A$28,F1198)</f>
        <v>0</v>
      </c>
      <c r="AF1198" s="35">
        <f t="shared" si="275"/>
        <v>0</v>
      </c>
      <c r="AG1198" s="14">
        <f t="shared" si="270"/>
        <v>0</v>
      </c>
      <c r="AH1198" s="25">
        <f>SUMIFS(инфо!$E$15:$E$28,инфо!$A$15:$A$28,F1198)</f>
        <v>0</v>
      </c>
      <c r="AI1198" s="26">
        <f t="shared" si="273"/>
        <v>0</v>
      </c>
      <c r="AJ1198" s="14">
        <f t="shared" si="271"/>
        <v>0</v>
      </c>
      <c r="AK1198" s="25">
        <f>SUMIFS(инфо!$F$15:$F$28,инфо!$A$15:$A$28,F1198)</f>
        <v>0</v>
      </c>
      <c r="AL1198" s="32">
        <f t="shared" si="276"/>
        <v>0</v>
      </c>
      <c r="AM1198" s="14">
        <f t="shared" si="265"/>
        <v>0</v>
      </c>
      <c r="AN1198" s="25">
        <f>SUMIFS(инфо!$G$15:$G$28,инфо!$A$15:$A$28,F1198)</f>
        <v>0</v>
      </c>
      <c r="AO1198" s="32">
        <f t="shared" si="277"/>
        <v>0</v>
      </c>
      <c r="AP1198" s="14">
        <f t="shared" si="266"/>
        <v>0</v>
      </c>
      <c r="AQ1198" s="25">
        <f>SUMIFS(инфо!$H$15:$H$28,инфо!$A$15:$A$28,F1198)</f>
        <v>0</v>
      </c>
      <c r="AR1198" s="26">
        <f t="shared" ref="AR1198:AR1258" si="278">IF(H1197=0,0,AC1198/H1197)</f>
        <v>0</v>
      </c>
      <c r="AS1198" s="14">
        <f t="shared" si="267"/>
        <v>0</v>
      </c>
      <c r="AT1198" s="25">
        <f>SUMIFS(инфо!$I$15:$I$28,инфо!$A$15:$A$28,F1198)</f>
        <v>0</v>
      </c>
      <c r="AU1198" s="35">
        <f t="shared" si="272"/>
        <v>0</v>
      </c>
      <c r="AV1198" s="14">
        <f t="shared" si="268"/>
        <v>0</v>
      </c>
      <c r="AX1198" s="69">
        <f>SUMIFS(инфо!$C$15:$C$28,инфо!$A$15:$A$28,F1198)*H1197</f>
        <v>0</v>
      </c>
    </row>
    <row r="1199" spans="1:50" x14ac:dyDescent="0.25">
      <c r="A1199" s="70">
        <f t="shared" si="274"/>
        <v>46663</v>
      </c>
      <c r="B1199" s="75"/>
      <c r="C1199" s="29"/>
      <c r="D1199" s="30"/>
      <c r="E1199" s="11"/>
      <c r="F1199" s="28"/>
      <c r="G1199" s="27"/>
      <c r="H1199" s="20"/>
      <c r="I1199" s="20"/>
      <c r="J1199" s="20"/>
      <c r="K1199" s="20"/>
      <c r="L1199" s="20"/>
      <c r="M1199" s="20"/>
      <c r="N1199" s="28"/>
      <c r="O1199" s="27"/>
      <c r="P1199" s="27"/>
      <c r="Q1199" s="27"/>
      <c r="R1199" s="27"/>
      <c r="S1199" s="67">
        <f t="shared" si="269"/>
        <v>0</v>
      </c>
      <c r="T1199" s="29"/>
      <c r="U1199" s="30"/>
      <c r="V1199" s="27"/>
      <c r="W1199" s="27"/>
      <c r="X1199" s="27"/>
      <c r="Y1199" s="29"/>
      <c r="Z1199" s="27"/>
      <c r="AA1199" s="27"/>
      <c r="AB1199" s="27"/>
      <c r="AC1199" s="27"/>
      <c r="AD1199" s="30"/>
      <c r="AE1199" s="31">
        <f>SUMIFS(инфо!$D$15:$D$28,инфо!$A$15:$A$28,F1199)</f>
        <v>0</v>
      </c>
      <c r="AF1199" s="35">
        <f t="shared" si="275"/>
        <v>0</v>
      </c>
      <c r="AG1199" s="33">
        <f t="shared" si="270"/>
        <v>0</v>
      </c>
      <c r="AH1199" s="31">
        <f>SUMIFS(инфо!$E$15:$E$28,инфо!$A$15:$A$28,F1199)</f>
        <v>0</v>
      </c>
      <c r="AI1199" s="32">
        <f t="shared" si="273"/>
        <v>0</v>
      </c>
      <c r="AJ1199" s="33">
        <f t="shared" si="271"/>
        <v>0</v>
      </c>
      <c r="AK1199" s="31">
        <f>SUMIFS(инфо!$F$15:$F$28,инфо!$A$15:$A$28,F1199)</f>
        <v>0</v>
      </c>
      <c r="AL1199" s="32">
        <f t="shared" si="276"/>
        <v>0</v>
      </c>
      <c r="AM1199" s="33">
        <f t="shared" ref="AM1199:AM1258" si="279">AL1199-AK1199</f>
        <v>0</v>
      </c>
      <c r="AN1199" s="31">
        <f>SUMIFS(инфо!$G$15:$G$28,инфо!$A$15:$A$28,F1199)</f>
        <v>0</v>
      </c>
      <c r="AO1199" s="32">
        <f t="shared" si="277"/>
        <v>0</v>
      </c>
      <c r="AP1199" s="33">
        <f t="shared" ref="AP1199:AP1258" si="280">AO1199-AN1199</f>
        <v>0</v>
      </c>
      <c r="AQ1199" s="31">
        <f>SUMIFS(инфо!$H$15:$H$28,инфо!$A$15:$A$28,F1199)</f>
        <v>0</v>
      </c>
      <c r="AR1199" s="32">
        <f t="shared" si="278"/>
        <v>0</v>
      </c>
      <c r="AS1199" s="33">
        <f t="shared" ref="AS1199:AS1258" si="281">AR1199-AQ1199</f>
        <v>0</v>
      </c>
      <c r="AT1199" s="31">
        <f>SUMIFS(инфо!$I$15:$I$28,инфо!$A$15:$A$28,F1199)</f>
        <v>0</v>
      </c>
      <c r="AU1199" s="35">
        <f t="shared" si="272"/>
        <v>0</v>
      </c>
      <c r="AV1199" s="33">
        <f t="shared" ref="AV1199:AV1258" si="282">AU1199-AT1199</f>
        <v>0</v>
      </c>
      <c r="AX1199" s="67">
        <f>SUMIFS(инфо!$C$15:$C$28,инфо!$A$15:$A$28,F1199)*H1198</f>
        <v>0</v>
      </c>
    </row>
    <row r="1200" spans="1:50" x14ac:dyDescent="0.25">
      <c r="A1200" s="70">
        <f t="shared" si="274"/>
        <v>46664</v>
      </c>
      <c r="B1200" s="76"/>
      <c r="C1200" s="15"/>
      <c r="D1200" s="16"/>
      <c r="E1200" s="11"/>
      <c r="F1200" s="28"/>
      <c r="G1200" s="34"/>
      <c r="H1200" s="20"/>
      <c r="I1200" s="20"/>
      <c r="J1200" s="20"/>
      <c r="K1200" s="20"/>
      <c r="L1200" s="20"/>
      <c r="M1200" s="20"/>
      <c r="N1200" s="20"/>
      <c r="O1200" s="34"/>
      <c r="P1200" s="34"/>
      <c r="Q1200" s="34"/>
      <c r="R1200" s="34"/>
      <c r="S1200" s="68">
        <f t="shared" ref="S1200:S1258" si="283">SUM(O1200:R1200)</f>
        <v>0</v>
      </c>
      <c r="T1200" s="15"/>
      <c r="U1200" s="16"/>
      <c r="V1200" s="34"/>
      <c r="W1200" s="34"/>
      <c r="X1200" s="34"/>
      <c r="Y1200" s="15"/>
      <c r="Z1200" s="34"/>
      <c r="AA1200" s="34"/>
      <c r="AB1200" s="34"/>
      <c r="AC1200" s="34"/>
      <c r="AD1200" s="16"/>
      <c r="AE1200" s="24">
        <f>SUMIFS(инфо!$D$15:$D$28,инфо!$A$15:$A$28,F1200)</f>
        <v>0</v>
      </c>
      <c r="AF1200" s="35">
        <f t="shared" si="275"/>
        <v>0</v>
      </c>
      <c r="AG1200" s="12">
        <f t="shared" si="270"/>
        <v>0</v>
      </c>
      <c r="AH1200" s="24">
        <f>SUMIFS(инфо!$E$15:$E$28,инфо!$A$15:$A$28,F1200)</f>
        <v>0</v>
      </c>
      <c r="AI1200" s="35">
        <f t="shared" si="273"/>
        <v>0</v>
      </c>
      <c r="AJ1200" s="12">
        <f t="shared" si="271"/>
        <v>0</v>
      </c>
      <c r="AK1200" s="24">
        <f>SUMIFS(инфо!$F$15:$F$28,инфо!$A$15:$A$28,F1200)</f>
        <v>0</v>
      </c>
      <c r="AL1200" s="32">
        <f t="shared" si="276"/>
        <v>0</v>
      </c>
      <c r="AM1200" s="12">
        <f t="shared" si="279"/>
        <v>0</v>
      </c>
      <c r="AN1200" s="24">
        <f>SUMIFS(инфо!$G$15:$G$28,инфо!$A$15:$A$28,F1200)</f>
        <v>0</v>
      </c>
      <c r="AO1200" s="32">
        <f t="shared" si="277"/>
        <v>0</v>
      </c>
      <c r="AP1200" s="12">
        <f t="shared" si="280"/>
        <v>0</v>
      </c>
      <c r="AQ1200" s="24">
        <f>SUMIFS(инфо!$H$15:$H$28,инфо!$A$15:$A$28,F1200)</f>
        <v>0</v>
      </c>
      <c r="AR1200" s="35">
        <f t="shared" si="278"/>
        <v>0</v>
      </c>
      <c r="AS1200" s="12">
        <f t="shared" si="281"/>
        <v>0</v>
      </c>
      <c r="AT1200" s="24">
        <f>SUMIFS(инфо!$I$15:$I$28,инфо!$A$15:$A$28,F1200)</f>
        <v>0</v>
      </c>
      <c r="AU1200" s="35">
        <f t="shared" si="272"/>
        <v>0</v>
      </c>
      <c r="AV1200" s="12">
        <f t="shared" si="282"/>
        <v>0</v>
      </c>
      <c r="AX1200" s="68">
        <f>SUMIFS(инфо!$C$15:$C$28,инфо!$A$15:$A$28,F1200)*H1199</f>
        <v>0</v>
      </c>
    </row>
    <row r="1201" spans="1:50" x14ac:dyDescent="0.25">
      <c r="A1201" s="70">
        <f t="shared" si="274"/>
        <v>46664</v>
      </c>
      <c r="B1201" s="76"/>
      <c r="C1201" s="15"/>
      <c r="D1201" s="16"/>
      <c r="E1201" s="11"/>
      <c r="F1201" s="28"/>
      <c r="G1201" s="34"/>
      <c r="H1201" s="23"/>
      <c r="I1201" s="20"/>
      <c r="J1201" s="20"/>
      <c r="K1201" s="20"/>
      <c r="L1201" s="20"/>
      <c r="M1201" s="20"/>
      <c r="N1201" s="20"/>
      <c r="O1201" s="34"/>
      <c r="P1201" s="34"/>
      <c r="Q1201" s="34"/>
      <c r="R1201" s="34"/>
      <c r="S1201" s="68">
        <f t="shared" si="283"/>
        <v>0</v>
      </c>
      <c r="T1201" s="15"/>
      <c r="U1201" s="16"/>
      <c r="V1201" s="34"/>
      <c r="W1201" s="34"/>
      <c r="X1201" s="34"/>
      <c r="Y1201" s="15"/>
      <c r="Z1201" s="34"/>
      <c r="AA1201" s="34"/>
      <c r="AB1201" s="34"/>
      <c r="AC1201" s="34"/>
      <c r="AD1201" s="16"/>
      <c r="AE1201" s="24">
        <f>SUMIFS(инфо!$D$15:$D$28,инфо!$A$15:$A$28,F1201)</f>
        <v>0</v>
      </c>
      <c r="AF1201" s="35">
        <f t="shared" si="275"/>
        <v>0</v>
      </c>
      <c r="AG1201" s="12">
        <f t="shared" si="270"/>
        <v>0</v>
      </c>
      <c r="AH1201" s="24">
        <f>SUMIFS(инфо!$E$15:$E$28,инфо!$A$15:$A$28,F1201)</f>
        <v>0</v>
      </c>
      <c r="AI1201" s="35">
        <f t="shared" si="273"/>
        <v>0</v>
      </c>
      <c r="AJ1201" s="12">
        <f t="shared" si="271"/>
        <v>0</v>
      </c>
      <c r="AK1201" s="24">
        <f>SUMIFS(инфо!$F$15:$F$28,инфо!$A$15:$A$28,F1201)</f>
        <v>0</v>
      </c>
      <c r="AL1201" s="32">
        <f t="shared" si="276"/>
        <v>0</v>
      </c>
      <c r="AM1201" s="12">
        <f t="shared" si="279"/>
        <v>0</v>
      </c>
      <c r="AN1201" s="24">
        <f>SUMIFS(инфо!$G$15:$G$28,инфо!$A$15:$A$28,F1201)</f>
        <v>0</v>
      </c>
      <c r="AO1201" s="32">
        <f t="shared" si="277"/>
        <v>0</v>
      </c>
      <c r="AP1201" s="12">
        <f t="shared" si="280"/>
        <v>0</v>
      </c>
      <c r="AQ1201" s="24">
        <f>SUMIFS(инфо!$H$15:$H$28,инфо!$A$15:$A$28,F1201)</f>
        <v>0</v>
      </c>
      <c r="AR1201" s="35">
        <f t="shared" si="278"/>
        <v>0</v>
      </c>
      <c r="AS1201" s="12">
        <f t="shared" si="281"/>
        <v>0</v>
      </c>
      <c r="AT1201" s="24">
        <f>SUMIFS(инфо!$I$15:$I$28,инфо!$A$15:$A$28,F1201)</f>
        <v>0</v>
      </c>
      <c r="AU1201" s="35">
        <f t="shared" si="272"/>
        <v>0</v>
      </c>
      <c r="AV1201" s="12">
        <f t="shared" si="282"/>
        <v>0</v>
      </c>
      <c r="AX1201" s="68">
        <f>SUMIFS(инфо!$C$15:$C$28,инфо!$A$15:$A$28,F1201)*H1200</f>
        <v>0</v>
      </c>
    </row>
    <row r="1202" spans="1:50" x14ac:dyDescent="0.25">
      <c r="A1202" s="70">
        <f t="shared" si="274"/>
        <v>46665</v>
      </c>
      <c r="B1202" s="77"/>
      <c r="C1202" s="17"/>
      <c r="D1202" s="18"/>
      <c r="E1202" s="11"/>
      <c r="F1202" s="28"/>
      <c r="G1202" s="19"/>
      <c r="H1202" s="28"/>
      <c r="I1202" s="20"/>
      <c r="J1202" s="20"/>
      <c r="K1202" s="20"/>
      <c r="L1202" s="20"/>
      <c r="M1202" s="20"/>
      <c r="N1202" s="23"/>
      <c r="O1202" s="19"/>
      <c r="P1202" s="19"/>
      <c r="Q1202" s="19"/>
      <c r="R1202" s="19"/>
      <c r="S1202" s="69">
        <f t="shared" si="283"/>
        <v>0</v>
      </c>
      <c r="T1202" s="17"/>
      <c r="U1202" s="18"/>
      <c r="V1202" s="19"/>
      <c r="W1202" s="19"/>
      <c r="X1202" s="19"/>
      <c r="Y1202" s="17"/>
      <c r="Z1202" s="19"/>
      <c r="AA1202" s="19"/>
      <c r="AB1202" s="19"/>
      <c r="AC1202" s="19"/>
      <c r="AD1202" s="18"/>
      <c r="AE1202" s="25">
        <f>SUMIFS(инфо!$D$15:$D$28,инфо!$A$15:$A$28,F1202)</f>
        <v>0</v>
      </c>
      <c r="AF1202" s="35">
        <f t="shared" si="275"/>
        <v>0</v>
      </c>
      <c r="AG1202" s="14">
        <f t="shared" si="270"/>
        <v>0</v>
      </c>
      <c r="AH1202" s="25">
        <f>SUMIFS(инфо!$E$15:$E$28,инфо!$A$15:$A$28,F1202)</f>
        <v>0</v>
      </c>
      <c r="AI1202" s="26">
        <f t="shared" si="273"/>
        <v>0</v>
      </c>
      <c r="AJ1202" s="14">
        <f t="shared" si="271"/>
        <v>0</v>
      </c>
      <c r="AK1202" s="25">
        <f>SUMIFS(инфо!$F$15:$F$28,инфо!$A$15:$A$28,F1202)</f>
        <v>0</v>
      </c>
      <c r="AL1202" s="32">
        <f t="shared" si="276"/>
        <v>0</v>
      </c>
      <c r="AM1202" s="14">
        <f t="shared" si="279"/>
        <v>0</v>
      </c>
      <c r="AN1202" s="25">
        <f>SUMIFS(инфо!$G$15:$G$28,инфо!$A$15:$A$28,F1202)</f>
        <v>0</v>
      </c>
      <c r="AO1202" s="32">
        <f t="shared" si="277"/>
        <v>0</v>
      </c>
      <c r="AP1202" s="14">
        <f t="shared" si="280"/>
        <v>0</v>
      </c>
      <c r="AQ1202" s="25">
        <f>SUMIFS(инфо!$H$15:$H$28,инфо!$A$15:$A$28,F1202)</f>
        <v>0</v>
      </c>
      <c r="AR1202" s="26">
        <f t="shared" si="278"/>
        <v>0</v>
      </c>
      <c r="AS1202" s="14">
        <f t="shared" si="281"/>
        <v>0</v>
      </c>
      <c r="AT1202" s="25">
        <f>SUMIFS(инфо!$I$15:$I$28,инфо!$A$15:$A$28,F1202)</f>
        <v>0</v>
      </c>
      <c r="AU1202" s="35">
        <f t="shared" si="272"/>
        <v>0</v>
      </c>
      <c r="AV1202" s="14">
        <f t="shared" si="282"/>
        <v>0</v>
      </c>
      <c r="AX1202" s="69">
        <f>SUMIFS(инфо!$C$15:$C$28,инфо!$A$15:$A$28,F1202)*H1201</f>
        <v>0</v>
      </c>
    </row>
    <row r="1203" spans="1:50" x14ac:dyDescent="0.25">
      <c r="A1203" s="70">
        <f t="shared" si="274"/>
        <v>46665</v>
      </c>
      <c r="B1203" s="75"/>
      <c r="C1203" s="29"/>
      <c r="D1203" s="30"/>
      <c r="E1203" s="11"/>
      <c r="F1203" s="28"/>
      <c r="G1203" s="27"/>
      <c r="H1203" s="20"/>
      <c r="I1203" s="20"/>
      <c r="J1203" s="20"/>
      <c r="K1203" s="20"/>
      <c r="L1203" s="20"/>
      <c r="M1203" s="20"/>
      <c r="N1203" s="28"/>
      <c r="O1203" s="27"/>
      <c r="P1203" s="27"/>
      <c r="Q1203" s="27"/>
      <c r="R1203" s="27"/>
      <c r="S1203" s="67">
        <f t="shared" si="283"/>
        <v>0</v>
      </c>
      <c r="T1203" s="29"/>
      <c r="U1203" s="30"/>
      <c r="V1203" s="27"/>
      <c r="W1203" s="27"/>
      <c r="X1203" s="27"/>
      <c r="Y1203" s="29"/>
      <c r="Z1203" s="27"/>
      <c r="AA1203" s="27"/>
      <c r="AB1203" s="27"/>
      <c r="AC1203" s="27"/>
      <c r="AD1203" s="30"/>
      <c r="AE1203" s="31">
        <f>SUMIFS(инфо!$D$15:$D$28,инфо!$A$15:$A$28,F1203)</f>
        <v>0</v>
      </c>
      <c r="AF1203" s="35">
        <f t="shared" si="275"/>
        <v>0</v>
      </c>
      <c r="AG1203" s="33">
        <f t="shared" si="270"/>
        <v>0</v>
      </c>
      <c r="AH1203" s="31">
        <f>SUMIFS(инфо!$E$15:$E$28,инфо!$A$15:$A$28,F1203)</f>
        <v>0</v>
      </c>
      <c r="AI1203" s="32">
        <f t="shared" si="273"/>
        <v>0</v>
      </c>
      <c r="AJ1203" s="33">
        <f t="shared" si="271"/>
        <v>0</v>
      </c>
      <c r="AK1203" s="31">
        <f>SUMIFS(инфо!$F$15:$F$28,инфо!$A$15:$A$28,F1203)</f>
        <v>0</v>
      </c>
      <c r="AL1203" s="32">
        <f t="shared" si="276"/>
        <v>0</v>
      </c>
      <c r="AM1203" s="33">
        <f t="shared" si="279"/>
        <v>0</v>
      </c>
      <c r="AN1203" s="31">
        <f>SUMIFS(инфо!$G$15:$G$28,инфо!$A$15:$A$28,F1203)</f>
        <v>0</v>
      </c>
      <c r="AO1203" s="32">
        <f t="shared" si="277"/>
        <v>0</v>
      </c>
      <c r="AP1203" s="33">
        <f t="shared" si="280"/>
        <v>0</v>
      </c>
      <c r="AQ1203" s="31">
        <f>SUMIFS(инфо!$H$15:$H$28,инфо!$A$15:$A$28,F1203)</f>
        <v>0</v>
      </c>
      <c r="AR1203" s="32">
        <f t="shared" si="278"/>
        <v>0</v>
      </c>
      <c r="AS1203" s="33">
        <f t="shared" si="281"/>
        <v>0</v>
      </c>
      <c r="AT1203" s="31">
        <f>SUMIFS(инфо!$I$15:$I$28,инфо!$A$15:$A$28,F1203)</f>
        <v>0</v>
      </c>
      <c r="AU1203" s="35">
        <f t="shared" si="272"/>
        <v>0</v>
      </c>
      <c r="AV1203" s="33">
        <f t="shared" si="282"/>
        <v>0</v>
      </c>
      <c r="AX1203" s="67">
        <f>SUMIFS(инфо!$C$15:$C$28,инфо!$A$15:$A$28,F1203)*H1202</f>
        <v>0</v>
      </c>
    </row>
    <row r="1204" spans="1:50" x14ac:dyDescent="0.25">
      <c r="A1204" s="70">
        <f t="shared" si="274"/>
        <v>46666</v>
      </c>
      <c r="B1204" s="76"/>
      <c r="C1204" s="15"/>
      <c r="D1204" s="16"/>
      <c r="E1204" s="11"/>
      <c r="F1204" s="28"/>
      <c r="G1204" s="34"/>
      <c r="H1204" s="20"/>
      <c r="I1204" s="20"/>
      <c r="J1204" s="20"/>
      <c r="K1204" s="20"/>
      <c r="L1204" s="20"/>
      <c r="M1204" s="20"/>
      <c r="N1204" s="20"/>
      <c r="O1204" s="34"/>
      <c r="P1204" s="34"/>
      <c r="Q1204" s="34"/>
      <c r="R1204" s="34"/>
      <c r="S1204" s="68">
        <f t="shared" si="283"/>
        <v>0</v>
      </c>
      <c r="T1204" s="15"/>
      <c r="U1204" s="16"/>
      <c r="V1204" s="34"/>
      <c r="W1204" s="34"/>
      <c r="X1204" s="34"/>
      <c r="Y1204" s="15"/>
      <c r="Z1204" s="34"/>
      <c r="AA1204" s="34"/>
      <c r="AB1204" s="34"/>
      <c r="AC1204" s="34"/>
      <c r="AD1204" s="16"/>
      <c r="AE1204" s="24">
        <f>SUMIFS(инфо!$D$15:$D$28,инфо!$A$15:$A$28,F1204)</f>
        <v>0</v>
      </c>
      <c r="AF1204" s="35">
        <f t="shared" si="275"/>
        <v>0</v>
      </c>
      <c r="AG1204" s="12">
        <f t="shared" si="270"/>
        <v>0</v>
      </c>
      <c r="AH1204" s="24">
        <f>SUMIFS(инфо!$E$15:$E$28,инфо!$A$15:$A$28,F1204)</f>
        <v>0</v>
      </c>
      <c r="AI1204" s="35">
        <f t="shared" si="273"/>
        <v>0</v>
      </c>
      <c r="AJ1204" s="12">
        <f t="shared" si="271"/>
        <v>0</v>
      </c>
      <c r="AK1204" s="24">
        <f>SUMIFS(инфо!$F$15:$F$28,инфо!$A$15:$A$28,F1204)</f>
        <v>0</v>
      </c>
      <c r="AL1204" s="32">
        <f t="shared" si="276"/>
        <v>0</v>
      </c>
      <c r="AM1204" s="12">
        <f t="shared" si="279"/>
        <v>0</v>
      </c>
      <c r="AN1204" s="24">
        <f>SUMIFS(инфо!$G$15:$G$28,инфо!$A$15:$A$28,F1204)</f>
        <v>0</v>
      </c>
      <c r="AO1204" s="32">
        <f t="shared" si="277"/>
        <v>0</v>
      </c>
      <c r="AP1204" s="12">
        <f t="shared" si="280"/>
        <v>0</v>
      </c>
      <c r="AQ1204" s="24">
        <f>SUMIFS(инфо!$H$15:$H$28,инфо!$A$15:$A$28,F1204)</f>
        <v>0</v>
      </c>
      <c r="AR1204" s="35">
        <f t="shared" si="278"/>
        <v>0</v>
      </c>
      <c r="AS1204" s="12">
        <f t="shared" si="281"/>
        <v>0</v>
      </c>
      <c r="AT1204" s="24">
        <f>SUMIFS(инфо!$I$15:$I$28,инфо!$A$15:$A$28,F1204)</f>
        <v>0</v>
      </c>
      <c r="AU1204" s="35">
        <f t="shared" si="272"/>
        <v>0</v>
      </c>
      <c r="AV1204" s="12">
        <f t="shared" si="282"/>
        <v>0</v>
      </c>
      <c r="AX1204" s="68">
        <f>SUMIFS(инфо!$C$15:$C$28,инфо!$A$15:$A$28,F1204)*H1203</f>
        <v>0</v>
      </c>
    </row>
    <row r="1205" spans="1:50" x14ac:dyDescent="0.25">
      <c r="A1205" s="70">
        <f t="shared" si="274"/>
        <v>46666</v>
      </c>
      <c r="B1205" s="76"/>
      <c r="C1205" s="15"/>
      <c r="D1205" s="16"/>
      <c r="E1205" s="11"/>
      <c r="F1205" s="28"/>
      <c r="G1205" s="34"/>
      <c r="H1205" s="23"/>
      <c r="I1205" s="20"/>
      <c r="J1205" s="20"/>
      <c r="K1205" s="20"/>
      <c r="L1205" s="20"/>
      <c r="M1205" s="20"/>
      <c r="N1205" s="20"/>
      <c r="O1205" s="34"/>
      <c r="P1205" s="34"/>
      <c r="Q1205" s="34"/>
      <c r="R1205" s="34"/>
      <c r="S1205" s="68">
        <f t="shared" si="283"/>
        <v>0</v>
      </c>
      <c r="T1205" s="15"/>
      <c r="U1205" s="16"/>
      <c r="V1205" s="34"/>
      <c r="W1205" s="34"/>
      <c r="X1205" s="34"/>
      <c r="Y1205" s="15"/>
      <c r="Z1205" s="34"/>
      <c r="AA1205" s="34"/>
      <c r="AB1205" s="34"/>
      <c r="AC1205" s="34"/>
      <c r="AD1205" s="16"/>
      <c r="AE1205" s="24">
        <f>SUMIFS(инфо!$D$15:$D$28,инфо!$A$15:$A$28,F1205)</f>
        <v>0</v>
      </c>
      <c r="AF1205" s="35">
        <f t="shared" si="275"/>
        <v>0</v>
      </c>
      <c r="AG1205" s="12">
        <f t="shared" si="270"/>
        <v>0</v>
      </c>
      <c r="AH1205" s="24">
        <f>SUMIFS(инфо!$E$15:$E$28,инфо!$A$15:$A$28,F1205)</f>
        <v>0</v>
      </c>
      <c r="AI1205" s="35">
        <f t="shared" si="273"/>
        <v>0</v>
      </c>
      <c r="AJ1205" s="12">
        <f t="shared" si="271"/>
        <v>0</v>
      </c>
      <c r="AK1205" s="24">
        <f>SUMIFS(инфо!$F$15:$F$28,инфо!$A$15:$A$28,F1205)</f>
        <v>0</v>
      </c>
      <c r="AL1205" s="32">
        <f t="shared" si="276"/>
        <v>0</v>
      </c>
      <c r="AM1205" s="12">
        <f t="shared" si="279"/>
        <v>0</v>
      </c>
      <c r="AN1205" s="24">
        <f>SUMIFS(инфо!$G$15:$G$28,инфо!$A$15:$A$28,F1205)</f>
        <v>0</v>
      </c>
      <c r="AO1205" s="32">
        <f t="shared" si="277"/>
        <v>0</v>
      </c>
      <c r="AP1205" s="12">
        <f t="shared" si="280"/>
        <v>0</v>
      </c>
      <c r="AQ1205" s="24">
        <f>SUMIFS(инфо!$H$15:$H$28,инфо!$A$15:$A$28,F1205)</f>
        <v>0</v>
      </c>
      <c r="AR1205" s="35">
        <f t="shared" si="278"/>
        <v>0</v>
      </c>
      <c r="AS1205" s="12">
        <f t="shared" si="281"/>
        <v>0</v>
      </c>
      <c r="AT1205" s="24">
        <f>SUMIFS(инфо!$I$15:$I$28,инфо!$A$15:$A$28,F1205)</f>
        <v>0</v>
      </c>
      <c r="AU1205" s="35">
        <f t="shared" si="272"/>
        <v>0</v>
      </c>
      <c r="AV1205" s="12">
        <f t="shared" si="282"/>
        <v>0</v>
      </c>
      <c r="AX1205" s="68">
        <f>SUMIFS(инфо!$C$15:$C$28,инфо!$A$15:$A$28,F1205)*H1204</f>
        <v>0</v>
      </c>
    </row>
    <row r="1206" spans="1:50" x14ac:dyDescent="0.25">
      <c r="A1206" s="70">
        <f t="shared" si="274"/>
        <v>46667</v>
      </c>
      <c r="B1206" s="77"/>
      <c r="C1206" s="17"/>
      <c r="D1206" s="18"/>
      <c r="E1206" s="11"/>
      <c r="F1206" s="28"/>
      <c r="G1206" s="19"/>
      <c r="H1206" s="28"/>
      <c r="I1206" s="20"/>
      <c r="J1206" s="20"/>
      <c r="K1206" s="20"/>
      <c r="L1206" s="20"/>
      <c r="M1206" s="20"/>
      <c r="N1206" s="23"/>
      <c r="O1206" s="19"/>
      <c r="P1206" s="19"/>
      <c r="Q1206" s="19"/>
      <c r="R1206" s="19"/>
      <c r="S1206" s="69">
        <f t="shared" si="283"/>
        <v>0</v>
      </c>
      <c r="T1206" s="17"/>
      <c r="U1206" s="18"/>
      <c r="V1206" s="19"/>
      <c r="W1206" s="19"/>
      <c r="X1206" s="19"/>
      <c r="Y1206" s="17"/>
      <c r="Z1206" s="19"/>
      <c r="AA1206" s="19"/>
      <c r="AB1206" s="19"/>
      <c r="AC1206" s="19"/>
      <c r="AD1206" s="18"/>
      <c r="AE1206" s="25">
        <f>SUMIFS(инфо!$D$15:$D$28,инфо!$A$15:$A$28,F1206)</f>
        <v>0</v>
      </c>
      <c r="AF1206" s="35">
        <f t="shared" si="275"/>
        <v>0</v>
      </c>
      <c r="AG1206" s="14">
        <f t="shared" si="270"/>
        <v>0</v>
      </c>
      <c r="AH1206" s="25">
        <f>SUMIFS(инфо!$E$15:$E$28,инфо!$A$15:$A$28,F1206)</f>
        <v>0</v>
      </c>
      <c r="AI1206" s="26">
        <f t="shared" si="273"/>
        <v>0</v>
      </c>
      <c r="AJ1206" s="14">
        <f t="shared" si="271"/>
        <v>0</v>
      </c>
      <c r="AK1206" s="25">
        <f>SUMIFS(инфо!$F$15:$F$28,инфо!$A$15:$A$28,F1206)</f>
        <v>0</v>
      </c>
      <c r="AL1206" s="32">
        <f t="shared" si="276"/>
        <v>0</v>
      </c>
      <c r="AM1206" s="14">
        <f t="shared" si="279"/>
        <v>0</v>
      </c>
      <c r="AN1206" s="25">
        <f>SUMIFS(инфо!$G$15:$G$28,инфо!$A$15:$A$28,F1206)</f>
        <v>0</v>
      </c>
      <c r="AO1206" s="32">
        <f t="shared" si="277"/>
        <v>0</v>
      </c>
      <c r="AP1206" s="14">
        <f t="shared" si="280"/>
        <v>0</v>
      </c>
      <c r="AQ1206" s="25">
        <f>SUMIFS(инфо!$H$15:$H$28,инфо!$A$15:$A$28,F1206)</f>
        <v>0</v>
      </c>
      <c r="AR1206" s="26">
        <f t="shared" si="278"/>
        <v>0</v>
      </c>
      <c r="AS1206" s="14">
        <f t="shared" si="281"/>
        <v>0</v>
      </c>
      <c r="AT1206" s="25">
        <f>SUMIFS(инфо!$I$15:$I$28,инфо!$A$15:$A$28,F1206)</f>
        <v>0</v>
      </c>
      <c r="AU1206" s="35">
        <f t="shared" si="272"/>
        <v>0</v>
      </c>
      <c r="AV1206" s="14">
        <f t="shared" si="282"/>
        <v>0</v>
      </c>
      <c r="AX1206" s="69">
        <f>SUMIFS(инфо!$C$15:$C$28,инфо!$A$15:$A$28,F1206)*H1205</f>
        <v>0</v>
      </c>
    </row>
    <row r="1207" spans="1:50" x14ac:dyDescent="0.25">
      <c r="A1207" s="70">
        <f t="shared" si="274"/>
        <v>46667</v>
      </c>
      <c r="B1207" s="75"/>
      <c r="C1207" s="29"/>
      <c r="D1207" s="30"/>
      <c r="E1207" s="11"/>
      <c r="F1207" s="28"/>
      <c r="G1207" s="27"/>
      <c r="H1207" s="20"/>
      <c r="I1207" s="20"/>
      <c r="J1207" s="20"/>
      <c r="K1207" s="20"/>
      <c r="L1207" s="20"/>
      <c r="M1207" s="20"/>
      <c r="N1207" s="28"/>
      <c r="O1207" s="27"/>
      <c r="P1207" s="27"/>
      <c r="Q1207" s="27"/>
      <c r="R1207" s="27"/>
      <c r="S1207" s="67">
        <f t="shared" si="283"/>
        <v>0</v>
      </c>
      <c r="T1207" s="29"/>
      <c r="U1207" s="30"/>
      <c r="V1207" s="27"/>
      <c r="W1207" s="27"/>
      <c r="X1207" s="27"/>
      <c r="Y1207" s="29"/>
      <c r="Z1207" s="27"/>
      <c r="AA1207" s="27"/>
      <c r="AB1207" s="27"/>
      <c r="AC1207" s="27"/>
      <c r="AD1207" s="30"/>
      <c r="AE1207" s="31">
        <f>SUMIFS(инфо!$D$15:$D$28,инфо!$A$15:$A$28,F1207)</f>
        <v>0</v>
      </c>
      <c r="AF1207" s="35">
        <f t="shared" si="275"/>
        <v>0</v>
      </c>
      <c r="AG1207" s="33">
        <f t="shared" si="270"/>
        <v>0</v>
      </c>
      <c r="AH1207" s="31">
        <f>SUMIFS(инфо!$E$15:$E$28,инфо!$A$15:$A$28,F1207)</f>
        <v>0</v>
      </c>
      <c r="AI1207" s="32">
        <f t="shared" si="273"/>
        <v>0</v>
      </c>
      <c r="AJ1207" s="33">
        <f t="shared" si="271"/>
        <v>0</v>
      </c>
      <c r="AK1207" s="31">
        <f>SUMIFS(инфо!$F$15:$F$28,инфо!$A$15:$A$28,F1207)</f>
        <v>0</v>
      </c>
      <c r="AL1207" s="32">
        <f t="shared" si="276"/>
        <v>0</v>
      </c>
      <c r="AM1207" s="33">
        <f t="shared" si="279"/>
        <v>0</v>
      </c>
      <c r="AN1207" s="31">
        <f>SUMIFS(инфо!$G$15:$G$28,инфо!$A$15:$A$28,F1207)</f>
        <v>0</v>
      </c>
      <c r="AO1207" s="32">
        <f t="shared" si="277"/>
        <v>0</v>
      </c>
      <c r="AP1207" s="33">
        <f t="shared" si="280"/>
        <v>0</v>
      </c>
      <c r="AQ1207" s="31">
        <f>SUMIFS(инфо!$H$15:$H$28,инфо!$A$15:$A$28,F1207)</f>
        <v>0</v>
      </c>
      <c r="AR1207" s="32">
        <f t="shared" si="278"/>
        <v>0</v>
      </c>
      <c r="AS1207" s="33">
        <f t="shared" si="281"/>
        <v>0</v>
      </c>
      <c r="AT1207" s="31">
        <f>SUMIFS(инфо!$I$15:$I$28,инфо!$A$15:$A$28,F1207)</f>
        <v>0</v>
      </c>
      <c r="AU1207" s="35">
        <f t="shared" si="272"/>
        <v>0</v>
      </c>
      <c r="AV1207" s="33">
        <f t="shared" si="282"/>
        <v>0</v>
      </c>
      <c r="AX1207" s="67">
        <f>SUMIFS(инфо!$C$15:$C$28,инфо!$A$15:$A$28,F1207)*H1206</f>
        <v>0</v>
      </c>
    </row>
    <row r="1208" spans="1:50" x14ac:dyDescent="0.25">
      <c r="A1208" s="70">
        <f t="shared" si="274"/>
        <v>46668</v>
      </c>
      <c r="B1208" s="76"/>
      <c r="C1208" s="15"/>
      <c r="D1208" s="16"/>
      <c r="E1208" s="11"/>
      <c r="F1208" s="28"/>
      <c r="G1208" s="34"/>
      <c r="H1208" s="20"/>
      <c r="I1208" s="20"/>
      <c r="J1208" s="20"/>
      <c r="K1208" s="20"/>
      <c r="L1208" s="20"/>
      <c r="M1208" s="20"/>
      <c r="N1208" s="20"/>
      <c r="O1208" s="34"/>
      <c r="P1208" s="34"/>
      <c r="Q1208" s="34"/>
      <c r="R1208" s="34"/>
      <c r="S1208" s="68">
        <f t="shared" si="283"/>
        <v>0</v>
      </c>
      <c r="T1208" s="15"/>
      <c r="U1208" s="16"/>
      <c r="V1208" s="34"/>
      <c r="W1208" s="34"/>
      <c r="X1208" s="34"/>
      <c r="Y1208" s="15"/>
      <c r="Z1208" s="34"/>
      <c r="AA1208" s="34"/>
      <c r="AB1208" s="34"/>
      <c r="AC1208" s="34"/>
      <c r="AD1208" s="16"/>
      <c r="AE1208" s="24">
        <f>SUMIFS(инфо!$D$15:$D$28,инфо!$A$15:$A$28,F1208)</f>
        <v>0</v>
      </c>
      <c r="AF1208" s="35">
        <f t="shared" si="275"/>
        <v>0</v>
      </c>
      <c r="AG1208" s="12">
        <f t="shared" si="270"/>
        <v>0</v>
      </c>
      <c r="AH1208" s="24">
        <f>SUMIFS(инфо!$E$15:$E$28,инфо!$A$15:$A$28,F1208)</f>
        <v>0</v>
      </c>
      <c r="AI1208" s="35">
        <f t="shared" si="273"/>
        <v>0</v>
      </c>
      <c r="AJ1208" s="12">
        <f t="shared" si="271"/>
        <v>0</v>
      </c>
      <c r="AK1208" s="24">
        <f>SUMIFS(инфо!$F$15:$F$28,инфо!$A$15:$A$28,F1208)</f>
        <v>0</v>
      </c>
      <c r="AL1208" s="32">
        <f t="shared" si="276"/>
        <v>0</v>
      </c>
      <c r="AM1208" s="12">
        <f t="shared" si="279"/>
        <v>0</v>
      </c>
      <c r="AN1208" s="24">
        <f>SUMIFS(инфо!$G$15:$G$28,инфо!$A$15:$A$28,F1208)</f>
        <v>0</v>
      </c>
      <c r="AO1208" s="32">
        <f t="shared" si="277"/>
        <v>0</v>
      </c>
      <c r="AP1208" s="12">
        <f t="shared" si="280"/>
        <v>0</v>
      </c>
      <c r="AQ1208" s="24">
        <f>SUMIFS(инфо!$H$15:$H$28,инфо!$A$15:$A$28,F1208)</f>
        <v>0</v>
      </c>
      <c r="AR1208" s="35">
        <f t="shared" si="278"/>
        <v>0</v>
      </c>
      <c r="AS1208" s="12">
        <f t="shared" si="281"/>
        <v>0</v>
      </c>
      <c r="AT1208" s="24">
        <f>SUMIFS(инфо!$I$15:$I$28,инфо!$A$15:$A$28,F1208)</f>
        <v>0</v>
      </c>
      <c r="AU1208" s="35">
        <f t="shared" si="272"/>
        <v>0</v>
      </c>
      <c r="AV1208" s="12">
        <f t="shared" si="282"/>
        <v>0</v>
      </c>
      <c r="AX1208" s="68">
        <f>SUMIFS(инфо!$C$15:$C$28,инфо!$A$15:$A$28,F1208)*H1207</f>
        <v>0</v>
      </c>
    </row>
    <row r="1209" spans="1:50" x14ac:dyDescent="0.25">
      <c r="A1209" s="70">
        <f t="shared" si="274"/>
        <v>46668</v>
      </c>
      <c r="B1209" s="76"/>
      <c r="C1209" s="15"/>
      <c r="D1209" s="16"/>
      <c r="E1209" s="11"/>
      <c r="F1209" s="28"/>
      <c r="G1209" s="34"/>
      <c r="H1209" s="23"/>
      <c r="I1209" s="20"/>
      <c r="J1209" s="20"/>
      <c r="K1209" s="20"/>
      <c r="L1209" s="20"/>
      <c r="M1209" s="20"/>
      <c r="N1209" s="20"/>
      <c r="O1209" s="34"/>
      <c r="P1209" s="34"/>
      <c r="Q1209" s="34"/>
      <c r="R1209" s="34"/>
      <c r="S1209" s="68">
        <f t="shared" si="283"/>
        <v>0</v>
      </c>
      <c r="T1209" s="15"/>
      <c r="U1209" s="16"/>
      <c r="V1209" s="34"/>
      <c r="W1209" s="34"/>
      <c r="X1209" s="34"/>
      <c r="Y1209" s="15"/>
      <c r="Z1209" s="34"/>
      <c r="AA1209" s="34"/>
      <c r="AB1209" s="34"/>
      <c r="AC1209" s="34"/>
      <c r="AD1209" s="16"/>
      <c r="AE1209" s="24">
        <f>SUMIFS(инфо!$D$15:$D$28,инфо!$A$15:$A$28,F1209)</f>
        <v>0</v>
      </c>
      <c r="AF1209" s="35">
        <f t="shared" si="275"/>
        <v>0</v>
      </c>
      <c r="AG1209" s="12">
        <f t="shared" si="270"/>
        <v>0</v>
      </c>
      <c r="AH1209" s="24">
        <f>SUMIFS(инфо!$E$15:$E$28,инфо!$A$15:$A$28,F1209)</f>
        <v>0</v>
      </c>
      <c r="AI1209" s="35">
        <f t="shared" si="273"/>
        <v>0</v>
      </c>
      <c r="AJ1209" s="12">
        <f t="shared" si="271"/>
        <v>0</v>
      </c>
      <c r="AK1209" s="24">
        <f>SUMIFS(инфо!$F$15:$F$28,инфо!$A$15:$A$28,F1209)</f>
        <v>0</v>
      </c>
      <c r="AL1209" s="32">
        <f t="shared" si="276"/>
        <v>0</v>
      </c>
      <c r="AM1209" s="12">
        <f t="shared" si="279"/>
        <v>0</v>
      </c>
      <c r="AN1209" s="24">
        <f>SUMIFS(инфо!$G$15:$G$28,инфо!$A$15:$A$28,F1209)</f>
        <v>0</v>
      </c>
      <c r="AO1209" s="32">
        <f t="shared" si="277"/>
        <v>0</v>
      </c>
      <c r="AP1209" s="12">
        <f t="shared" si="280"/>
        <v>0</v>
      </c>
      <c r="AQ1209" s="24">
        <f>SUMIFS(инфо!$H$15:$H$28,инфо!$A$15:$A$28,F1209)</f>
        <v>0</v>
      </c>
      <c r="AR1209" s="35">
        <f t="shared" si="278"/>
        <v>0</v>
      </c>
      <c r="AS1209" s="12">
        <f t="shared" si="281"/>
        <v>0</v>
      </c>
      <c r="AT1209" s="24">
        <f>SUMIFS(инфо!$I$15:$I$28,инфо!$A$15:$A$28,F1209)</f>
        <v>0</v>
      </c>
      <c r="AU1209" s="35">
        <f t="shared" si="272"/>
        <v>0</v>
      </c>
      <c r="AV1209" s="12">
        <f t="shared" si="282"/>
        <v>0</v>
      </c>
      <c r="AX1209" s="68">
        <f>SUMIFS(инфо!$C$15:$C$28,инфо!$A$15:$A$28,F1209)*H1208</f>
        <v>0</v>
      </c>
    </row>
    <row r="1210" spans="1:50" x14ac:dyDescent="0.25">
      <c r="A1210" s="70">
        <f t="shared" si="274"/>
        <v>46669</v>
      </c>
      <c r="B1210" s="77"/>
      <c r="C1210" s="17"/>
      <c r="D1210" s="18"/>
      <c r="E1210" s="11"/>
      <c r="F1210" s="28"/>
      <c r="G1210" s="19"/>
      <c r="H1210" s="28"/>
      <c r="I1210" s="20"/>
      <c r="J1210" s="20"/>
      <c r="K1210" s="20"/>
      <c r="L1210" s="20"/>
      <c r="M1210" s="20"/>
      <c r="N1210" s="23"/>
      <c r="O1210" s="19"/>
      <c r="P1210" s="19"/>
      <c r="Q1210" s="19"/>
      <c r="R1210" s="19"/>
      <c r="S1210" s="69">
        <f t="shared" si="283"/>
        <v>0</v>
      </c>
      <c r="T1210" s="17"/>
      <c r="U1210" s="18"/>
      <c r="V1210" s="19"/>
      <c r="W1210" s="19"/>
      <c r="X1210" s="19"/>
      <c r="Y1210" s="17"/>
      <c r="Z1210" s="19"/>
      <c r="AA1210" s="19"/>
      <c r="AB1210" s="19"/>
      <c r="AC1210" s="19"/>
      <c r="AD1210" s="18"/>
      <c r="AE1210" s="25">
        <f>SUMIFS(инфо!$D$15:$D$28,инфо!$A$15:$A$28,F1210)</f>
        <v>0</v>
      </c>
      <c r="AF1210" s="35">
        <f t="shared" si="275"/>
        <v>0</v>
      </c>
      <c r="AG1210" s="14">
        <f t="shared" si="270"/>
        <v>0</v>
      </c>
      <c r="AH1210" s="25">
        <f>SUMIFS(инфо!$E$15:$E$28,инфо!$A$15:$A$28,F1210)</f>
        <v>0</v>
      </c>
      <c r="AI1210" s="26">
        <f t="shared" si="273"/>
        <v>0</v>
      </c>
      <c r="AJ1210" s="14">
        <f t="shared" si="271"/>
        <v>0</v>
      </c>
      <c r="AK1210" s="25">
        <f>SUMIFS(инфо!$F$15:$F$28,инфо!$A$15:$A$28,F1210)</f>
        <v>0</v>
      </c>
      <c r="AL1210" s="32">
        <f t="shared" si="276"/>
        <v>0</v>
      </c>
      <c r="AM1210" s="14">
        <f t="shared" si="279"/>
        <v>0</v>
      </c>
      <c r="AN1210" s="25">
        <f>SUMIFS(инфо!$G$15:$G$28,инфо!$A$15:$A$28,F1210)</f>
        <v>0</v>
      </c>
      <c r="AO1210" s="32">
        <f t="shared" si="277"/>
        <v>0</v>
      </c>
      <c r="AP1210" s="14">
        <f t="shared" si="280"/>
        <v>0</v>
      </c>
      <c r="AQ1210" s="25">
        <f>SUMIFS(инфо!$H$15:$H$28,инфо!$A$15:$A$28,F1210)</f>
        <v>0</v>
      </c>
      <c r="AR1210" s="26">
        <f t="shared" si="278"/>
        <v>0</v>
      </c>
      <c r="AS1210" s="14">
        <f t="shared" si="281"/>
        <v>0</v>
      </c>
      <c r="AT1210" s="25">
        <f>SUMIFS(инфо!$I$15:$I$28,инфо!$A$15:$A$28,F1210)</f>
        <v>0</v>
      </c>
      <c r="AU1210" s="35">
        <f t="shared" si="272"/>
        <v>0</v>
      </c>
      <c r="AV1210" s="14">
        <f t="shared" si="282"/>
        <v>0</v>
      </c>
      <c r="AX1210" s="69">
        <f>SUMIFS(инфо!$C$15:$C$28,инфо!$A$15:$A$28,F1210)*H1209</f>
        <v>0</v>
      </c>
    </row>
    <row r="1211" spans="1:50" x14ac:dyDescent="0.25">
      <c r="A1211" s="70">
        <f t="shared" si="274"/>
        <v>46669</v>
      </c>
      <c r="B1211" s="75"/>
      <c r="C1211" s="29"/>
      <c r="D1211" s="30"/>
      <c r="E1211" s="11"/>
      <c r="F1211" s="28"/>
      <c r="G1211" s="27"/>
      <c r="H1211" s="20"/>
      <c r="I1211" s="20"/>
      <c r="J1211" s="20"/>
      <c r="K1211" s="20"/>
      <c r="L1211" s="20"/>
      <c r="M1211" s="20"/>
      <c r="N1211" s="28"/>
      <c r="O1211" s="27"/>
      <c r="P1211" s="27"/>
      <c r="Q1211" s="27"/>
      <c r="R1211" s="27"/>
      <c r="S1211" s="67">
        <f t="shared" si="283"/>
        <v>0</v>
      </c>
      <c r="T1211" s="29"/>
      <c r="U1211" s="30"/>
      <c r="V1211" s="27"/>
      <c r="W1211" s="27"/>
      <c r="X1211" s="27"/>
      <c r="Y1211" s="29"/>
      <c r="Z1211" s="27"/>
      <c r="AA1211" s="27"/>
      <c r="AB1211" s="27"/>
      <c r="AC1211" s="27"/>
      <c r="AD1211" s="30"/>
      <c r="AE1211" s="31">
        <f>SUMIFS(инфо!$D$15:$D$28,инфо!$A$15:$A$28,F1211)</f>
        <v>0</v>
      </c>
      <c r="AF1211" s="35">
        <f t="shared" si="275"/>
        <v>0</v>
      </c>
      <c r="AG1211" s="33">
        <f t="shared" si="270"/>
        <v>0</v>
      </c>
      <c r="AH1211" s="31">
        <f>SUMIFS(инфо!$E$15:$E$28,инфо!$A$15:$A$28,F1211)</f>
        <v>0</v>
      </c>
      <c r="AI1211" s="32">
        <f t="shared" si="273"/>
        <v>0</v>
      </c>
      <c r="AJ1211" s="33">
        <f t="shared" si="271"/>
        <v>0</v>
      </c>
      <c r="AK1211" s="31">
        <f>SUMIFS(инфо!$F$15:$F$28,инфо!$A$15:$A$28,F1211)</f>
        <v>0</v>
      </c>
      <c r="AL1211" s="32">
        <f t="shared" si="276"/>
        <v>0</v>
      </c>
      <c r="AM1211" s="33">
        <f t="shared" si="279"/>
        <v>0</v>
      </c>
      <c r="AN1211" s="31">
        <f>SUMIFS(инфо!$G$15:$G$28,инфо!$A$15:$A$28,F1211)</f>
        <v>0</v>
      </c>
      <c r="AO1211" s="32">
        <f t="shared" si="277"/>
        <v>0</v>
      </c>
      <c r="AP1211" s="33">
        <f t="shared" si="280"/>
        <v>0</v>
      </c>
      <c r="AQ1211" s="31">
        <f>SUMIFS(инфо!$H$15:$H$28,инфо!$A$15:$A$28,F1211)</f>
        <v>0</v>
      </c>
      <c r="AR1211" s="32">
        <f t="shared" si="278"/>
        <v>0</v>
      </c>
      <c r="AS1211" s="33">
        <f t="shared" si="281"/>
        <v>0</v>
      </c>
      <c r="AT1211" s="31">
        <f>SUMIFS(инфо!$I$15:$I$28,инфо!$A$15:$A$28,F1211)</f>
        <v>0</v>
      </c>
      <c r="AU1211" s="35">
        <f t="shared" si="272"/>
        <v>0</v>
      </c>
      <c r="AV1211" s="33">
        <f t="shared" si="282"/>
        <v>0</v>
      </c>
      <c r="AX1211" s="67">
        <f>SUMIFS(инфо!$C$15:$C$28,инфо!$A$15:$A$28,F1211)*H1210</f>
        <v>0</v>
      </c>
    </row>
    <row r="1212" spans="1:50" x14ac:dyDescent="0.25">
      <c r="A1212" s="70">
        <f t="shared" si="274"/>
        <v>46670</v>
      </c>
      <c r="B1212" s="76"/>
      <c r="C1212" s="15"/>
      <c r="D1212" s="16"/>
      <c r="E1212" s="11"/>
      <c r="F1212" s="28"/>
      <c r="G1212" s="34"/>
      <c r="H1212" s="20"/>
      <c r="I1212" s="20"/>
      <c r="J1212" s="20"/>
      <c r="K1212" s="20"/>
      <c r="L1212" s="20"/>
      <c r="M1212" s="20"/>
      <c r="N1212" s="20"/>
      <c r="O1212" s="34"/>
      <c r="P1212" s="34"/>
      <c r="Q1212" s="34"/>
      <c r="R1212" s="34"/>
      <c r="S1212" s="68">
        <f t="shared" si="283"/>
        <v>0</v>
      </c>
      <c r="T1212" s="15"/>
      <c r="U1212" s="16"/>
      <c r="V1212" s="34"/>
      <c r="W1212" s="34"/>
      <c r="X1212" s="34"/>
      <c r="Y1212" s="15"/>
      <c r="Z1212" s="34"/>
      <c r="AA1212" s="34"/>
      <c r="AB1212" s="34"/>
      <c r="AC1212" s="34"/>
      <c r="AD1212" s="16"/>
      <c r="AE1212" s="24">
        <f>SUMIFS(инфо!$D$15:$D$28,инфо!$A$15:$A$28,F1212)</f>
        <v>0</v>
      </c>
      <c r="AF1212" s="35">
        <f t="shared" si="275"/>
        <v>0</v>
      </c>
      <c r="AG1212" s="12">
        <f t="shared" si="270"/>
        <v>0</v>
      </c>
      <c r="AH1212" s="24">
        <f>SUMIFS(инфо!$E$15:$E$28,инфо!$A$15:$A$28,F1212)</f>
        <v>0</v>
      </c>
      <c r="AI1212" s="35">
        <f t="shared" si="273"/>
        <v>0</v>
      </c>
      <c r="AJ1212" s="12">
        <f t="shared" si="271"/>
        <v>0</v>
      </c>
      <c r="AK1212" s="24">
        <f>SUMIFS(инфо!$F$15:$F$28,инфо!$A$15:$A$28,F1212)</f>
        <v>0</v>
      </c>
      <c r="AL1212" s="32">
        <f t="shared" si="276"/>
        <v>0</v>
      </c>
      <c r="AM1212" s="12">
        <f t="shared" si="279"/>
        <v>0</v>
      </c>
      <c r="AN1212" s="24">
        <f>SUMIFS(инфо!$G$15:$G$28,инфо!$A$15:$A$28,F1212)</f>
        <v>0</v>
      </c>
      <c r="AO1212" s="32">
        <f t="shared" si="277"/>
        <v>0</v>
      </c>
      <c r="AP1212" s="12">
        <f t="shared" si="280"/>
        <v>0</v>
      </c>
      <c r="AQ1212" s="24">
        <f>SUMIFS(инфо!$H$15:$H$28,инфо!$A$15:$A$28,F1212)</f>
        <v>0</v>
      </c>
      <c r="AR1212" s="35">
        <f t="shared" si="278"/>
        <v>0</v>
      </c>
      <c r="AS1212" s="12">
        <f t="shared" si="281"/>
        <v>0</v>
      </c>
      <c r="AT1212" s="24">
        <f>SUMIFS(инфо!$I$15:$I$28,инфо!$A$15:$A$28,F1212)</f>
        <v>0</v>
      </c>
      <c r="AU1212" s="35">
        <f t="shared" si="272"/>
        <v>0</v>
      </c>
      <c r="AV1212" s="12">
        <f t="shared" si="282"/>
        <v>0</v>
      </c>
      <c r="AX1212" s="68">
        <f>SUMIFS(инфо!$C$15:$C$28,инфо!$A$15:$A$28,F1212)*H1211</f>
        <v>0</v>
      </c>
    </row>
    <row r="1213" spans="1:50" x14ac:dyDescent="0.25">
      <c r="A1213" s="70">
        <f t="shared" si="274"/>
        <v>46670</v>
      </c>
      <c r="B1213" s="76"/>
      <c r="C1213" s="15"/>
      <c r="D1213" s="16"/>
      <c r="E1213" s="11"/>
      <c r="F1213" s="28"/>
      <c r="G1213" s="34"/>
      <c r="H1213" s="23"/>
      <c r="I1213" s="20"/>
      <c r="J1213" s="20"/>
      <c r="K1213" s="20"/>
      <c r="L1213" s="20"/>
      <c r="M1213" s="20"/>
      <c r="N1213" s="20"/>
      <c r="O1213" s="34"/>
      <c r="P1213" s="34"/>
      <c r="Q1213" s="34"/>
      <c r="R1213" s="34"/>
      <c r="S1213" s="68">
        <f t="shared" si="283"/>
        <v>0</v>
      </c>
      <c r="T1213" s="15"/>
      <c r="U1213" s="16"/>
      <c r="V1213" s="34"/>
      <c r="W1213" s="34"/>
      <c r="X1213" s="34"/>
      <c r="Y1213" s="15"/>
      <c r="Z1213" s="34"/>
      <c r="AA1213" s="34"/>
      <c r="AB1213" s="34"/>
      <c r="AC1213" s="34"/>
      <c r="AD1213" s="16"/>
      <c r="AE1213" s="24">
        <f>SUMIFS(инфо!$D$15:$D$28,инфо!$A$15:$A$28,F1213)</f>
        <v>0</v>
      </c>
      <c r="AF1213" s="35">
        <f t="shared" si="275"/>
        <v>0</v>
      </c>
      <c r="AG1213" s="12">
        <f t="shared" ref="AG1213:AG1258" si="284">AF1213-AE1213</f>
        <v>0</v>
      </c>
      <c r="AH1213" s="24">
        <f>SUMIFS(инфо!$E$15:$E$28,инфо!$A$15:$A$28,F1213)</f>
        <v>0</v>
      </c>
      <c r="AI1213" s="35">
        <f t="shared" si="273"/>
        <v>0</v>
      </c>
      <c r="AJ1213" s="12">
        <f t="shared" ref="AJ1213:AJ1258" si="285">AI1213-AH1213</f>
        <v>0</v>
      </c>
      <c r="AK1213" s="24">
        <f>SUMIFS(инфо!$F$15:$F$28,инфо!$A$15:$A$28,F1213)</f>
        <v>0</v>
      </c>
      <c r="AL1213" s="32">
        <f t="shared" si="276"/>
        <v>0</v>
      </c>
      <c r="AM1213" s="12">
        <f t="shared" si="279"/>
        <v>0</v>
      </c>
      <c r="AN1213" s="24">
        <f>SUMIFS(инфо!$G$15:$G$28,инфо!$A$15:$A$28,F1213)</f>
        <v>0</v>
      </c>
      <c r="AO1213" s="32">
        <f t="shared" si="277"/>
        <v>0</v>
      </c>
      <c r="AP1213" s="12">
        <f t="shared" si="280"/>
        <v>0</v>
      </c>
      <c r="AQ1213" s="24">
        <f>SUMIFS(инфо!$H$15:$H$28,инфо!$A$15:$A$28,F1213)</f>
        <v>0</v>
      </c>
      <c r="AR1213" s="35">
        <f t="shared" si="278"/>
        <v>0</v>
      </c>
      <c r="AS1213" s="12">
        <f t="shared" si="281"/>
        <v>0</v>
      </c>
      <c r="AT1213" s="24">
        <f>SUMIFS(инфо!$I$15:$I$28,инфо!$A$15:$A$28,F1213)</f>
        <v>0</v>
      </c>
      <c r="AU1213" s="35">
        <f t="shared" si="272"/>
        <v>0</v>
      </c>
      <c r="AV1213" s="12">
        <f t="shared" si="282"/>
        <v>0</v>
      </c>
      <c r="AX1213" s="68">
        <f>SUMIFS(инфо!$C$15:$C$28,инфо!$A$15:$A$28,F1213)*H1212</f>
        <v>0</v>
      </c>
    </row>
    <row r="1214" spans="1:50" x14ac:dyDescent="0.25">
      <c r="A1214" s="70">
        <f t="shared" si="274"/>
        <v>46671</v>
      </c>
      <c r="B1214" s="77"/>
      <c r="C1214" s="17"/>
      <c r="D1214" s="18"/>
      <c r="E1214" s="11"/>
      <c r="F1214" s="28"/>
      <c r="G1214" s="19"/>
      <c r="H1214" s="28"/>
      <c r="I1214" s="20"/>
      <c r="J1214" s="20"/>
      <c r="K1214" s="20"/>
      <c r="L1214" s="20"/>
      <c r="M1214" s="20"/>
      <c r="N1214" s="23"/>
      <c r="O1214" s="19"/>
      <c r="P1214" s="19"/>
      <c r="Q1214" s="19"/>
      <c r="R1214" s="19"/>
      <c r="S1214" s="69">
        <f t="shared" si="283"/>
        <v>0</v>
      </c>
      <c r="T1214" s="17"/>
      <c r="U1214" s="18"/>
      <c r="V1214" s="19"/>
      <c r="W1214" s="19"/>
      <c r="X1214" s="19"/>
      <c r="Y1214" s="17"/>
      <c r="Z1214" s="19"/>
      <c r="AA1214" s="19"/>
      <c r="AB1214" s="19"/>
      <c r="AC1214" s="19"/>
      <c r="AD1214" s="18"/>
      <c r="AE1214" s="25">
        <f>SUMIFS(инфо!$D$15:$D$28,инфо!$A$15:$A$28,F1214)</f>
        <v>0</v>
      </c>
      <c r="AF1214" s="35">
        <f t="shared" si="275"/>
        <v>0</v>
      </c>
      <c r="AG1214" s="14">
        <f t="shared" si="284"/>
        <v>0</v>
      </c>
      <c r="AH1214" s="25">
        <f>SUMIFS(инфо!$E$15:$E$28,инфо!$A$15:$A$28,F1214)</f>
        <v>0</v>
      </c>
      <c r="AI1214" s="26">
        <f t="shared" si="273"/>
        <v>0</v>
      </c>
      <c r="AJ1214" s="14">
        <f t="shared" si="285"/>
        <v>0</v>
      </c>
      <c r="AK1214" s="25">
        <f>SUMIFS(инфо!$F$15:$F$28,инфо!$A$15:$A$28,F1214)</f>
        <v>0</v>
      </c>
      <c r="AL1214" s="32">
        <f t="shared" si="276"/>
        <v>0</v>
      </c>
      <c r="AM1214" s="14">
        <f t="shared" si="279"/>
        <v>0</v>
      </c>
      <c r="AN1214" s="25">
        <f>SUMIFS(инфо!$G$15:$G$28,инфо!$A$15:$A$28,F1214)</f>
        <v>0</v>
      </c>
      <c r="AO1214" s="32">
        <f t="shared" si="277"/>
        <v>0</v>
      </c>
      <c r="AP1214" s="14">
        <f t="shared" si="280"/>
        <v>0</v>
      </c>
      <c r="AQ1214" s="25">
        <f>SUMIFS(инфо!$H$15:$H$28,инфо!$A$15:$A$28,F1214)</f>
        <v>0</v>
      </c>
      <c r="AR1214" s="26">
        <f t="shared" si="278"/>
        <v>0</v>
      </c>
      <c r="AS1214" s="14">
        <f t="shared" si="281"/>
        <v>0</v>
      </c>
      <c r="AT1214" s="25">
        <f>SUMIFS(инфо!$I$15:$I$28,инфо!$A$15:$A$28,F1214)</f>
        <v>0</v>
      </c>
      <c r="AU1214" s="35">
        <f t="shared" si="272"/>
        <v>0</v>
      </c>
      <c r="AV1214" s="14">
        <f t="shared" si="282"/>
        <v>0</v>
      </c>
      <c r="AX1214" s="69">
        <f>SUMIFS(инфо!$C$15:$C$28,инфо!$A$15:$A$28,F1214)*H1213</f>
        <v>0</v>
      </c>
    </row>
    <row r="1215" spans="1:50" x14ac:dyDescent="0.25">
      <c r="A1215" s="70">
        <f t="shared" si="274"/>
        <v>46671</v>
      </c>
      <c r="B1215" s="75"/>
      <c r="C1215" s="29"/>
      <c r="D1215" s="30"/>
      <c r="E1215" s="11"/>
      <c r="F1215" s="28"/>
      <c r="G1215" s="27"/>
      <c r="H1215" s="20"/>
      <c r="I1215" s="20"/>
      <c r="J1215" s="20"/>
      <c r="K1215" s="20"/>
      <c r="L1215" s="20"/>
      <c r="M1215" s="20"/>
      <c r="N1215" s="28"/>
      <c r="O1215" s="27"/>
      <c r="P1215" s="27"/>
      <c r="Q1215" s="27"/>
      <c r="R1215" s="27"/>
      <c r="S1215" s="67">
        <f t="shared" si="283"/>
        <v>0</v>
      </c>
      <c r="T1215" s="29"/>
      <c r="U1215" s="30"/>
      <c r="V1215" s="27"/>
      <c r="W1215" s="27"/>
      <c r="X1215" s="27"/>
      <c r="Y1215" s="29"/>
      <c r="Z1215" s="27"/>
      <c r="AA1215" s="27"/>
      <c r="AB1215" s="27"/>
      <c r="AC1215" s="27"/>
      <c r="AD1215" s="30"/>
      <c r="AE1215" s="31">
        <f>SUMIFS(инфо!$D$15:$D$28,инфо!$A$15:$A$28,F1215)</f>
        <v>0</v>
      </c>
      <c r="AF1215" s="35">
        <f t="shared" si="275"/>
        <v>0</v>
      </c>
      <c r="AG1215" s="33">
        <f t="shared" si="284"/>
        <v>0</v>
      </c>
      <c r="AH1215" s="31">
        <f>SUMIFS(инфо!$E$15:$E$28,инфо!$A$15:$A$28,F1215)</f>
        <v>0</v>
      </c>
      <c r="AI1215" s="32">
        <f t="shared" si="273"/>
        <v>0</v>
      </c>
      <c r="AJ1215" s="33">
        <f t="shared" si="285"/>
        <v>0</v>
      </c>
      <c r="AK1215" s="31">
        <f>SUMIFS(инфо!$F$15:$F$28,инфо!$A$15:$A$28,F1215)</f>
        <v>0</v>
      </c>
      <c r="AL1215" s="32">
        <f t="shared" si="276"/>
        <v>0</v>
      </c>
      <c r="AM1215" s="33">
        <f t="shared" si="279"/>
        <v>0</v>
      </c>
      <c r="AN1215" s="31">
        <f>SUMIFS(инфо!$G$15:$G$28,инфо!$A$15:$A$28,F1215)</f>
        <v>0</v>
      </c>
      <c r="AO1215" s="32">
        <f t="shared" si="277"/>
        <v>0</v>
      </c>
      <c r="AP1215" s="33">
        <f t="shared" si="280"/>
        <v>0</v>
      </c>
      <c r="AQ1215" s="31">
        <f>SUMIFS(инфо!$H$15:$H$28,инфо!$A$15:$A$28,F1215)</f>
        <v>0</v>
      </c>
      <c r="AR1215" s="32">
        <f t="shared" si="278"/>
        <v>0</v>
      </c>
      <c r="AS1215" s="33">
        <f t="shared" si="281"/>
        <v>0</v>
      </c>
      <c r="AT1215" s="31">
        <f>SUMIFS(инфо!$I$15:$I$28,инфо!$A$15:$A$28,F1215)</f>
        <v>0</v>
      </c>
      <c r="AU1215" s="35">
        <f t="shared" si="272"/>
        <v>0</v>
      </c>
      <c r="AV1215" s="33">
        <f t="shared" si="282"/>
        <v>0</v>
      </c>
      <c r="AX1215" s="67">
        <f>SUMIFS(инфо!$C$15:$C$28,инфо!$A$15:$A$28,F1215)*H1214</f>
        <v>0</v>
      </c>
    </row>
    <row r="1216" spans="1:50" x14ac:dyDescent="0.25">
      <c r="A1216" s="70">
        <f t="shared" si="274"/>
        <v>46672</v>
      </c>
      <c r="B1216" s="76"/>
      <c r="C1216" s="15"/>
      <c r="D1216" s="16"/>
      <c r="E1216" s="11"/>
      <c r="F1216" s="28"/>
      <c r="G1216" s="34"/>
      <c r="H1216" s="20"/>
      <c r="I1216" s="20"/>
      <c r="J1216" s="20"/>
      <c r="K1216" s="20"/>
      <c r="L1216" s="20"/>
      <c r="M1216" s="20"/>
      <c r="N1216" s="20"/>
      <c r="O1216" s="34"/>
      <c r="P1216" s="34"/>
      <c r="Q1216" s="34"/>
      <c r="R1216" s="34"/>
      <c r="S1216" s="68">
        <f t="shared" si="283"/>
        <v>0</v>
      </c>
      <c r="T1216" s="15"/>
      <c r="U1216" s="16"/>
      <c r="V1216" s="34"/>
      <c r="W1216" s="34"/>
      <c r="X1216" s="34"/>
      <c r="Y1216" s="15"/>
      <c r="Z1216" s="34"/>
      <c r="AA1216" s="34"/>
      <c r="AB1216" s="34"/>
      <c r="AC1216" s="34"/>
      <c r="AD1216" s="16"/>
      <c r="AE1216" s="24">
        <f>SUMIFS(инфо!$D$15:$D$28,инфо!$A$15:$A$28,F1216)</f>
        <v>0</v>
      </c>
      <c r="AF1216" s="35">
        <f t="shared" si="275"/>
        <v>0</v>
      </c>
      <c r="AG1216" s="12">
        <f t="shared" si="284"/>
        <v>0</v>
      </c>
      <c r="AH1216" s="24">
        <f>SUMIFS(инфо!$E$15:$E$28,инфо!$A$15:$A$28,F1216)</f>
        <v>0</v>
      </c>
      <c r="AI1216" s="35">
        <f t="shared" si="273"/>
        <v>0</v>
      </c>
      <c r="AJ1216" s="12">
        <f t="shared" si="285"/>
        <v>0</v>
      </c>
      <c r="AK1216" s="24">
        <f>SUMIFS(инфо!$F$15:$F$28,инфо!$A$15:$A$28,F1216)</f>
        <v>0</v>
      </c>
      <c r="AL1216" s="32">
        <f t="shared" si="276"/>
        <v>0</v>
      </c>
      <c r="AM1216" s="12">
        <f t="shared" si="279"/>
        <v>0</v>
      </c>
      <c r="AN1216" s="24">
        <f>SUMIFS(инфо!$G$15:$G$28,инфо!$A$15:$A$28,F1216)</f>
        <v>0</v>
      </c>
      <c r="AO1216" s="32">
        <f t="shared" si="277"/>
        <v>0</v>
      </c>
      <c r="AP1216" s="12">
        <f t="shared" si="280"/>
        <v>0</v>
      </c>
      <c r="AQ1216" s="24">
        <f>SUMIFS(инфо!$H$15:$H$28,инфо!$A$15:$A$28,F1216)</f>
        <v>0</v>
      </c>
      <c r="AR1216" s="35">
        <f t="shared" si="278"/>
        <v>0</v>
      </c>
      <c r="AS1216" s="12">
        <f t="shared" si="281"/>
        <v>0</v>
      </c>
      <c r="AT1216" s="24">
        <f>SUMIFS(инфо!$I$15:$I$28,инфо!$A$15:$A$28,F1216)</f>
        <v>0</v>
      </c>
      <c r="AU1216" s="35">
        <f t="shared" si="272"/>
        <v>0</v>
      </c>
      <c r="AV1216" s="12">
        <f t="shared" si="282"/>
        <v>0</v>
      </c>
      <c r="AX1216" s="68">
        <f>SUMIFS(инфо!$C$15:$C$28,инфо!$A$15:$A$28,F1216)*H1215</f>
        <v>0</v>
      </c>
    </row>
    <row r="1217" spans="1:50" x14ac:dyDescent="0.25">
      <c r="A1217" s="70">
        <f t="shared" si="274"/>
        <v>46672</v>
      </c>
      <c r="B1217" s="76"/>
      <c r="C1217" s="15"/>
      <c r="D1217" s="16"/>
      <c r="E1217" s="11"/>
      <c r="F1217" s="28"/>
      <c r="G1217" s="34"/>
      <c r="H1217" s="23"/>
      <c r="I1217" s="20"/>
      <c r="J1217" s="20"/>
      <c r="K1217" s="20"/>
      <c r="L1217" s="20"/>
      <c r="M1217" s="20"/>
      <c r="N1217" s="20"/>
      <c r="O1217" s="34"/>
      <c r="P1217" s="34"/>
      <c r="Q1217" s="34"/>
      <c r="R1217" s="34"/>
      <c r="S1217" s="68">
        <f t="shared" si="283"/>
        <v>0</v>
      </c>
      <c r="T1217" s="15"/>
      <c r="U1217" s="16"/>
      <c r="V1217" s="34"/>
      <c r="W1217" s="34"/>
      <c r="X1217" s="34"/>
      <c r="Y1217" s="15"/>
      <c r="Z1217" s="34"/>
      <c r="AA1217" s="34"/>
      <c r="AB1217" s="34"/>
      <c r="AC1217" s="34"/>
      <c r="AD1217" s="16"/>
      <c r="AE1217" s="24">
        <f>SUMIFS(инфо!$D$15:$D$28,инфо!$A$15:$A$28,F1217)</f>
        <v>0</v>
      </c>
      <c r="AF1217" s="35">
        <f t="shared" si="275"/>
        <v>0</v>
      </c>
      <c r="AG1217" s="12">
        <f t="shared" si="284"/>
        <v>0</v>
      </c>
      <c r="AH1217" s="24">
        <f>SUMIFS(инфо!$E$15:$E$28,инфо!$A$15:$A$28,F1217)</f>
        <v>0</v>
      </c>
      <c r="AI1217" s="35">
        <f t="shared" si="273"/>
        <v>0</v>
      </c>
      <c r="AJ1217" s="12">
        <f t="shared" si="285"/>
        <v>0</v>
      </c>
      <c r="AK1217" s="24">
        <f>SUMIFS(инфо!$F$15:$F$28,инфо!$A$15:$A$28,F1217)</f>
        <v>0</v>
      </c>
      <c r="AL1217" s="32">
        <f t="shared" si="276"/>
        <v>0</v>
      </c>
      <c r="AM1217" s="12">
        <f t="shared" si="279"/>
        <v>0</v>
      </c>
      <c r="AN1217" s="24">
        <f>SUMIFS(инфо!$G$15:$G$28,инфо!$A$15:$A$28,F1217)</f>
        <v>0</v>
      </c>
      <c r="AO1217" s="32">
        <f t="shared" si="277"/>
        <v>0</v>
      </c>
      <c r="AP1217" s="12">
        <f t="shared" si="280"/>
        <v>0</v>
      </c>
      <c r="AQ1217" s="24">
        <f>SUMIFS(инфо!$H$15:$H$28,инфо!$A$15:$A$28,F1217)</f>
        <v>0</v>
      </c>
      <c r="AR1217" s="35">
        <f t="shared" si="278"/>
        <v>0</v>
      </c>
      <c r="AS1217" s="12">
        <f t="shared" si="281"/>
        <v>0</v>
      </c>
      <c r="AT1217" s="24">
        <f>SUMIFS(инфо!$I$15:$I$28,инфо!$A$15:$A$28,F1217)</f>
        <v>0</v>
      </c>
      <c r="AU1217" s="35">
        <f t="shared" si="272"/>
        <v>0</v>
      </c>
      <c r="AV1217" s="12">
        <f t="shared" si="282"/>
        <v>0</v>
      </c>
      <c r="AX1217" s="68">
        <f>SUMIFS(инфо!$C$15:$C$28,инфо!$A$15:$A$28,F1217)*H1216</f>
        <v>0</v>
      </c>
    </row>
    <row r="1218" spans="1:50" x14ac:dyDescent="0.25">
      <c r="A1218" s="70">
        <f t="shared" si="274"/>
        <v>46673</v>
      </c>
      <c r="B1218" s="77"/>
      <c r="C1218" s="17"/>
      <c r="D1218" s="18"/>
      <c r="E1218" s="11"/>
      <c r="F1218" s="28"/>
      <c r="G1218" s="19"/>
      <c r="H1218" s="28"/>
      <c r="I1218" s="20"/>
      <c r="J1218" s="20"/>
      <c r="K1218" s="20"/>
      <c r="L1218" s="20"/>
      <c r="M1218" s="20"/>
      <c r="N1218" s="23"/>
      <c r="O1218" s="19"/>
      <c r="P1218" s="19"/>
      <c r="Q1218" s="19"/>
      <c r="R1218" s="19"/>
      <c r="S1218" s="69">
        <f t="shared" si="283"/>
        <v>0</v>
      </c>
      <c r="T1218" s="17"/>
      <c r="U1218" s="18"/>
      <c r="V1218" s="19"/>
      <c r="W1218" s="19"/>
      <c r="X1218" s="19"/>
      <c r="Y1218" s="17"/>
      <c r="Z1218" s="19"/>
      <c r="AA1218" s="19"/>
      <c r="AB1218" s="19"/>
      <c r="AC1218" s="19"/>
      <c r="AD1218" s="18"/>
      <c r="AE1218" s="25">
        <f>SUMIFS(инфо!$D$15:$D$28,инфо!$A$15:$A$28,F1218)</f>
        <v>0</v>
      </c>
      <c r="AF1218" s="35">
        <f t="shared" si="275"/>
        <v>0</v>
      </c>
      <c r="AG1218" s="14">
        <f t="shared" si="284"/>
        <v>0</v>
      </c>
      <c r="AH1218" s="25">
        <f>SUMIFS(инфо!$E$15:$E$28,инфо!$A$15:$A$28,F1218)</f>
        <v>0</v>
      </c>
      <c r="AI1218" s="26">
        <f t="shared" si="273"/>
        <v>0</v>
      </c>
      <c r="AJ1218" s="14">
        <f t="shared" si="285"/>
        <v>0</v>
      </c>
      <c r="AK1218" s="25">
        <f>SUMIFS(инфо!$F$15:$F$28,инфо!$A$15:$A$28,F1218)</f>
        <v>0</v>
      </c>
      <c r="AL1218" s="32">
        <f t="shared" si="276"/>
        <v>0</v>
      </c>
      <c r="AM1218" s="14">
        <f t="shared" si="279"/>
        <v>0</v>
      </c>
      <c r="AN1218" s="25">
        <f>SUMIFS(инфо!$G$15:$G$28,инфо!$A$15:$A$28,F1218)</f>
        <v>0</v>
      </c>
      <c r="AO1218" s="32">
        <f t="shared" si="277"/>
        <v>0</v>
      </c>
      <c r="AP1218" s="14">
        <f t="shared" si="280"/>
        <v>0</v>
      </c>
      <c r="AQ1218" s="25">
        <f>SUMIFS(инфо!$H$15:$H$28,инфо!$A$15:$A$28,F1218)</f>
        <v>0</v>
      </c>
      <c r="AR1218" s="26">
        <f t="shared" si="278"/>
        <v>0</v>
      </c>
      <c r="AS1218" s="14">
        <f t="shared" si="281"/>
        <v>0</v>
      </c>
      <c r="AT1218" s="25">
        <f>SUMIFS(инфо!$I$15:$I$28,инфо!$A$15:$A$28,F1218)</f>
        <v>0</v>
      </c>
      <c r="AU1218" s="35">
        <f t="shared" si="272"/>
        <v>0</v>
      </c>
      <c r="AV1218" s="14">
        <f t="shared" si="282"/>
        <v>0</v>
      </c>
      <c r="AX1218" s="69">
        <f>SUMIFS(инфо!$C$15:$C$28,инфо!$A$15:$A$28,F1218)*H1217</f>
        <v>0</v>
      </c>
    </row>
    <row r="1219" spans="1:50" x14ac:dyDescent="0.25">
      <c r="A1219" s="70">
        <f t="shared" si="274"/>
        <v>46673</v>
      </c>
      <c r="B1219" s="75"/>
      <c r="C1219" s="29"/>
      <c r="D1219" s="30"/>
      <c r="E1219" s="11"/>
      <c r="F1219" s="28"/>
      <c r="G1219" s="27"/>
      <c r="H1219" s="20"/>
      <c r="I1219" s="20"/>
      <c r="J1219" s="20"/>
      <c r="K1219" s="20"/>
      <c r="L1219" s="20"/>
      <c r="M1219" s="20"/>
      <c r="N1219" s="28"/>
      <c r="O1219" s="27"/>
      <c r="P1219" s="27"/>
      <c r="Q1219" s="27"/>
      <c r="R1219" s="27"/>
      <c r="S1219" s="67">
        <f t="shared" si="283"/>
        <v>0</v>
      </c>
      <c r="T1219" s="29"/>
      <c r="U1219" s="30"/>
      <c r="V1219" s="27"/>
      <c r="W1219" s="27"/>
      <c r="X1219" s="27"/>
      <c r="Y1219" s="29"/>
      <c r="Z1219" s="27"/>
      <c r="AA1219" s="27"/>
      <c r="AB1219" s="27"/>
      <c r="AC1219" s="27"/>
      <c r="AD1219" s="30"/>
      <c r="AE1219" s="31">
        <f>SUMIFS(инфо!$D$15:$D$28,инфо!$A$15:$A$28,F1219)</f>
        <v>0</v>
      </c>
      <c r="AF1219" s="35">
        <f t="shared" si="275"/>
        <v>0</v>
      </c>
      <c r="AG1219" s="33">
        <f t="shared" si="284"/>
        <v>0</v>
      </c>
      <c r="AH1219" s="31">
        <f>SUMIFS(инфо!$E$15:$E$28,инфо!$A$15:$A$28,F1219)</f>
        <v>0</v>
      </c>
      <c r="AI1219" s="32">
        <f t="shared" si="273"/>
        <v>0</v>
      </c>
      <c r="AJ1219" s="33">
        <f t="shared" si="285"/>
        <v>0</v>
      </c>
      <c r="AK1219" s="31">
        <f>SUMIFS(инфо!$F$15:$F$28,инфо!$A$15:$A$28,F1219)</f>
        <v>0</v>
      </c>
      <c r="AL1219" s="32">
        <f t="shared" si="276"/>
        <v>0</v>
      </c>
      <c r="AM1219" s="33">
        <f t="shared" si="279"/>
        <v>0</v>
      </c>
      <c r="AN1219" s="31">
        <f>SUMIFS(инфо!$G$15:$G$28,инфо!$A$15:$A$28,F1219)</f>
        <v>0</v>
      </c>
      <c r="AO1219" s="32">
        <f t="shared" si="277"/>
        <v>0</v>
      </c>
      <c r="AP1219" s="33">
        <f t="shared" si="280"/>
        <v>0</v>
      </c>
      <c r="AQ1219" s="31">
        <f>SUMIFS(инфо!$H$15:$H$28,инфо!$A$15:$A$28,F1219)</f>
        <v>0</v>
      </c>
      <c r="AR1219" s="32">
        <f t="shared" si="278"/>
        <v>0</v>
      </c>
      <c r="AS1219" s="33">
        <f t="shared" si="281"/>
        <v>0</v>
      </c>
      <c r="AT1219" s="31">
        <f>SUMIFS(инфо!$I$15:$I$28,инфо!$A$15:$A$28,F1219)</f>
        <v>0</v>
      </c>
      <c r="AU1219" s="35">
        <f t="shared" si="272"/>
        <v>0</v>
      </c>
      <c r="AV1219" s="33">
        <f t="shared" si="282"/>
        <v>0</v>
      </c>
      <c r="AX1219" s="67">
        <f>SUMIFS(инфо!$C$15:$C$28,инфо!$A$15:$A$28,F1219)*H1218</f>
        <v>0</v>
      </c>
    </row>
    <row r="1220" spans="1:50" x14ac:dyDescent="0.25">
      <c r="A1220" s="70">
        <f t="shared" si="274"/>
        <v>46674</v>
      </c>
      <c r="B1220" s="76"/>
      <c r="C1220" s="15"/>
      <c r="D1220" s="16"/>
      <c r="E1220" s="11"/>
      <c r="F1220" s="28"/>
      <c r="G1220" s="34"/>
      <c r="H1220" s="20"/>
      <c r="I1220" s="20"/>
      <c r="J1220" s="20"/>
      <c r="K1220" s="20"/>
      <c r="L1220" s="20"/>
      <c r="M1220" s="20"/>
      <c r="N1220" s="20"/>
      <c r="O1220" s="34"/>
      <c r="P1220" s="34"/>
      <c r="Q1220" s="34"/>
      <c r="R1220" s="34"/>
      <c r="S1220" s="68">
        <f t="shared" si="283"/>
        <v>0</v>
      </c>
      <c r="T1220" s="15"/>
      <c r="U1220" s="16"/>
      <c r="V1220" s="34"/>
      <c r="W1220" s="34"/>
      <c r="X1220" s="34"/>
      <c r="Y1220" s="15"/>
      <c r="Z1220" s="34"/>
      <c r="AA1220" s="34"/>
      <c r="AB1220" s="34"/>
      <c r="AC1220" s="34"/>
      <c r="AD1220" s="16"/>
      <c r="AE1220" s="24">
        <f>SUMIFS(инфо!$D$15:$D$28,инфо!$A$15:$A$28,F1220)</f>
        <v>0</v>
      </c>
      <c r="AF1220" s="35">
        <f t="shared" si="275"/>
        <v>0</v>
      </c>
      <c r="AG1220" s="12">
        <f t="shared" si="284"/>
        <v>0</v>
      </c>
      <c r="AH1220" s="24">
        <f>SUMIFS(инфо!$E$15:$E$28,инфо!$A$15:$A$28,F1220)</f>
        <v>0</v>
      </c>
      <c r="AI1220" s="35">
        <f t="shared" si="273"/>
        <v>0</v>
      </c>
      <c r="AJ1220" s="12">
        <f t="shared" si="285"/>
        <v>0</v>
      </c>
      <c r="AK1220" s="24">
        <f>SUMIFS(инфо!$F$15:$F$28,инфо!$A$15:$A$28,F1220)</f>
        <v>0</v>
      </c>
      <c r="AL1220" s="32">
        <f t="shared" si="276"/>
        <v>0</v>
      </c>
      <c r="AM1220" s="12">
        <f t="shared" si="279"/>
        <v>0</v>
      </c>
      <c r="AN1220" s="24">
        <f>SUMIFS(инфо!$G$15:$G$28,инфо!$A$15:$A$28,F1220)</f>
        <v>0</v>
      </c>
      <c r="AO1220" s="32">
        <f t="shared" si="277"/>
        <v>0</v>
      </c>
      <c r="AP1220" s="12">
        <f t="shared" si="280"/>
        <v>0</v>
      </c>
      <c r="AQ1220" s="24">
        <f>SUMIFS(инфо!$H$15:$H$28,инфо!$A$15:$A$28,F1220)</f>
        <v>0</v>
      </c>
      <c r="AR1220" s="35">
        <f t="shared" si="278"/>
        <v>0</v>
      </c>
      <c r="AS1220" s="12">
        <f t="shared" si="281"/>
        <v>0</v>
      </c>
      <c r="AT1220" s="24">
        <f>SUMIFS(инфо!$I$15:$I$28,инфо!$A$15:$A$28,F1220)</f>
        <v>0</v>
      </c>
      <c r="AU1220" s="35">
        <f t="shared" si="272"/>
        <v>0</v>
      </c>
      <c r="AV1220" s="12">
        <f t="shared" si="282"/>
        <v>0</v>
      </c>
      <c r="AX1220" s="68">
        <f>SUMIFS(инфо!$C$15:$C$28,инфо!$A$15:$A$28,F1220)*H1219</f>
        <v>0</v>
      </c>
    </row>
    <row r="1221" spans="1:50" x14ac:dyDescent="0.25">
      <c r="A1221" s="70">
        <f t="shared" si="274"/>
        <v>46674</v>
      </c>
      <c r="B1221" s="76"/>
      <c r="C1221" s="15"/>
      <c r="D1221" s="16"/>
      <c r="E1221" s="11"/>
      <c r="F1221" s="28"/>
      <c r="G1221" s="34"/>
      <c r="H1221" s="23"/>
      <c r="I1221" s="20"/>
      <c r="J1221" s="20"/>
      <c r="K1221" s="20"/>
      <c r="L1221" s="20"/>
      <c r="M1221" s="20"/>
      <c r="N1221" s="20"/>
      <c r="O1221" s="34"/>
      <c r="P1221" s="34"/>
      <c r="Q1221" s="34"/>
      <c r="R1221" s="34"/>
      <c r="S1221" s="68">
        <f t="shared" si="283"/>
        <v>0</v>
      </c>
      <c r="T1221" s="15"/>
      <c r="U1221" s="16"/>
      <c r="V1221" s="34"/>
      <c r="W1221" s="34"/>
      <c r="X1221" s="34"/>
      <c r="Y1221" s="15"/>
      <c r="Z1221" s="34"/>
      <c r="AA1221" s="34"/>
      <c r="AB1221" s="34"/>
      <c r="AC1221" s="34"/>
      <c r="AD1221" s="16"/>
      <c r="AE1221" s="24">
        <f>SUMIFS(инфо!$D$15:$D$28,инфо!$A$15:$A$28,F1221)</f>
        <v>0</v>
      </c>
      <c r="AF1221" s="35">
        <f t="shared" si="275"/>
        <v>0</v>
      </c>
      <c r="AG1221" s="12">
        <f t="shared" si="284"/>
        <v>0</v>
      </c>
      <c r="AH1221" s="24">
        <f>SUMIFS(инфо!$E$15:$E$28,инфо!$A$15:$A$28,F1221)</f>
        <v>0</v>
      </c>
      <c r="AI1221" s="35">
        <f t="shared" si="273"/>
        <v>0</v>
      </c>
      <c r="AJ1221" s="12">
        <f t="shared" si="285"/>
        <v>0</v>
      </c>
      <c r="AK1221" s="24">
        <f>SUMIFS(инфо!$F$15:$F$28,инфо!$A$15:$A$28,F1221)</f>
        <v>0</v>
      </c>
      <c r="AL1221" s="32">
        <f t="shared" si="276"/>
        <v>0</v>
      </c>
      <c r="AM1221" s="12">
        <f t="shared" si="279"/>
        <v>0</v>
      </c>
      <c r="AN1221" s="24">
        <f>SUMIFS(инфо!$G$15:$G$28,инфо!$A$15:$A$28,F1221)</f>
        <v>0</v>
      </c>
      <c r="AO1221" s="32">
        <f t="shared" si="277"/>
        <v>0</v>
      </c>
      <c r="AP1221" s="12">
        <f t="shared" si="280"/>
        <v>0</v>
      </c>
      <c r="AQ1221" s="24">
        <f>SUMIFS(инфо!$H$15:$H$28,инфо!$A$15:$A$28,F1221)</f>
        <v>0</v>
      </c>
      <c r="AR1221" s="35">
        <f t="shared" si="278"/>
        <v>0</v>
      </c>
      <c r="AS1221" s="12">
        <f t="shared" si="281"/>
        <v>0</v>
      </c>
      <c r="AT1221" s="24">
        <f>SUMIFS(инфо!$I$15:$I$28,инфо!$A$15:$A$28,F1221)</f>
        <v>0</v>
      </c>
      <c r="AU1221" s="35">
        <f t="shared" si="272"/>
        <v>0</v>
      </c>
      <c r="AV1221" s="12">
        <f t="shared" si="282"/>
        <v>0</v>
      </c>
      <c r="AX1221" s="68">
        <f>SUMIFS(инфо!$C$15:$C$28,инфо!$A$15:$A$28,F1221)*H1220</f>
        <v>0</v>
      </c>
    </row>
    <row r="1222" spans="1:50" x14ac:dyDescent="0.25">
      <c r="A1222" s="70">
        <f t="shared" si="274"/>
        <v>46675</v>
      </c>
      <c r="B1222" s="77"/>
      <c r="C1222" s="17"/>
      <c r="D1222" s="18"/>
      <c r="E1222" s="11"/>
      <c r="F1222" s="28"/>
      <c r="G1222" s="19"/>
      <c r="H1222" s="28"/>
      <c r="I1222" s="20"/>
      <c r="J1222" s="20"/>
      <c r="K1222" s="20"/>
      <c r="L1222" s="20"/>
      <c r="M1222" s="20"/>
      <c r="N1222" s="23"/>
      <c r="O1222" s="19"/>
      <c r="P1222" s="19"/>
      <c r="Q1222" s="19"/>
      <c r="R1222" s="19"/>
      <c r="S1222" s="69">
        <f t="shared" si="283"/>
        <v>0</v>
      </c>
      <c r="T1222" s="17"/>
      <c r="U1222" s="18"/>
      <c r="V1222" s="19"/>
      <c r="W1222" s="19"/>
      <c r="X1222" s="19"/>
      <c r="Y1222" s="17"/>
      <c r="Z1222" s="19"/>
      <c r="AA1222" s="19"/>
      <c r="AB1222" s="19"/>
      <c r="AC1222" s="19"/>
      <c r="AD1222" s="18"/>
      <c r="AE1222" s="25">
        <f>SUMIFS(инфо!$D$15:$D$28,инфо!$A$15:$A$28,F1222)</f>
        <v>0</v>
      </c>
      <c r="AF1222" s="35">
        <f t="shared" si="275"/>
        <v>0</v>
      </c>
      <c r="AG1222" s="14">
        <f t="shared" si="284"/>
        <v>0</v>
      </c>
      <c r="AH1222" s="25">
        <f>SUMIFS(инфо!$E$15:$E$28,инфо!$A$15:$A$28,F1222)</f>
        <v>0</v>
      </c>
      <c r="AI1222" s="26">
        <f t="shared" si="273"/>
        <v>0</v>
      </c>
      <c r="AJ1222" s="14">
        <f t="shared" si="285"/>
        <v>0</v>
      </c>
      <c r="AK1222" s="25">
        <f>SUMIFS(инфо!$F$15:$F$28,инфо!$A$15:$A$28,F1222)</f>
        <v>0</v>
      </c>
      <c r="AL1222" s="32">
        <f t="shared" si="276"/>
        <v>0</v>
      </c>
      <c r="AM1222" s="14">
        <f t="shared" si="279"/>
        <v>0</v>
      </c>
      <c r="AN1222" s="25">
        <f>SUMIFS(инфо!$G$15:$G$28,инфо!$A$15:$A$28,F1222)</f>
        <v>0</v>
      </c>
      <c r="AO1222" s="32">
        <f t="shared" si="277"/>
        <v>0</v>
      </c>
      <c r="AP1222" s="14">
        <f t="shared" si="280"/>
        <v>0</v>
      </c>
      <c r="AQ1222" s="25">
        <f>SUMIFS(инфо!$H$15:$H$28,инфо!$A$15:$A$28,F1222)</f>
        <v>0</v>
      </c>
      <c r="AR1222" s="26">
        <f t="shared" si="278"/>
        <v>0</v>
      </c>
      <c r="AS1222" s="14">
        <f t="shared" si="281"/>
        <v>0</v>
      </c>
      <c r="AT1222" s="25">
        <f>SUMIFS(инфо!$I$15:$I$28,инфо!$A$15:$A$28,F1222)</f>
        <v>0</v>
      </c>
      <c r="AU1222" s="35">
        <f t="shared" si="272"/>
        <v>0</v>
      </c>
      <c r="AV1222" s="14">
        <f t="shared" si="282"/>
        <v>0</v>
      </c>
      <c r="AX1222" s="69">
        <f>SUMIFS(инфо!$C$15:$C$28,инфо!$A$15:$A$28,F1222)*H1221</f>
        <v>0</v>
      </c>
    </row>
    <row r="1223" spans="1:50" x14ac:dyDescent="0.25">
      <c r="A1223" s="70">
        <f t="shared" si="274"/>
        <v>46675</v>
      </c>
      <c r="B1223" s="75"/>
      <c r="C1223" s="29"/>
      <c r="D1223" s="30"/>
      <c r="E1223" s="11"/>
      <c r="F1223" s="28"/>
      <c r="G1223" s="27"/>
      <c r="H1223" s="20"/>
      <c r="I1223" s="20"/>
      <c r="J1223" s="20"/>
      <c r="K1223" s="20"/>
      <c r="L1223" s="20"/>
      <c r="M1223" s="20"/>
      <c r="N1223" s="28"/>
      <c r="O1223" s="27"/>
      <c r="P1223" s="27"/>
      <c r="Q1223" s="27"/>
      <c r="R1223" s="27"/>
      <c r="S1223" s="67">
        <f t="shared" si="283"/>
        <v>0</v>
      </c>
      <c r="T1223" s="29"/>
      <c r="U1223" s="30"/>
      <c r="V1223" s="27"/>
      <c r="W1223" s="27"/>
      <c r="X1223" s="27"/>
      <c r="Y1223" s="29"/>
      <c r="Z1223" s="27"/>
      <c r="AA1223" s="27"/>
      <c r="AB1223" s="27"/>
      <c r="AC1223" s="27"/>
      <c r="AD1223" s="30"/>
      <c r="AE1223" s="31">
        <f>SUMIFS(инфо!$D$15:$D$28,инфо!$A$15:$A$28,F1223)</f>
        <v>0</v>
      </c>
      <c r="AF1223" s="35">
        <f t="shared" si="275"/>
        <v>0</v>
      </c>
      <c r="AG1223" s="33">
        <f t="shared" si="284"/>
        <v>0</v>
      </c>
      <c r="AH1223" s="31">
        <f>SUMIFS(инфо!$E$15:$E$28,инфо!$A$15:$A$28,F1223)</f>
        <v>0</v>
      </c>
      <c r="AI1223" s="32">
        <f t="shared" si="273"/>
        <v>0</v>
      </c>
      <c r="AJ1223" s="33">
        <f t="shared" si="285"/>
        <v>0</v>
      </c>
      <c r="AK1223" s="31">
        <f>SUMIFS(инфо!$F$15:$F$28,инфо!$A$15:$A$28,F1223)</f>
        <v>0</v>
      </c>
      <c r="AL1223" s="32">
        <f t="shared" si="276"/>
        <v>0</v>
      </c>
      <c r="AM1223" s="33">
        <f t="shared" si="279"/>
        <v>0</v>
      </c>
      <c r="AN1223" s="31">
        <f>SUMIFS(инфо!$G$15:$G$28,инфо!$A$15:$A$28,F1223)</f>
        <v>0</v>
      </c>
      <c r="AO1223" s="32">
        <f t="shared" si="277"/>
        <v>0</v>
      </c>
      <c r="AP1223" s="33">
        <f t="shared" si="280"/>
        <v>0</v>
      </c>
      <c r="AQ1223" s="31">
        <f>SUMIFS(инфо!$H$15:$H$28,инфо!$A$15:$A$28,F1223)</f>
        <v>0</v>
      </c>
      <c r="AR1223" s="32">
        <f t="shared" si="278"/>
        <v>0</v>
      </c>
      <c r="AS1223" s="33">
        <f t="shared" si="281"/>
        <v>0</v>
      </c>
      <c r="AT1223" s="31">
        <f>SUMIFS(инфо!$I$15:$I$28,инфо!$A$15:$A$28,F1223)</f>
        <v>0</v>
      </c>
      <c r="AU1223" s="35">
        <f t="shared" si="272"/>
        <v>0</v>
      </c>
      <c r="AV1223" s="33">
        <f t="shared" si="282"/>
        <v>0</v>
      </c>
      <c r="AX1223" s="67">
        <f>SUMIFS(инфо!$C$15:$C$28,инфо!$A$15:$A$28,F1223)*H1222</f>
        <v>0</v>
      </c>
    </row>
    <row r="1224" spans="1:50" x14ac:dyDescent="0.25">
      <c r="A1224" s="70">
        <f t="shared" si="274"/>
        <v>46676</v>
      </c>
      <c r="B1224" s="76"/>
      <c r="C1224" s="15"/>
      <c r="D1224" s="16"/>
      <c r="E1224" s="11"/>
      <c r="F1224" s="28"/>
      <c r="G1224" s="34"/>
      <c r="H1224" s="20"/>
      <c r="I1224" s="20"/>
      <c r="J1224" s="20"/>
      <c r="K1224" s="20"/>
      <c r="L1224" s="20"/>
      <c r="M1224" s="20"/>
      <c r="N1224" s="20"/>
      <c r="O1224" s="34"/>
      <c r="P1224" s="34"/>
      <c r="Q1224" s="34"/>
      <c r="R1224" s="34"/>
      <c r="S1224" s="68">
        <f t="shared" si="283"/>
        <v>0</v>
      </c>
      <c r="T1224" s="15"/>
      <c r="U1224" s="16"/>
      <c r="V1224" s="34"/>
      <c r="W1224" s="34"/>
      <c r="X1224" s="34"/>
      <c r="Y1224" s="15"/>
      <c r="Z1224" s="34"/>
      <c r="AA1224" s="34"/>
      <c r="AB1224" s="34"/>
      <c r="AC1224" s="34"/>
      <c r="AD1224" s="16"/>
      <c r="AE1224" s="24">
        <f>SUMIFS(инфо!$D$15:$D$28,инфо!$A$15:$A$28,F1224)</f>
        <v>0</v>
      </c>
      <c r="AF1224" s="35">
        <f t="shared" si="275"/>
        <v>0</v>
      </c>
      <c r="AG1224" s="12">
        <f t="shared" si="284"/>
        <v>0</v>
      </c>
      <c r="AH1224" s="24">
        <f>SUMIFS(инфо!$E$15:$E$28,инфо!$A$15:$A$28,F1224)</f>
        <v>0</v>
      </c>
      <c r="AI1224" s="35">
        <f t="shared" si="273"/>
        <v>0</v>
      </c>
      <c r="AJ1224" s="12">
        <f t="shared" si="285"/>
        <v>0</v>
      </c>
      <c r="AK1224" s="24">
        <f>SUMIFS(инфо!$F$15:$F$28,инфо!$A$15:$A$28,F1224)</f>
        <v>0</v>
      </c>
      <c r="AL1224" s="32">
        <f t="shared" si="276"/>
        <v>0</v>
      </c>
      <c r="AM1224" s="12">
        <f t="shared" si="279"/>
        <v>0</v>
      </c>
      <c r="AN1224" s="24">
        <f>SUMIFS(инфо!$G$15:$G$28,инфо!$A$15:$A$28,F1224)</f>
        <v>0</v>
      </c>
      <c r="AO1224" s="32">
        <f t="shared" si="277"/>
        <v>0</v>
      </c>
      <c r="AP1224" s="12">
        <f t="shared" si="280"/>
        <v>0</v>
      </c>
      <c r="AQ1224" s="24">
        <f>SUMIFS(инфо!$H$15:$H$28,инфо!$A$15:$A$28,F1224)</f>
        <v>0</v>
      </c>
      <c r="AR1224" s="35">
        <f t="shared" si="278"/>
        <v>0</v>
      </c>
      <c r="AS1224" s="12">
        <f t="shared" si="281"/>
        <v>0</v>
      </c>
      <c r="AT1224" s="24">
        <f>SUMIFS(инфо!$I$15:$I$28,инфо!$A$15:$A$28,F1224)</f>
        <v>0</v>
      </c>
      <c r="AU1224" s="35">
        <f t="shared" si="272"/>
        <v>0</v>
      </c>
      <c r="AV1224" s="12">
        <f t="shared" si="282"/>
        <v>0</v>
      </c>
      <c r="AX1224" s="68">
        <f>SUMIFS(инфо!$C$15:$C$28,инфо!$A$15:$A$28,F1224)*H1223</f>
        <v>0</v>
      </c>
    </row>
    <row r="1225" spans="1:50" x14ac:dyDescent="0.25">
      <c r="A1225" s="70">
        <f t="shared" si="274"/>
        <v>46676</v>
      </c>
      <c r="B1225" s="76"/>
      <c r="C1225" s="15"/>
      <c r="D1225" s="16"/>
      <c r="E1225" s="11"/>
      <c r="F1225" s="28"/>
      <c r="G1225" s="34"/>
      <c r="H1225" s="23"/>
      <c r="I1225" s="20"/>
      <c r="J1225" s="20"/>
      <c r="K1225" s="20"/>
      <c r="L1225" s="20"/>
      <c r="M1225" s="20"/>
      <c r="N1225" s="20"/>
      <c r="O1225" s="34"/>
      <c r="P1225" s="34"/>
      <c r="Q1225" s="34"/>
      <c r="R1225" s="34"/>
      <c r="S1225" s="68">
        <f t="shared" si="283"/>
        <v>0</v>
      </c>
      <c r="T1225" s="15"/>
      <c r="U1225" s="16"/>
      <c r="V1225" s="34"/>
      <c r="W1225" s="34"/>
      <c r="X1225" s="34"/>
      <c r="Y1225" s="15"/>
      <c r="Z1225" s="34"/>
      <c r="AA1225" s="34"/>
      <c r="AB1225" s="34"/>
      <c r="AC1225" s="34"/>
      <c r="AD1225" s="16"/>
      <c r="AE1225" s="24">
        <f>SUMIFS(инфо!$D$15:$D$28,инфо!$A$15:$A$28,F1225)</f>
        <v>0</v>
      </c>
      <c r="AF1225" s="35">
        <f t="shared" si="275"/>
        <v>0</v>
      </c>
      <c r="AG1225" s="12">
        <f t="shared" si="284"/>
        <v>0</v>
      </c>
      <c r="AH1225" s="24">
        <f>SUMIFS(инфо!$E$15:$E$28,инфо!$A$15:$A$28,F1225)</f>
        <v>0</v>
      </c>
      <c r="AI1225" s="35">
        <f t="shared" si="273"/>
        <v>0</v>
      </c>
      <c r="AJ1225" s="12">
        <f t="shared" si="285"/>
        <v>0</v>
      </c>
      <c r="AK1225" s="24">
        <f>SUMIFS(инфо!$F$15:$F$28,инфо!$A$15:$A$28,F1225)</f>
        <v>0</v>
      </c>
      <c r="AL1225" s="32">
        <f t="shared" si="276"/>
        <v>0</v>
      </c>
      <c r="AM1225" s="12">
        <f t="shared" si="279"/>
        <v>0</v>
      </c>
      <c r="AN1225" s="24">
        <f>SUMIFS(инфо!$G$15:$G$28,инфо!$A$15:$A$28,F1225)</f>
        <v>0</v>
      </c>
      <c r="AO1225" s="32">
        <f t="shared" si="277"/>
        <v>0</v>
      </c>
      <c r="AP1225" s="12">
        <f t="shared" si="280"/>
        <v>0</v>
      </c>
      <c r="AQ1225" s="24">
        <f>SUMIFS(инфо!$H$15:$H$28,инфо!$A$15:$A$28,F1225)</f>
        <v>0</v>
      </c>
      <c r="AR1225" s="35">
        <f t="shared" si="278"/>
        <v>0</v>
      </c>
      <c r="AS1225" s="12">
        <f t="shared" si="281"/>
        <v>0</v>
      </c>
      <c r="AT1225" s="24">
        <f>SUMIFS(инфо!$I$15:$I$28,инфо!$A$15:$A$28,F1225)</f>
        <v>0</v>
      </c>
      <c r="AU1225" s="35">
        <f t="shared" ref="AU1225:AU1258" si="286">IF(H1225=0,0,AD1225/H1225)</f>
        <v>0</v>
      </c>
      <c r="AV1225" s="12">
        <f t="shared" si="282"/>
        <v>0</v>
      </c>
      <c r="AX1225" s="68">
        <f>SUMIFS(инфо!$C$15:$C$28,инфо!$A$15:$A$28,F1225)*H1224</f>
        <v>0</v>
      </c>
    </row>
    <row r="1226" spans="1:50" x14ac:dyDescent="0.25">
      <c r="A1226" s="70">
        <f t="shared" si="274"/>
        <v>46677</v>
      </c>
      <c r="B1226" s="77"/>
      <c r="C1226" s="17"/>
      <c r="D1226" s="18"/>
      <c r="E1226" s="11"/>
      <c r="F1226" s="28"/>
      <c r="G1226" s="19"/>
      <c r="H1226" s="28"/>
      <c r="I1226" s="20"/>
      <c r="J1226" s="20"/>
      <c r="K1226" s="20"/>
      <c r="L1226" s="20"/>
      <c r="M1226" s="20"/>
      <c r="N1226" s="23"/>
      <c r="O1226" s="19"/>
      <c r="P1226" s="19"/>
      <c r="Q1226" s="19"/>
      <c r="R1226" s="19"/>
      <c r="S1226" s="69">
        <f t="shared" si="283"/>
        <v>0</v>
      </c>
      <c r="T1226" s="17"/>
      <c r="U1226" s="18"/>
      <c r="V1226" s="19"/>
      <c r="W1226" s="19"/>
      <c r="X1226" s="19"/>
      <c r="Y1226" s="17"/>
      <c r="Z1226" s="19"/>
      <c r="AA1226" s="19"/>
      <c r="AB1226" s="19"/>
      <c r="AC1226" s="19"/>
      <c r="AD1226" s="18"/>
      <c r="AE1226" s="25">
        <f>SUMIFS(инфо!$D$15:$D$28,инфо!$A$15:$A$28,F1226)</f>
        <v>0</v>
      </c>
      <c r="AF1226" s="35">
        <f t="shared" si="275"/>
        <v>0</v>
      </c>
      <c r="AG1226" s="14">
        <f t="shared" si="284"/>
        <v>0</v>
      </c>
      <c r="AH1226" s="25">
        <f>SUMIFS(инфо!$E$15:$E$28,инфо!$A$15:$A$28,F1226)</f>
        <v>0</v>
      </c>
      <c r="AI1226" s="26">
        <f t="shared" si="273"/>
        <v>0</v>
      </c>
      <c r="AJ1226" s="14">
        <f t="shared" si="285"/>
        <v>0</v>
      </c>
      <c r="AK1226" s="25">
        <f>SUMIFS(инфо!$F$15:$F$28,инфо!$A$15:$A$28,F1226)</f>
        <v>0</v>
      </c>
      <c r="AL1226" s="32">
        <f t="shared" si="276"/>
        <v>0</v>
      </c>
      <c r="AM1226" s="14">
        <f t="shared" si="279"/>
        <v>0</v>
      </c>
      <c r="AN1226" s="25">
        <f>SUMIFS(инфо!$G$15:$G$28,инфо!$A$15:$A$28,F1226)</f>
        <v>0</v>
      </c>
      <c r="AO1226" s="32">
        <f t="shared" si="277"/>
        <v>0</v>
      </c>
      <c r="AP1226" s="14">
        <f t="shared" si="280"/>
        <v>0</v>
      </c>
      <c r="AQ1226" s="25">
        <f>SUMIFS(инфо!$H$15:$H$28,инфо!$A$15:$A$28,F1226)</f>
        <v>0</v>
      </c>
      <c r="AR1226" s="26">
        <f t="shared" si="278"/>
        <v>0</v>
      </c>
      <c r="AS1226" s="14">
        <f t="shared" si="281"/>
        <v>0</v>
      </c>
      <c r="AT1226" s="25">
        <f>SUMIFS(инфо!$I$15:$I$28,инфо!$A$15:$A$28,F1226)</f>
        <v>0</v>
      </c>
      <c r="AU1226" s="35">
        <f t="shared" si="286"/>
        <v>0</v>
      </c>
      <c r="AV1226" s="14">
        <f t="shared" si="282"/>
        <v>0</v>
      </c>
      <c r="AX1226" s="69">
        <f>SUMIFS(инфо!$C$15:$C$28,инфо!$A$15:$A$28,F1226)*H1225</f>
        <v>0</v>
      </c>
    </row>
    <row r="1227" spans="1:50" x14ac:dyDescent="0.25">
      <c r="A1227" s="70">
        <f t="shared" si="274"/>
        <v>46677</v>
      </c>
      <c r="B1227" s="75"/>
      <c r="C1227" s="29"/>
      <c r="D1227" s="30"/>
      <c r="E1227" s="11"/>
      <c r="F1227" s="28"/>
      <c r="G1227" s="27"/>
      <c r="H1227" s="20"/>
      <c r="I1227" s="20"/>
      <c r="J1227" s="20"/>
      <c r="K1227" s="20"/>
      <c r="L1227" s="20"/>
      <c r="M1227" s="20"/>
      <c r="N1227" s="28"/>
      <c r="O1227" s="27"/>
      <c r="P1227" s="27"/>
      <c r="Q1227" s="27"/>
      <c r="R1227" s="27"/>
      <c r="S1227" s="67">
        <f t="shared" si="283"/>
        <v>0</v>
      </c>
      <c r="T1227" s="29"/>
      <c r="U1227" s="30"/>
      <c r="V1227" s="27"/>
      <c r="W1227" s="27"/>
      <c r="X1227" s="27"/>
      <c r="Y1227" s="29"/>
      <c r="Z1227" s="27"/>
      <c r="AA1227" s="27"/>
      <c r="AB1227" s="27"/>
      <c r="AC1227" s="27"/>
      <c r="AD1227" s="30"/>
      <c r="AE1227" s="31">
        <f>SUMIFS(инфо!$D$15:$D$28,инфо!$A$15:$A$28,F1227)</f>
        <v>0</v>
      </c>
      <c r="AF1227" s="35">
        <f t="shared" si="275"/>
        <v>0</v>
      </c>
      <c r="AG1227" s="33">
        <f t="shared" si="284"/>
        <v>0</v>
      </c>
      <c r="AH1227" s="31">
        <f>SUMIFS(инфо!$E$15:$E$28,инфо!$A$15:$A$28,F1227)</f>
        <v>0</v>
      </c>
      <c r="AI1227" s="32">
        <f t="shared" si="273"/>
        <v>0</v>
      </c>
      <c r="AJ1227" s="33">
        <f t="shared" si="285"/>
        <v>0</v>
      </c>
      <c r="AK1227" s="31">
        <f>SUMIFS(инфо!$F$15:$F$28,инфо!$A$15:$A$28,F1227)</f>
        <v>0</v>
      </c>
      <c r="AL1227" s="32">
        <f t="shared" si="276"/>
        <v>0</v>
      </c>
      <c r="AM1227" s="33">
        <f t="shared" si="279"/>
        <v>0</v>
      </c>
      <c r="AN1227" s="31">
        <f>SUMIFS(инфо!$G$15:$G$28,инфо!$A$15:$A$28,F1227)</f>
        <v>0</v>
      </c>
      <c r="AO1227" s="32">
        <f t="shared" si="277"/>
        <v>0</v>
      </c>
      <c r="AP1227" s="33">
        <f t="shared" si="280"/>
        <v>0</v>
      </c>
      <c r="AQ1227" s="31">
        <f>SUMIFS(инфо!$H$15:$H$28,инфо!$A$15:$A$28,F1227)</f>
        <v>0</v>
      </c>
      <c r="AR1227" s="32">
        <f t="shared" si="278"/>
        <v>0</v>
      </c>
      <c r="AS1227" s="33">
        <f t="shared" si="281"/>
        <v>0</v>
      </c>
      <c r="AT1227" s="31">
        <f>SUMIFS(инфо!$I$15:$I$28,инфо!$A$15:$A$28,F1227)</f>
        <v>0</v>
      </c>
      <c r="AU1227" s="35">
        <f t="shared" si="286"/>
        <v>0</v>
      </c>
      <c r="AV1227" s="33">
        <f t="shared" si="282"/>
        <v>0</v>
      </c>
      <c r="AX1227" s="67">
        <f>SUMIFS(инфо!$C$15:$C$28,инфо!$A$15:$A$28,F1227)*H1226</f>
        <v>0</v>
      </c>
    </row>
    <row r="1228" spans="1:50" x14ac:dyDescent="0.25">
      <c r="A1228" s="70">
        <f t="shared" si="274"/>
        <v>46678</v>
      </c>
      <c r="B1228" s="76"/>
      <c r="C1228" s="15"/>
      <c r="D1228" s="16"/>
      <c r="E1228" s="11"/>
      <c r="F1228" s="28"/>
      <c r="G1228" s="34"/>
      <c r="H1228" s="20"/>
      <c r="I1228" s="20"/>
      <c r="J1228" s="20"/>
      <c r="K1228" s="20"/>
      <c r="L1228" s="20"/>
      <c r="M1228" s="20"/>
      <c r="N1228" s="20"/>
      <c r="O1228" s="34"/>
      <c r="P1228" s="34"/>
      <c r="Q1228" s="34"/>
      <c r="R1228" s="34"/>
      <c r="S1228" s="68">
        <f t="shared" si="283"/>
        <v>0</v>
      </c>
      <c r="T1228" s="15"/>
      <c r="U1228" s="16"/>
      <c r="V1228" s="34"/>
      <c r="W1228" s="34"/>
      <c r="X1228" s="34"/>
      <c r="Y1228" s="15"/>
      <c r="Z1228" s="34"/>
      <c r="AA1228" s="34"/>
      <c r="AB1228" s="34"/>
      <c r="AC1228" s="34"/>
      <c r="AD1228" s="16"/>
      <c r="AE1228" s="24">
        <f>SUMIFS(инфо!$D$15:$D$28,инфо!$A$15:$A$28,F1228)</f>
        <v>0</v>
      </c>
      <c r="AF1228" s="35">
        <f t="shared" si="275"/>
        <v>0</v>
      </c>
      <c r="AG1228" s="12">
        <f t="shared" si="284"/>
        <v>0</v>
      </c>
      <c r="AH1228" s="24">
        <f>SUMIFS(инфо!$E$15:$E$28,инфо!$A$15:$A$28,F1228)</f>
        <v>0</v>
      </c>
      <c r="AI1228" s="35">
        <f t="shared" si="273"/>
        <v>0</v>
      </c>
      <c r="AJ1228" s="12">
        <f t="shared" si="285"/>
        <v>0</v>
      </c>
      <c r="AK1228" s="24">
        <f>SUMIFS(инфо!$F$15:$F$28,инфо!$A$15:$A$28,F1228)</f>
        <v>0</v>
      </c>
      <c r="AL1228" s="32">
        <f t="shared" si="276"/>
        <v>0</v>
      </c>
      <c r="AM1228" s="12">
        <f t="shared" si="279"/>
        <v>0</v>
      </c>
      <c r="AN1228" s="24">
        <f>SUMIFS(инфо!$G$15:$G$28,инфо!$A$15:$A$28,F1228)</f>
        <v>0</v>
      </c>
      <c r="AO1228" s="32">
        <f t="shared" si="277"/>
        <v>0</v>
      </c>
      <c r="AP1228" s="12">
        <f t="shared" si="280"/>
        <v>0</v>
      </c>
      <c r="AQ1228" s="24">
        <f>SUMIFS(инфо!$H$15:$H$28,инфо!$A$15:$A$28,F1228)</f>
        <v>0</v>
      </c>
      <c r="AR1228" s="35">
        <f t="shared" si="278"/>
        <v>0</v>
      </c>
      <c r="AS1228" s="12">
        <f t="shared" si="281"/>
        <v>0</v>
      </c>
      <c r="AT1228" s="24">
        <f>SUMIFS(инфо!$I$15:$I$28,инфо!$A$15:$A$28,F1228)</f>
        <v>0</v>
      </c>
      <c r="AU1228" s="35">
        <f t="shared" si="286"/>
        <v>0</v>
      </c>
      <c r="AV1228" s="12">
        <f t="shared" si="282"/>
        <v>0</v>
      </c>
      <c r="AX1228" s="68">
        <f>SUMIFS(инфо!$C$15:$C$28,инфо!$A$15:$A$28,F1228)*H1227</f>
        <v>0</v>
      </c>
    </row>
    <row r="1229" spans="1:50" x14ac:dyDescent="0.25">
      <c r="A1229" s="70">
        <f t="shared" si="274"/>
        <v>46678</v>
      </c>
      <c r="B1229" s="76"/>
      <c r="C1229" s="15"/>
      <c r="D1229" s="16"/>
      <c r="E1229" s="11"/>
      <c r="F1229" s="28"/>
      <c r="G1229" s="34"/>
      <c r="H1229" s="23"/>
      <c r="I1229" s="20"/>
      <c r="J1229" s="20"/>
      <c r="K1229" s="20"/>
      <c r="L1229" s="20"/>
      <c r="M1229" s="20"/>
      <c r="N1229" s="20"/>
      <c r="O1229" s="34"/>
      <c r="P1229" s="34"/>
      <c r="Q1229" s="34"/>
      <c r="R1229" s="34"/>
      <c r="S1229" s="68">
        <f t="shared" si="283"/>
        <v>0</v>
      </c>
      <c r="T1229" s="15"/>
      <c r="U1229" s="16"/>
      <c r="V1229" s="34"/>
      <c r="W1229" s="34"/>
      <c r="X1229" s="34"/>
      <c r="Y1229" s="15"/>
      <c r="Z1229" s="34"/>
      <c r="AA1229" s="34"/>
      <c r="AB1229" s="34"/>
      <c r="AC1229" s="34"/>
      <c r="AD1229" s="16"/>
      <c r="AE1229" s="24">
        <f>SUMIFS(инфо!$D$15:$D$28,инфо!$A$15:$A$28,F1229)</f>
        <v>0</v>
      </c>
      <c r="AF1229" s="35">
        <f t="shared" si="275"/>
        <v>0</v>
      </c>
      <c r="AG1229" s="12">
        <f t="shared" si="284"/>
        <v>0</v>
      </c>
      <c r="AH1229" s="24">
        <f>SUMIFS(инфо!$E$15:$E$28,инфо!$A$15:$A$28,F1229)</f>
        <v>0</v>
      </c>
      <c r="AI1229" s="35">
        <f t="shared" si="273"/>
        <v>0</v>
      </c>
      <c r="AJ1229" s="12">
        <f t="shared" si="285"/>
        <v>0</v>
      </c>
      <c r="AK1229" s="24">
        <f>SUMIFS(инфо!$F$15:$F$28,инфо!$A$15:$A$28,F1229)</f>
        <v>0</v>
      </c>
      <c r="AL1229" s="32">
        <f t="shared" si="276"/>
        <v>0</v>
      </c>
      <c r="AM1229" s="12">
        <f t="shared" si="279"/>
        <v>0</v>
      </c>
      <c r="AN1229" s="24">
        <f>SUMIFS(инфо!$G$15:$G$28,инфо!$A$15:$A$28,F1229)</f>
        <v>0</v>
      </c>
      <c r="AO1229" s="32">
        <f t="shared" si="277"/>
        <v>0</v>
      </c>
      <c r="AP1229" s="12">
        <f t="shared" si="280"/>
        <v>0</v>
      </c>
      <c r="AQ1229" s="24">
        <f>SUMIFS(инфо!$H$15:$H$28,инфо!$A$15:$A$28,F1229)</f>
        <v>0</v>
      </c>
      <c r="AR1229" s="35">
        <f t="shared" si="278"/>
        <v>0</v>
      </c>
      <c r="AS1229" s="12">
        <f t="shared" si="281"/>
        <v>0</v>
      </c>
      <c r="AT1229" s="24">
        <f>SUMIFS(инфо!$I$15:$I$28,инфо!$A$15:$A$28,F1229)</f>
        <v>0</v>
      </c>
      <c r="AU1229" s="35">
        <f t="shared" si="286"/>
        <v>0</v>
      </c>
      <c r="AV1229" s="12">
        <f t="shared" si="282"/>
        <v>0</v>
      </c>
      <c r="AX1229" s="68">
        <f>SUMIFS(инфо!$C$15:$C$28,инфо!$A$15:$A$28,F1229)*H1228</f>
        <v>0</v>
      </c>
    </row>
    <row r="1230" spans="1:50" x14ac:dyDescent="0.25">
      <c r="A1230" s="70">
        <f t="shared" si="274"/>
        <v>46679</v>
      </c>
      <c r="B1230" s="77"/>
      <c r="C1230" s="17"/>
      <c r="D1230" s="18"/>
      <c r="E1230" s="11"/>
      <c r="F1230" s="28"/>
      <c r="G1230" s="19"/>
      <c r="H1230" s="28"/>
      <c r="I1230" s="20"/>
      <c r="J1230" s="20"/>
      <c r="K1230" s="20"/>
      <c r="L1230" s="20"/>
      <c r="M1230" s="20"/>
      <c r="N1230" s="23"/>
      <c r="O1230" s="19"/>
      <c r="P1230" s="19"/>
      <c r="Q1230" s="19"/>
      <c r="R1230" s="19"/>
      <c r="S1230" s="69">
        <f t="shared" si="283"/>
        <v>0</v>
      </c>
      <c r="T1230" s="17"/>
      <c r="U1230" s="18"/>
      <c r="V1230" s="19"/>
      <c r="W1230" s="19"/>
      <c r="X1230" s="19"/>
      <c r="Y1230" s="17"/>
      <c r="Z1230" s="19"/>
      <c r="AA1230" s="19"/>
      <c r="AB1230" s="19"/>
      <c r="AC1230" s="19"/>
      <c r="AD1230" s="18"/>
      <c r="AE1230" s="25">
        <f>SUMIFS(инфо!$D$15:$D$28,инфо!$A$15:$A$28,F1230)</f>
        <v>0</v>
      </c>
      <c r="AF1230" s="35">
        <f t="shared" si="275"/>
        <v>0</v>
      </c>
      <c r="AG1230" s="14">
        <f t="shared" si="284"/>
        <v>0</v>
      </c>
      <c r="AH1230" s="25">
        <f>SUMIFS(инфо!$E$15:$E$28,инфо!$A$15:$A$28,F1230)</f>
        <v>0</v>
      </c>
      <c r="AI1230" s="26">
        <f t="shared" si="273"/>
        <v>0</v>
      </c>
      <c r="AJ1230" s="14">
        <f t="shared" si="285"/>
        <v>0</v>
      </c>
      <c r="AK1230" s="25">
        <f>SUMIFS(инфо!$F$15:$F$28,инфо!$A$15:$A$28,F1230)</f>
        <v>0</v>
      </c>
      <c r="AL1230" s="32">
        <f t="shared" si="276"/>
        <v>0</v>
      </c>
      <c r="AM1230" s="14">
        <f t="shared" si="279"/>
        <v>0</v>
      </c>
      <c r="AN1230" s="25">
        <f>SUMIFS(инфо!$G$15:$G$28,инфо!$A$15:$A$28,F1230)</f>
        <v>0</v>
      </c>
      <c r="AO1230" s="32">
        <f t="shared" si="277"/>
        <v>0</v>
      </c>
      <c r="AP1230" s="14">
        <f t="shared" si="280"/>
        <v>0</v>
      </c>
      <c r="AQ1230" s="25">
        <f>SUMIFS(инфо!$H$15:$H$28,инфо!$A$15:$A$28,F1230)</f>
        <v>0</v>
      </c>
      <c r="AR1230" s="26">
        <f t="shared" si="278"/>
        <v>0</v>
      </c>
      <c r="AS1230" s="14">
        <f t="shared" si="281"/>
        <v>0</v>
      </c>
      <c r="AT1230" s="25">
        <f>SUMIFS(инфо!$I$15:$I$28,инфо!$A$15:$A$28,F1230)</f>
        <v>0</v>
      </c>
      <c r="AU1230" s="35">
        <f t="shared" si="286"/>
        <v>0</v>
      </c>
      <c r="AV1230" s="14">
        <f t="shared" si="282"/>
        <v>0</v>
      </c>
      <c r="AX1230" s="69">
        <f>SUMIFS(инфо!$C$15:$C$28,инфо!$A$15:$A$28,F1230)*H1229</f>
        <v>0</v>
      </c>
    </row>
    <row r="1231" spans="1:50" x14ac:dyDescent="0.25">
      <c r="A1231" s="70">
        <f t="shared" si="274"/>
        <v>46679</v>
      </c>
      <c r="B1231" s="75"/>
      <c r="C1231" s="29"/>
      <c r="D1231" s="30"/>
      <c r="E1231" s="11"/>
      <c r="F1231" s="28"/>
      <c r="G1231" s="27"/>
      <c r="H1231" s="20"/>
      <c r="I1231" s="20"/>
      <c r="J1231" s="20"/>
      <c r="K1231" s="20"/>
      <c r="L1231" s="20"/>
      <c r="M1231" s="20"/>
      <c r="N1231" s="28"/>
      <c r="O1231" s="27"/>
      <c r="P1231" s="27"/>
      <c r="Q1231" s="27"/>
      <c r="R1231" s="27"/>
      <c r="S1231" s="67">
        <f t="shared" si="283"/>
        <v>0</v>
      </c>
      <c r="T1231" s="29"/>
      <c r="U1231" s="30"/>
      <c r="V1231" s="27"/>
      <c r="W1231" s="27"/>
      <c r="X1231" s="27"/>
      <c r="Y1231" s="29"/>
      <c r="Z1231" s="27"/>
      <c r="AA1231" s="27"/>
      <c r="AB1231" s="27"/>
      <c r="AC1231" s="27"/>
      <c r="AD1231" s="30"/>
      <c r="AE1231" s="31">
        <f>SUMIFS(инфо!$D$15:$D$28,инфо!$A$15:$A$28,F1231)</f>
        <v>0</v>
      </c>
      <c r="AF1231" s="35">
        <f t="shared" si="275"/>
        <v>0</v>
      </c>
      <c r="AG1231" s="33">
        <f t="shared" si="284"/>
        <v>0</v>
      </c>
      <c r="AH1231" s="31">
        <f>SUMIFS(инфо!$E$15:$E$28,инфо!$A$15:$A$28,F1231)</f>
        <v>0</v>
      </c>
      <c r="AI1231" s="32">
        <f t="shared" ref="AI1231:AI1258" si="287">IF(H1230=0,0,S1231/H1230)</f>
        <v>0</v>
      </c>
      <c r="AJ1231" s="33">
        <f t="shared" si="285"/>
        <v>0</v>
      </c>
      <c r="AK1231" s="31">
        <f>SUMIFS(инфо!$F$15:$F$28,инфо!$A$15:$A$28,F1231)</f>
        <v>0</v>
      </c>
      <c r="AL1231" s="32">
        <f t="shared" si="276"/>
        <v>0</v>
      </c>
      <c r="AM1231" s="33">
        <f t="shared" si="279"/>
        <v>0</v>
      </c>
      <c r="AN1231" s="31">
        <f>SUMIFS(инфо!$G$15:$G$28,инфо!$A$15:$A$28,F1231)</f>
        <v>0</v>
      </c>
      <c r="AO1231" s="32">
        <f t="shared" si="277"/>
        <v>0</v>
      </c>
      <c r="AP1231" s="33">
        <f t="shared" si="280"/>
        <v>0</v>
      </c>
      <c r="AQ1231" s="31">
        <f>SUMIFS(инфо!$H$15:$H$28,инфо!$A$15:$A$28,F1231)</f>
        <v>0</v>
      </c>
      <c r="AR1231" s="32">
        <f t="shared" si="278"/>
        <v>0</v>
      </c>
      <c r="AS1231" s="33">
        <f t="shared" si="281"/>
        <v>0</v>
      </c>
      <c r="AT1231" s="31">
        <f>SUMIFS(инфо!$I$15:$I$28,инфо!$A$15:$A$28,F1231)</f>
        <v>0</v>
      </c>
      <c r="AU1231" s="35">
        <f t="shared" si="286"/>
        <v>0</v>
      </c>
      <c r="AV1231" s="33">
        <f t="shared" si="282"/>
        <v>0</v>
      </c>
      <c r="AX1231" s="67">
        <f>SUMIFS(инфо!$C$15:$C$28,инфо!$A$15:$A$28,F1231)*H1230</f>
        <v>0</v>
      </c>
    </row>
    <row r="1232" spans="1:50" x14ac:dyDescent="0.25">
      <c r="A1232" s="70">
        <f t="shared" si="274"/>
        <v>46680</v>
      </c>
      <c r="B1232" s="76"/>
      <c r="C1232" s="15"/>
      <c r="D1232" s="16"/>
      <c r="E1232" s="11"/>
      <c r="F1232" s="28"/>
      <c r="G1232" s="34"/>
      <c r="H1232" s="20"/>
      <c r="I1232" s="20"/>
      <c r="J1232" s="20"/>
      <c r="K1232" s="20"/>
      <c r="L1232" s="20"/>
      <c r="M1232" s="20"/>
      <c r="N1232" s="20"/>
      <c r="O1232" s="34"/>
      <c r="P1232" s="34"/>
      <c r="Q1232" s="34"/>
      <c r="R1232" s="34"/>
      <c r="S1232" s="68">
        <f t="shared" si="283"/>
        <v>0</v>
      </c>
      <c r="T1232" s="15"/>
      <c r="U1232" s="16"/>
      <c r="V1232" s="34"/>
      <c r="W1232" s="34"/>
      <c r="X1232" s="34"/>
      <c r="Y1232" s="15"/>
      <c r="Z1232" s="34"/>
      <c r="AA1232" s="34"/>
      <c r="AB1232" s="34"/>
      <c r="AC1232" s="34"/>
      <c r="AD1232" s="16"/>
      <c r="AE1232" s="24">
        <f>SUMIFS(инфо!$D$15:$D$28,инфо!$A$15:$A$28,F1232)</f>
        <v>0</v>
      </c>
      <c r="AF1232" s="35">
        <f t="shared" si="275"/>
        <v>0</v>
      </c>
      <c r="AG1232" s="12">
        <f t="shared" si="284"/>
        <v>0</v>
      </c>
      <c r="AH1232" s="24">
        <f>SUMIFS(инфо!$E$15:$E$28,инфо!$A$15:$A$28,F1232)</f>
        <v>0</v>
      </c>
      <c r="AI1232" s="35">
        <f t="shared" si="287"/>
        <v>0</v>
      </c>
      <c r="AJ1232" s="12">
        <f t="shared" si="285"/>
        <v>0</v>
      </c>
      <c r="AK1232" s="24">
        <f>SUMIFS(инфо!$F$15:$F$28,инфо!$A$15:$A$28,F1232)</f>
        <v>0</v>
      </c>
      <c r="AL1232" s="32">
        <f t="shared" si="276"/>
        <v>0</v>
      </c>
      <c r="AM1232" s="12">
        <f t="shared" si="279"/>
        <v>0</v>
      </c>
      <c r="AN1232" s="24">
        <f>SUMIFS(инфо!$G$15:$G$28,инфо!$A$15:$A$28,F1232)</f>
        <v>0</v>
      </c>
      <c r="AO1232" s="32">
        <f t="shared" si="277"/>
        <v>0</v>
      </c>
      <c r="AP1232" s="12">
        <f t="shared" si="280"/>
        <v>0</v>
      </c>
      <c r="AQ1232" s="24">
        <f>SUMIFS(инфо!$H$15:$H$28,инфо!$A$15:$A$28,F1232)</f>
        <v>0</v>
      </c>
      <c r="AR1232" s="35">
        <f t="shared" si="278"/>
        <v>0</v>
      </c>
      <c r="AS1232" s="12">
        <f t="shared" si="281"/>
        <v>0</v>
      </c>
      <c r="AT1232" s="24">
        <f>SUMIFS(инфо!$I$15:$I$28,инфо!$A$15:$A$28,F1232)</f>
        <v>0</v>
      </c>
      <c r="AU1232" s="35">
        <f t="shared" si="286"/>
        <v>0</v>
      </c>
      <c r="AV1232" s="12">
        <f t="shared" si="282"/>
        <v>0</v>
      </c>
      <c r="AX1232" s="68">
        <f>SUMIFS(инфо!$C$15:$C$28,инфо!$A$15:$A$28,F1232)*H1231</f>
        <v>0</v>
      </c>
    </row>
    <row r="1233" spans="1:50" x14ac:dyDescent="0.25">
      <c r="A1233" s="70">
        <f t="shared" si="274"/>
        <v>46680</v>
      </c>
      <c r="B1233" s="76"/>
      <c r="C1233" s="15"/>
      <c r="D1233" s="16"/>
      <c r="E1233" s="11"/>
      <c r="F1233" s="28"/>
      <c r="G1233" s="34"/>
      <c r="H1233" s="23"/>
      <c r="I1233" s="20"/>
      <c r="J1233" s="20"/>
      <c r="K1233" s="20"/>
      <c r="L1233" s="20"/>
      <c r="M1233" s="20"/>
      <c r="N1233" s="20"/>
      <c r="O1233" s="34"/>
      <c r="P1233" s="34"/>
      <c r="Q1233" s="34"/>
      <c r="R1233" s="34"/>
      <c r="S1233" s="68">
        <f t="shared" si="283"/>
        <v>0</v>
      </c>
      <c r="T1233" s="15"/>
      <c r="U1233" s="16"/>
      <c r="V1233" s="34"/>
      <c r="W1233" s="34"/>
      <c r="X1233" s="34"/>
      <c r="Y1233" s="15"/>
      <c r="Z1233" s="34"/>
      <c r="AA1233" s="34"/>
      <c r="AB1233" s="34"/>
      <c r="AC1233" s="34"/>
      <c r="AD1233" s="16"/>
      <c r="AE1233" s="24">
        <f>SUMIFS(инфо!$D$15:$D$28,инфо!$A$15:$A$28,F1233)</f>
        <v>0</v>
      </c>
      <c r="AF1233" s="35">
        <f t="shared" si="275"/>
        <v>0</v>
      </c>
      <c r="AG1233" s="12">
        <f t="shared" si="284"/>
        <v>0</v>
      </c>
      <c r="AH1233" s="24">
        <f>SUMIFS(инфо!$E$15:$E$28,инфо!$A$15:$A$28,F1233)</f>
        <v>0</v>
      </c>
      <c r="AI1233" s="35">
        <f t="shared" si="287"/>
        <v>0</v>
      </c>
      <c r="AJ1233" s="12">
        <f t="shared" si="285"/>
        <v>0</v>
      </c>
      <c r="AK1233" s="24">
        <f>SUMIFS(инфо!$F$15:$F$28,инфо!$A$15:$A$28,F1233)</f>
        <v>0</v>
      </c>
      <c r="AL1233" s="32">
        <f t="shared" si="276"/>
        <v>0</v>
      </c>
      <c r="AM1233" s="12">
        <f t="shared" si="279"/>
        <v>0</v>
      </c>
      <c r="AN1233" s="24">
        <f>SUMIFS(инфо!$G$15:$G$28,инфо!$A$15:$A$28,F1233)</f>
        <v>0</v>
      </c>
      <c r="AO1233" s="32">
        <f t="shared" si="277"/>
        <v>0</v>
      </c>
      <c r="AP1233" s="12">
        <f t="shared" si="280"/>
        <v>0</v>
      </c>
      <c r="AQ1233" s="24">
        <f>SUMIFS(инфо!$H$15:$H$28,инфо!$A$15:$A$28,F1233)</f>
        <v>0</v>
      </c>
      <c r="AR1233" s="35">
        <f t="shared" si="278"/>
        <v>0</v>
      </c>
      <c r="AS1233" s="12">
        <f t="shared" si="281"/>
        <v>0</v>
      </c>
      <c r="AT1233" s="24">
        <f>SUMIFS(инфо!$I$15:$I$28,инфо!$A$15:$A$28,F1233)</f>
        <v>0</v>
      </c>
      <c r="AU1233" s="35">
        <f t="shared" si="286"/>
        <v>0</v>
      </c>
      <c r="AV1233" s="12">
        <f t="shared" si="282"/>
        <v>0</v>
      </c>
      <c r="AX1233" s="68">
        <f>SUMIFS(инфо!$C$15:$C$28,инфо!$A$15:$A$28,F1233)*H1232</f>
        <v>0</v>
      </c>
    </row>
    <row r="1234" spans="1:50" x14ac:dyDescent="0.25">
      <c r="A1234" s="70">
        <f t="shared" si="274"/>
        <v>46681</v>
      </c>
      <c r="B1234" s="77"/>
      <c r="C1234" s="17"/>
      <c r="D1234" s="18"/>
      <c r="E1234" s="11"/>
      <c r="F1234" s="28"/>
      <c r="G1234" s="19"/>
      <c r="H1234" s="28"/>
      <c r="I1234" s="20"/>
      <c r="J1234" s="20"/>
      <c r="K1234" s="20"/>
      <c r="L1234" s="20"/>
      <c r="M1234" s="20"/>
      <c r="N1234" s="23"/>
      <c r="O1234" s="19"/>
      <c r="P1234" s="19"/>
      <c r="Q1234" s="19"/>
      <c r="R1234" s="19"/>
      <c r="S1234" s="69">
        <f t="shared" si="283"/>
        <v>0</v>
      </c>
      <c r="T1234" s="17"/>
      <c r="U1234" s="18"/>
      <c r="V1234" s="19"/>
      <c r="W1234" s="19"/>
      <c r="X1234" s="19"/>
      <c r="Y1234" s="17"/>
      <c r="Z1234" s="19"/>
      <c r="AA1234" s="19"/>
      <c r="AB1234" s="19"/>
      <c r="AC1234" s="19"/>
      <c r="AD1234" s="18"/>
      <c r="AE1234" s="25">
        <f>SUMIFS(инфо!$D$15:$D$28,инфо!$A$15:$A$28,F1234)</f>
        <v>0</v>
      </c>
      <c r="AF1234" s="35">
        <f t="shared" si="275"/>
        <v>0</v>
      </c>
      <c r="AG1234" s="14">
        <f t="shared" si="284"/>
        <v>0</v>
      </c>
      <c r="AH1234" s="25">
        <f>SUMIFS(инфо!$E$15:$E$28,инфо!$A$15:$A$28,F1234)</f>
        <v>0</v>
      </c>
      <c r="AI1234" s="26">
        <f t="shared" si="287"/>
        <v>0</v>
      </c>
      <c r="AJ1234" s="14">
        <f t="shared" si="285"/>
        <v>0</v>
      </c>
      <c r="AK1234" s="25">
        <f>SUMIFS(инфо!$F$15:$F$28,инфо!$A$15:$A$28,F1234)</f>
        <v>0</v>
      </c>
      <c r="AL1234" s="32">
        <f t="shared" si="276"/>
        <v>0</v>
      </c>
      <c r="AM1234" s="14">
        <f t="shared" si="279"/>
        <v>0</v>
      </c>
      <c r="AN1234" s="25">
        <f>SUMIFS(инфо!$G$15:$G$28,инфо!$A$15:$A$28,F1234)</f>
        <v>0</v>
      </c>
      <c r="AO1234" s="32">
        <f t="shared" si="277"/>
        <v>0</v>
      </c>
      <c r="AP1234" s="14">
        <f t="shared" si="280"/>
        <v>0</v>
      </c>
      <c r="AQ1234" s="25">
        <f>SUMIFS(инфо!$H$15:$H$28,инфо!$A$15:$A$28,F1234)</f>
        <v>0</v>
      </c>
      <c r="AR1234" s="26">
        <f t="shared" si="278"/>
        <v>0</v>
      </c>
      <c r="AS1234" s="14">
        <f t="shared" si="281"/>
        <v>0</v>
      </c>
      <c r="AT1234" s="25">
        <f>SUMIFS(инфо!$I$15:$I$28,инфо!$A$15:$A$28,F1234)</f>
        <v>0</v>
      </c>
      <c r="AU1234" s="35">
        <f t="shared" si="286"/>
        <v>0</v>
      </c>
      <c r="AV1234" s="14">
        <f t="shared" si="282"/>
        <v>0</v>
      </c>
      <c r="AX1234" s="69">
        <f>SUMIFS(инфо!$C$15:$C$28,инфо!$A$15:$A$28,F1234)*H1233</f>
        <v>0</v>
      </c>
    </row>
    <row r="1235" spans="1:50" x14ac:dyDescent="0.25">
      <c r="A1235" s="70">
        <f t="shared" si="274"/>
        <v>46681</v>
      </c>
      <c r="B1235" s="75"/>
      <c r="C1235" s="29"/>
      <c r="D1235" s="30"/>
      <c r="E1235" s="11"/>
      <c r="F1235" s="28"/>
      <c r="G1235" s="27"/>
      <c r="H1235" s="20"/>
      <c r="I1235" s="20"/>
      <c r="J1235" s="20"/>
      <c r="K1235" s="20"/>
      <c r="L1235" s="20"/>
      <c r="M1235" s="20"/>
      <c r="N1235" s="28"/>
      <c r="O1235" s="27"/>
      <c r="P1235" s="27"/>
      <c r="Q1235" s="27"/>
      <c r="R1235" s="27"/>
      <c r="S1235" s="67">
        <f t="shared" si="283"/>
        <v>0</v>
      </c>
      <c r="T1235" s="29"/>
      <c r="U1235" s="30"/>
      <c r="V1235" s="27"/>
      <c r="W1235" s="27"/>
      <c r="X1235" s="27"/>
      <c r="Y1235" s="29"/>
      <c r="Z1235" s="27"/>
      <c r="AA1235" s="27"/>
      <c r="AB1235" s="27"/>
      <c r="AC1235" s="27"/>
      <c r="AD1235" s="30"/>
      <c r="AE1235" s="31">
        <f>SUMIFS(инфо!$D$15:$D$28,инфо!$A$15:$A$28,F1235)</f>
        <v>0</v>
      </c>
      <c r="AF1235" s="35">
        <f t="shared" si="275"/>
        <v>0</v>
      </c>
      <c r="AG1235" s="33">
        <f t="shared" si="284"/>
        <v>0</v>
      </c>
      <c r="AH1235" s="31">
        <f>SUMIFS(инфо!$E$15:$E$28,инфо!$A$15:$A$28,F1235)</f>
        <v>0</v>
      </c>
      <c r="AI1235" s="32">
        <f t="shared" si="287"/>
        <v>0</v>
      </c>
      <c r="AJ1235" s="33">
        <f t="shared" si="285"/>
        <v>0</v>
      </c>
      <c r="AK1235" s="31">
        <f>SUMIFS(инфо!$F$15:$F$28,инфо!$A$15:$A$28,F1235)</f>
        <v>0</v>
      </c>
      <c r="AL1235" s="32">
        <f t="shared" si="276"/>
        <v>0</v>
      </c>
      <c r="AM1235" s="33">
        <f t="shared" si="279"/>
        <v>0</v>
      </c>
      <c r="AN1235" s="31">
        <f>SUMIFS(инфо!$G$15:$G$28,инфо!$A$15:$A$28,F1235)</f>
        <v>0</v>
      </c>
      <c r="AO1235" s="32">
        <f t="shared" si="277"/>
        <v>0</v>
      </c>
      <c r="AP1235" s="33">
        <f t="shared" si="280"/>
        <v>0</v>
      </c>
      <c r="AQ1235" s="31">
        <f>SUMIFS(инфо!$H$15:$H$28,инфо!$A$15:$A$28,F1235)</f>
        <v>0</v>
      </c>
      <c r="AR1235" s="32">
        <f t="shared" si="278"/>
        <v>0</v>
      </c>
      <c r="AS1235" s="33">
        <f t="shared" si="281"/>
        <v>0</v>
      </c>
      <c r="AT1235" s="31">
        <f>SUMIFS(инфо!$I$15:$I$28,инфо!$A$15:$A$28,F1235)</f>
        <v>0</v>
      </c>
      <c r="AU1235" s="35">
        <f t="shared" si="286"/>
        <v>0</v>
      </c>
      <c r="AV1235" s="33">
        <f t="shared" si="282"/>
        <v>0</v>
      </c>
      <c r="AX1235" s="67">
        <f>SUMIFS(инфо!$C$15:$C$28,инфо!$A$15:$A$28,F1235)*H1234</f>
        <v>0</v>
      </c>
    </row>
    <row r="1236" spans="1:50" x14ac:dyDescent="0.25">
      <c r="A1236" s="70">
        <f t="shared" si="274"/>
        <v>46682</v>
      </c>
      <c r="B1236" s="76"/>
      <c r="C1236" s="15"/>
      <c r="D1236" s="16"/>
      <c r="E1236" s="11"/>
      <c r="F1236" s="28"/>
      <c r="G1236" s="34"/>
      <c r="H1236" s="20"/>
      <c r="I1236" s="20"/>
      <c r="J1236" s="20"/>
      <c r="K1236" s="20"/>
      <c r="L1236" s="20"/>
      <c r="M1236" s="20"/>
      <c r="N1236" s="20"/>
      <c r="O1236" s="34"/>
      <c r="P1236" s="34"/>
      <c r="Q1236" s="34"/>
      <c r="R1236" s="34"/>
      <c r="S1236" s="68">
        <f t="shared" si="283"/>
        <v>0</v>
      </c>
      <c r="T1236" s="15"/>
      <c r="U1236" s="16"/>
      <c r="V1236" s="34"/>
      <c r="W1236" s="34"/>
      <c r="X1236" s="34"/>
      <c r="Y1236" s="15"/>
      <c r="Z1236" s="34"/>
      <c r="AA1236" s="34"/>
      <c r="AB1236" s="34"/>
      <c r="AC1236" s="34"/>
      <c r="AD1236" s="16"/>
      <c r="AE1236" s="24">
        <f>SUMIFS(инфо!$D$15:$D$28,инфо!$A$15:$A$28,F1236)</f>
        <v>0</v>
      </c>
      <c r="AF1236" s="35">
        <f t="shared" si="275"/>
        <v>0</v>
      </c>
      <c r="AG1236" s="12">
        <f t="shared" si="284"/>
        <v>0</v>
      </c>
      <c r="AH1236" s="24">
        <f>SUMIFS(инфо!$E$15:$E$28,инфо!$A$15:$A$28,F1236)</f>
        <v>0</v>
      </c>
      <c r="AI1236" s="35">
        <f t="shared" si="287"/>
        <v>0</v>
      </c>
      <c r="AJ1236" s="12">
        <f t="shared" si="285"/>
        <v>0</v>
      </c>
      <c r="AK1236" s="24">
        <f>SUMIFS(инфо!$F$15:$F$28,инфо!$A$15:$A$28,F1236)</f>
        <v>0</v>
      </c>
      <c r="AL1236" s="32">
        <f t="shared" si="276"/>
        <v>0</v>
      </c>
      <c r="AM1236" s="12">
        <f t="shared" si="279"/>
        <v>0</v>
      </c>
      <c r="AN1236" s="24">
        <f>SUMIFS(инфо!$G$15:$G$28,инфо!$A$15:$A$28,F1236)</f>
        <v>0</v>
      </c>
      <c r="AO1236" s="32">
        <f t="shared" si="277"/>
        <v>0</v>
      </c>
      <c r="AP1236" s="12">
        <f t="shared" si="280"/>
        <v>0</v>
      </c>
      <c r="AQ1236" s="24">
        <f>SUMIFS(инфо!$H$15:$H$28,инфо!$A$15:$A$28,F1236)</f>
        <v>0</v>
      </c>
      <c r="AR1236" s="35">
        <f t="shared" si="278"/>
        <v>0</v>
      </c>
      <c r="AS1236" s="12">
        <f t="shared" si="281"/>
        <v>0</v>
      </c>
      <c r="AT1236" s="24">
        <f>SUMIFS(инфо!$I$15:$I$28,инфо!$A$15:$A$28,F1236)</f>
        <v>0</v>
      </c>
      <c r="AU1236" s="35">
        <f t="shared" si="286"/>
        <v>0</v>
      </c>
      <c r="AV1236" s="12">
        <f t="shared" si="282"/>
        <v>0</v>
      </c>
      <c r="AX1236" s="68">
        <f>SUMIFS(инфо!$C$15:$C$28,инфо!$A$15:$A$28,F1236)*H1235</f>
        <v>0</v>
      </c>
    </row>
    <row r="1237" spans="1:50" x14ac:dyDescent="0.25">
      <c r="A1237" s="70">
        <f t="shared" si="274"/>
        <v>46682</v>
      </c>
      <c r="B1237" s="76"/>
      <c r="C1237" s="15"/>
      <c r="D1237" s="16"/>
      <c r="E1237" s="11"/>
      <c r="F1237" s="28"/>
      <c r="G1237" s="34"/>
      <c r="H1237" s="23"/>
      <c r="I1237" s="20"/>
      <c r="J1237" s="20"/>
      <c r="K1237" s="20"/>
      <c r="L1237" s="20"/>
      <c r="M1237" s="20"/>
      <c r="N1237" s="20"/>
      <c r="O1237" s="34"/>
      <c r="P1237" s="34"/>
      <c r="Q1237" s="34"/>
      <c r="R1237" s="34"/>
      <c r="S1237" s="68">
        <f t="shared" si="283"/>
        <v>0</v>
      </c>
      <c r="T1237" s="15"/>
      <c r="U1237" s="16"/>
      <c r="V1237" s="34"/>
      <c r="W1237" s="34"/>
      <c r="X1237" s="34"/>
      <c r="Y1237" s="15"/>
      <c r="Z1237" s="34"/>
      <c r="AA1237" s="34"/>
      <c r="AB1237" s="34"/>
      <c r="AC1237" s="34"/>
      <c r="AD1237" s="16"/>
      <c r="AE1237" s="24">
        <f>SUMIFS(инфо!$D$15:$D$28,инфо!$A$15:$A$28,F1237)</f>
        <v>0</v>
      </c>
      <c r="AF1237" s="35">
        <f t="shared" si="275"/>
        <v>0</v>
      </c>
      <c r="AG1237" s="12">
        <f t="shared" si="284"/>
        <v>0</v>
      </c>
      <c r="AH1237" s="24">
        <f>SUMIFS(инфо!$E$15:$E$28,инфо!$A$15:$A$28,F1237)</f>
        <v>0</v>
      </c>
      <c r="AI1237" s="35">
        <f t="shared" si="287"/>
        <v>0</v>
      </c>
      <c r="AJ1237" s="12">
        <f t="shared" si="285"/>
        <v>0</v>
      </c>
      <c r="AK1237" s="24">
        <f>SUMIFS(инфо!$F$15:$F$28,инфо!$A$15:$A$28,F1237)</f>
        <v>0</v>
      </c>
      <c r="AL1237" s="32">
        <f t="shared" si="276"/>
        <v>0</v>
      </c>
      <c r="AM1237" s="12">
        <f t="shared" si="279"/>
        <v>0</v>
      </c>
      <c r="AN1237" s="24">
        <f>SUMIFS(инфо!$G$15:$G$28,инфо!$A$15:$A$28,F1237)</f>
        <v>0</v>
      </c>
      <c r="AO1237" s="32">
        <f t="shared" si="277"/>
        <v>0</v>
      </c>
      <c r="AP1237" s="12">
        <f t="shared" si="280"/>
        <v>0</v>
      </c>
      <c r="AQ1237" s="24">
        <f>SUMIFS(инфо!$H$15:$H$28,инфо!$A$15:$A$28,F1237)</f>
        <v>0</v>
      </c>
      <c r="AR1237" s="35">
        <f t="shared" si="278"/>
        <v>0</v>
      </c>
      <c r="AS1237" s="12">
        <f t="shared" si="281"/>
        <v>0</v>
      </c>
      <c r="AT1237" s="24">
        <f>SUMIFS(инфо!$I$15:$I$28,инфо!$A$15:$A$28,F1237)</f>
        <v>0</v>
      </c>
      <c r="AU1237" s="35">
        <f t="shared" si="286"/>
        <v>0</v>
      </c>
      <c r="AV1237" s="12">
        <f t="shared" si="282"/>
        <v>0</v>
      </c>
      <c r="AX1237" s="68">
        <f>SUMIFS(инфо!$C$15:$C$28,инфо!$A$15:$A$28,F1237)*H1236</f>
        <v>0</v>
      </c>
    </row>
    <row r="1238" spans="1:50" x14ac:dyDescent="0.25">
      <c r="A1238" s="70">
        <f t="shared" si="274"/>
        <v>46683</v>
      </c>
      <c r="B1238" s="77"/>
      <c r="C1238" s="17"/>
      <c r="D1238" s="18"/>
      <c r="E1238" s="11"/>
      <c r="F1238" s="28"/>
      <c r="G1238" s="19"/>
      <c r="H1238" s="28"/>
      <c r="I1238" s="20"/>
      <c r="J1238" s="20"/>
      <c r="K1238" s="20"/>
      <c r="L1238" s="20"/>
      <c r="M1238" s="20"/>
      <c r="N1238" s="23"/>
      <c r="O1238" s="19"/>
      <c r="P1238" s="19"/>
      <c r="Q1238" s="19"/>
      <c r="R1238" s="19"/>
      <c r="S1238" s="69">
        <f t="shared" si="283"/>
        <v>0</v>
      </c>
      <c r="T1238" s="17"/>
      <c r="U1238" s="18"/>
      <c r="V1238" s="19"/>
      <c r="W1238" s="19"/>
      <c r="X1238" s="19"/>
      <c r="Y1238" s="17"/>
      <c r="Z1238" s="19"/>
      <c r="AA1238" s="19"/>
      <c r="AB1238" s="19"/>
      <c r="AC1238" s="19"/>
      <c r="AD1238" s="18"/>
      <c r="AE1238" s="25">
        <f>SUMIFS(инфо!$D$15:$D$28,инфо!$A$15:$A$28,F1238)</f>
        <v>0</v>
      </c>
      <c r="AF1238" s="35">
        <f t="shared" si="275"/>
        <v>0</v>
      </c>
      <c r="AG1238" s="14">
        <f t="shared" si="284"/>
        <v>0</v>
      </c>
      <c r="AH1238" s="25">
        <f>SUMIFS(инфо!$E$15:$E$28,инфо!$A$15:$A$28,F1238)</f>
        <v>0</v>
      </c>
      <c r="AI1238" s="26">
        <f t="shared" si="287"/>
        <v>0</v>
      </c>
      <c r="AJ1238" s="14">
        <f t="shared" si="285"/>
        <v>0</v>
      </c>
      <c r="AK1238" s="25">
        <f>SUMIFS(инфо!$F$15:$F$28,инфо!$A$15:$A$28,F1238)</f>
        <v>0</v>
      </c>
      <c r="AL1238" s="32">
        <f t="shared" si="276"/>
        <v>0</v>
      </c>
      <c r="AM1238" s="14">
        <f t="shared" si="279"/>
        <v>0</v>
      </c>
      <c r="AN1238" s="25">
        <f>SUMIFS(инфо!$G$15:$G$28,инфо!$A$15:$A$28,F1238)</f>
        <v>0</v>
      </c>
      <c r="AO1238" s="32">
        <f t="shared" si="277"/>
        <v>0</v>
      </c>
      <c r="AP1238" s="14">
        <f t="shared" si="280"/>
        <v>0</v>
      </c>
      <c r="AQ1238" s="25">
        <f>SUMIFS(инфо!$H$15:$H$28,инфо!$A$15:$A$28,F1238)</f>
        <v>0</v>
      </c>
      <c r="AR1238" s="26">
        <f t="shared" si="278"/>
        <v>0</v>
      </c>
      <c r="AS1238" s="14">
        <f t="shared" si="281"/>
        <v>0</v>
      </c>
      <c r="AT1238" s="25">
        <f>SUMIFS(инфо!$I$15:$I$28,инфо!$A$15:$A$28,F1238)</f>
        <v>0</v>
      </c>
      <c r="AU1238" s="35">
        <f t="shared" si="286"/>
        <v>0</v>
      </c>
      <c r="AV1238" s="14">
        <f t="shared" si="282"/>
        <v>0</v>
      </c>
      <c r="AX1238" s="69">
        <f>SUMIFS(инфо!$C$15:$C$28,инфо!$A$15:$A$28,F1238)*H1237</f>
        <v>0</v>
      </c>
    </row>
    <row r="1239" spans="1:50" x14ac:dyDescent="0.25">
      <c r="A1239" s="70">
        <f t="shared" si="274"/>
        <v>46683</v>
      </c>
      <c r="B1239" s="75"/>
      <c r="C1239" s="29"/>
      <c r="D1239" s="30"/>
      <c r="E1239" s="11"/>
      <c r="F1239" s="28"/>
      <c r="G1239" s="27"/>
      <c r="H1239" s="20"/>
      <c r="I1239" s="20"/>
      <c r="J1239" s="20"/>
      <c r="K1239" s="20"/>
      <c r="L1239" s="20"/>
      <c r="M1239" s="20"/>
      <c r="N1239" s="28"/>
      <c r="O1239" s="27"/>
      <c r="P1239" s="27"/>
      <c r="Q1239" s="27"/>
      <c r="R1239" s="27"/>
      <c r="S1239" s="67">
        <f t="shared" si="283"/>
        <v>0</v>
      </c>
      <c r="T1239" s="29"/>
      <c r="U1239" s="30"/>
      <c r="V1239" s="27"/>
      <c r="W1239" s="27"/>
      <c r="X1239" s="27"/>
      <c r="Y1239" s="29"/>
      <c r="Z1239" s="27"/>
      <c r="AA1239" s="27"/>
      <c r="AB1239" s="27"/>
      <c r="AC1239" s="27"/>
      <c r="AD1239" s="30"/>
      <c r="AE1239" s="31">
        <f>SUMIFS(инфо!$D$15:$D$28,инфо!$A$15:$A$28,F1239)</f>
        <v>0</v>
      </c>
      <c r="AF1239" s="35">
        <f t="shared" si="275"/>
        <v>0</v>
      </c>
      <c r="AG1239" s="33">
        <f t="shared" si="284"/>
        <v>0</v>
      </c>
      <c r="AH1239" s="31">
        <f>SUMIFS(инфо!$E$15:$E$28,инфо!$A$15:$A$28,F1239)</f>
        <v>0</v>
      </c>
      <c r="AI1239" s="32">
        <f t="shared" si="287"/>
        <v>0</v>
      </c>
      <c r="AJ1239" s="33">
        <f t="shared" si="285"/>
        <v>0</v>
      </c>
      <c r="AK1239" s="31">
        <f>SUMIFS(инфо!$F$15:$F$28,инфо!$A$15:$A$28,F1239)</f>
        <v>0</v>
      </c>
      <c r="AL1239" s="32">
        <f t="shared" si="276"/>
        <v>0</v>
      </c>
      <c r="AM1239" s="33">
        <f t="shared" si="279"/>
        <v>0</v>
      </c>
      <c r="AN1239" s="31">
        <f>SUMIFS(инфо!$G$15:$G$28,инфо!$A$15:$A$28,F1239)</f>
        <v>0</v>
      </c>
      <c r="AO1239" s="32">
        <f t="shared" si="277"/>
        <v>0</v>
      </c>
      <c r="AP1239" s="33">
        <f t="shared" si="280"/>
        <v>0</v>
      </c>
      <c r="AQ1239" s="31">
        <f>SUMIFS(инфо!$H$15:$H$28,инфо!$A$15:$A$28,F1239)</f>
        <v>0</v>
      </c>
      <c r="AR1239" s="32">
        <f t="shared" si="278"/>
        <v>0</v>
      </c>
      <c r="AS1239" s="33">
        <f t="shared" si="281"/>
        <v>0</v>
      </c>
      <c r="AT1239" s="31">
        <f>SUMIFS(инфо!$I$15:$I$28,инфо!$A$15:$A$28,F1239)</f>
        <v>0</v>
      </c>
      <c r="AU1239" s="35">
        <f t="shared" si="286"/>
        <v>0</v>
      </c>
      <c r="AV1239" s="33">
        <f t="shared" si="282"/>
        <v>0</v>
      </c>
      <c r="AX1239" s="67">
        <f>SUMIFS(инфо!$C$15:$C$28,инфо!$A$15:$A$28,F1239)*H1238</f>
        <v>0</v>
      </c>
    </row>
    <row r="1240" spans="1:50" x14ac:dyDescent="0.25">
      <c r="A1240" s="70">
        <f t="shared" si="274"/>
        <v>46684</v>
      </c>
      <c r="B1240" s="76"/>
      <c r="C1240" s="15"/>
      <c r="D1240" s="16"/>
      <c r="E1240" s="11"/>
      <c r="F1240" s="28"/>
      <c r="G1240" s="34"/>
      <c r="H1240" s="20"/>
      <c r="I1240" s="20"/>
      <c r="J1240" s="20"/>
      <c r="K1240" s="20"/>
      <c r="L1240" s="20"/>
      <c r="M1240" s="20"/>
      <c r="N1240" s="20"/>
      <c r="O1240" s="34"/>
      <c r="P1240" s="34"/>
      <c r="Q1240" s="34"/>
      <c r="R1240" s="34"/>
      <c r="S1240" s="68">
        <f t="shared" si="283"/>
        <v>0</v>
      </c>
      <c r="T1240" s="15"/>
      <c r="U1240" s="16"/>
      <c r="V1240" s="34"/>
      <c r="W1240" s="34"/>
      <c r="X1240" s="34"/>
      <c r="Y1240" s="15"/>
      <c r="Z1240" s="34"/>
      <c r="AA1240" s="34"/>
      <c r="AB1240" s="34"/>
      <c r="AC1240" s="34"/>
      <c r="AD1240" s="16"/>
      <c r="AE1240" s="24">
        <f>SUMIFS(инфо!$D$15:$D$28,инфо!$A$15:$A$28,F1240)</f>
        <v>0</v>
      </c>
      <c r="AF1240" s="35">
        <f t="shared" si="275"/>
        <v>0</v>
      </c>
      <c r="AG1240" s="12">
        <f t="shared" si="284"/>
        <v>0</v>
      </c>
      <c r="AH1240" s="24">
        <f>SUMIFS(инфо!$E$15:$E$28,инфо!$A$15:$A$28,F1240)</f>
        <v>0</v>
      </c>
      <c r="AI1240" s="35">
        <f t="shared" si="287"/>
        <v>0</v>
      </c>
      <c r="AJ1240" s="12">
        <f t="shared" si="285"/>
        <v>0</v>
      </c>
      <c r="AK1240" s="24">
        <f>SUMIFS(инфо!$F$15:$F$28,инфо!$A$15:$A$28,F1240)</f>
        <v>0</v>
      </c>
      <c r="AL1240" s="32">
        <f t="shared" si="276"/>
        <v>0</v>
      </c>
      <c r="AM1240" s="12">
        <f t="shared" si="279"/>
        <v>0</v>
      </c>
      <c r="AN1240" s="24">
        <f>SUMIFS(инфо!$G$15:$G$28,инфо!$A$15:$A$28,F1240)</f>
        <v>0</v>
      </c>
      <c r="AO1240" s="32">
        <f t="shared" si="277"/>
        <v>0</v>
      </c>
      <c r="AP1240" s="12">
        <f t="shared" si="280"/>
        <v>0</v>
      </c>
      <c r="AQ1240" s="24">
        <f>SUMIFS(инфо!$H$15:$H$28,инфо!$A$15:$A$28,F1240)</f>
        <v>0</v>
      </c>
      <c r="AR1240" s="35">
        <f t="shared" si="278"/>
        <v>0</v>
      </c>
      <c r="AS1240" s="12">
        <f t="shared" si="281"/>
        <v>0</v>
      </c>
      <c r="AT1240" s="24">
        <f>SUMIFS(инфо!$I$15:$I$28,инфо!$A$15:$A$28,F1240)</f>
        <v>0</v>
      </c>
      <c r="AU1240" s="35">
        <f t="shared" si="286"/>
        <v>0</v>
      </c>
      <c r="AV1240" s="12">
        <f t="shared" si="282"/>
        <v>0</v>
      </c>
      <c r="AX1240" s="68">
        <f>SUMIFS(инфо!$C$15:$C$28,инфо!$A$15:$A$28,F1240)*H1239</f>
        <v>0</v>
      </c>
    </row>
    <row r="1241" spans="1:50" x14ac:dyDescent="0.25">
      <c r="A1241" s="70">
        <f t="shared" si="274"/>
        <v>46684</v>
      </c>
      <c r="B1241" s="76"/>
      <c r="C1241" s="15"/>
      <c r="D1241" s="16"/>
      <c r="E1241" s="11"/>
      <c r="F1241" s="28"/>
      <c r="G1241" s="34"/>
      <c r="H1241" s="23"/>
      <c r="I1241" s="20"/>
      <c r="J1241" s="20"/>
      <c r="K1241" s="20"/>
      <c r="L1241" s="20"/>
      <c r="M1241" s="20"/>
      <c r="N1241" s="20"/>
      <c r="O1241" s="34"/>
      <c r="P1241" s="34"/>
      <c r="Q1241" s="34"/>
      <c r="R1241" s="34"/>
      <c r="S1241" s="68">
        <f t="shared" si="283"/>
        <v>0</v>
      </c>
      <c r="T1241" s="15"/>
      <c r="U1241" s="16"/>
      <c r="V1241" s="34"/>
      <c r="W1241" s="34"/>
      <c r="X1241" s="34"/>
      <c r="Y1241" s="15"/>
      <c r="Z1241" s="34"/>
      <c r="AA1241" s="34"/>
      <c r="AB1241" s="34"/>
      <c r="AC1241" s="34"/>
      <c r="AD1241" s="16"/>
      <c r="AE1241" s="24">
        <f>SUMIFS(инфо!$D$15:$D$28,инфо!$A$15:$A$28,F1241)</f>
        <v>0</v>
      </c>
      <c r="AF1241" s="35">
        <f t="shared" si="275"/>
        <v>0</v>
      </c>
      <c r="AG1241" s="12">
        <f t="shared" si="284"/>
        <v>0</v>
      </c>
      <c r="AH1241" s="24">
        <f>SUMIFS(инфо!$E$15:$E$28,инфо!$A$15:$A$28,F1241)</f>
        <v>0</v>
      </c>
      <c r="AI1241" s="35">
        <f t="shared" si="287"/>
        <v>0</v>
      </c>
      <c r="AJ1241" s="12">
        <f t="shared" si="285"/>
        <v>0</v>
      </c>
      <c r="AK1241" s="24">
        <f>SUMIFS(инфо!$F$15:$F$28,инфо!$A$15:$A$28,F1241)</f>
        <v>0</v>
      </c>
      <c r="AL1241" s="32">
        <f t="shared" si="276"/>
        <v>0</v>
      </c>
      <c r="AM1241" s="12">
        <f t="shared" si="279"/>
        <v>0</v>
      </c>
      <c r="AN1241" s="24">
        <f>SUMIFS(инфо!$G$15:$G$28,инфо!$A$15:$A$28,F1241)</f>
        <v>0</v>
      </c>
      <c r="AO1241" s="32">
        <f t="shared" si="277"/>
        <v>0</v>
      </c>
      <c r="AP1241" s="12">
        <f t="shared" si="280"/>
        <v>0</v>
      </c>
      <c r="AQ1241" s="24">
        <f>SUMIFS(инфо!$H$15:$H$28,инфо!$A$15:$A$28,F1241)</f>
        <v>0</v>
      </c>
      <c r="AR1241" s="35">
        <f t="shared" si="278"/>
        <v>0</v>
      </c>
      <c r="AS1241" s="12">
        <f t="shared" si="281"/>
        <v>0</v>
      </c>
      <c r="AT1241" s="24">
        <f>SUMIFS(инфо!$I$15:$I$28,инфо!$A$15:$A$28,F1241)</f>
        <v>0</v>
      </c>
      <c r="AU1241" s="35">
        <f t="shared" si="286"/>
        <v>0</v>
      </c>
      <c r="AV1241" s="12">
        <f t="shared" si="282"/>
        <v>0</v>
      </c>
      <c r="AX1241" s="68">
        <f>SUMIFS(инфо!$C$15:$C$28,инфо!$A$15:$A$28,F1241)*H1240</f>
        <v>0</v>
      </c>
    </row>
    <row r="1242" spans="1:50" x14ac:dyDescent="0.25">
      <c r="A1242" s="70">
        <f t="shared" si="274"/>
        <v>46685</v>
      </c>
      <c r="B1242" s="77"/>
      <c r="C1242" s="17"/>
      <c r="D1242" s="18"/>
      <c r="E1242" s="11"/>
      <c r="F1242" s="28"/>
      <c r="G1242" s="19"/>
      <c r="H1242" s="28"/>
      <c r="I1242" s="20"/>
      <c r="J1242" s="20"/>
      <c r="K1242" s="20"/>
      <c r="L1242" s="20"/>
      <c r="M1242" s="20"/>
      <c r="N1242" s="23"/>
      <c r="O1242" s="19"/>
      <c r="P1242" s="19"/>
      <c r="Q1242" s="19"/>
      <c r="R1242" s="19"/>
      <c r="S1242" s="69">
        <f t="shared" si="283"/>
        <v>0</v>
      </c>
      <c r="T1242" s="17"/>
      <c r="U1242" s="18"/>
      <c r="V1242" s="19"/>
      <c r="W1242" s="19"/>
      <c r="X1242" s="19"/>
      <c r="Y1242" s="17"/>
      <c r="Z1242" s="19"/>
      <c r="AA1242" s="19"/>
      <c r="AB1242" s="19"/>
      <c r="AC1242" s="19"/>
      <c r="AD1242" s="18"/>
      <c r="AE1242" s="25">
        <f>SUMIFS(инфо!$D$15:$D$28,инфо!$A$15:$A$28,F1242)</f>
        <v>0</v>
      </c>
      <c r="AF1242" s="35">
        <f t="shared" si="275"/>
        <v>0</v>
      </c>
      <c r="AG1242" s="14">
        <f t="shared" si="284"/>
        <v>0</v>
      </c>
      <c r="AH1242" s="25">
        <f>SUMIFS(инфо!$E$15:$E$28,инфо!$A$15:$A$28,F1242)</f>
        <v>0</v>
      </c>
      <c r="AI1242" s="26">
        <f t="shared" si="287"/>
        <v>0</v>
      </c>
      <c r="AJ1242" s="14">
        <f t="shared" si="285"/>
        <v>0</v>
      </c>
      <c r="AK1242" s="25">
        <f>SUMIFS(инфо!$F$15:$F$28,инфо!$A$15:$A$28,F1242)</f>
        <v>0</v>
      </c>
      <c r="AL1242" s="32">
        <f t="shared" si="276"/>
        <v>0</v>
      </c>
      <c r="AM1242" s="14">
        <f t="shared" si="279"/>
        <v>0</v>
      </c>
      <c r="AN1242" s="25">
        <f>SUMIFS(инфо!$G$15:$G$28,инфо!$A$15:$A$28,F1242)</f>
        <v>0</v>
      </c>
      <c r="AO1242" s="32">
        <f t="shared" si="277"/>
        <v>0</v>
      </c>
      <c r="AP1242" s="14">
        <f t="shared" si="280"/>
        <v>0</v>
      </c>
      <c r="AQ1242" s="25">
        <f>SUMIFS(инфо!$H$15:$H$28,инфо!$A$15:$A$28,F1242)</f>
        <v>0</v>
      </c>
      <c r="AR1242" s="26">
        <f t="shared" si="278"/>
        <v>0</v>
      </c>
      <c r="AS1242" s="14">
        <f t="shared" si="281"/>
        <v>0</v>
      </c>
      <c r="AT1242" s="25">
        <f>SUMIFS(инфо!$I$15:$I$28,инфо!$A$15:$A$28,F1242)</f>
        <v>0</v>
      </c>
      <c r="AU1242" s="35">
        <f t="shared" si="286"/>
        <v>0</v>
      </c>
      <c r="AV1242" s="14">
        <f t="shared" si="282"/>
        <v>0</v>
      </c>
      <c r="AX1242" s="69">
        <f>SUMIFS(инфо!$C$15:$C$28,инфо!$A$15:$A$28,F1242)*H1241</f>
        <v>0</v>
      </c>
    </row>
    <row r="1243" spans="1:50" x14ac:dyDescent="0.25">
      <c r="A1243" s="70">
        <f t="shared" si="274"/>
        <v>46685</v>
      </c>
      <c r="B1243" s="75"/>
      <c r="C1243" s="29"/>
      <c r="D1243" s="30"/>
      <c r="E1243" s="11"/>
      <c r="F1243" s="28"/>
      <c r="G1243" s="27"/>
      <c r="H1243" s="20"/>
      <c r="I1243" s="20"/>
      <c r="J1243" s="20"/>
      <c r="K1243" s="20"/>
      <c r="L1243" s="20"/>
      <c r="M1243" s="20"/>
      <c r="N1243" s="28"/>
      <c r="O1243" s="27"/>
      <c r="P1243" s="27"/>
      <c r="Q1243" s="27"/>
      <c r="R1243" s="27"/>
      <c r="S1243" s="67">
        <f t="shared" si="283"/>
        <v>0</v>
      </c>
      <c r="T1243" s="29"/>
      <c r="U1243" s="30"/>
      <c r="V1243" s="27"/>
      <c r="W1243" s="27"/>
      <c r="X1243" s="27"/>
      <c r="Y1243" s="29"/>
      <c r="Z1243" s="27"/>
      <c r="AA1243" s="27"/>
      <c r="AB1243" s="27"/>
      <c r="AC1243" s="27"/>
      <c r="AD1243" s="30"/>
      <c r="AE1243" s="31">
        <f>SUMIFS(инфо!$D$15:$D$28,инфо!$A$15:$A$28,F1243)</f>
        <v>0</v>
      </c>
      <c r="AF1243" s="35">
        <f t="shared" si="275"/>
        <v>0</v>
      </c>
      <c r="AG1243" s="33">
        <f t="shared" si="284"/>
        <v>0</v>
      </c>
      <c r="AH1243" s="31">
        <f>SUMIFS(инфо!$E$15:$E$28,инфо!$A$15:$A$28,F1243)</f>
        <v>0</v>
      </c>
      <c r="AI1243" s="32">
        <f t="shared" si="287"/>
        <v>0</v>
      </c>
      <c r="AJ1243" s="33">
        <f t="shared" si="285"/>
        <v>0</v>
      </c>
      <c r="AK1243" s="31">
        <f>SUMIFS(инфо!$F$15:$F$28,инфо!$A$15:$A$28,F1243)</f>
        <v>0</v>
      </c>
      <c r="AL1243" s="32">
        <f t="shared" si="276"/>
        <v>0</v>
      </c>
      <c r="AM1243" s="33">
        <f t="shared" si="279"/>
        <v>0</v>
      </c>
      <c r="AN1243" s="31">
        <f>SUMIFS(инфо!$G$15:$G$28,инфо!$A$15:$A$28,F1243)</f>
        <v>0</v>
      </c>
      <c r="AO1243" s="32">
        <f t="shared" si="277"/>
        <v>0</v>
      </c>
      <c r="AP1243" s="33">
        <f t="shared" si="280"/>
        <v>0</v>
      </c>
      <c r="AQ1243" s="31">
        <f>SUMIFS(инфо!$H$15:$H$28,инфо!$A$15:$A$28,F1243)</f>
        <v>0</v>
      </c>
      <c r="AR1243" s="32">
        <f t="shared" si="278"/>
        <v>0</v>
      </c>
      <c r="AS1243" s="33">
        <f t="shared" si="281"/>
        <v>0</v>
      </c>
      <c r="AT1243" s="31">
        <f>SUMIFS(инфо!$I$15:$I$28,инфо!$A$15:$A$28,F1243)</f>
        <v>0</v>
      </c>
      <c r="AU1243" s="35">
        <f t="shared" si="286"/>
        <v>0</v>
      </c>
      <c r="AV1243" s="33">
        <f t="shared" si="282"/>
        <v>0</v>
      </c>
      <c r="AX1243" s="67">
        <f>SUMIFS(инфо!$C$15:$C$28,инфо!$A$15:$A$28,F1243)*H1242</f>
        <v>0</v>
      </c>
    </row>
    <row r="1244" spans="1:50" x14ac:dyDescent="0.25">
      <c r="A1244" s="70">
        <f t="shared" ref="A1244:A1258" si="288">A1242+1</f>
        <v>46686</v>
      </c>
      <c r="B1244" s="76"/>
      <c r="C1244" s="15"/>
      <c r="D1244" s="16"/>
      <c r="E1244" s="11"/>
      <c r="F1244" s="28"/>
      <c r="G1244" s="34"/>
      <c r="H1244" s="20"/>
      <c r="I1244" s="20"/>
      <c r="J1244" s="20"/>
      <c r="K1244" s="20"/>
      <c r="L1244" s="20"/>
      <c r="M1244" s="20"/>
      <c r="N1244" s="20"/>
      <c r="O1244" s="34"/>
      <c r="P1244" s="34"/>
      <c r="Q1244" s="34"/>
      <c r="R1244" s="34"/>
      <c r="S1244" s="68">
        <f t="shared" si="283"/>
        <v>0</v>
      </c>
      <c r="T1244" s="15"/>
      <c r="U1244" s="16"/>
      <c r="V1244" s="34"/>
      <c r="W1244" s="34"/>
      <c r="X1244" s="34"/>
      <c r="Y1244" s="15"/>
      <c r="Z1244" s="34"/>
      <c r="AA1244" s="34"/>
      <c r="AB1244" s="34"/>
      <c r="AC1244" s="34"/>
      <c r="AD1244" s="16"/>
      <c r="AE1244" s="24">
        <f>SUMIFS(инфо!$D$15:$D$28,инфо!$A$15:$A$28,F1244)</f>
        <v>0</v>
      </c>
      <c r="AF1244" s="35">
        <f t="shared" si="275"/>
        <v>0</v>
      </c>
      <c r="AG1244" s="12">
        <f t="shared" si="284"/>
        <v>0</v>
      </c>
      <c r="AH1244" s="24">
        <f>SUMIFS(инфо!$E$15:$E$28,инфо!$A$15:$A$28,F1244)</f>
        <v>0</v>
      </c>
      <c r="AI1244" s="35">
        <f t="shared" si="287"/>
        <v>0</v>
      </c>
      <c r="AJ1244" s="12">
        <f t="shared" si="285"/>
        <v>0</v>
      </c>
      <c r="AK1244" s="24">
        <f>SUMIFS(инфо!$F$15:$F$28,инфо!$A$15:$A$28,F1244)</f>
        <v>0</v>
      </c>
      <c r="AL1244" s="32">
        <f t="shared" si="276"/>
        <v>0</v>
      </c>
      <c r="AM1244" s="12">
        <f t="shared" si="279"/>
        <v>0</v>
      </c>
      <c r="AN1244" s="24">
        <f>SUMIFS(инфо!$G$15:$G$28,инфо!$A$15:$A$28,F1244)</f>
        <v>0</v>
      </c>
      <c r="AO1244" s="32">
        <f t="shared" si="277"/>
        <v>0</v>
      </c>
      <c r="AP1244" s="12">
        <f t="shared" si="280"/>
        <v>0</v>
      </c>
      <c r="AQ1244" s="24">
        <f>SUMIFS(инфо!$H$15:$H$28,инфо!$A$15:$A$28,F1244)</f>
        <v>0</v>
      </c>
      <c r="AR1244" s="35">
        <f t="shared" si="278"/>
        <v>0</v>
      </c>
      <c r="AS1244" s="12">
        <f t="shared" si="281"/>
        <v>0</v>
      </c>
      <c r="AT1244" s="24">
        <f>SUMIFS(инфо!$I$15:$I$28,инфо!$A$15:$A$28,F1244)</f>
        <v>0</v>
      </c>
      <c r="AU1244" s="35">
        <f t="shared" si="286"/>
        <v>0</v>
      </c>
      <c r="AV1244" s="12">
        <f t="shared" si="282"/>
        <v>0</v>
      </c>
      <c r="AX1244" s="68">
        <f>SUMIFS(инфо!$C$15:$C$28,инфо!$A$15:$A$28,F1244)*H1243</f>
        <v>0</v>
      </c>
    </row>
    <row r="1245" spans="1:50" x14ac:dyDescent="0.25">
      <c r="A1245" s="70">
        <f t="shared" si="288"/>
        <v>46686</v>
      </c>
      <c r="B1245" s="76"/>
      <c r="C1245" s="15"/>
      <c r="D1245" s="16"/>
      <c r="E1245" s="11"/>
      <c r="F1245" s="28"/>
      <c r="G1245" s="34"/>
      <c r="H1245" s="23"/>
      <c r="I1245" s="20"/>
      <c r="J1245" s="20"/>
      <c r="K1245" s="20"/>
      <c r="L1245" s="20"/>
      <c r="M1245" s="20"/>
      <c r="N1245" s="20"/>
      <c r="O1245" s="34"/>
      <c r="P1245" s="34"/>
      <c r="Q1245" s="34"/>
      <c r="R1245" s="34"/>
      <c r="S1245" s="68">
        <f t="shared" si="283"/>
        <v>0</v>
      </c>
      <c r="T1245" s="15"/>
      <c r="U1245" s="16"/>
      <c r="V1245" s="34"/>
      <c r="W1245" s="34"/>
      <c r="X1245" s="34"/>
      <c r="Y1245" s="15"/>
      <c r="Z1245" s="34"/>
      <c r="AA1245" s="34"/>
      <c r="AB1245" s="34"/>
      <c r="AC1245" s="34"/>
      <c r="AD1245" s="16"/>
      <c r="AE1245" s="24">
        <f>SUMIFS(инфо!$D$15:$D$28,инфо!$A$15:$A$28,F1245)</f>
        <v>0</v>
      </c>
      <c r="AF1245" s="35">
        <f t="shared" si="275"/>
        <v>0</v>
      </c>
      <c r="AG1245" s="12">
        <f t="shared" si="284"/>
        <v>0</v>
      </c>
      <c r="AH1245" s="24">
        <f>SUMIFS(инфо!$E$15:$E$28,инфо!$A$15:$A$28,F1245)</f>
        <v>0</v>
      </c>
      <c r="AI1245" s="35">
        <f t="shared" si="287"/>
        <v>0</v>
      </c>
      <c r="AJ1245" s="12">
        <f t="shared" si="285"/>
        <v>0</v>
      </c>
      <c r="AK1245" s="24">
        <f>SUMIFS(инфо!$F$15:$F$28,инфо!$A$15:$A$28,F1245)</f>
        <v>0</v>
      </c>
      <c r="AL1245" s="32">
        <f t="shared" si="276"/>
        <v>0</v>
      </c>
      <c r="AM1245" s="12">
        <f t="shared" si="279"/>
        <v>0</v>
      </c>
      <c r="AN1245" s="24">
        <f>SUMIFS(инфо!$G$15:$G$28,инфо!$A$15:$A$28,F1245)</f>
        <v>0</v>
      </c>
      <c r="AO1245" s="32">
        <f t="shared" si="277"/>
        <v>0</v>
      </c>
      <c r="AP1245" s="12">
        <f t="shared" si="280"/>
        <v>0</v>
      </c>
      <c r="AQ1245" s="24">
        <f>SUMIFS(инфо!$H$15:$H$28,инфо!$A$15:$A$28,F1245)</f>
        <v>0</v>
      </c>
      <c r="AR1245" s="35">
        <f t="shared" si="278"/>
        <v>0</v>
      </c>
      <c r="AS1245" s="12">
        <f t="shared" si="281"/>
        <v>0</v>
      </c>
      <c r="AT1245" s="24">
        <f>SUMIFS(инфо!$I$15:$I$28,инфо!$A$15:$A$28,F1245)</f>
        <v>0</v>
      </c>
      <c r="AU1245" s="35">
        <f t="shared" si="286"/>
        <v>0</v>
      </c>
      <c r="AV1245" s="12">
        <f t="shared" si="282"/>
        <v>0</v>
      </c>
      <c r="AX1245" s="68">
        <f>SUMIFS(инфо!$C$15:$C$28,инфо!$A$15:$A$28,F1245)*H1244</f>
        <v>0</v>
      </c>
    </row>
    <row r="1246" spans="1:50" x14ac:dyDescent="0.25">
      <c r="A1246" s="70">
        <f t="shared" si="288"/>
        <v>46687</v>
      </c>
      <c r="B1246" s="77"/>
      <c r="C1246" s="17"/>
      <c r="D1246" s="18"/>
      <c r="E1246" s="11"/>
      <c r="F1246" s="28"/>
      <c r="G1246" s="19"/>
      <c r="H1246" s="28"/>
      <c r="I1246" s="20"/>
      <c r="J1246" s="20"/>
      <c r="K1246" s="20"/>
      <c r="L1246" s="20"/>
      <c r="M1246" s="20"/>
      <c r="N1246" s="23"/>
      <c r="O1246" s="19"/>
      <c r="P1246" s="19"/>
      <c r="Q1246" s="19"/>
      <c r="R1246" s="19"/>
      <c r="S1246" s="69">
        <f t="shared" si="283"/>
        <v>0</v>
      </c>
      <c r="T1246" s="17"/>
      <c r="U1246" s="18"/>
      <c r="V1246" s="19"/>
      <c r="W1246" s="19"/>
      <c r="X1246" s="19"/>
      <c r="Y1246" s="17"/>
      <c r="Z1246" s="19"/>
      <c r="AA1246" s="19"/>
      <c r="AB1246" s="19"/>
      <c r="AC1246" s="19"/>
      <c r="AD1246" s="18"/>
      <c r="AE1246" s="25">
        <f>SUMIFS(инфо!$D$15:$D$28,инфо!$A$15:$A$28,F1246)</f>
        <v>0</v>
      </c>
      <c r="AF1246" s="35">
        <f t="shared" si="275"/>
        <v>0</v>
      </c>
      <c r="AG1246" s="14">
        <f t="shared" si="284"/>
        <v>0</v>
      </c>
      <c r="AH1246" s="25">
        <f>SUMIFS(инфо!$E$15:$E$28,инфо!$A$15:$A$28,F1246)</f>
        <v>0</v>
      </c>
      <c r="AI1246" s="26">
        <f t="shared" si="287"/>
        <v>0</v>
      </c>
      <c r="AJ1246" s="14">
        <f t="shared" si="285"/>
        <v>0</v>
      </c>
      <c r="AK1246" s="25">
        <f>SUMIFS(инфо!$F$15:$F$28,инфо!$A$15:$A$28,F1246)</f>
        <v>0</v>
      </c>
      <c r="AL1246" s="32">
        <f t="shared" si="276"/>
        <v>0</v>
      </c>
      <c r="AM1246" s="14">
        <f t="shared" si="279"/>
        <v>0</v>
      </c>
      <c r="AN1246" s="25">
        <f>SUMIFS(инфо!$G$15:$G$28,инфо!$A$15:$A$28,F1246)</f>
        <v>0</v>
      </c>
      <c r="AO1246" s="32">
        <f t="shared" si="277"/>
        <v>0</v>
      </c>
      <c r="AP1246" s="14">
        <f t="shared" si="280"/>
        <v>0</v>
      </c>
      <c r="AQ1246" s="25">
        <f>SUMIFS(инфо!$H$15:$H$28,инфо!$A$15:$A$28,F1246)</f>
        <v>0</v>
      </c>
      <c r="AR1246" s="26">
        <f t="shared" si="278"/>
        <v>0</v>
      </c>
      <c r="AS1246" s="14">
        <f t="shared" si="281"/>
        <v>0</v>
      </c>
      <c r="AT1246" s="25">
        <f>SUMIFS(инфо!$I$15:$I$28,инфо!$A$15:$A$28,F1246)</f>
        <v>0</v>
      </c>
      <c r="AU1246" s="35">
        <f t="shared" si="286"/>
        <v>0</v>
      </c>
      <c r="AV1246" s="14">
        <f t="shared" si="282"/>
        <v>0</v>
      </c>
      <c r="AX1246" s="69">
        <f>SUMIFS(инфо!$C$15:$C$28,инфо!$A$15:$A$28,F1246)*H1245</f>
        <v>0</v>
      </c>
    </row>
    <row r="1247" spans="1:50" x14ac:dyDescent="0.25">
      <c r="A1247" s="70">
        <f t="shared" si="288"/>
        <v>46687</v>
      </c>
      <c r="B1247" s="75"/>
      <c r="C1247" s="29"/>
      <c r="D1247" s="30"/>
      <c r="E1247" s="11"/>
      <c r="F1247" s="28"/>
      <c r="G1247" s="27"/>
      <c r="H1247" s="20"/>
      <c r="I1247" s="20"/>
      <c r="J1247" s="20"/>
      <c r="K1247" s="20"/>
      <c r="L1247" s="20"/>
      <c r="M1247" s="20"/>
      <c r="N1247" s="28"/>
      <c r="O1247" s="27"/>
      <c r="P1247" s="27"/>
      <c r="Q1247" s="27"/>
      <c r="R1247" s="27"/>
      <c r="S1247" s="67">
        <f t="shared" si="283"/>
        <v>0</v>
      </c>
      <c r="T1247" s="29"/>
      <c r="U1247" s="30"/>
      <c r="V1247" s="27"/>
      <c r="W1247" s="27"/>
      <c r="X1247" s="27"/>
      <c r="Y1247" s="29"/>
      <c r="Z1247" s="27"/>
      <c r="AA1247" s="27"/>
      <c r="AB1247" s="27"/>
      <c r="AC1247" s="27"/>
      <c r="AD1247" s="30"/>
      <c r="AE1247" s="31">
        <f>SUMIFS(инфо!$D$15:$D$28,инфо!$A$15:$A$28,F1247)</f>
        <v>0</v>
      </c>
      <c r="AF1247" s="35">
        <f t="shared" si="275"/>
        <v>0</v>
      </c>
      <c r="AG1247" s="33">
        <f t="shared" si="284"/>
        <v>0</v>
      </c>
      <c r="AH1247" s="31">
        <f>SUMIFS(инфо!$E$15:$E$28,инфо!$A$15:$A$28,F1247)</f>
        <v>0</v>
      </c>
      <c r="AI1247" s="32">
        <f t="shared" si="287"/>
        <v>0</v>
      </c>
      <c r="AJ1247" s="33">
        <f t="shared" si="285"/>
        <v>0</v>
      </c>
      <c r="AK1247" s="31">
        <f>SUMIFS(инфо!$F$15:$F$28,инфо!$A$15:$A$28,F1247)</f>
        <v>0</v>
      </c>
      <c r="AL1247" s="32">
        <f t="shared" si="276"/>
        <v>0</v>
      </c>
      <c r="AM1247" s="33">
        <f t="shared" si="279"/>
        <v>0</v>
      </c>
      <c r="AN1247" s="31">
        <f>SUMIFS(инфо!$G$15:$G$28,инфо!$A$15:$A$28,F1247)</f>
        <v>0</v>
      </c>
      <c r="AO1247" s="32">
        <f t="shared" si="277"/>
        <v>0</v>
      </c>
      <c r="AP1247" s="33">
        <f t="shared" si="280"/>
        <v>0</v>
      </c>
      <c r="AQ1247" s="31">
        <f>SUMIFS(инфо!$H$15:$H$28,инфо!$A$15:$A$28,F1247)</f>
        <v>0</v>
      </c>
      <c r="AR1247" s="32">
        <f t="shared" si="278"/>
        <v>0</v>
      </c>
      <c r="AS1247" s="33">
        <f t="shared" si="281"/>
        <v>0</v>
      </c>
      <c r="AT1247" s="31">
        <f>SUMIFS(инфо!$I$15:$I$28,инфо!$A$15:$A$28,F1247)</f>
        <v>0</v>
      </c>
      <c r="AU1247" s="35">
        <f t="shared" si="286"/>
        <v>0</v>
      </c>
      <c r="AV1247" s="33">
        <f t="shared" si="282"/>
        <v>0</v>
      </c>
      <c r="AX1247" s="67">
        <f>SUMIFS(инфо!$C$15:$C$28,инфо!$A$15:$A$28,F1247)*H1246</f>
        <v>0</v>
      </c>
    </row>
    <row r="1248" spans="1:50" x14ac:dyDescent="0.25">
      <c r="A1248" s="70">
        <f t="shared" si="288"/>
        <v>46688</v>
      </c>
      <c r="B1248" s="76"/>
      <c r="C1248" s="15"/>
      <c r="D1248" s="16"/>
      <c r="E1248" s="11"/>
      <c r="F1248" s="28"/>
      <c r="G1248" s="34"/>
      <c r="H1248" s="20"/>
      <c r="I1248" s="20"/>
      <c r="J1248" s="20"/>
      <c r="K1248" s="20"/>
      <c r="L1248" s="20"/>
      <c r="M1248" s="20"/>
      <c r="N1248" s="20"/>
      <c r="O1248" s="34"/>
      <c r="P1248" s="34"/>
      <c r="Q1248" s="34"/>
      <c r="R1248" s="34"/>
      <c r="S1248" s="68">
        <f t="shared" si="283"/>
        <v>0</v>
      </c>
      <c r="T1248" s="15"/>
      <c r="U1248" s="16"/>
      <c r="V1248" s="34"/>
      <c r="W1248" s="34"/>
      <c r="X1248" s="34"/>
      <c r="Y1248" s="15"/>
      <c r="Z1248" s="34"/>
      <c r="AA1248" s="34"/>
      <c r="AB1248" s="34"/>
      <c r="AC1248" s="34"/>
      <c r="AD1248" s="16"/>
      <c r="AE1248" s="24">
        <f>SUMIFS(инфо!$D$15:$D$28,инфо!$A$15:$A$28,F1248)</f>
        <v>0</v>
      </c>
      <c r="AF1248" s="35">
        <f t="shared" si="275"/>
        <v>0</v>
      </c>
      <c r="AG1248" s="12">
        <f t="shared" si="284"/>
        <v>0</v>
      </c>
      <c r="AH1248" s="24">
        <f>SUMIFS(инфо!$E$15:$E$28,инфо!$A$15:$A$28,F1248)</f>
        <v>0</v>
      </c>
      <c r="AI1248" s="35">
        <f t="shared" si="287"/>
        <v>0</v>
      </c>
      <c r="AJ1248" s="12">
        <f t="shared" si="285"/>
        <v>0</v>
      </c>
      <c r="AK1248" s="24">
        <f>SUMIFS(инфо!$F$15:$F$28,инфо!$A$15:$A$28,F1248)</f>
        <v>0</v>
      </c>
      <c r="AL1248" s="32">
        <f t="shared" si="276"/>
        <v>0</v>
      </c>
      <c r="AM1248" s="12">
        <f t="shared" si="279"/>
        <v>0</v>
      </c>
      <c r="AN1248" s="24">
        <f>SUMIFS(инфо!$G$15:$G$28,инфо!$A$15:$A$28,F1248)</f>
        <v>0</v>
      </c>
      <c r="AO1248" s="32">
        <f t="shared" si="277"/>
        <v>0</v>
      </c>
      <c r="AP1248" s="12">
        <f t="shared" si="280"/>
        <v>0</v>
      </c>
      <c r="AQ1248" s="24">
        <f>SUMIFS(инфо!$H$15:$H$28,инфо!$A$15:$A$28,F1248)</f>
        <v>0</v>
      </c>
      <c r="AR1248" s="35">
        <f t="shared" si="278"/>
        <v>0</v>
      </c>
      <c r="AS1248" s="12">
        <f t="shared" si="281"/>
        <v>0</v>
      </c>
      <c r="AT1248" s="24">
        <f>SUMIFS(инфо!$I$15:$I$28,инфо!$A$15:$A$28,F1248)</f>
        <v>0</v>
      </c>
      <c r="AU1248" s="35">
        <f t="shared" si="286"/>
        <v>0</v>
      </c>
      <c r="AV1248" s="12">
        <f t="shared" si="282"/>
        <v>0</v>
      </c>
      <c r="AX1248" s="68">
        <f>SUMIFS(инфо!$C$15:$C$28,инфо!$A$15:$A$28,F1248)*H1247</f>
        <v>0</v>
      </c>
    </row>
    <row r="1249" spans="1:50" x14ac:dyDescent="0.25">
      <c r="A1249" s="70">
        <f t="shared" si="288"/>
        <v>46688</v>
      </c>
      <c r="B1249" s="76"/>
      <c r="C1249" s="15"/>
      <c r="D1249" s="16"/>
      <c r="E1249" s="11"/>
      <c r="F1249" s="28"/>
      <c r="G1249" s="34"/>
      <c r="H1249" s="23"/>
      <c r="I1249" s="20"/>
      <c r="J1249" s="20"/>
      <c r="K1249" s="20"/>
      <c r="L1249" s="20"/>
      <c r="M1249" s="20"/>
      <c r="N1249" s="20"/>
      <c r="O1249" s="34"/>
      <c r="P1249" s="34"/>
      <c r="Q1249" s="34"/>
      <c r="R1249" s="34"/>
      <c r="S1249" s="68">
        <f t="shared" si="283"/>
        <v>0</v>
      </c>
      <c r="T1249" s="15"/>
      <c r="U1249" s="16"/>
      <c r="V1249" s="34"/>
      <c r="W1249" s="34"/>
      <c r="X1249" s="34"/>
      <c r="Y1249" s="15"/>
      <c r="Z1249" s="34"/>
      <c r="AA1249" s="34"/>
      <c r="AB1249" s="34"/>
      <c r="AC1249" s="34"/>
      <c r="AD1249" s="16"/>
      <c r="AE1249" s="24">
        <f>SUMIFS(инфо!$D$15:$D$28,инфо!$A$15:$A$28,F1249)</f>
        <v>0</v>
      </c>
      <c r="AF1249" s="35">
        <f t="shared" si="275"/>
        <v>0</v>
      </c>
      <c r="AG1249" s="12">
        <f t="shared" si="284"/>
        <v>0</v>
      </c>
      <c r="AH1249" s="24">
        <f>SUMIFS(инфо!$E$15:$E$28,инфо!$A$15:$A$28,F1249)</f>
        <v>0</v>
      </c>
      <c r="AI1249" s="35">
        <f t="shared" si="287"/>
        <v>0</v>
      </c>
      <c r="AJ1249" s="12">
        <f t="shared" si="285"/>
        <v>0</v>
      </c>
      <c r="AK1249" s="24">
        <f>SUMIFS(инфо!$F$15:$F$28,инфо!$A$15:$A$28,F1249)</f>
        <v>0</v>
      </c>
      <c r="AL1249" s="32">
        <f t="shared" si="276"/>
        <v>0</v>
      </c>
      <c r="AM1249" s="12">
        <f t="shared" si="279"/>
        <v>0</v>
      </c>
      <c r="AN1249" s="24">
        <f>SUMIFS(инфо!$G$15:$G$28,инфо!$A$15:$A$28,F1249)</f>
        <v>0</v>
      </c>
      <c r="AO1249" s="32">
        <f t="shared" si="277"/>
        <v>0</v>
      </c>
      <c r="AP1249" s="12">
        <f t="shared" si="280"/>
        <v>0</v>
      </c>
      <c r="AQ1249" s="24">
        <f>SUMIFS(инфо!$H$15:$H$28,инфо!$A$15:$A$28,F1249)</f>
        <v>0</v>
      </c>
      <c r="AR1249" s="35">
        <f t="shared" si="278"/>
        <v>0</v>
      </c>
      <c r="AS1249" s="12">
        <f t="shared" si="281"/>
        <v>0</v>
      </c>
      <c r="AT1249" s="24">
        <f>SUMIFS(инфо!$I$15:$I$28,инфо!$A$15:$A$28,F1249)</f>
        <v>0</v>
      </c>
      <c r="AU1249" s="35">
        <f t="shared" si="286"/>
        <v>0</v>
      </c>
      <c r="AV1249" s="12">
        <f t="shared" si="282"/>
        <v>0</v>
      </c>
      <c r="AX1249" s="68">
        <f>SUMIFS(инфо!$C$15:$C$28,инфо!$A$15:$A$28,F1249)*H1248</f>
        <v>0</v>
      </c>
    </row>
    <row r="1250" spans="1:50" x14ac:dyDescent="0.25">
      <c r="A1250" s="70">
        <f t="shared" si="288"/>
        <v>46689</v>
      </c>
      <c r="B1250" s="77"/>
      <c r="C1250" s="17"/>
      <c r="D1250" s="18"/>
      <c r="E1250" s="11"/>
      <c r="F1250" s="28"/>
      <c r="G1250" s="19"/>
      <c r="H1250" s="28"/>
      <c r="I1250" s="20"/>
      <c r="J1250" s="20"/>
      <c r="K1250" s="20"/>
      <c r="L1250" s="20"/>
      <c r="M1250" s="20"/>
      <c r="N1250" s="23"/>
      <c r="O1250" s="19"/>
      <c r="P1250" s="19"/>
      <c r="Q1250" s="19"/>
      <c r="R1250" s="19"/>
      <c r="S1250" s="69">
        <f t="shared" si="283"/>
        <v>0</v>
      </c>
      <c r="T1250" s="17"/>
      <c r="U1250" s="18"/>
      <c r="V1250" s="19"/>
      <c r="W1250" s="19"/>
      <c r="X1250" s="19"/>
      <c r="Y1250" s="17"/>
      <c r="Z1250" s="19"/>
      <c r="AA1250" s="19"/>
      <c r="AB1250" s="19"/>
      <c r="AC1250" s="19"/>
      <c r="AD1250" s="18"/>
      <c r="AE1250" s="25">
        <f>SUMIFS(инфо!$D$15:$D$28,инфо!$A$15:$A$28,F1250)</f>
        <v>0</v>
      </c>
      <c r="AF1250" s="35">
        <f t="shared" si="275"/>
        <v>0</v>
      </c>
      <c r="AG1250" s="14">
        <f t="shared" si="284"/>
        <v>0</v>
      </c>
      <c r="AH1250" s="25">
        <f>SUMIFS(инфо!$E$15:$E$28,инфо!$A$15:$A$28,F1250)</f>
        <v>0</v>
      </c>
      <c r="AI1250" s="26">
        <f t="shared" si="287"/>
        <v>0</v>
      </c>
      <c r="AJ1250" s="14">
        <f t="shared" si="285"/>
        <v>0</v>
      </c>
      <c r="AK1250" s="25">
        <f>SUMIFS(инфо!$F$15:$F$28,инфо!$A$15:$A$28,F1250)</f>
        <v>0</v>
      </c>
      <c r="AL1250" s="32">
        <f t="shared" si="276"/>
        <v>0</v>
      </c>
      <c r="AM1250" s="14">
        <f t="shared" si="279"/>
        <v>0</v>
      </c>
      <c r="AN1250" s="25">
        <f>SUMIFS(инфо!$G$15:$G$28,инфо!$A$15:$A$28,F1250)</f>
        <v>0</v>
      </c>
      <c r="AO1250" s="32">
        <f t="shared" si="277"/>
        <v>0</v>
      </c>
      <c r="AP1250" s="14">
        <f t="shared" si="280"/>
        <v>0</v>
      </c>
      <c r="AQ1250" s="25">
        <f>SUMIFS(инфо!$H$15:$H$28,инфо!$A$15:$A$28,F1250)</f>
        <v>0</v>
      </c>
      <c r="AR1250" s="26">
        <f t="shared" si="278"/>
        <v>0</v>
      </c>
      <c r="AS1250" s="14">
        <f t="shared" si="281"/>
        <v>0</v>
      </c>
      <c r="AT1250" s="25">
        <f>SUMIFS(инфо!$I$15:$I$28,инфо!$A$15:$A$28,F1250)</f>
        <v>0</v>
      </c>
      <c r="AU1250" s="35">
        <f t="shared" si="286"/>
        <v>0</v>
      </c>
      <c r="AV1250" s="14">
        <f t="shared" si="282"/>
        <v>0</v>
      </c>
      <c r="AX1250" s="69">
        <f>SUMIFS(инфо!$C$15:$C$28,инфо!$A$15:$A$28,F1250)*H1249</f>
        <v>0</v>
      </c>
    </row>
    <row r="1251" spans="1:50" x14ac:dyDescent="0.25">
      <c r="A1251" s="70">
        <f t="shared" si="288"/>
        <v>46689</v>
      </c>
      <c r="B1251" s="75"/>
      <c r="C1251" s="29"/>
      <c r="D1251" s="30"/>
      <c r="E1251" s="11"/>
      <c r="F1251" s="28"/>
      <c r="G1251" s="27"/>
      <c r="H1251" s="20"/>
      <c r="I1251" s="20"/>
      <c r="J1251" s="20"/>
      <c r="K1251" s="20"/>
      <c r="L1251" s="20"/>
      <c r="M1251" s="20"/>
      <c r="N1251" s="28"/>
      <c r="O1251" s="27"/>
      <c r="P1251" s="27"/>
      <c r="Q1251" s="27"/>
      <c r="R1251" s="27"/>
      <c r="S1251" s="67">
        <f t="shared" si="283"/>
        <v>0</v>
      </c>
      <c r="T1251" s="29"/>
      <c r="U1251" s="30"/>
      <c r="V1251" s="27"/>
      <c r="W1251" s="27"/>
      <c r="X1251" s="27"/>
      <c r="Y1251" s="29"/>
      <c r="Z1251" s="27"/>
      <c r="AA1251" s="27"/>
      <c r="AB1251" s="27"/>
      <c r="AC1251" s="27"/>
      <c r="AD1251" s="30"/>
      <c r="AE1251" s="31">
        <f>SUMIFS(инфо!$D$15:$D$28,инфо!$A$15:$A$28,F1251)</f>
        <v>0</v>
      </c>
      <c r="AF1251" s="35">
        <f t="shared" si="275"/>
        <v>0</v>
      </c>
      <c r="AG1251" s="33">
        <f t="shared" si="284"/>
        <v>0</v>
      </c>
      <c r="AH1251" s="31">
        <f>SUMIFS(инфо!$E$15:$E$28,инфо!$A$15:$A$28,F1251)</f>
        <v>0</v>
      </c>
      <c r="AI1251" s="32">
        <f t="shared" si="287"/>
        <v>0</v>
      </c>
      <c r="AJ1251" s="33">
        <f t="shared" si="285"/>
        <v>0</v>
      </c>
      <c r="AK1251" s="31">
        <f>SUMIFS(инфо!$F$15:$F$28,инфо!$A$15:$A$28,F1251)</f>
        <v>0</v>
      </c>
      <c r="AL1251" s="32">
        <f t="shared" si="276"/>
        <v>0</v>
      </c>
      <c r="AM1251" s="33">
        <f t="shared" si="279"/>
        <v>0</v>
      </c>
      <c r="AN1251" s="31">
        <f>SUMIFS(инфо!$G$15:$G$28,инфо!$A$15:$A$28,F1251)</f>
        <v>0</v>
      </c>
      <c r="AO1251" s="32">
        <f t="shared" si="277"/>
        <v>0</v>
      </c>
      <c r="AP1251" s="33">
        <f t="shared" si="280"/>
        <v>0</v>
      </c>
      <c r="AQ1251" s="31">
        <f>SUMIFS(инфо!$H$15:$H$28,инфо!$A$15:$A$28,F1251)</f>
        <v>0</v>
      </c>
      <c r="AR1251" s="32">
        <f t="shared" si="278"/>
        <v>0</v>
      </c>
      <c r="AS1251" s="33">
        <f t="shared" si="281"/>
        <v>0</v>
      </c>
      <c r="AT1251" s="31">
        <f>SUMIFS(инфо!$I$15:$I$28,инфо!$A$15:$A$28,F1251)</f>
        <v>0</v>
      </c>
      <c r="AU1251" s="35">
        <f t="shared" si="286"/>
        <v>0</v>
      </c>
      <c r="AV1251" s="33">
        <f t="shared" si="282"/>
        <v>0</v>
      </c>
      <c r="AX1251" s="67">
        <f>SUMIFS(инфо!$C$15:$C$28,инфо!$A$15:$A$28,F1251)*H1250</f>
        <v>0</v>
      </c>
    </row>
    <row r="1252" spans="1:50" x14ac:dyDescent="0.25">
      <c r="A1252" s="70">
        <f t="shared" si="288"/>
        <v>46690</v>
      </c>
      <c r="B1252" s="76"/>
      <c r="C1252" s="15"/>
      <c r="D1252" s="16"/>
      <c r="E1252" s="11"/>
      <c r="F1252" s="28"/>
      <c r="G1252" s="34"/>
      <c r="H1252" s="20"/>
      <c r="I1252" s="20"/>
      <c r="J1252" s="20"/>
      <c r="K1252" s="20"/>
      <c r="L1252" s="20"/>
      <c r="M1252" s="20"/>
      <c r="N1252" s="20"/>
      <c r="O1252" s="34"/>
      <c r="P1252" s="34"/>
      <c r="Q1252" s="34"/>
      <c r="R1252" s="34"/>
      <c r="S1252" s="68">
        <f t="shared" si="283"/>
        <v>0</v>
      </c>
      <c r="T1252" s="15"/>
      <c r="U1252" s="16"/>
      <c r="V1252" s="34"/>
      <c r="W1252" s="34"/>
      <c r="X1252" s="34"/>
      <c r="Y1252" s="15"/>
      <c r="Z1252" s="34"/>
      <c r="AA1252" s="34"/>
      <c r="AB1252" s="34"/>
      <c r="AC1252" s="34"/>
      <c r="AD1252" s="16"/>
      <c r="AE1252" s="24">
        <f>SUMIFS(инфо!$D$15:$D$28,инфо!$A$15:$A$28,F1252)</f>
        <v>0</v>
      </c>
      <c r="AF1252" s="35">
        <f t="shared" si="275"/>
        <v>0</v>
      </c>
      <c r="AG1252" s="12">
        <f t="shared" si="284"/>
        <v>0</v>
      </c>
      <c r="AH1252" s="24">
        <f>SUMIFS(инфо!$E$15:$E$28,инфо!$A$15:$A$28,F1252)</f>
        <v>0</v>
      </c>
      <c r="AI1252" s="35">
        <f t="shared" si="287"/>
        <v>0</v>
      </c>
      <c r="AJ1252" s="12">
        <f t="shared" si="285"/>
        <v>0</v>
      </c>
      <c r="AK1252" s="24">
        <f>SUMIFS(инфо!$F$15:$F$28,инфо!$A$15:$A$28,F1252)</f>
        <v>0</v>
      </c>
      <c r="AL1252" s="32">
        <f t="shared" si="276"/>
        <v>0</v>
      </c>
      <c r="AM1252" s="12">
        <f t="shared" si="279"/>
        <v>0</v>
      </c>
      <c r="AN1252" s="24">
        <f>SUMIFS(инфо!$G$15:$G$28,инфо!$A$15:$A$28,F1252)</f>
        <v>0</v>
      </c>
      <c r="AO1252" s="32">
        <f t="shared" si="277"/>
        <v>0</v>
      </c>
      <c r="AP1252" s="12">
        <f t="shared" si="280"/>
        <v>0</v>
      </c>
      <c r="AQ1252" s="24">
        <f>SUMIFS(инфо!$H$15:$H$28,инфо!$A$15:$A$28,F1252)</f>
        <v>0</v>
      </c>
      <c r="AR1252" s="35">
        <f t="shared" si="278"/>
        <v>0</v>
      </c>
      <c r="AS1252" s="12">
        <f t="shared" si="281"/>
        <v>0</v>
      </c>
      <c r="AT1252" s="24">
        <f>SUMIFS(инфо!$I$15:$I$28,инфо!$A$15:$A$28,F1252)</f>
        <v>0</v>
      </c>
      <c r="AU1252" s="35">
        <f t="shared" si="286"/>
        <v>0</v>
      </c>
      <c r="AV1252" s="12">
        <f t="shared" si="282"/>
        <v>0</v>
      </c>
      <c r="AX1252" s="68">
        <f>SUMIFS(инфо!$C$15:$C$28,инфо!$A$15:$A$28,F1252)*H1251</f>
        <v>0</v>
      </c>
    </row>
    <row r="1253" spans="1:50" x14ac:dyDescent="0.25">
      <c r="A1253" s="70">
        <f t="shared" si="288"/>
        <v>46690</v>
      </c>
      <c r="B1253" s="76"/>
      <c r="C1253" s="15"/>
      <c r="D1253" s="16"/>
      <c r="E1253" s="11"/>
      <c r="F1253" s="28"/>
      <c r="G1253" s="34"/>
      <c r="H1253" s="23"/>
      <c r="I1253" s="20"/>
      <c r="J1253" s="20"/>
      <c r="K1253" s="20"/>
      <c r="L1253" s="20"/>
      <c r="M1253" s="20"/>
      <c r="N1253" s="20"/>
      <c r="O1253" s="34"/>
      <c r="P1253" s="34"/>
      <c r="Q1253" s="34"/>
      <c r="R1253" s="34"/>
      <c r="S1253" s="68">
        <f t="shared" si="283"/>
        <v>0</v>
      </c>
      <c r="T1253" s="15"/>
      <c r="U1253" s="16"/>
      <c r="V1253" s="34"/>
      <c r="W1253" s="34"/>
      <c r="X1253" s="34"/>
      <c r="Y1253" s="15"/>
      <c r="Z1253" s="34"/>
      <c r="AA1253" s="34"/>
      <c r="AB1253" s="34"/>
      <c r="AC1253" s="34"/>
      <c r="AD1253" s="16"/>
      <c r="AE1253" s="24">
        <f>SUMIFS(инфо!$D$15:$D$28,инфо!$A$15:$A$28,F1253)</f>
        <v>0</v>
      </c>
      <c r="AF1253" s="35">
        <f t="shared" si="275"/>
        <v>0</v>
      </c>
      <c r="AG1253" s="12">
        <f t="shared" si="284"/>
        <v>0</v>
      </c>
      <c r="AH1253" s="24">
        <f>SUMIFS(инфо!$E$15:$E$28,инфо!$A$15:$A$28,F1253)</f>
        <v>0</v>
      </c>
      <c r="AI1253" s="35">
        <f t="shared" si="287"/>
        <v>0</v>
      </c>
      <c r="AJ1253" s="12">
        <f t="shared" si="285"/>
        <v>0</v>
      </c>
      <c r="AK1253" s="24">
        <f>SUMIFS(инфо!$F$15:$F$28,инфо!$A$15:$A$28,F1253)</f>
        <v>0</v>
      </c>
      <c r="AL1253" s="32">
        <f t="shared" si="276"/>
        <v>0</v>
      </c>
      <c r="AM1253" s="12">
        <f t="shared" si="279"/>
        <v>0</v>
      </c>
      <c r="AN1253" s="24">
        <f>SUMIFS(инфо!$G$15:$G$28,инфо!$A$15:$A$28,F1253)</f>
        <v>0</v>
      </c>
      <c r="AO1253" s="32">
        <f t="shared" si="277"/>
        <v>0</v>
      </c>
      <c r="AP1253" s="12">
        <f t="shared" si="280"/>
        <v>0</v>
      </c>
      <c r="AQ1253" s="24">
        <f>SUMIFS(инфо!$H$15:$H$28,инфо!$A$15:$A$28,F1253)</f>
        <v>0</v>
      </c>
      <c r="AR1253" s="35">
        <f t="shared" si="278"/>
        <v>0</v>
      </c>
      <c r="AS1253" s="12">
        <f t="shared" si="281"/>
        <v>0</v>
      </c>
      <c r="AT1253" s="24">
        <f>SUMIFS(инфо!$I$15:$I$28,инфо!$A$15:$A$28,F1253)</f>
        <v>0</v>
      </c>
      <c r="AU1253" s="35">
        <f t="shared" si="286"/>
        <v>0</v>
      </c>
      <c r="AV1253" s="12">
        <f t="shared" si="282"/>
        <v>0</v>
      </c>
      <c r="AX1253" s="68">
        <f>SUMIFS(инфо!$C$15:$C$28,инфо!$A$15:$A$28,F1253)*H1252</f>
        <v>0</v>
      </c>
    </row>
    <row r="1254" spans="1:50" x14ac:dyDescent="0.25">
      <c r="A1254" s="70">
        <f t="shared" si="288"/>
        <v>46691</v>
      </c>
      <c r="B1254" s="77"/>
      <c r="C1254" s="17"/>
      <c r="D1254" s="18"/>
      <c r="E1254" s="11"/>
      <c r="F1254" s="28"/>
      <c r="G1254" s="19"/>
      <c r="H1254" s="28"/>
      <c r="I1254" s="20"/>
      <c r="J1254" s="20"/>
      <c r="K1254" s="20"/>
      <c r="L1254" s="20"/>
      <c r="M1254" s="20"/>
      <c r="N1254" s="23"/>
      <c r="O1254" s="19"/>
      <c r="P1254" s="19"/>
      <c r="Q1254" s="19"/>
      <c r="R1254" s="19"/>
      <c r="S1254" s="69">
        <f t="shared" si="283"/>
        <v>0</v>
      </c>
      <c r="T1254" s="17"/>
      <c r="U1254" s="18"/>
      <c r="V1254" s="19"/>
      <c r="W1254" s="19"/>
      <c r="X1254" s="19"/>
      <c r="Y1254" s="17"/>
      <c r="Z1254" s="19"/>
      <c r="AA1254" s="19"/>
      <c r="AB1254" s="19"/>
      <c r="AC1254" s="19"/>
      <c r="AD1254" s="18"/>
      <c r="AE1254" s="25">
        <f>SUMIFS(инфо!$D$15:$D$28,инфо!$A$15:$A$28,F1254)</f>
        <v>0</v>
      </c>
      <c r="AF1254" s="35">
        <f t="shared" si="275"/>
        <v>0</v>
      </c>
      <c r="AG1254" s="14">
        <f t="shared" si="284"/>
        <v>0</v>
      </c>
      <c r="AH1254" s="25">
        <f>SUMIFS(инфо!$E$15:$E$28,инфо!$A$15:$A$28,F1254)</f>
        <v>0</v>
      </c>
      <c r="AI1254" s="26">
        <f t="shared" si="287"/>
        <v>0</v>
      </c>
      <c r="AJ1254" s="14">
        <f t="shared" si="285"/>
        <v>0</v>
      </c>
      <c r="AK1254" s="25">
        <f>SUMIFS(инфо!$F$15:$F$28,инфо!$A$15:$A$28,F1254)</f>
        <v>0</v>
      </c>
      <c r="AL1254" s="32">
        <f t="shared" si="276"/>
        <v>0</v>
      </c>
      <c r="AM1254" s="14">
        <f t="shared" si="279"/>
        <v>0</v>
      </c>
      <c r="AN1254" s="25">
        <f>SUMIFS(инфо!$G$15:$G$28,инфо!$A$15:$A$28,F1254)</f>
        <v>0</v>
      </c>
      <c r="AO1254" s="32">
        <f t="shared" si="277"/>
        <v>0</v>
      </c>
      <c r="AP1254" s="14">
        <f t="shared" si="280"/>
        <v>0</v>
      </c>
      <c r="AQ1254" s="25">
        <f>SUMIFS(инфо!$H$15:$H$28,инфо!$A$15:$A$28,F1254)</f>
        <v>0</v>
      </c>
      <c r="AR1254" s="26">
        <f t="shared" si="278"/>
        <v>0</v>
      </c>
      <c r="AS1254" s="14">
        <f t="shared" si="281"/>
        <v>0</v>
      </c>
      <c r="AT1254" s="25">
        <f>SUMIFS(инфо!$I$15:$I$28,инфо!$A$15:$A$28,F1254)</f>
        <v>0</v>
      </c>
      <c r="AU1254" s="35">
        <f t="shared" si="286"/>
        <v>0</v>
      </c>
      <c r="AV1254" s="14">
        <f t="shared" si="282"/>
        <v>0</v>
      </c>
      <c r="AX1254" s="69">
        <f>SUMIFS(инфо!$C$15:$C$28,инфо!$A$15:$A$28,F1254)*H1253</f>
        <v>0</v>
      </c>
    </row>
    <row r="1255" spans="1:50" x14ac:dyDescent="0.25">
      <c r="A1255" s="70">
        <f t="shared" si="288"/>
        <v>46691</v>
      </c>
      <c r="B1255" s="75"/>
      <c r="C1255" s="29"/>
      <c r="D1255" s="30"/>
      <c r="E1255" s="11"/>
      <c r="F1255" s="28"/>
      <c r="G1255" s="27"/>
      <c r="H1255" s="20"/>
      <c r="I1255" s="20"/>
      <c r="J1255" s="20"/>
      <c r="K1255" s="20"/>
      <c r="L1255" s="20"/>
      <c r="M1255" s="20"/>
      <c r="N1255" s="28"/>
      <c r="O1255" s="27"/>
      <c r="P1255" s="27"/>
      <c r="Q1255" s="27"/>
      <c r="R1255" s="27"/>
      <c r="S1255" s="67">
        <f t="shared" si="283"/>
        <v>0</v>
      </c>
      <c r="T1255" s="29"/>
      <c r="U1255" s="30"/>
      <c r="V1255" s="27"/>
      <c r="W1255" s="27"/>
      <c r="X1255" s="27"/>
      <c r="Y1255" s="29"/>
      <c r="Z1255" s="27"/>
      <c r="AA1255" s="27"/>
      <c r="AB1255" s="27"/>
      <c r="AC1255" s="27"/>
      <c r="AD1255" s="30"/>
      <c r="AE1255" s="31">
        <f>SUMIFS(инфо!$D$15:$D$28,инфо!$A$15:$A$28,F1255)</f>
        <v>0</v>
      </c>
      <c r="AF1255" s="35">
        <f t="shared" si="275"/>
        <v>0</v>
      </c>
      <c r="AG1255" s="33">
        <f t="shared" si="284"/>
        <v>0</v>
      </c>
      <c r="AH1255" s="31">
        <f>SUMIFS(инфо!$E$15:$E$28,инфо!$A$15:$A$28,F1255)</f>
        <v>0</v>
      </c>
      <c r="AI1255" s="32">
        <f t="shared" si="287"/>
        <v>0</v>
      </c>
      <c r="AJ1255" s="33">
        <f t="shared" si="285"/>
        <v>0</v>
      </c>
      <c r="AK1255" s="31">
        <f>SUMIFS(инфо!$F$15:$F$28,инфо!$A$15:$A$28,F1255)</f>
        <v>0</v>
      </c>
      <c r="AL1255" s="32">
        <f t="shared" si="276"/>
        <v>0</v>
      </c>
      <c r="AM1255" s="33">
        <f t="shared" si="279"/>
        <v>0</v>
      </c>
      <c r="AN1255" s="31">
        <f>SUMIFS(инфо!$G$15:$G$28,инфо!$A$15:$A$28,F1255)</f>
        <v>0</v>
      </c>
      <c r="AO1255" s="32">
        <f t="shared" si="277"/>
        <v>0</v>
      </c>
      <c r="AP1255" s="33">
        <f t="shared" si="280"/>
        <v>0</v>
      </c>
      <c r="AQ1255" s="31">
        <f>SUMIFS(инфо!$H$15:$H$28,инфо!$A$15:$A$28,F1255)</f>
        <v>0</v>
      </c>
      <c r="AR1255" s="32">
        <f t="shared" si="278"/>
        <v>0</v>
      </c>
      <c r="AS1255" s="33">
        <f t="shared" si="281"/>
        <v>0</v>
      </c>
      <c r="AT1255" s="31">
        <f>SUMIFS(инфо!$I$15:$I$28,инфо!$A$15:$A$28,F1255)</f>
        <v>0</v>
      </c>
      <c r="AU1255" s="35">
        <f t="shared" si="286"/>
        <v>0</v>
      </c>
      <c r="AV1255" s="33">
        <f t="shared" si="282"/>
        <v>0</v>
      </c>
      <c r="AX1255" s="67">
        <f>SUMIFS(инфо!$C$15:$C$28,инфо!$A$15:$A$28,F1255)*H1254</f>
        <v>0</v>
      </c>
    </row>
    <row r="1256" spans="1:50" x14ac:dyDescent="0.25">
      <c r="A1256" s="70">
        <f t="shared" si="288"/>
        <v>46692</v>
      </c>
      <c r="B1256" s="76"/>
      <c r="C1256" s="15"/>
      <c r="D1256" s="16"/>
      <c r="E1256" s="11"/>
      <c r="F1256" s="28"/>
      <c r="G1256" s="34"/>
      <c r="H1256" s="20"/>
      <c r="I1256" s="20"/>
      <c r="J1256" s="20"/>
      <c r="K1256" s="20"/>
      <c r="L1256" s="20"/>
      <c r="M1256" s="20"/>
      <c r="N1256" s="20"/>
      <c r="O1256" s="34"/>
      <c r="P1256" s="34"/>
      <c r="Q1256" s="34"/>
      <c r="R1256" s="34"/>
      <c r="S1256" s="68">
        <f t="shared" si="283"/>
        <v>0</v>
      </c>
      <c r="T1256" s="15"/>
      <c r="U1256" s="16"/>
      <c r="V1256" s="34"/>
      <c r="W1256" s="34"/>
      <c r="X1256" s="34"/>
      <c r="Y1256" s="15"/>
      <c r="Z1256" s="34"/>
      <c r="AA1256" s="34"/>
      <c r="AB1256" s="34"/>
      <c r="AC1256" s="34"/>
      <c r="AD1256" s="16"/>
      <c r="AE1256" s="24">
        <f>SUMIFS(инфо!$D$15:$D$28,инфо!$A$15:$A$28,F1256)</f>
        <v>0</v>
      </c>
      <c r="AF1256" s="35">
        <f t="shared" si="275"/>
        <v>0</v>
      </c>
      <c r="AG1256" s="12">
        <f t="shared" si="284"/>
        <v>0</v>
      </c>
      <c r="AH1256" s="24">
        <f>SUMIFS(инфо!$E$15:$E$28,инфо!$A$15:$A$28,F1256)</f>
        <v>0</v>
      </c>
      <c r="AI1256" s="35">
        <f t="shared" si="287"/>
        <v>0</v>
      </c>
      <c r="AJ1256" s="12">
        <f t="shared" si="285"/>
        <v>0</v>
      </c>
      <c r="AK1256" s="24">
        <f>SUMIFS(инфо!$F$15:$F$28,инфо!$A$15:$A$28,F1256)</f>
        <v>0</v>
      </c>
      <c r="AL1256" s="32">
        <f t="shared" si="276"/>
        <v>0</v>
      </c>
      <c r="AM1256" s="12">
        <f t="shared" si="279"/>
        <v>0</v>
      </c>
      <c r="AN1256" s="24">
        <f>SUMIFS(инфо!$G$15:$G$28,инфо!$A$15:$A$28,F1256)</f>
        <v>0</v>
      </c>
      <c r="AO1256" s="32">
        <f t="shared" si="277"/>
        <v>0</v>
      </c>
      <c r="AP1256" s="12">
        <f t="shared" si="280"/>
        <v>0</v>
      </c>
      <c r="AQ1256" s="24">
        <f>SUMIFS(инфо!$H$15:$H$28,инфо!$A$15:$A$28,F1256)</f>
        <v>0</v>
      </c>
      <c r="AR1256" s="35">
        <f t="shared" si="278"/>
        <v>0</v>
      </c>
      <c r="AS1256" s="12">
        <f t="shared" si="281"/>
        <v>0</v>
      </c>
      <c r="AT1256" s="24">
        <f>SUMIFS(инфо!$I$15:$I$28,инфо!$A$15:$A$28,F1256)</f>
        <v>0</v>
      </c>
      <c r="AU1256" s="35">
        <f t="shared" si="286"/>
        <v>0</v>
      </c>
      <c r="AV1256" s="12">
        <f t="shared" si="282"/>
        <v>0</v>
      </c>
      <c r="AX1256" s="68">
        <f>SUMIFS(инфо!$C$15:$C$28,инфо!$A$15:$A$28,F1256)*H1255</f>
        <v>0</v>
      </c>
    </row>
    <row r="1257" spans="1:50" x14ac:dyDescent="0.25">
      <c r="A1257" s="70">
        <f t="shared" si="288"/>
        <v>46692</v>
      </c>
      <c r="B1257" s="76"/>
      <c r="C1257" s="15"/>
      <c r="D1257" s="16"/>
      <c r="E1257" s="11"/>
      <c r="F1257" s="28"/>
      <c r="G1257" s="34"/>
      <c r="H1257" s="23"/>
      <c r="I1257" s="20"/>
      <c r="J1257" s="20"/>
      <c r="K1257" s="20"/>
      <c r="L1257" s="20"/>
      <c r="M1257" s="20"/>
      <c r="N1257" s="20"/>
      <c r="O1257" s="34"/>
      <c r="P1257" s="34"/>
      <c r="Q1257" s="34"/>
      <c r="R1257" s="34"/>
      <c r="S1257" s="68">
        <f t="shared" si="283"/>
        <v>0</v>
      </c>
      <c r="T1257" s="15"/>
      <c r="U1257" s="16"/>
      <c r="V1257" s="34"/>
      <c r="W1257" s="34"/>
      <c r="X1257" s="34"/>
      <c r="Y1257" s="15"/>
      <c r="Z1257" s="34"/>
      <c r="AA1257" s="34"/>
      <c r="AB1257" s="34"/>
      <c r="AC1257" s="34"/>
      <c r="AD1257" s="16"/>
      <c r="AE1257" s="24">
        <f>SUMIFS(инфо!$D$15:$D$28,инфо!$A$15:$A$28,F1257)</f>
        <v>0</v>
      </c>
      <c r="AF1257" s="35">
        <f t="shared" si="275"/>
        <v>0</v>
      </c>
      <c r="AG1257" s="12">
        <f t="shared" si="284"/>
        <v>0</v>
      </c>
      <c r="AH1257" s="24">
        <f>SUMIFS(инфо!$E$15:$E$28,инфо!$A$15:$A$28,F1257)</f>
        <v>0</v>
      </c>
      <c r="AI1257" s="35">
        <f t="shared" si="287"/>
        <v>0</v>
      </c>
      <c r="AJ1257" s="12">
        <f t="shared" si="285"/>
        <v>0</v>
      </c>
      <c r="AK1257" s="24">
        <f>SUMIFS(инфо!$F$15:$F$28,инфо!$A$15:$A$28,F1257)</f>
        <v>0</v>
      </c>
      <c r="AL1257" s="32">
        <f t="shared" si="276"/>
        <v>0</v>
      </c>
      <c r="AM1257" s="12">
        <f t="shared" si="279"/>
        <v>0</v>
      </c>
      <c r="AN1257" s="24">
        <f>SUMIFS(инфо!$G$15:$G$28,инфо!$A$15:$A$28,F1257)</f>
        <v>0</v>
      </c>
      <c r="AO1257" s="32">
        <f t="shared" si="277"/>
        <v>0</v>
      </c>
      <c r="AP1257" s="12">
        <f t="shared" si="280"/>
        <v>0</v>
      </c>
      <c r="AQ1257" s="24">
        <f>SUMIFS(инфо!$H$15:$H$28,инфо!$A$15:$A$28,F1257)</f>
        <v>0</v>
      </c>
      <c r="AR1257" s="35">
        <f t="shared" si="278"/>
        <v>0</v>
      </c>
      <c r="AS1257" s="12">
        <f t="shared" si="281"/>
        <v>0</v>
      </c>
      <c r="AT1257" s="24">
        <f>SUMIFS(инфо!$I$15:$I$28,инфо!$A$15:$A$28,F1257)</f>
        <v>0</v>
      </c>
      <c r="AU1257" s="35">
        <f t="shared" si="286"/>
        <v>0</v>
      </c>
      <c r="AV1257" s="12">
        <f t="shared" si="282"/>
        <v>0</v>
      </c>
      <c r="AX1257" s="68">
        <f>SUMIFS(инфо!$C$15:$C$28,инфо!$A$15:$A$28,F1257)*H1256</f>
        <v>0</v>
      </c>
    </row>
    <row r="1258" spans="1:50" x14ac:dyDescent="0.25">
      <c r="A1258" s="70">
        <f t="shared" si="288"/>
        <v>46693</v>
      </c>
      <c r="B1258" s="77"/>
      <c r="C1258" s="17"/>
      <c r="D1258" s="18"/>
      <c r="E1258" s="11"/>
      <c r="F1258" s="28"/>
      <c r="G1258" s="19"/>
      <c r="H1258" s="23">
        <f>SUM(H3:H1257)</f>
        <v>285898</v>
      </c>
      <c r="I1258" s="23"/>
      <c r="J1258" s="23"/>
      <c r="K1258" s="23"/>
      <c r="L1258" s="23"/>
      <c r="M1258" s="23"/>
      <c r="N1258" s="23"/>
      <c r="O1258" s="19"/>
      <c r="P1258" s="19"/>
      <c r="Q1258" s="19"/>
      <c r="R1258" s="19"/>
      <c r="S1258" s="69">
        <f t="shared" si="283"/>
        <v>0</v>
      </c>
      <c r="T1258" s="17"/>
      <c r="U1258" s="18"/>
      <c r="V1258" s="19"/>
      <c r="W1258" s="19"/>
      <c r="X1258" s="19"/>
      <c r="Y1258" s="17"/>
      <c r="Z1258" s="19"/>
      <c r="AA1258" s="19"/>
      <c r="AB1258" s="19"/>
      <c r="AC1258" s="19"/>
      <c r="AD1258" s="18"/>
      <c r="AE1258" s="25">
        <f>SUMIFS(инфо!$D$15:$D$28,инфо!$A$15:$A$28,F1258)</f>
        <v>0</v>
      </c>
      <c r="AF1258" s="35">
        <f t="shared" si="275"/>
        <v>0</v>
      </c>
      <c r="AG1258" s="14">
        <f t="shared" si="284"/>
        <v>0</v>
      </c>
      <c r="AH1258" s="25">
        <f>SUMIFS(инфо!$E$15:$E$28,инфо!$A$15:$A$28,F1258)</f>
        <v>0</v>
      </c>
      <c r="AI1258" s="26">
        <f t="shared" si="287"/>
        <v>0</v>
      </c>
      <c r="AJ1258" s="14">
        <f t="shared" si="285"/>
        <v>0</v>
      </c>
      <c r="AK1258" s="25">
        <f>SUMIFS(инфо!$F$15:$F$28,инфо!$A$15:$A$28,F1258)</f>
        <v>0</v>
      </c>
      <c r="AL1258" s="32">
        <f t="shared" si="276"/>
        <v>0</v>
      </c>
      <c r="AM1258" s="14">
        <f t="shared" si="279"/>
        <v>0</v>
      </c>
      <c r="AN1258" s="25">
        <f>SUMIFS(инфо!$G$15:$G$28,инфо!$A$15:$A$28,F1258)</f>
        <v>0</v>
      </c>
      <c r="AO1258" s="32">
        <f t="shared" si="277"/>
        <v>0</v>
      </c>
      <c r="AP1258" s="14">
        <f t="shared" si="280"/>
        <v>0</v>
      </c>
      <c r="AQ1258" s="25">
        <f>SUMIFS(инфо!$H$15:$H$28,инфо!$A$15:$A$28,F1258)</f>
        <v>0</v>
      </c>
      <c r="AR1258" s="26">
        <f t="shared" si="278"/>
        <v>0</v>
      </c>
      <c r="AS1258" s="14">
        <f t="shared" si="281"/>
        <v>0</v>
      </c>
      <c r="AT1258" s="25">
        <f>SUMIFS(инфо!$I$15:$I$28,инфо!$A$15:$A$28,F1258)</f>
        <v>0</v>
      </c>
      <c r="AU1258" s="35">
        <f t="shared" si="286"/>
        <v>0</v>
      </c>
      <c r="AV1258" s="14">
        <f t="shared" si="282"/>
        <v>0</v>
      </c>
      <c r="AX1258" s="69">
        <f>SUMIFS(инфо!$C$15:$C$28,инфо!$A$15:$A$28,F1258)*H1257</f>
        <v>0</v>
      </c>
    </row>
    <row r="1259" spans="1:50" x14ac:dyDescent="0.25">
      <c r="A1259" s="72"/>
      <c r="B1259" s="21"/>
      <c r="C1259" s="17"/>
      <c r="D1259" s="18"/>
      <c r="E1259" s="22"/>
      <c r="F1259" s="23">
        <f>SUM(F3:F1258)</f>
        <v>0</v>
      </c>
      <c r="G1259" s="19">
        <f>SUM(G3:G1258)</f>
        <v>7019</v>
      </c>
      <c r="N1259" s="23">
        <f t="shared" ref="N1259:U1259" si="289">SUM(N3:N1258)</f>
        <v>709999</v>
      </c>
      <c r="O1259" s="19">
        <f t="shared" si="289"/>
        <v>853348</v>
      </c>
      <c r="P1259" s="19">
        <f t="shared" si="289"/>
        <v>755193</v>
      </c>
      <c r="Q1259" s="19">
        <f t="shared" si="289"/>
        <v>1443974</v>
      </c>
      <c r="R1259" s="19">
        <f t="shared" si="289"/>
        <v>1419325</v>
      </c>
      <c r="S1259" s="69">
        <f t="shared" si="289"/>
        <v>4471840</v>
      </c>
      <c r="T1259" s="17">
        <f t="shared" si="289"/>
        <v>940</v>
      </c>
      <c r="U1259" s="18">
        <f t="shared" si="289"/>
        <v>4802</v>
      </c>
      <c r="V1259" s="19"/>
      <c r="W1259" s="19"/>
      <c r="X1259" s="19"/>
      <c r="Y1259" s="17">
        <f t="shared" ref="Y1259:AD1259" si="290">SUM(Y3:Y1258)</f>
        <v>67667</v>
      </c>
      <c r="Z1259" s="19"/>
      <c r="AA1259" s="19">
        <f t="shared" si="290"/>
        <v>8410</v>
      </c>
      <c r="AB1259" s="19"/>
      <c r="AC1259" s="19">
        <f t="shared" si="290"/>
        <v>58475</v>
      </c>
      <c r="AD1259" s="18">
        <f t="shared" si="290"/>
        <v>27781</v>
      </c>
      <c r="AE1259" s="25"/>
      <c r="AF1259" s="26"/>
      <c r="AG1259" s="14"/>
      <c r="AH1259" s="25"/>
      <c r="AI1259" s="26"/>
      <c r="AJ1259" s="14"/>
      <c r="AK1259" s="25"/>
      <c r="AL1259" s="26"/>
      <c r="AM1259" s="14"/>
      <c r="AN1259" s="25"/>
      <c r="AO1259" s="26"/>
      <c r="AP1259" s="14"/>
      <c r="AQ1259" s="25"/>
      <c r="AR1259" s="26"/>
      <c r="AS1259" s="14"/>
      <c r="AT1259" s="25"/>
      <c r="AU1259" s="26"/>
      <c r="AV1259" s="14"/>
      <c r="AX1259" s="69">
        <f>SUM(AX3:AX1258)</f>
        <v>5695296.6599999974</v>
      </c>
    </row>
  </sheetData>
  <autoFilter ref="A2:AV1259" xr:uid="{00000000-0001-0000-0000-000000000000}"/>
  <mergeCells count="42">
    <mergeCell ref="AT1:AT2"/>
    <mergeCell ref="AU1:AU2"/>
    <mergeCell ref="AV1:AV2"/>
    <mergeCell ref="AX1:AX2"/>
    <mergeCell ref="V1:W1"/>
    <mergeCell ref="AN1:AN2"/>
    <mergeCell ref="AO1:AO2"/>
    <mergeCell ref="AP1:AP2"/>
    <mergeCell ref="AQ1:AQ2"/>
    <mergeCell ref="AR1:AR2"/>
    <mergeCell ref="AS1:AS2"/>
    <mergeCell ref="AH1:AH2"/>
    <mergeCell ref="AI1:AI2"/>
    <mergeCell ref="AJ1:AJ2"/>
    <mergeCell ref="AK1:AK2"/>
    <mergeCell ref="AL1:AL2"/>
    <mergeCell ref="AM1:AM2"/>
    <mergeCell ref="Z1:AA1"/>
    <mergeCell ref="AB1:AC1"/>
    <mergeCell ref="AD1:AD2"/>
    <mergeCell ref="AE1:AE2"/>
    <mergeCell ref="AF1:AF2"/>
    <mergeCell ref="AG1:AG2"/>
    <mergeCell ref="X1:Y1"/>
    <mergeCell ref="G1:G2"/>
    <mergeCell ref="H1:H2"/>
    <mergeCell ref="J1:J2"/>
    <mergeCell ref="K1:K2"/>
    <mergeCell ref="L1:L2"/>
    <mergeCell ref="M1:M2"/>
    <mergeCell ref="N1:N2"/>
    <mergeCell ref="O1:R1"/>
    <mergeCell ref="S1:S2"/>
    <mergeCell ref="T1:T2"/>
    <mergeCell ref="U1:U2"/>
    <mergeCell ref="I1:I2"/>
    <mergeCell ref="F1:F2"/>
    <mergeCell ref="A1:A2"/>
    <mergeCell ref="B1:B2"/>
    <mergeCell ref="C1:C2"/>
    <mergeCell ref="D1:D2"/>
    <mergeCell ref="E1:E2"/>
  </mergeCells>
  <phoneticPr fontId="7" type="noConversion"/>
  <conditionalFormatting sqref="AG3:AG1259 AJ3:AJ1259">
    <cfRule type="cellIs" dxfId="10" priority="11" operator="lessThan">
      <formula>-0.1</formula>
    </cfRule>
    <cfRule type="cellIs" dxfId="9" priority="13" operator="greaterThan">
      <formula>0.1</formula>
    </cfRule>
  </conditionalFormatting>
  <conditionalFormatting sqref="AG27:AG29 AJ27:AJ29 AG1259 AJ1259 AM27:AM29 AP27:AP29 AS27:AS29 AV27:AV29">
    <cfRule type="cellIs" dxfId="8" priority="15" operator="between">
      <formula>-0.1</formula>
      <formula>0.1</formula>
    </cfRule>
  </conditionalFormatting>
  <conditionalFormatting sqref="AJ3:AJ1259 AG3:AG1259">
    <cfRule type="cellIs" dxfId="7" priority="12" operator="between">
      <formula>-0.1</formula>
      <formula>0.1</formula>
    </cfRule>
  </conditionalFormatting>
  <conditionalFormatting sqref="AJ20 AJ22:AJ26 AJ31:AJ36 AJ38:AJ40 AJ42:AJ45 AJ47:AJ49 AJ51:AJ53 AJ55:AJ57 AJ59:AJ61 AJ63:AJ65 AJ67:AJ69 AJ71:AJ73 AJ75:AJ77 AJ79:AJ81 AJ83:AJ85 AJ87:AJ89 AJ91:AJ93 AJ95:AJ97 AJ99:AJ101 AJ103:AJ106 AJ108:AJ110 AJ112:AJ114 AJ116:AJ118 AJ120:AJ122 AJ124:AJ126 AJ128:AJ130 AJ132:AJ134 AJ136:AJ138 AJ140:AJ142 AJ144:AJ146 AJ148:AJ150 AJ152:AJ154 AJ156:AJ158 AJ160:AJ162 AJ164:AJ166 AJ168:AJ170 AJ172:AJ174 AJ176:AJ178 AJ180:AJ182 AJ184:AJ186 AJ188:AJ190 AJ192:AJ194 AJ196:AJ198 AJ200:AJ203 AJ205:AJ207 AJ209:AJ211 AJ213:AJ215 AJ217:AJ219 AJ221:AJ223 AJ226:AJ228 AJ230:AJ232 AJ234:AJ237 AJ239:AJ241 AJ243:AJ245 AJ247:AJ250 AJ252:AJ254 AJ256:AJ258 AJ260:AJ262 AJ264:AJ266 AJ268:AJ270 AJ272:AJ274 AJ276:AJ278 AJ280:AJ282 AJ284:AJ286 AJ288:AJ290 AJ292:AJ294 AJ296:AJ298 AJ300:AJ302 AJ304:AJ306 AJ308:AJ310 AJ312:AJ314 AJ316:AJ318 AJ320:AJ322 AJ324:AJ326 AJ328:AJ330 AJ332:AJ334 AJ336:AJ338 AJ340:AJ342 AJ344:AJ346 AJ348:AJ350 AJ352:AJ354 AJ356:AJ358 AJ360:AJ362 AJ364:AJ366 AJ368:AJ370 AJ372:AJ374 AJ376:AJ378 AJ380:AJ382 AJ384:AJ386 AJ388:AJ390 AJ392:AJ394 AJ396:AJ398 AJ400:AJ402 AJ404:AJ406 AJ408:AJ410 AJ412:AJ414 AJ416:AJ418 AJ420:AJ422 AJ424:AJ426 AJ428:AJ430 AJ432:AJ434 AJ436:AJ438 AJ440:AJ442 AJ444:AJ446 AJ448:AJ450 AJ452:AJ454 AJ456:AJ458 AJ460:AJ462 AJ464:AJ466 AJ468:AJ470 AJ472:AJ474 AJ476:AJ478 AJ480:AJ482 AJ484:AJ486 AJ488:AJ490 AJ492:AJ494 AJ496:AJ498 AJ500:AJ502 AJ504:AJ506 AJ508:AJ510 AJ512:AJ514 AJ516:AJ518 AJ520:AJ522 AJ524:AJ526 AJ528:AJ530 AJ532:AJ534 AJ536:AJ538 AJ540:AJ542 AJ544:AJ546 AJ548:AJ550 AJ552:AJ554 AJ556:AJ558 AJ560:AJ562 AJ564:AJ566 AJ568:AJ570 AJ572:AJ574 AJ576:AJ578 AJ580:AJ582 AJ584:AJ586 AJ588:AJ590 AJ592:AJ594 AJ596:AJ598 AJ600:AJ602 AJ604:AJ606 AJ608:AJ610 AJ612:AJ614 AJ616:AJ618 AJ620:AJ622 AJ624:AJ626 AJ628:AJ630 AJ632:AJ634 AJ636:AJ638 AJ640:AJ642 AJ644:AJ646 AJ648:AJ650 AJ652:AJ654 AJ656:AJ658 AJ660:AJ662 AJ664:AJ666 AJ668:AJ670 AJ672:AJ674 AJ676:AJ678 AJ680:AJ682 AJ684:AJ686 AJ688:AJ690 AJ692:AJ694 AJ696:AJ698 AJ700:AJ702 AJ704:AJ706 AJ708:AJ710 AJ712:AJ714 AJ716:AJ718 AJ720:AJ722 AJ724:AJ726 AJ728:AJ730 AJ732:AJ734 AJ736:AJ738 AJ740:AJ742 AJ744:AJ746 AJ748:AJ750 AJ752:AJ754 AJ756:AJ758 AJ760:AJ762 AJ764:AJ766 AJ768:AJ770 AJ772:AJ774 AJ776:AJ778 AJ780:AJ782 AJ784:AJ786 AJ788:AJ790 AJ792:AJ794 AJ796:AJ798 AJ800:AJ802 AJ804:AJ806 AJ808:AJ810 AJ812:AJ814 AJ816:AJ818 AJ820:AJ822 AJ824:AJ826 AJ828:AJ830 AJ832:AJ834 AJ836:AJ838 AJ840:AJ842 AJ844:AJ846 AJ848:AJ850 AJ852:AJ854 AJ856:AJ858 AJ860:AJ862 AJ864:AJ866 AJ868:AJ870 AJ872:AJ874 AJ876:AJ878 AJ880:AJ882 AJ884:AJ886 AJ888:AJ890 AJ892:AJ894 AJ896:AJ898 AJ900:AJ902 AJ904:AJ906 AJ908:AJ910 AJ912:AJ914 AJ916:AJ918 AJ920:AJ922 AJ924:AJ926 AJ928:AJ930 AJ932:AJ934 AJ936:AJ938 AJ940:AJ942 AJ944:AJ946 AJ948:AJ950 AJ952:AJ954 AJ956:AJ958 AJ960:AJ962 AJ964:AJ966 AJ968:AJ970 AJ972:AJ974 AJ976:AJ978 AJ980:AJ982 AJ984:AJ986 AJ988:AJ990 AJ992:AJ994 AJ996:AJ998 AJ1000:AJ1002 AJ1004:AJ1006 AJ1008:AJ1010 AJ1012:AJ1014 AJ1016:AJ1018 AJ1020:AJ1022 AJ1024:AJ1026 AJ1028:AJ1030 AJ1032:AJ1034 AJ1036:AJ1038 AJ1040:AJ1042 AJ1044:AJ1046 AJ1048:AJ1050 AJ1052:AJ1054 AJ1056:AJ1058 AJ1060:AJ1062 AJ1064:AJ1066 AJ1068:AJ1070 AJ1072:AJ1074 AJ1076:AJ1078 AJ1080:AJ1082 AJ1084:AJ1086 AJ1088:AJ1090 AJ1092:AJ1094 AJ1096:AJ1098 AJ1100:AJ1102 AJ1104:AJ1106 AJ1108:AJ1110 AJ1112:AJ1114 AJ1116:AJ1118 AJ1120:AJ1122 AJ1124:AJ1126 AJ1128:AJ1130 AJ1132:AJ1134 AJ1136:AJ1138 AJ1140:AJ1142 AJ1144:AJ1146 AJ1148:AJ1150 AJ1152:AJ1154 AJ1156:AJ1158 AJ1160:AJ1162 AJ1164:AJ1166 AJ1168:AJ1170 AJ1172:AJ1174 AJ1176:AJ1178 AJ1180:AJ1182 AJ1184:AJ1186 AJ1188:AJ1190 AJ1192:AJ1194 AJ1196:AJ1198 AJ1200:AJ1202 AJ1204:AJ1206 AJ1208:AJ1210 AJ1212:AJ1214 AJ1216:AJ1218 AJ1220:AJ1222 AJ1224:AJ1226 AJ1228:AJ1230 AJ1232:AJ1234 AJ1236:AJ1238 AJ1240:AJ1242 AJ1244:AJ1246 AJ1248:AJ1250 AJ1252:AJ1254 AJ1256:AJ1258">
    <cfRule type="cellIs" dxfId="6" priority="10" operator="between">
      <formula>-0.1</formula>
      <formula>0.1</formula>
    </cfRule>
  </conditionalFormatting>
  <conditionalFormatting sqref="AM3:AM1259 AP3:AP1259 AS3:AS1259 AV3:AV1259">
    <cfRule type="cellIs" dxfId="5" priority="2" operator="lessThan">
      <formula>-0.1</formula>
    </cfRule>
    <cfRule type="cellIs" dxfId="4" priority="3" operator="between">
      <formula>-0.1</formula>
      <formula>0.1</formula>
    </cfRule>
    <cfRule type="cellIs" dxfId="3" priority="4" operator="greaterThan">
      <formula>0.1</formula>
    </cfRule>
  </conditionalFormatting>
  <conditionalFormatting sqref="AM4 AP4 AS4 AV4 AM7 AP7 AS7 AV7 AM9:AM10 AP9:AP10 AS9:AS10 AV9:AV10 AM12 AP12 AS12 AV12 AM14 AP14 AS14 AV14 AM16 AP16 AS16 AV16 AM18 AP18 AS18 AV18 AG4 AJ4 AG7 AJ7 AG9:AG10 AJ9:AJ10 AG12 AJ12 AG14 AJ14 AG16 AJ16 AG18 AJ18 AG20 AG22:AG26 AG31:AG36 AG38:AG40 AG42:AG45 AG47:AG49 AG51:AG53 AG55:AG57 AG59:AG61 AG63:AG65 AG67:AG69 AG71:AG73 AG75:AG77 AG79:AG81 AG83:AG85 AG87:AG89 AG91:AG93 AG95:AG97 AG99:AG101 AG103:AG106 AG108:AG110 AG112:AG114 AG116:AG118 AG120:AG122 AG124:AG126 AG128:AG130 AG132:AG134 AG136:AG138 AG140:AG142 AG144:AG146 AG148:AG150 AG152:AG154 AG156:AG158 AG160:AG162 AG164:AG166 AG168:AG170 AG172:AG174 AG176:AG178 AG180:AG182 AG184:AG186 AG188:AG190 AG192:AG194 AG196:AG198 AG200:AG203 AG205:AG207 AG209:AG211 AG213:AG215 AG217:AG219 AG221:AG223 AG226:AG228 AG230:AG232 AG234:AG237 AG239:AG241 AG243:AG245 AG247:AG250 AG252:AG254 AG256:AG258 AG260:AG262 AG264:AG266 AG268:AG270 AG272:AG274 AG276:AG278 AG280:AG282 AG284:AG286 AG288:AG290 AG292:AG294 AG296:AG298 AG300:AG302 AG304:AG306 AG308:AG310 AG312:AG314 AG316:AG318 AG320:AG322 AG324:AG326 AG328:AG330 AG332:AG334 AG336:AG338 AG340:AG342 AG344:AG346 AG348:AG350 AG352:AG354 AG356:AG358 AG360:AG362 AG364:AG366 AG368:AG370 AG372:AG374 AG376:AG378 AG380:AG382 AG384:AG386 AG388:AG390 AG392:AG394 AG396:AG398 AG400:AG402 AG404:AG406 AG408:AG410 AG412:AG414 AG416:AG418 AG420:AG422 AG424:AG426 AG428:AG430 AG432:AG434 AG436:AG438 AG440:AG442 AG444:AG446 AG448:AG450 AG452:AG454 AG456:AG458 AG460:AG462 AG464:AG466 AG468:AG470 AG472:AG474 AG476:AG478 AG480:AG482 AG484:AG486 AG488:AG490 AG492:AG494 AG496:AG498 AG500:AG502 AG504:AG506 AG508:AG510 AG512:AG514 AG516:AG518 AG520:AG522 AG524:AG526 AG528:AG530 AG532:AG534 AG536:AG538 AG540:AG542 AG544:AG546 AG548:AG550 AG552:AG554 AG556:AG558 AG560:AG562 AG564:AG566 AG568:AG570 AG572:AG574 AG576:AG578 AG580:AG582 AG584:AG586 AG588:AG590 AG592:AG594 AG596:AG598 AG600:AG602 AG604:AG606 AG608:AG610 AG612:AG614 AG616:AG618 AG620:AG622 AG624:AG626 AG628:AG630 AG632:AG634 AG636:AG638 AG640:AG642 AG644:AG646 AG648:AG650 AG652:AG654 AG656:AG658 AG660:AG662 AG664:AG666 AG668:AG670 AG672:AG674 AG676:AG678 AG680:AG682 AG684:AG686 AG688:AG690 AG692:AG694 AG696:AG698 AG700:AG702 AG704:AG706 AG708:AG710 AG712:AG714 AG716:AG718 AG720:AG722 AG724:AG726 AG728:AG730 AG732:AG734 AG736:AG738 AG740:AG742 AG744:AG746 AG748:AG750 AG752:AG754 AG756:AG758 AG760:AG762 AG764:AG766 AG768:AG770 AG772:AG774 AG776:AG778 AG780:AG782 AG784:AG786 AG788:AG790 AG792:AG794 AG796:AG798 AG800:AG802 AG804:AG806 AG808:AG810 AG812:AG814 AG816:AG818 AG820:AG822 AG824:AG826 AG828:AG830 AG832:AG834 AG836:AG838 AG840:AG842 AG844:AG846 AG848:AG850 AG852:AG854 AG856:AG858 AG860:AG862 AG864:AG866 AG868:AG870 AG872:AG874 AG876:AG878 AG880:AG882 AG884:AG886 AG888:AG890 AG892:AG894 AG896:AG898 AG900:AG902 AG904:AG906 AG908:AG910 AG912:AG914 AG916:AG918 AG920:AG922 AG924:AG926 AG928:AG930 AG932:AG934 AG936:AG938 AG940:AG942 AG944:AG946 AG948:AG950 AG952:AG954 AG956:AG958 AG960:AG962 AG964:AG966 AG968:AG970 AG972:AG974 AG976:AG978 AG980:AG982 AG984:AG986 AG988:AG990 AG992:AG994 AG996:AG998 AG1000:AG1002 AG1004:AG1006 AG1008:AG1010 AG1012:AG1014 AG1016:AG1018 AG1020:AG1022 AG1024:AG1026 AG1028:AG1030 AG1032:AG1034 AG1036:AG1038 AG1040:AG1042 AG1044:AG1046 AG1048:AG1050 AG1052:AG1054 AG1056:AG1058 AG1060:AG1062 AG1064:AG1066 AG1068:AG1070 AG1072:AG1074 AG1076:AG1078 AG1080:AG1082 AG1084:AG1086 AG1088:AG1090 AG1092:AG1094 AG1096:AG1098 AG1100:AG1102 AG1104:AG1106 AG1108:AG1110 AG1112:AG1114 AG1116:AG1118 AG1120:AG1122 AG1124:AG1126 AG1128:AG1130 AG1132:AG1134 AG1136:AG1138 AG1140:AG1142 AG1144:AG1146 AG1148:AG1150 AG1152:AG1154 AG1156:AG1158 AG1160:AG1162 AG1164:AG1166 AG1168:AG1170 AG1172:AG1174 AG1176:AG1178 AG1180:AG1182 AG1184:AG1186 AG1188:AG1190 AG1192:AG1194 AG1196:AG1198 AG1200:AG1202 AG1204:AG1206 AG1208:AG1210 AG1212:AG1214 AG1216:AG1218 AG1220:AG1222 AG1224:AG1226 AG1228:AG1230 AG1232:AG1234 AG1236:AG1238 AG1240:AG1242 AG1244:AG1246 AG1248:AG1250 AG1252:AG1254 AG1256:AG1258">
    <cfRule type="cellIs" dxfId="2" priority="6" operator="between">
      <formula>-0.1</formula>
      <formula>0.1</formula>
    </cfRule>
  </conditionalFormatting>
  <conditionalFormatting sqref="AM20 AP20 AS20 AV20 AM22:AM26 AP22:AP26 AS22:AS26 AV22:AV26 AM31:AM36 AP31:AP36 AS31:AS36 AV31:AV36 AM38:AM40 AP38:AP40 AS38:AS40 AV38:AV40 AM42:AM45 AP42:AP45 AS42:AS45 AV42:AV45 AM47:AM49 AP47:AP49 AS47:AS49 AV47:AV49 AM51:AM53 AP51:AP53 AS51:AS53 AV51:AV53 AM55:AM57 AP55:AP57 AS55:AS57 AV55:AV57 AM59:AM61 AP59:AP61 AS59:AS61 AV59:AV61 AM63:AM65 AP63:AP65 AS63:AS65 AV63:AV65 AM67:AM69 AP67:AP69 AS67:AS69 AV67:AV69 AM71:AM73 AP71:AP73 AS71:AS73 AV71:AV73 AM75:AM77 AP75:AP77 AS75:AS77 AV75:AV77 AM79:AM81 AP79:AP81 AS79:AS81 AV79:AV81 AM83:AM85 AP83:AP85 AS83:AS85 AV83:AV85 AM87:AM89 AP87:AP89 AS87:AS89 AV87:AV89 AM91:AM93 AP91:AP93 AS91:AS93 AV91:AV93 AM95:AM97 AP95:AP97 AS95:AS97 AV95:AV97 AM99:AM101 AP99:AP101 AS99:AS101 AV99:AV101 AM103:AM106 AP103:AP106 AS103:AS106 AV103:AV106 AM108:AM110 AP108:AP110 AS108:AS110 AV108:AV110 AM112:AM114 AP112:AP114 AS112:AS114 AV112:AV114 AM116:AM118 AP116:AP118 AS116:AS118 AV116:AV118 AM120:AM122 AP120:AP122 AS120:AS122 AV120:AV122 AM124:AM126 AP124:AP126 AS124:AS126 AV124:AV126 AM128:AM130 AP128:AP130 AS128:AS130 AV128:AV130 AM132:AM134 AP132:AP134 AS132:AS134 AV132:AV134 AM136:AM138 AP136:AP138 AS136:AS138 AV136:AV138 AM140:AM142 AP140:AP142 AS140:AS142 AV140:AV142 AM144:AM146 AP144:AP146 AS144:AS146 AV144:AV146 AM148:AM150 AP148:AP150 AS148:AS150 AV148:AV150 AM152:AM154 AP152:AP154 AS152:AS154 AV152:AV154 AM156:AM158 AP156:AP158 AS156:AS158 AV156:AV158 AM160:AM162 AP160:AP162 AS160:AS162 AV160:AV162 AM164:AM166 AP164:AP166 AS164:AS166 AV164:AV166 AM168:AM170 AP168:AP170 AS168:AS170 AV168:AV170 AM172:AM174 AP172:AP174 AS172:AS174 AV172:AV174 AM176:AM178 AP176:AP178 AS176:AS178 AV176:AV178 AM180:AM182 AP180:AP182 AS180:AS182 AV180:AV182 AM184:AM186 AP184:AP186 AS184:AS186 AV184:AV186 AM188:AM190 AP188:AP190 AS188:AS190 AV188:AV190 AM192:AM194 AP192:AP194 AS192:AS194 AV192:AV194 AM196:AM198 AP196:AP198 AS196:AS198 AV196:AV198 AM200:AM203 AP200:AP203 AS200:AS203 AV200:AV203 AM205:AM207 AP205:AP207 AS205:AS207 AV205:AV207 AM209:AM211 AP209:AP211 AS209:AS211 AV209:AV211 AM213:AM215 AP213:AP215 AS213:AS215 AV213:AV215 AM217:AM219 AP217:AP219 AS217:AS219 AV217:AV219 AM221:AM223 AP221:AP223 AS221:AS223 AV221:AV223 AM226:AM228 AP226:AP228 AS226:AS228 AV226:AV228 AM230:AM232 AP230:AP232 AS230:AS232 AV230:AV232 AM234:AM237 AP234:AP237 AS234:AS237 AV234:AV237 AM239:AM241 AP239:AP241 AS239:AS241 AV239:AV241 AM243:AM245 AP243:AP245 AS243:AS245 AV243:AV245 AM247:AM250 AP247:AP250 AS247:AS250 AV247:AV250 AM252:AM254 AP252:AP254 AS252:AS254 AV252:AV254 AM256:AM258 AP256:AP258 AS256:AS258 AV256:AV258 AM260:AM262 AP260:AP262 AS260:AS262 AV260:AV262 AM264:AM266 AP264:AP266 AS264:AS266 AV264:AV266 AM268:AM270 AP268:AP270 AS268:AS270 AV268:AV270 AM272:AM274 AP272:AP274 AS272:AS274 AV272:AV274 AM276:AM278 AP276:AP278 AS276:AS278 AV276:AV278 AM280:AM282 AP280:AP282 AS280:AS282 AV280:AV282 AM284:AM286 AP284:AP286 AS284:AS286 AV284:AV286 AM288:AM290 AP288:AP290 AS288:AS290 AV288:AV290 AM292:AM294 AP292:AP294 AS292:AS294 AV292:AV294 AM296:AM298 AP296:AP298 AS296:AS298 AV296:AV298 AM300:AM302 AP300:AP302 AS300:AS302 AV300:AV302 AM304:AM306 AP304:AP306 AS304:AS306 AV304:AV306 AM308:AM310 AP308:AP310 AS308:AS310 AV308:AV310 AM312:AM314 AP312:AP314 AS312:AS314 AV312:AV314 AM316:AM318 AP316:AP318 AS316:AS318 AV316:AV318 AM320:AM322 AP320:AP322 AS320:AS322 AV320:AV322 AM324:AM326 AP324:AP326 AS324:AS326 AV324:AV326 AM328:AM330 AP328:AP330 AS328:AS330 AV328:AV330 AM332:AM334 AP332:AP334 AS332:AS334 AV332:AV334 AM336:AM338 AP336:AP338 AS336:AS338 AV336:AV338 AM340:AM342 AP340:AP342 AS340:AS342 AV340:AV342 AM344:AM346 AP344:AP346 AS344:AS346 AV344:AV346 AM348:AM350 AP348:AP350 AS348:AS350 AV348:AV350 AM352:AM354 AP352:AP354 AS352:AS354 AV352:AV354 AM356:AM358 AP356:AP358 AS356:AS358 AV356:AV358 AM360:AM362 AP360:AP362 AS360:AS362 AV360:AV362 AM364:AM366 AP364:AP366 AS364:AS366 AV364:AV366 AM368:AM370 AP368:AP370 AS368:AS370 AV368:AV370 AM372:AM374 AP372:AP374 AS372:AS374 AV372:AV374 AM376:AM378 AP376:AP378 AS376:AS378 AV376:AV378 AM380:AM382 AP380:AP382 AS380:AS382 AV380:AV382 AM384:AM386 AP384:AP386 AS384:AS386 AV384:AV386 AM388:AM390 AP388:AP390 AS388:AS390 AV388:AV390 AM392:AM394 AP392:AP394 AS392:AS394 AV392:AV394 AM396:AM398 AP396:AP398 AS396:AS398 AV396:AV398 AM400:AM402 AP400:AP402 AS400:AS402 AV400:AV402 AM404:AM406 AP404:AP406 AS404:AS406 AV404:AV406 AM408:AM410 AP408:AP410 AS408:AS410 AV408:AV410 AM412:AM414 AP412:AP414 AS412:AS414 AV412:AV414 AM416:AM418 AP416:AP418 AS416:AS418 AV416:AV418 AM420:AM422 AP420:AP422 AS420:AS422 AV420:AV422 AM424:AM426 AP424:AP426 AS424:AS426 AV424:AV426 AM428:AM430 AP428:AP430 AS428:AS430 AV428:AV430 AM432:AM434 AP432:AP434 AS432:AS434 AV432:AV434 AM436:AM438 AP436:AP438 AS436:AS438 AV436:AV438 AM440:AM442 AP440:AP442 AS440:AS442 AV440:AV442 AM444:AM446 AP444:AP446 AS444:AS446 AV444:AV446 AM448:AM450 AP448:AP450 AS448:AS450 AV448:AV450 AM452:AM454 AP452:AP454 AS452:AS454 AV452:AV454 AM456:AM458 AP456:AP458 AS456:AS458 AV456:AV458 AM460:AM462 AP460:AP462 AS460:AS462 AV460:AV462 AM464:AM466 AP464:AP466 AS464:AS466 AV464:AV466 AM468:AM470 AP468:AP470 AS468:AS470 AV468:AV470 AM472:AM474 AP472:AP474 AS472:AS474 AV472:AV474 AM476:AM478 AP476:AP478 AS476:AS478 AV476:AV478 AM480:AM482 AP480:AP482 AS480:AS482 AV480:AV482 AM484:AM486 AP484:AP486 AS484:AS486 AV484:AV486 AM488:AM490 AP488:AP490 AS488:AS490 AV488:AV490 AM492:AM494 AP492:AP494 AS492:AS494 AV492:AV494 AM496:AM498 AP496:AP498 AS496:AS498 AV496:AV498 AM500:AM502 AP500:AP502 AS500:AS502 AV500:AV502 AM504:AM506 AP504:AP506 AS504:AS506 AV504:AV506 AM508:AM510 AP508:AP510 AS508:AS510 AV508:AV510 AM512:AM514 AP512:AP514 AS512:AS514 AV512:AV514 AM516:AM518 AP516:AP518 AS516:AS518 AV516:AV518 AM520:AM522 AP520:AP522 AS520:AS522 AV520:AV522 AM524:AM526 AP524:AP526 AS524:AS526 AV524:AV526 AM528:AM530 AP528:AP530 AS528:AS530 AV528:AV530 AM532:AM534 AP532:AP534 AS532:AS534 AV532:AV534 AM536:AM538 AP536:AP538 AS536:AS538 AV536:AV538 AM540:AM542 AP540:AP542 AS540:AS542 AV540:AV542 AM544:AM546 AP544:AP546 AS544:AS546 AV544:AV546 AM548:AM550 AP548:AP550 AS548:AS550 AV548:AV550 AM552:AM554 AP552:AP554 AS552:AS554 AV552:AV554 AM556:AM558 AP556:AP558 AS556:AS558 AV556:AV558 AM560:AM562 AP560:AP562 AS560:AS562 AV560:AV562 AM564:AM566 AP564:AP566 AS564:AS566 AV564:AV566 AM568:AM570 AP568:AP570 AS568:AS570 AV568:AV570 AM572:AM574 AP572:AP574 AS572:AS574 AV572:AV574 AM576:AM578 AP576:AP578 AS576:AS578 AV576:AV578 AM580:AM582 AP580:AP582 AS580:AS582 AV580:AV582 AM584:AM586 AP584:AP586 AS584:AS586 AV584:AV586 AM588:AM590 AP588:AP590 AS588:AS590 AV588:AV590 AM592:AM594 AP592:AP594 AS592:AS594 AV592:AV594 AM596:AM598 AP596:AP598 AS596:AS598 AV596:AV598 AM600:AM602 AP600:AP602 AS600:AS602 AV600:AV602 AM604:AM606 AP604:AP606 AS604:AS606 AV604:AV606 AM608:AM610 AP608:AP610 AS608:AS610 AV608:AV610 AM612:AM614 AP612:AP614 AS612:AS614 AV612:AV614 AM616:AM618 AP616:AP618 AS616:AS618 AV616:AV618 AM620:AM622 AP620:AP622 AS620:AS622 AV620:AV622 AM624:AM626 AP624:AP626 AS624:AS626 AV624:AV626 AM628:AM630 AP628:AP630 AS628:AS630 AV628:AV630 AM632:AM634 AP632:AP634 AS632:AS634 AV632:AV634 AM636:AM638 AP636:AP638 AS636:AS638 AV636:AV638 AM640:AM642 AP640:AP642 AS640:AS642 AV640:AV642 AM644:AM646 AP644:AP646 AS644:AS646 AV644:AV646 AM648:AM650 AP648:AP650 AS648:AS650 AV648:AV650 AM652:AM654 AP652:AP654 AS652:AS654 AV652:AV654 AM656:AM658 AP656:AP658 AS656:AS658 AV656:AV658 AM660:AM662 AP660:AP662 AS660:AS662 AV660:AV662 AM664:AM666 AP664:AP666 AS664:AS666 AV664:AV666 AM668:AM670 AP668:AP670 AS668:AS670 AV668:AV670 AM672:AM674 AP672:AP674 AS672:AS674 AV672:AV674 AM676:AM678 AP676:AP678 AS676:AS678 AV676:AV678 AM680:AM682 AP680:AP682 AS680:AS682 AV680:AV682 AM684:AM686 AP684:AP686 AS684:AS686 AV684:AV686 AM688:AM690 AP688:AP690 AS688:AS690 AV688:AV690 AM692:AM694 AP692:AP694 AS692:AS694 AV692:AV694 AM696:AM698 AP696:AP698 AS696:AS698 AV696:AV698 AM700:AM702 AP700:AP702 AS700:AS702 AV700:AV702 AM704:AM706 AP704:AP706 AS704:AS706 AV704:AV706 AM708:AM710 AP708:AP710 AS708:AS710 AV708:AV710 AM712:AM714 AP712:AP714 AS712:AS714 AV712:AV714 AM716:AM718 AP716:AP718 AS716:AS718 AV716:AV718 AM720:AM722 AP720:AP722 AS720:AS722 AV720:AV722 AM724:AM726 AP724:AP726 AS724:AS726 AV724:AV726 AM728:AM730 AP728:AP730 AS728:AS730 AV728:AV730 AM732:AM734 AP732:AP734 AS732:AS734 AV732:AV734 AM736:AM738 AP736:AP738 AS736:AS738 AV736:AV738 AM740:AM742 AP740:AP742 AS740:AS742 AV740:AV742 AM744:AM746 AP744:AP746 AS744:AS746 AV744:AV746 AM748:AM750 AP748:AP750 AS748:AS750 AV748:AV750 AM752:AM754 AP752:AP754 AS752:AS754 AV752:AV754 AM756:AM758 AP756:AP758 AS756:AS758 AV756:AV758 AM760:AM762 AP760:AP762 AS760:AS762 AV760:AV762 AM764:AM766 AP764:AP766 AS764:AS766 AV764:AV766 AM768:AM770 AP768:AP770 AS768:AS770 AV768:AV770 AM772:AM774 AP772:AP774 AS772:AS774 AV772:AV774 AM776:AM778 AP776:AP778 AS776:AS778 AV776:AV778 AM780:AM782 AP780:AP782 AS780:AS782 AV780:AV782 AM784:AM786 AP784:AP786 AS784:AS786 AV784:AV786 AM788:AM790 AP788:AP790 AS788:AS790 AV788:AV790 AM792:AM794 AP792:AP794 AS792:AS794 AV792:AV794 AM796:AM798 AP796:AP798 AS796:AS798 AV796:AV798 AM800:AM802 AP800:AP802 AS800:AS802 AV800:AV802 AM804:AM806 AP804:AP806 AS804:AS806 AV804:AV806 AM808:AM810 AP808:AP810 AS808:AS810 AV808:AV810 AM812:AM814 AP812:AP814 AS812:AS814 AV812:AV814 AM816:AM818 AP816:AP818 AS816:AS818 AV816:AV818 AM820:AM822 AP820:AP822 AS820:AS822 AV820:AV822 AM824:AM826 AP824:AP826 AS824:AS826 AV824:AV826 AM828:AM830 AP828:AP830 AS828:AS830 AV828:AV830 AM832:AM834 AP832:AP834 AS832:AS834 AV832:AV834 AM836:AM838 AP836:AP838 AS836:AS838 AV836:AV838 AM840:AM842 AP840:AP842 AS840:AS842 AV840:AV842 AM844:AM846 AP844:AP846 AS844:AS846 AV844:AV846 AM848:AM850 AP848:AP850 AS848:AS850 AV848:AV850 AM852:AM854 AP852:AP854 AS852:AS854 AV852:AV854 AM856:AM858 AP856:AP858 AS856:AS858 AV856:AV858 AM860:AM862 AP860:AP862 AS860:AS862 AV860:AV862 AM864:AM866 AP864:AP866 AS864:AS866 AV864:AV866 AM868:AM870 AP868:AP870 AS868:AS870 AV868:AV870 AM872:AM874 AP872:AP874 AS872:AS874 AV872:AV874 AM876:AM878 AP876:AP878 AS876:AS878 AV876:AV878 AM880:AM882 AP880:AP882 AS880:AS882 AV880:AV882 AM884:AM886 AP884:AP886 AS884:AS886 AV884:AV886 AM888:AM890 AP888:AP890 AS888:AS890 AV888:AV890 AM892:AM894 AP892:AP894 AS892:AS894 AV892:AV894 AM896:AM898 AP896:AP898 AS896:AS898 AV896:AV898 AM900:AM902 AP900:AP902 AS900:AS902 AV900:AV902 AM904:AM906 AP904:AP906 AS904:AS906 AV904:AV906 AM908:AM910 AP908:AP910 AS908:AS910 AV908:AV910 AM912:AM914 AP912:AP914 AS912:AS914 AV912:AV914 AM916:AM918 AP916:AP918 AS916:AS918 AV916:AV918 AM920:AM922 AP920:AP922 AS920:AS922 AV920:AV922 AM924:AM926 AP924:AP926 AS924:AS926 AV924:AV926 AM928:AM930 AP928:AP930 AS928:AS930 AV928:AV930 AM932:AM934 AP932:AP934 AS932:AS934 AV932:AV934 AM936:AM938 AP936:AP938 AS936:AS938 AV936:AV938 AM940:AM942 AP940:AP942 AS940:AS942 AV940:AV942 AM944:AM946 AP944:AP946 AS944:AS946 AV944:AV946 AM948:AM950 AP948:AP950 AS948:AS950 AV948:AV950 AM952:AM954 AP952:AP954 AS952:AS954 AV952:AV954 AM956:AM958 AP956:AP958 AS956:AS958 AV956:AV958 AM960:AM962 AP960:AP962 AS960:AS962 AV960:AV962 AM964:AM966 AP964:AP966 AS964:AS966 AV964:AV966 AM968:AM970 AP968:AP970 AS968:AS970 AV968:AV970 AM972:AM974 AP972:AP974 AS972:AS974 AV972:AV974 AM976:AM978 AP976:AP978 AS976:AS978 AV976:AV978 AM980:AM982 AP980:AP982 AS980:AS982 AV980:AV982 AM984:AM986 AP984:AP986 AS984:AS986 AV984:AV986 AM988:AM990 AP988:AP990 AS988:AS990 AV988:AV990 AM992:AM994 AP992:AP994 AS992:AS994 AV992:AV994 AM996:AM998 AP996:AP998 AS996:AS998 AV996:AV998 AM1000:AM1002 AP1000:AP1002 AS1000:AS1002 AV1000:AV1002 AM1004:AM1006 AP1004:AP1006 AS1004:AS1006 AV1004:AV1006 AM1008:AM1010 AP1008:AP1010 AS1008:AS1010 AV1008:AV1010 AM1012:AM1014 AP1012:AP1014 AS1012:AS1014 AV1012:AV1014 AM1016:AM1018 AP1016:AP1018 AS1016:AS1018 AV1016:AV1018 AM1020:AM1022 AP1020:AP1022 AS1020:AS1022 AV1020:AV1022 AM1024:AM1026 AP1024:AP1026 AS1024:AS1026 AV1024:AV1026 AM1028:AM1030 AP1028:AP1030 AS1028:AS1030 AV1028:AV1030 AM1032:AM1034 AP1032:AP1034 AS1032:AS1034 AV1032:AV1034 AM1036:AM1038 AP1036:AP1038 AS1036:AS1038 AV1036:AV1038 AM1040:AM1042 AP1040:AP1042 AS1040:AS1042 AV1040:AV1042 AM1044:AM1046 AP1044:AP1046 AS1044:AS1046 AV1044:AV1046 AM1048:AM1050 AP1048:AP1050 AS1048:AS1050 AV1048:AV1050 AM1052:AM1054 AP1052:AP1054 AS1052:AS1054 AV1052:AV1054 AM1056:AM1058 AP1056:AP1058 AS1056:AS1058 AV1056:AV1058 AM1060:AM1062 AP1060:AP1062 AS1060:AS1062 AV1060:AV1062 AM1064:AM1066 AP1064:AP1066 AS1064:AS1066 AV1064:AV1066 AM1068:AM1070 AP1068:AP1070 AS1068:AS1070 AV1068:AV1070 AM1072:AM1074 AP1072:AP1074 AS1072:AS1074 AV1072:AV1074 AM1076:AM1078 AP1076:AP1078 AS1076:AS1078 AV1076:AV1078 AM1080:AM1082 AP1080:AP1082 AS1080:AS1082 AV1080:AV1082 AM1084:AM1086 AP1084:AP1086 AS1084:AS1086 AV1084:AV1086 AM1088:AM1090 AP1088:AP1090 AS1088:AS1090 AV1088:AV1090 AM1092:AM1094 AP1092:AP1094 AS1092:AS1094 AV1092:AV1094 AM1096:AM1098 AP1096:AP1098 AS1096:AS1098 AV1096:AV1098 AM1100:AM1102 AP1100:AP1102 AS1100:AS1102 AV1100:AV1102 AM1104:AM1106 AP1104:AP1106 AS1104:AS1106 AV1104:AV1106 AM1108:AM1110 AP1108:AP1110 AS1108:AS1110 AV1108:AV1110 AM1112:AM1114 AP1112:AP1114 AS1112:AS1114 AV1112:AV1114 AM1116:AM1118 AP1116:AP1118 AS1116:AS1118 AV1116:AV1118 AM1120:AM1122 AP1120:AP1122 AS1120:AS1122 AV1120:AV1122 AM1124:AM1126 AP1124:AP1126 AS1124:AS1126 AV1124:AV1126 AM1128:AM1130 AP1128:AP1130 AS1128:AS1130 AV1128:AV1130 AM1132:AM1134 AP1132:AP1134 AS1132:AS1134 AV1132:AV1134 AM1136:AM1138 AP1136:AP1138 AS1136:AS1138 AV1136:AV1138 AM1140:AM1142 AP1140:AP1142 AS1140:AS1142 AV1140:AV1142 AM1144:AM1146 AP1144:AP1146 AS1144:AS1146 AV1144:AV1146 AM1148:AM1150 AP1148:AP1150 AS1148:AS1150 AV1148:AV1150 AM1152:AM1154 AP1152:AP1154 AS1152:AS1154 AV1152:AV1154 AM1156:AM1158 AP1156:AP1158 AS1156:AS1158 AV1156:AV1158 AM1160:AM1162 AP1160:AP1162 AS1160:AS1162 AV1160:AV1162 AM1164:AM1166 AP1164:AP1166 AS1164:AS1166 AV1164:AV1166 AM1168:AM1170 AP1168:AP1170 AS1168:AS1170 AV1168:AV1170 AM1172:AM1174 AP1172:AP1174 AS1172:AS1174 AV1172:AV1174 AM1176:AM1178 AP1176:AP1178 AS1176:AS1178 AV1176:AV1178 AM1180:AM1182 AP1180:AP1182 AS1180:AS1182 AV1180:AV1182 AM1184:AM1186 AP1184:AP1186 AS1184:AS1186 AV1184:AV1186 AM1188:AM1190 AP1188:AP1190 AS1188:AS1190 AV1188:AV1190 AM1192:AM1194 AP1192:AP1194 AS1192:AS1194 AV1192:AV1194 AM1196:AM1198 AP1196:AP1198 AS1196:AS1198 AV1196:AV1198 AM1200:AM1202 AP1200:AP1202 AS1200:AS1202 AV1200:AV1202 AM1204:AM1206 AP1204:AP1206 AS1204:AS1206 AV1204:AV1206 AM1208:AM1210 AP1208:AP1210 AS1208:AS1210 AV1208:AV1210 AM1212:AM1214 AP1212:AP1214 AS1212:AS1214 AV1212:AV1214 AM1216:AM1218 AP1216:AP1218 AS1216:AS1218 AV1216:AV1218 AM1220:AM1222 AP1220:AP1222 AS1220:AS1222 AV1220:AV1222 AM1224:AM1226 AP1224:AP1226 AS1224:AS1226 AV1224:AV1226 AM1228:AM1230 AP1228:AP1230 AS1228:AS1230 AV1228:AV1230 AM1232:AM1234 AP1232:AP1234 AS1232:AS1234 AV1232:AV1234 AM1236:AM1238 AP1236:AP1238 AS1236:AS1238 AV1236:AV1238 AM1240:AM1242 AP1240:AP1242 AS1240:AS1242 AV1240:AV1242 AM1244:AM1246 AP1244:AP1246 AS1244:AS1246 AV1244:AV1246 AM1248:AM1250 AP1248:AP1250 AS1248:AS1250 AV1248:AV1250 AM1252:AM1254 AP1252:AP1254 AS1252:AS1254 AV1252:AV1254 AM1256:AM1258 AP1256:AP1258 AS1256:AS1258 AV1256:AV1258">
    <cfRule type="cellIs" dxfId="1" priority="1" operator="between">
      <formula>-0.1</formula>
      <formula>0.1</formula>
    </cfRule>
  </conditionalFormatting>
  <conditionalFormatting sqref="AM1259 AP1259 AS1259 AV1259">
    <cfRule type="cellIs" dxfId="0" priority="5" operator="between">
      <formula>-0.1</formula>
      <formula>0.1</formula>
    </cfRule>
  </conditionalFormatting>
  <dataValidations count="3">
    <dataValidation type="list" showInputMessage="1" showErrorMessage="1" errorTitle="Ошибка данных" error="Введите список данных" sqref="F3:F1258" xr:uid="{B9EEB846-31C7-443B-8312-7CA76FFAA114}">
      <formula1>Продукт</formula1>
    </dataValidation>
    <dataValidation type="list" showInputMessage="1" showErrorMessage="1" sqref="F3:F1258" xr:uid="{458BD361-24D4-432E-8689-059F2C516A26}">
      <formula1>Продукт</formula1>
    </dataValidation>
    <dataValidation type="list" showInputMessage="1" showErrorMessage="1" errorTitle="Ошибка данных" error="Введите из списка" sqref="E3:E1258" xr:uid="{51661194-4D31-4181-8D99-5513C500CB50}">
      <formula1>Мастер</formula1>
    </dataValidation>
  </dataValidations>
  <pageMargins left="0.7" right="0.7" top="0.75" bottom="0.75" header="0.3" footer="0.3"/>
  <pageSetup paperSize="9" orientation="portrait" horizontalDpi="200" verticalDpi="200" copies="0" r:id="rId1"/>
  <extLst>
    <ext xmlns:x14="http://schemas.microsoft.com/office/spreadsheetml/2009/9/main" uri="{CCE6A557-97BC-4b89-ADB6-D9C93CAAB3DF}">
      <x14:dataValidations xmlns:xm="http://schemas.microsoft.com/office/excel/2006/main" count="2">
        <x14:dataValidation type="list" allowBlank="1" showInputMessage="1" showErrorMessage="1" xr:uid="{4907D612-CA90-4088-B48E-945CF58A9D64}">
          <x14:formula1>
            <xm:f>инфо!$C$37:$C$38</xm:f>
          </x14:formula1>
          <xm:sqref>D3:D1258</xm:sqref>
        </x14:dataValidation>
        <x14:dataValidation type="list" allowBlank="1" showInputMessage="1" showErrorMessage="1" xr:uid="{8DF02398-317D-45FC-A789-23D1ED6218B7}">
          <x14:formula1>
            <xm:f>инфо!$C$34:$C$35</xm:f>
          </x14:formula1>
          <xm:sqref>C3:C36 C38:C1258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BBD74-60BC-4450-A273-2D375CFF35BB}">
  <sheetPr>
    <tabColor rgb="FFFFFF00"/>
  </sheetPr>
  <dimension ref="A1:O1140"/>
  <sheetViews>
    <sheetView topLeftCell="C1036" workbookViewId="0">
      <selection activeCell="L1045" sqref="L1045"/>
    </sheetView>
  </sheetViews>
  <sheetFormatPr defaultRowHeight="15" x14ac:dyDescent="0.25"/>
  <cols>
    <col min="1" max="1" width="12.28515625" customWidth="1"/>
    <col min="2" max="2" width="11" customWidth="1"/>
    <col min="4" max="4" width="53.5703125" customWidth="1"/>
    <col min="8" max="8" width="6.7109375" customWidth="1"/>
    <col min="9" max="9" width="10.140625" bestFit="1" customWidth="1"/>
    <col min="10" max="10" width="10.140625" customWidth="1"/>
    <col min="12" max="12" width="53.85546875" style="98" customWidth="1"/>
  </cols>
  <sheetData>
    <row r="1" spans="1:15" ht="15.75" thickBot="1" x14ac:dyDescent="0.3">
      <c r="A1" s="85" t="s">
        <v>189</v>
      </c>
      <c r="B1" s="85" t="s">
        <v>195</v>
      </c>
      <c r="C1" s="85" t="s">
        <v>190</v>
      </c>
      <c r="D1" s="105" t="s">
        <v>191</v>
      </c>
      <c r="E1" s="87" t="s">
        <v>192</v>
      </c>
      <c r="F1" s="87" t="s">
        <v>193</v>
      </c>
      <c r="G1" s="87" t="s">
        <v>194</v>
      </c>
      <c r="I1" s="85" t="s">
        <v>189</v>
      </c>
      <c r="J1" s="85" t="s">
        <v>195</v>
      </c>
      <c r="K1" s="85" t="s">
        <v>190</v>
      </c>
      <c r="L1" s="94" t="s">
        <v>191</v>
      </c>
      <c r="M1" s="86" t="s">
        <v>192</v>
      </c>
      <c r="N1" s="86" t="s">
        <v>193</v>
      </c>
      <c r="O1" s="87" t="s">
        <v>194</v>
      </c>
    </row>
    <row r="2" spans="1:15" ht="51" x14ac:dyDescent="0.25">
      <c r="A2" s="133">
        <v>46082</v>
      </c>
      <c r="B2" s="136" t="s">
        <v>113</v>
      </c>
      <c r="C2" s="137" t="s">
        <v>82</v>
      </c>
      <c r="D2" s="104" t="s">
        <v>144</v>
      </c>
      <c r="E2" s="102">
        <v>0.33333333333333331</v>
      </c>
      <c r="F2" s="102">
        <v>0.48749999999999999</v>
      </c>
      <c r="G2" s="89">
        <f>F2-E2</f>
        <v>0.15416666666666667</v>
      </c>
      <c r="I2" s="133">
        <v>46082</v>
      </c>
      <c r="J2" s="136"/>
      <c r="K2" s="137" t="s">
        <v>83</v>
      </c>
      <c r="L2" s="95"/>
      <c r="M2" s="89">
        <v>0</v>
      </c>
      <c r="N2" s="89">
        <v>0</v>
      </c>
      <c r="O2" s="89">
        <f>N2-M2</f>
        <v>0</v>
      </c>
    </row>
    <row r="3" spans="1:15" x14ac:dyDescent="0.25">
      <c r="A3" s="134"/>
      <c r="B3" s="136"/>
      <c r="C3" s="138"/>
      <c r="D3" s="88"/>
      <c r="E3" s="89">
        <v>0</v>
      </c>
      <c r="F3" s="89">
        <v>0</v>
      </c>
      <c r="G3" s="89">
        <f t="shared" ref="G3:G9" si="0">F3-E3</f>
        <v>0</v>
      </c>
      <c r="I3" s="134"/>
      <c r="J3" s="136"/>
      <c r="K3" s="138"/>
      <c r="L3" s="95"/>
      <c r="M3" s="89">
        <v>0</v>
      </c>
      <c r="N3" s="89">
        <v>0</v>
      </c>
      <c r="O3" s="89">
        <f t="shared" ref="O3:O9" si="1">N3-M3</f>
        <v>0</v>
      </c>
    </row>
    <row r="4" spans="1:15" x14ac:dyDescent="0.25">
      <c r="A4" s="134"/>
      <c r="B4" s="136"/>
      <c r="C4" s="138"/>
      <c r="D4" s="90"/>
      <c r="E4" s="89">
        <v>0</v>
      </c>
      <c r="F4" s="89">
        <v>0</v>
      </c>
      <c r="G4" s="89">
        <f t="shared" si="0"/>
        <v>0</v>
      </c>
      <c r="I4" s="134"/>
      <c r="J4" s="136"/>
      <c r="K4" s="138"/>
      <c r="L4" s="96"/>
      <c r="M4" s="89">
        <v>0</v>
      </c>
      <c r="N4" s="89">
        <v>0</v>
      </c>
      <c r="O4" s="89">
        <f t="shared" si="1"/>
        <v>0</v>
      </c>
    </row>
    <row r="5" spans="1:15" x14ac:dyDescent="0.25">
      <c r="A5" s="134"/>
      <c r="B5" s="136"/>
      <c r="C5" s="138"/>
      <c r="D5" s="90"/>
      <c r="E5" s="89">
        <v>0</v>
      </c>
      <c r="F5" s="89">
        <v>0</v>
      </c>
      <c r="G5" s="89">
        <f t="shared" si="0"/>
        <v>0</v>
      </c>
      <c r="I5" s="134"/>
      <c r="J5" s="136"/>
      <c r="K5" s="138"/>
      <c r="L5" s="96"/>
      <c r="M5" s="89">
        <v>0</v>
      </c>
      <c r="N5" s="89">
        <v>0</v>
      </c>
      <c r="O5" s="89">
        <f t="shared" si="1"/>
        <v>0</v>
      </c>
    </row>
    <row r="6" spans="1:15" x14ac:dyDescent="0.25">
      <c r="A6" s="134"/>
      <c r="B6" s="136"/>
      <c r="C6" s="138"/>
      <c r="D6" s="90"/>
      <c r="E6" s="89">
        <v>0</v>
      </c>
      <c r="F6" s="89">
        <v>0</v>
      </c>
      <c r="G6" s="89">
        <f t="shared" si="0"/>
        <v>0</v>
      </c>
      <c r="I6" s="134"/>
      <c r="J6" s="136"/>
      <c r="K6" s="138"/>
      <c r="L6" s="96"/>
      <c r="M6" s="89">
        <v>0</v>
      </c>
      <c r="N6" s="89">
        <v>0</v>
      </c>
      <c r="O6" s="89">
        <f t="shared" si="1"/>
        <v>0</v>
      </c>
    </row>
    <row r="7" spans="1:15" x14ac:dyDescent="0.25">
      <c r="A7" s="134"/>
      <c r="B7" s="136"/>
      <c r="C7" s="138"/>
      <c r="D7" s="90"/>
      <c r="E7" s="89">
        <v>0</v>
      </c>
      <c r="F7" s="89">
        <v>0</v>
      </c>
      <c r="G7" s="89">
        <f t="shared" si="0"/>
        <v>0</v>
      </c>
      <c r="I7" s="134"/>
      <c r="J7" s="136"/>
      <c r="K7" s="138"/>
      <c r="L7" s="96"/>
      <c r="M7" s="89">
        <v>0</v>
      </c>
      <c r="N7" s="89">
        <v>0</v>
      </c>
      <c r="O7" s="89">
        <f t="shared" si="1"/>
        <v>0</v>
      </c>
    </row>
    <row r="8" spans="1:15" x14ac:dyDescent="0.25">
      <c r="A8" s="134"/>
      <c r="B8" s="136"/>
      <c r="C8" s="138"/>
      <c r="D8" s="90"/>
      <c r="E8" s="89">
        <v>0</v>
      </c>
      <c r="F8" s="89">
        <v>0</v>
      </c>
      <c r="G8" s="89">
        <f t="shared" si="0"/>
        <v>0</v>
      </c>
      <c r="I8" s="134"/>
      <c r="J8" s="136"/>
      <c r="K8" s="138"/>
      <c r="L8" s="96"/>
      <c r="M8" s="89">
        <v>0</v>
      </c>
      <c r="N8" s="89">
        <v>0</v>
      </c>
      <c r="O8" s="89">
        <f t="shared" si="1"/>
        <v>0</v>
      </c>
    </row>
    <row r="9" spans="1:15" x14ac:dyDescent="0.25">
      <c r="A9" s="135"/>
      <c r="B9" s="136"/>
      <c r="C9" s="139"/>
      <c r="D9" s="90"/>
      <c r="E9" s="89">
        <v>0</v>
      </c>
      <c r="F9" s="89">
        <v>0</v>
      </c>
      <c r="G9" s="89">
        <f t="shared" si="0"/>
        <v>0</v>
      </c>
      <c r="I9" s="135"/>
      <c r="J9" s="136"/>
      <c r="K9" s="139"/>
      <c r="L9" s="96"/>
      <c r="M9" s="89">
        <v>0</v>
      </c>
      <c r="N9" s="89">
        <v>0</v>
      </c>
      <c r="O9" s="89">
        <f t="shared" si="1"/>
        <v>0</v>
      </c>
    </row>
    <row r="10" spans="1:15" ht="15.75" thickBot="1" x14ac:dyDescent="0.3">
      <c r="A10" s="91"/>
      <c r="B10" s="91"/>
      <c r="C10" s="91"/>
      <c r="D10" s="91"/>
      <c r="E10" s="91"/>
      <c r="F10" s="91"/>
      <c r="G10" s="92">
        <f>SUM(G2:G9)</f>
        <v>0.15416666666666667</v>
      </c>
      <c r="I10" s="91"/>
      <c r="J10" s="91"/>
      <c r="K10" s="91"/>
      <c r="L10" s="97"/>
      <c r="M10" s="91"/>
      <c r="N10" s="91"/>
      <c r="O10" s="92">
        <f>SUM(O2,O9)</f>
        <v>0</v>
      </c>
    </row>
    <row r="11" spans="1:15" ht="114.75" x14ac:dyDescent="0.25">
      <c r="A11" s="133">
        <f>A2+1</f>
        <v>46083</v>
      </c>
      <c r="B11" s="136" t="s">
        <v>75</v>
      </c>
      <c r="C11" s="137" t="s">
        <v>82</v>
      </c>
      <c r="D11" s="39" t="s">
        <v>173</v>
      </c>
      <c r="E11" s="89">
        <v>0.70486111111111116</v>
      </c>
      <c r="F11" s="89">
        <v>0.72222222222222221</v>
      </c>
      <c r="G11" s="89">
        <f>F11-E11</f>
        <v>1.7361111111111049E-2</v>
      </c>
      <c r="I11" s="133">
        <f>I2+1</f>
        <v>46083</v>
      </c>
      <c r="J11" s="136" t="s">
        <v>113</v>
      </c>
      <c r="K11" s="142" t="s">
        <v>83</v>
      </c>
      <c r="L11" s="39" t="s">
        <v>174</v>
      </c>
      <c r="M11" s="89">
        <v>0.79166666666666663</v>
      </c>
      <c r="N11" s="89">
        <v>0.33333333333333331</v>
      </c>
      <c r="O11" s="89">
        <v>13.541666666666666</v>
      </c>
    </row>
    <row r="12" spans="1:15" x14ac:dyDescent="0.25">
      <c r="A12" s="134"/>
      <c r="B12" s="136"/>
      <c r="C12" s="138"/>
      <c r="D12" s="88"/>
      <c r="E12" s="89">
        <v>0</v>
      </c>
      <c r="F12" s="89">
        <v>0</v>
      </c>
      <c r="G12" s="89">
        <f t="shared" ref="G12:G18" si="2">F12-E12</f>
        <v>0</v>
      </c>
      <c r="I12" s="134"/>
      <c r="J12" s="136"/>
      <c r="K12" s="138"/>
      <c r="L12" s="95"/>
      <c r="M12" s="89">
        <v>0</v>
      </c>
      <c r="N12" s="89">
        <v>0</v>
      </c>
      <c r="O12" s="89">
        <f t="shared" ref="O12:O18" si="3">N12-M12</f>
        <v>0</v>
      </c>
    </row>
    <row r="13" spans="1:15" x14ac:dyDescent="0.25">
      <c r="A13" s="134"/>
      <c r="B13" s="136"/>
      <c r="C13" s="138"/>
      <c r="D13" s="90"/>
      <c r="E13" s="89">
        <v>0</v>
      </c>
      <c r="F13" s="89">
        <v>0</v>
      </c>
      <c r="G13" s="89">
        <f t="shared" si="2"/>
        <v>0</v>
      </c>
      <c r="I13" s="134"/>
      <c r="J13" s="136"/>
      <c r="K13" s="138"/>
      <c r="L13" s="96"/>
      <c r="M13" s="89">
        <v>0</v>
      </c>
      <c r="N13" s="89">
        <v>0</v>
      </c>
      <c r="O13" s="89">
        <f t="shared" si="3"/>
        <v>0</v>
      </c>
    </row>
    <row r="14" spans="1:15" x14ac:dyDescent="0.25">
      <c r="A14" s="134"/>
      <c r="B14" s="136"/>
      <c r="C14" s="138"/>
      <c r="D14" s="90"/>
      <c r="E14" s="89">
        <v>0</v>
      </c>
      <c r="F14" s="89">
        <v>0</v>
      </c>
      <c r="G14" s="89">
        <f t="shared" si="2"/>
        <v>0</v>
      </c>
      <c r="I14" s="134"/>
      <c r="J14" s="136"/>
      <c r="K14" s="138"/>
      <c r="L14" s="96"/>
      <c r="M14" s="89">
        <v>0</v>
      </c>
      <c r="N14" s="89">
        <v>0</v>
      </c>
      <c r="O14" s="89">
        <f t="shared" si="3"/>
        <v>0</v>
      </c>
    </row>
    <row r="15" spans="1:15" x14ac:dyDescent="0.25">
      <c r="A15" s="134"/>
      <c r="B15" s="136"/>
      <c r="C15" s="138"/>
      <c r="D15" s="90"/>
      <c r="E15" s="89">
        <v>0</v>
      </c>
      <c r="F15" s="89">
        <v>0</v>
      </c>
      <c r="G15" s="89">
        <f t="shared" si="2"/>
        <v>0</v>
      </c>
      <c r="I15" s="134"/>
      <c r="J15" s="136"/>
      <c r="K15" s="138"/>
      <c r="L15" s="96"/>
      <c r="M15" s="89">
        <v>0</v>
      </c>
      <c r="N15" s="89">
        <v>0</v>
      </c>
      <c r="O15" s="89">
        <f t="shared" si="3"/>
        <v>0</v>
      </c>
    </row>
    <row r="16" spans="1:15" x14ac:dyDescent="0.25">
      <c r="A16" s="134"/>
      <c r="B16" s="136"/>
      <c r="C16" s="138"/>
      <c r="D16" s="90"/>
      <c r="E16" s="89">
        <v>0</v>
      </c>
      <c r="F16" s="89">
        <v>0</v>
      </c>
      <c r="G16" s="89">
        <f t="shared" si="2"/>
        <v>0</v>
      </c>
      <c r="I16" s="134"/>
      <c r="J16" s="136"/>
      <c r="K16" s="138"/>
      <c r="L16" s="96"/>
      <c r="M16" s="89">
        <v>0</v>
      </c>
      <c r="N16" s="89">
        <v>0</v>
      </c>
      <c r="O16" s="89">
        <f t="shared" si="3"/>
        <v>0</v>
      </c>
    </row>
    <row r="17" spans="1:15" x14ac:dyDescent="0.25">
      <c r="A17" s="134"/>
      <c r="B17" s="136"/>
      <c r="C17" s="138"/>
      <c r="D17" s="90"/>
      <c r="E17" s="89">
        <v>0</v>
      </c>
      <c r="F17" s="89">
        <v>0</v>
      </c>
      <c r="G17" s="89">
        <f t="shared" si="2"/>
        <v>0</v>
      </c>
      <c r="I17" s="134"/>
      <c r="J17" s="136"/>
      <c r="K17" s="138"/>
      <c r="L17" s="96"/>
      <c r="M17" s="89">
        <v>0</v>
      </c>
      <c r="N17" s="89">
        <v>0</v>
      </c>
      <c r="O17" s="89">
        <f t="shared" si="3"/>
        <v>0</v>
      </c>
    </row>
    <row r="18" spans="1:15" x14ac:dyDescent="0.25">
      <c r="A18" s="135"/>
      <c r="B18" s="136"/>
      <c r="C18" s="139"/>
      <c r="D18" s="90"/>
      <c r="E18" s="89">
        <v>0</v>
      </c>
      <c r="F18" s="89">
        <v>0</v>
      </c>
      <c r="G18" s="89">
        <f t="shared" si="2"/>
        <v>0</v>
      </c>
      <c r="I18" s="135"/>
      <c r="J18" s="136"/>
      <c r="K18" s="139"/>
      <c r="L18" s="96"/>
      <c r="M18" s="89">
        <v>0</v>
      </c>
      <c r="N18" s="89">
        <v>0</v>
      </c>
      <c r="O18" s="89">
        <f t="shared" si="3"/>
        <v>0</v>
      </c>
    </row>
    <row r="19" spans="1:15" ht="15.75" thickBot="1" x14ac:dyDescent="0.3">
      <c r="A19" s="91"/>
      <c r="B19" s="91"/>
      <c r="C19" s="91"/>
      <c r="D19" s="91"/>
      <c r="E19" s="91"/>
      <c r="F19" s="91"/>
      <c r="G19" s="92">
        <f>SUM(G11,G18)</f>
        <v>1.7361111111111049E-2</v>
      </c>
      <c r="I19" s="91"/>
      <c r="J19" s="91"/>
      <c r="K19" s="91"/>
      <c r="L19" s="97"/>
      <c r="M19" s="91"/>
      <c r="N19" s="91"/>
      <c r="O19" s="92">
        <f>SUM(O11,O18)</f>
        <v>13.541666666666666</v>
      </c>
    </row>
    <row r="20" spans="1:15" ht="25.5" x14ac:dyDescent="0.25">
      <c r="A20" s="133">
        <f>A11+1</f>
        <v>46084</v>
      </c>
      <c r="B20" s="136" t="s">
        <v>77</v>
      </c>
      <c r="C20" s="137" t="s">
        <v>82</v>
      </c>
      <c r="D20" s="104" t="s">
        <v>175</v>
      </c>
      <c r="E20" s="102">
        <v>0.33333333333333331</v>
      </c>
      <c r="F20" s="102">
        <v>0.47916666666666669</v>
      </c>
      <c r="G20" s="89">
        <f>F20-E20</f>
        <v>0.14583333333333337</v>
      </c>
      <c r="I20" s="133">
        <f>I11+1</f>
        <v>46084</v>
      </c>
      <c r="J20" s="136" t="s">
        <v>75</v>
      </c>
      <c r="K20" s="142" t="s">
        <v>83</v>
      </c>
      <c r="L20" s="104" t="s">
        <v>178</v>
      </c>
      <c r="M20" s="102">
        <v>0.80902777777777779</v>
      </c>
      <c r="N20" s="102">
        <v>0.83680555555555558</v>
      </c>
      <c r="O20" s="89">
        <f t="shared" ref="O20:O27" si="4">N20-M20</f>
        <v>2.777777777777779E-2</v>
      </c>
    </row>
    <row r="21" spans="1:15" ht="25.5" x14ac:dyDescent="0.25">
      <c r="A21" s="134"/>
      <c r="B21" s="136"/>
      <c r="C21" s="138"/>
      <c r="D21" s="104" t="s">
        <v>176</v>
      </c>
      <c r="E21" s="102">
        <v>0.52083333333333337</v>
      </c>
      <c r="F21" s="102">
        <v>0.5395833333333333</v>
      </c>
      <c r="G21" s="89">
        <f t="shared" ref="G21:G27" si="5">F21-E21</f>
        <v>1.8749999999999933E-2</v>
      </c>
      <c r="I21" s="134"/>
      <c r="J21" s="136"/>
      <c r="K21" s="138"/>
      <c r="L21" s="104" t="s">
        <v>179</v>
      </c>
      <c r="M21" s="102">
        <v>0.90972222222222221</v>
      </c>
      <c r="N21" s="102">
        <v>1.0243055555555556</v>
      </c>
      <c r="O21" s="89">
        <f t="shared" si="4"/>
        <v>0.11458333333333337</v>
      </c>
    </row>
    <row r="22" spans="1:15" ht="25.5" x14ac:dyDescent="0.25">
      <c r="A22" s="134"/>
      <c r="B22" s="136"/>
      <c r="C22" s="138"/>
      <c r="D22" s="90"/>
      <c r="E22" s="89">
        <v>0</v>
      </c>
      <c r="F22" s="89">
        <v>0</v>
      </c>
      <c r="G22" s="89">
        <f t="shared" si="5"/>
        <v>0</v>
      </c>
      <c r="I22" s="134"/>
      <c r="J22" s="136"/>
      <c r="K22" s="138"/>
      <c r="L22" s="104" t="s">
        <v>180</v>
      </c>
      <c r="M22" s="102">
        <v>0.1875</v>
      </c>
      <c r="N22" s="102">
        <v>0.2013888888888889</v>
      </c>
      <c r="O22" s="89">
        <f t="shared" si="4"/>
        <v>1.3888888888888895E-2</v>
      </c>
    </row>
    <row r="23" spans="1:15" x14ac:dyDescent="0.25">
      <c r="A23" s="134"/>
      <c r="B23" s="136"/>
      <c r="C23" s="138"/>
      <c r="D23" s="90"/>
      <c r="E23" s="89">
        <v>0</v>
      </c>
      <c r="F23" s="89">
        <v>0</v>
      </c>
      <c r="G23" s="89">
        <f t="shared" si="5"/>
        <v>0</v>
      </c>
      <c r="I23" s="134"/>
      <c r="J23" s="136"/>
      <c r="K23" s="138"/>
      <c r="L23" s="104" t="s">
        <v>181</v>
      </c>
      <c r="M23" s="102">
        <v>0.20833333333333334</v>
      </c>
      <c r="N23" s="102">
        <v>0.24305555555555555</v>
      </c>
      <c r="O23" s="89">
        <f t="shared" si="4"/>
        <v>3.472222222222221E-2</v>
      </c>
    </row>
    <row r="24" spans="1:15" ht="25.5" x14ac:dyDescent="0.25">
      <c r="A24" s="134"/>
      <c r="B24" s="136"/>
      <c r="C24" s="138"/>
      <c r="D24" s="90"/>
      <c r="E24" s="89">
        <v>0</v>
      </c>
      <c r="F24" s="89">
        <v>0</v>
      </c>
      <c r="G24" s="89">
        <f t="shared" si="5"/>
        <v>0</v>
      </c>
      <c r="I24" s="134"/>
      <c r="J24" s="136"/>
      <c r="K24" s="138"/>
      <c r="L24" s="104" t="s">
        <v>182</v>
      </c>
      <c r="M24" s="102">
        <v>0.2638888888888889</v>
      </c>
      <c r="N24" s="102">
        <v>0.33333333333333331</v>
      </c>
      <c r="O24" s="89">
        <f t="shared" si="4"/>
        <v>6.944444444444442E-2</v>
      </c>
    </row>
    <row r="25" spans="1:15" x14ac:dyDescent="0.25">
      <c r="A25" s="134"/>
      <c r="B25" s="136"/>
      <c r="C25" s="138"/>
      <c r="D25" s="90"/>
      <c r="E25" s="89">
        <v>0</v>
      </c>
      <c r="F25" s="89">
        <v>0</v>
      </c>
      <c r="G25" s="89">
        <f t="shared" si="5"/>
        <v>0</v>
      </c>
      <c r="I25" s="134"/>
      <c r="J25" s="136"/>
      <c r="K25" s="138"/>
      <c r="L25" s="96"/>
      <c r="M25" s="89">
        <v>0</v>
      </c>
      <c r="N25" s="89">
        <v>0</v>
      </c>
      <c r="O25" s="89">
        <f t="shared" si="4"/>
        <v>0</v>
      </c>
    </row>
    <row r="26" spans="1:15" x14ac:dyDescent="0.25">
      <c r="A26" s="134"/>
      <c r="B26" s="136"/>
      <c r="C26" s="138"/>
      <c r="D26" s="90"/>
      <c r="E26" s="89">
        <v>0</v>
      </c>
      <c r="F26" s="89">
        <v>0</v>
      </c>
      <c r="G26" s="89">
        <f t="shared" si="5"/>
        <v>0</v>
      </c>
      <c r="I26" s="134"/>
      <c r="J26" s="136"/>
      <c r="K26" s="138"/>
      <c r="L26" s="96"/>
      <c r="M26" s="89">
        <v>0</v>
      </c>
      <c r="N26" s="89">
        <v>0</v>
      </c>
      <c r="O26" s="89">
        <f t="shared" si="4"/>
        <v>0</v>
      </c>
    </row>
    <row r="27" spans="1:15" x14ac:dyDescent="0.25">
      <c r="A27" s="135"/>
      <c r="B27" s="136"/>
      <c r="C27" s="139"/>
      <c r="D27" s="90"/>
      <c r="E27" s="89">
        <v>0</v>
      </c>
      <c r="F27" s="89">
        <v>0</v>
      </c>
      <c r="G27" s="89">
        <f t="shared" si="5"/>
        <v>0</v>
      </c>
      <c r="I27" s="135"/>
      <c r="J27" s="136"/>
      <c r="K27" s="139"/>
      <c r="L27" s="96"/>
      <c r="M27" s="89">
        <v>0</v>
      </c>
      <c r="N27" s="89">
        <v>0</v>
      </c>
      <c r="O27" s="89">
        <f t="shared" si="4"/>
        <v>0</v>
      </c>
    </row>
    <row r="28" spans="1:15" ht="15.75" thickBot="1" x14ac:dyDescent="0.3">
      <c r="A28" s="91"/>
      <c r="B28" s="91"/>
      <c r="C28" s="91"/>
      <c r="D28" s="91"/>
      <c r="E28" s="91"/>
      <c r="F28" s="91"/>
      <c r="G28" s="92">
        <f>SUM(G20:G27)</f>
        <v>0.1645833333333333</v>
      </c>
      <c r="I28" s="91"/>
      <c r="J28" s="91"/>
      <c r="K28" s="91"/>
      <c r="L28" s="97"/>
      <c r="M28" s="91"/>
      <c r="N28" s="91"/>
      <c r="O28" s="92">
        <f>SUM(O20:O27)</f>
        <v>0.26041666666666669</v>
      </c>
    </row>
    <row r="29" spans="1:15" ht="25.5" x14ac:dyDescent="0.25">
      <c r="A29" s="133">
        <f>A20+1</f>
        <v>46085</v>
      </c>
      <c r="B29" s="136" t="s">
        <v>114</v>
      </c>
      <c r="C29" s="137" t="s">
        <v>82</v>
      </c>
      <c r="D29" s="39" t="s">
        <v>183</v>
      </c>
      <c r="E29" s="89">
        <v>0.33333333333333331</v>
      </c>
      <c r="F29" s="89">
        <v>0.6</v>
      </c>
      <c r="G29" s="89">
        <f>F29-E29</f>
        <v>0.26666666666666666</v>
      </c>
      <c r="I29" s="133">
        <f>I20+1</f>
        <v>46085</v>
      </c>
      <c r="J29" s="136" t="s">
        <v>77</v>
      </c>
      <c r="K29" s="142" t="s">
        <v>83</v>
      </c>
      <c r="L29" s="104" t="s">
        <v>184</v>
      </c>
      <c r="M29" s="102">
        <v>0.95833333333333337</v>
      </c>
      <c r="N29" s="102">
        <v>0</v>
      </c>
      <c r="O29" s="89">
        <v>2.0833333333333332E-2</v>
      </c>
    </row>
    <row r="30" spans="1:15" x14ac:dyDescent="0.25">
      <c r="A30" s="134"/>
      <c r="B30" s="136"/>
      <c r="C30" s="138"/>
      <c r="D30" s="88"/>
      <c r="E30" s="89">
        <v>0</v>
      </c>
      <c r="F30" s="89">
        <v>0</v>
      </c>
      <c r="G30" s="89">
        <f t="shared" ref="G30:G36" si="6">F30-E30</f>
        <v>0</v>
      </c>
      <c r="I30" s="134"/>
      <c r="J30" s="136"/>
      <c r="K30" s="138"/>
      <c r="L30" s="104" t="s">
        <v>185</v>
      </c>
      <c r="M30" s="102">
        <v>1.3888888888888888E-2</v>
      </c>
      <c r="N30" s="102">
        <v>4.1666666666666664E-2</v>
      </c>
      <c r="O30" s="89">
        <f t="shared" ref="O30:O36" si="7">N30-M30</f>
        <v>2.7777777777777776E-2</v>
      </c>
    </row>
    <row r="31" spans="1:15" ht="25.5" x14ac:dyDescent="0.25">
      <c r="A31" s="134"/>
      <c r="B31" s="136"/>
      <c r="C31" s="138"/>
      <c r="D31" s="90"/>
      <c r="E31" s="89">
        <v>0</v>
      </c>
      <c r="F31" s="89">
        <v>0</v>
      </c>
      <c r="G31" s="89">
        <f t="shared" si="6"/>
        <v>0</v>
      </c>
      <c r="I31" s="134"/>
      <c r="J31" s="136"/>
      <c r="K31" s="138"/>
      <c r="L31" s="104" t="s">
        <v>186</v>
      </c>
      <c r="M31" s="102">
        <v>8.3333333333333329E-2</v>
      </c>
      <c r="N31" s="102">
        <v>0.125</v>
      </c>
      <c r="O31" s="89">
        <f t="shared" si="7"/>
        <v>4.1666666666666671E-2</v>
      </c>
    </row>
    <row r="32" spans="1:15" x14ac:dyDescent="0.25">
      <c r="A32" s="134"/>
      <c r="B32" s="136"/>
      <c r="C32" s="138"/>
      <c r="D32" s="90"/>
      <c r="E32" s="89">
        <v>0</v>
      </c>
      <c r="F32" s="89">
        <v>0</v>
      </c>
      <c r="G32" s="89">
        <f t="shared" si="6"/>
        <v>0</v>
      </c>
      <c r="I32" s="134"/>
      <c r="J32" s="136"/>
      <c r="K32" s="138"/>
      <c r="L32" s="39"/>
      <c r="M32" s="103">
        <v>0</v>
      </c>
      <c r="N32" s="103">
        <v>0</v>
      </c>
      <c r="O32" s="89">
        <f t="shared" si="7"/>
        <v>0</v>
      </c>
    </row>
    <row r="33" spans="1:15" x14ac:dyDescent="0.25">
      <c r="A33" s="134"/>
      <c r="B33" s="136"/>
      <c r="C33" s="138"/>
      <c r="D33" s="90"/>
      <c r="E33" s="89">
        <v>0</v>
      </c>
      <c r="F33" s="89">
        <v>0</v>
      </c>
      <c r="G33" s="89">
        <f t="shared" si="6"/>
        <v>0</v>
      </c>
      <c r="I33" s="134"/>
      <c r="J33" s="136"/>
      <c r="K33" s="138"/>
      <c r="L33" s="39"/>
      <c r="M33" s="102">
        <v>0</v>
      </c>
      <c r="N33" s="102">
        <v>0</v>
      </c>
      <c r="O33" s="89">
        <f t="shared" si="7"/>
        <v>0</v>
      </c>
    </row>
    <row r="34" spans="1:15" x14ac:dyDescent="0.25">
      <c r="A34" s="134"/>
      <c r="B34" s="136"/>
      <c r="C34" s="138"/>
      <c r="D34" s="90"/>
      <c r="E34" s="89">
        <v>0</v>
      </c>
      <c r="F34" s="89">
        <v>0</v>
      </c>
      <c r="G34" s="89">
        <f t="shared" si="6"/>
        <v>0</v>
      </c>
      <c r="I34" s="134"/>
      <c r="J34" s="136"/>
      <c r="K34" s="138"/>
      <c r="L34" s="96"/>
      <c r="M34" s="89">
        <v>0</v>
      </c>
      <c r="N34" s="89">
        <v>0</v>
      </c>
      <c r="O34" s="89">
        <f t="shared" si="7"/>
        <v>0</v>
      </c>
    </row>
    <row r="35" spans="1:15" x14ac:dyDescent="0.25">
      <c r="A35" s="134"/>
      <c r="B35" s="136"/>
      <c r="C35" s="138"/>
      <c r="D35" s="90"/>
      <c r="E35" s="89">
        <v>0</v>
      </c>
      <c r="F35" s="89">
        <v>0</v>
      </c>
      <c r="G35" s="89">
        <f t="shared" si="6"/>
        <v>0</v>
      </c>
      <c r="I35" s="134"/>
      <c r="J35" s="136"/>
      <c r="K35" s="138"/>
      <c r="L35" s="96"/>
      <c r="M35" s="89">
        <v>0</v>
      </c>
      <c r="N35" s="89">
        <v>0</v>
      </c>
      <c r="O35" s="89">
        <f t="shared" si="7"/>
        <v>0</v>
      </c>
    </row>
    <row r="36" spans="1:15" x14ac:dyDescent="0.25">
      <c r="A36" s="135"/>
      <c r="B36" s="136"/>
      <c r="C36" s="139"/>
      <c r="D36" s="90"/>
      <c r="E36" s="89">
        <v>0</v>
      </c>
      <c r="F36" s="89">
        <v>0</v>
      </c>
      <c r="G36" s="89">
        <f t="shared" si="6"/>
        <v>0</v>
      </c>
      <c r="I36" s="135"/>
      <c r="J36" s="136"/>
      <c r="K36" s="139"/>
      <c r="L36" s="96"/>
      <c r="M36" s="89">
        <v>0</v>
      </c>
      <c r="N36" s="89">
        <v>0</v>
      </c>
      <c r="O36" s="89">
        <f t="shared" si="7"/>
        <v>0</v>
      </c>
    </row>
    <row r="37" spans="1:15" ht="15.75" thickBot="1" x14ac:dyDescent="0.3">
      <c r="A37" s="91"/>
      <c r="B37" s="91"/>
      <c r="C37" s="91"/>
      <c r="D37" s="91"/>
      <c r="E37" s="91"/>
      <c r="F37" s="91"/>
      <c r="G37" s="92">
        <f>SUM(G29,G36)</f>
        <v>0.26666666666666666</v>
      </c>
      <c r="I37" s="91"/>
      <c r="J37" s="91"/>
      <c r="K37" s="91"/>
      <c r="L37" s="97"/>
      <c r="M37" s="91"/>
      <c r="N37" s="91"/>
      <c r="O37" s="92">
        <f>SUM(O29:O36)</f>
        <v>9.0277777777777776E-2</v>
      </c>
    </row>
    <row r="38" spans="1:15" x14ac:dyDescent="0.25">
      <c r="A38" s="133">
        <f>A29+1</f>
        <v>46086</v>
      </c>
      <c r="B38" s="136" t="s">
        <v>113</v>
      </c>
      <c r="C38" s="137" t="s">
        <v>82</v>
      </c>
      <c r="D38" s="39" t="s">
        <v>187</v>
      </c>
      <c r="E38" s="38">
        <v>0.53472222222222221</v>
      </c>
      <c r="F38" s="38">
        <v>0.57777777777777772</v>
      </c>
      <c r="G38" s="89">
        <f>F38-E38</f>
        <v>4.3055555555555514E-2</v>
      </c>
      <c r="I38" s="133">
        <f>I29+1</f>
        <v>46086</v>
      </c>
      <c r="J38" s="136" t="s">
        <v>75</v>
      </c>
      <c r="K38" s="142" t="s">
        <v>83</v>
      </c>
      <c r="L38" s="39"/>
      <c r="M38" s="89">
        <v>0</v>
      </c>
      <c r="N38" s="89">
        <v>0</v>
      </c>
      <c r="O38" s="89">
        <f>N38-M38</f>
        <v>0</v>
      </c>
    </row>
    <row r="39" spans="1:15" x14ac:dyDescent="0.25">
      <c r="A39" s="134"/>
      <c r="B39" s="136"/>
      <c r="C39" s="138"/>
      <c r="D39" s="39" t="s">
        <v>188</v>
      </c>
      <c r="E39" s="38">
        <v>0.61875000000000002</v>
      </c>
      <c r="F39" s="38">
        <v>0.64444444444444449</v>
      </c>
      <c r="G39" s="89">
        <f t="shared" ref="G39:G45" si="8">F39-E39</f>
        <v>2.5694444444444464E-2</v>
      </c>
      <c r="I39" s="134"/>
      <c r="J39" s="136"/>
      <c r="K39" s="138"/>
      <c r="L39" s="95"/>
      <c r="M39" s="89">
        <v>0</v>
      </c>
      <c r="N39" s="89">
        <v>0</v>
      </c>
      <c r="O39" s="89">
        <f t="shared" ref="O39:O45" si="9">N39-M39</f>
        <v>0</v>
      </c>
    </row>
    <row r="40" spans="1:15" x14ac:dyDescent="0.25">
      <c r="A40" s="134"/>
      <c r="B40" s="136"/>
      <c r="C40" s="138"/>
      <c r="D40" s="39" t="s">
        <v>235</v>
      </c>
      <c r="E40" s="38">
        <v>0.75555555555555554</v>
      </c>
      <c r="F40" s="38">
        <v>0.79166666666666663</v>
      </c>
      <c r="G40" s="89">
        <f t="shared" si="8"/>
        <v>3.6111111111111094E-2</v>
      </c>
      <c r="I40" s="134"/>
      <c r="J40" s="136"/>
      <c r="K40" s="138"/>
      <c r="L40" s="96"/>
      <c r="M40" s="89">
        <v>0</v>
      </c>
      <c r="N40" s="89">
        <v>0</v>
      </c>
      <c r="O40" s="89">
        <f t="shared" si="9"/>
        <v>0</v>
      </c>
    </row>
    <row r="41" spans="1:15" x14ac:dyDescent="0.25">
      <c r="A41" s="134"/>
      <c r="B41" s="136"/>
      <c r="C41" s="138"/>
      <c r="D41" s="90"/>
      <c r="E41" s="89">
        <v>0</v>
      </c>
      <c r="F41" s="89">
        <v>0</v>
      </c>
      <c r="G41" s="89">
        <f t="shared" si="8"/>
        <v>0</v>
      </c>
      <c r="I41" s="134"/>
      <c r="J41" s="136"/>
      <c r="K41" s="138"/>
      <c r="L41" s="96"/>
      <c r="M41" s="89">
        <v>0</v>
      </c>
      <c r="N41" s="89">
        <v>0</v>
      </c>
      <c r="O41" s="89">
        <f t="shared" si="9"/>
        <v>0</v>
      </c>
    </row>
    <row r="42" spans="1:15" x14ac:dyDescent="0.25">
      <c r="A42" s="134"/>
      <c r="B42" s="136"/>
      <c r="C42" s="138"/>
      <c r="D42" s="90"/>
      <c r="E42" s="89">
        <v>0</v>
      </c>
      <c r="F42" s="89">
        <v>0</v>
      </c>
      <c r="G42" s="89">
        <f t="shared" si="8"/>
        <v>0</v>
      </c>
      <c r="I42" s="134"/>
      <c r="J42" s="136"/>
      <c r="K42" s="138"/>
      <c r="L42" s="96"/>
      <c r="M42" s="89">
        <v>0</v>
      </c>
      <c r="N42" s="89">
        <v>0</v>
      </c>
      <c r="O42" s="89">
        <f t="shared" si="9"/>
        <v>0</v>
      </c>
    </row>
    <row r="43" spans="1:15" x14ac:dyDescent="0.25">
      <c r="A43" s="134"/>
      <c r="B43" s="136"/>
      <c r="C43" s="138"/>
      <c r="D43" s="90"/>
      <c r="E43" s="89">
        <v>0</v>
      </c>
      <c r="F43" s="89">
        <v>0</v>
      </c>
      <c r="G43" s="89">
        <f t="shared" si="8"/>
        <v>0</v>
      </c>
      <c r="I43" s="134"/>
      <c r="J43" s="136"/>
      <c r="K43" s="138"/>
      <c r="L43" s="96"/>
      <c r="M43" s="89">
        <v>0</v>
      </c>
      <c r="N43" s="89">
        <v>0</v>
      </c>
      <c r="O43" s="89">
        <f t="shared" si="9"/>
        <v>0</v>
      </c>
    </row>
    <row r="44" spans="1:15" x14ac:dyDescent="0.25">
      <c r="A44" s="134"/>
      <c r="B44" s="136"/>
      <c r="C44" s="138"/>
      <c r="D44" s="90"/>
      <c r="E44" s="89">
        <v>0</v>
      </c>
      <c r="F44" s="89">
        <v>0</v>
      </c>
      <c r="G44" s="89">
        <f t="shared" si="8"/>
        <v>0</v>
      </c>
      <c r="I44" s="134"/>
      <c r="J44" s="136"/>
      <c r="K44" s="138"/>
      <c r="L44" s="96"/>
      <c r="M44" s="89">
        <v>0</v>
      </c>
      <c r="N44" s="89">
        <v>0</v>
      </c>
      <c r="O44" s="89">
        <f t="shared" si="9"/>
        <v>0</v>
      </c>
    </row>
    <row r="45" spans="1:15" x14ac:dyDescent="0.25">
      <c r="A45" s="135"/>
      <c r="B45" s="136"/>
      <c r="C45" s="139"/>
      <c r="D45" s="90"/>
      <c r="E45" s="89">
        <v>0</v>
      </c>
      <c r="F45" s="89">
        <v>0</v>
      </c>
      <c r="G45" s="89">
        <f t="shared" si="8"/>
        <v>0</v>
      </c>
      <c r="I45" s="135"/>
      <c r="J45" s="136"/>
      <c r="K45" s="139"/>
      <c r="L45" s="96"/>
      <c r="M45" s="89">
        <v>0</v>
      </c>
      <c r="N45" s="89">
        <v>0</v>
      </c>
      <c r="O45" s="89">
        <f t="shared" si="9"/>
        <v>0</v>
      </c>
    </row>
    <row r="46" spans="1:15" ht="15.75" thickBot="1" x14ac:dyDescent="0.3">
      <c r="A46" s="91"/>
      <c r="B46" s="91"/>
      <c r="C46" s="91"/>
      <c r="D46" s="91"/>
      <c r="E46" s="91"/>
      <c r="F46" s="91"/>
      <c r="G46" s="92">
        <f>SUM(G38,G45)</f>
        <v>4.3055555555555514E-2</v>
      </c>
      <c r="I46" s="91"/>
      <c r="J46" s="91"/>
      <c r="K46" s="91"/>
      <c r="L46" s="97"/>
      <c r="M46" s="91"/>
      <c r="N46" s="91"/>
      <c r="O46" s="92">
        <f>SUM(O38,O45)</f>
        <v>0</v>
      </c>
    </row>
    <row r="47" spans="1:15" x14ac:dyDescent="0.25">
      <c r="A47" s="133">
        <f>A38+1</f>
        <v>46087</v>
      </c>
      <c r="B47" s="136" t="s">
        <v>75</v>
      </c>
      <c r="C47" s="137" t="s">
        <v>82</v>
      </c>
      <c r="D47" s="39" t="s">
        <v>196</v>
      </c>
      <c r="E47" s="89">
        <v>0.60763888888888884</v>
      </c>
      <c r="F47" s="89">
        <v>0.62152777777777779</v>
      </c>
      <c r="G47" s="89">
        <f>F47-E47</f>
        <v>1.3888888888888951E-2</v>
      </c>
      <c r="I47" s="133">
        <f>I38+1</f>
        <v>46087</v>
      </c>
      <c r="J47" s="136"/>
      <c r="K47" s="142" t="s">
        <v>83</v>
      </c>
      <c r="L47" s="95"/>
      <c r="M47" s="89">
        <v>0</v>
      </c>
      <c r="N47" s="89">
        <v>0</v>
      </c>
      <c r="O47" s="89">
        <f>N47-M47</f>
        <v>0</v>
      </c>
    </row>
    <row r="48" spans="1:15" x14ac:dyDescent="0.25">
      <c r="A48" s="134"/>
      <c r="B48" s="136"/>
      <c r="C48" s="138"/>
      <c r="D48" s="88"/>
      <c r="E48" s="89">
        <v>0</v>
      </c>
      <c r="F48" s="89">
        <v>0</v>
      </c>
      <c r="G48" s="89">
        <f t="shared" ref="G48:G54" si="10">F48-E48</f>
        <v>0</v>
      </c>
      <c r="I48" s="134"/>
      <c r="J48" s="136"/>
      <c r="K48" s="138"/>
      <c r="L48" s="95"/>
      <c r="M48" s="89">
        <v>0</v>
      </c>
      <c r="N48" s="89">
        <v>0</v>
      </c>
      <c r="O48" s="89">
        <f t="shared" ref="O48:O54" si="11">N48-M48</f>
        <v>0</v>
      </c>
    </row>
    <row r="49" spans="1:15" x14ac:dyDescent="0.25">
      <c r="A49" s="134"/>
      <c r="B49" s="136"/>
      <c r="C49" s="138"/>
      <c r="D49" s="90"/>
      <c r="E49" s="89">
        <v>0</v>
      </c>
      <c r="F49" s="89">
        <v>0</v>
      </c>
      <c r="G49" s="89">
        <f t="shared" si="10"/>
        <v>0</v>
      </c>
      <c r="I49" s="134"/>
      <c r="J49" s="136"/>
      <c r="K49" s="138"/>
      <c r="L49" s="96"/>
      <c r="M49" s="89">
        <v>0</v>
      </c>
      <c r="N49" s="89">
        <v>0</v>
      </c>
      <c r="O49" s="89">
        <f t="shared" si="11"/>
        <v>0</v>
      </c>
    </row>
    <row r="50" spans="1:15" x14ac:dyDescent="0.25">
      <c r="A50" s="134"/>
      <c r="B50" s="136"/>
      <c r="C50" s="138"/>
      <c r="D50" s="90"/>
      <c r="E50" s="89">
        <v>0</v>
      </c>
      <c r="F50" s="89">
        <v>0</v>
      </c>
      <c r="G50" s="89">
        <f t="shared" si="10"/>
        <v>0</v>
      </c>
      <c r="I50" s="134"/>
      <c r="J50" s="136"/>
      <c r="K50" s="138"/>
      <c r="L50" s="96"/>
      <c r="M50" s="89">
        <v>0</v>
      </c>
      <c r="N50" s="89">
        <v>0</v>
      </c>
      <c r="O50" s="89">
        <f t="shared" si="11"/>
        <v>0</v>
      </c>
    </row>
    <row r="51" spans="1:15" x14ac:dyDescent="0.25">
      <c r="A51" s="134"/>
      <c r="B51" s="136"/>
      <c r="C51" s="138"/>
      <c r="D51" s="90"/>
      <c r="E51" s="89">
        <v>0</v>
      </c>
      <c r="F51" s="89">
        <v>0</v>
      </c>
      <c r="G51" s="89">
        <f t="shared" si="10"/>
        <v>0</v>
      </c>
      <c r="I51" s="134"/>
      <c r="J51" s="136"/>
      <c r="K51" s="138"/>
      <c r="L51" s="96"/>
      <c r="M51" s="89">
        <v>0</v>
      </c>
      <c r="N51" s="89">
        <v>0</v>
      </c>
      <c r="O51" s="89">
        <f t="shared" si="11"/>
        <v>0</v>
      </c>
    </row>
    <row r="52" spans="1:15" x14ac:dyDescent="0.25">
      <c r="A52" s="134"/>
      <c r="B52" s="136"/>
      <c r="C52" s="138"/>
      <c r="D52" s="90"/>
      <c r="E52" s="89">
        <v>0</v>
      </c>
      <c r="F52" s="89">
        <v>0</v>
      </c>
      <c r="G52" s="89">
        <f t="shared" si="10"/>
        <v>0</v>
      </c>
      <c r="I52" s="134"/>
      <c r="J52" s="136"/>
      <c r="K52" s="138"/>
      <c r="L52" s="96"/>
      <c r="M52" s="89">
        <v>0</v>
      </c>
      <c r="N52" s="89">
        <v>0</v>
      </c>
      <c r="O52" s="89">
        <f t="shared" si="11"/>
        <v>0</v>
      </c>
    </row>
    <row r="53" spans="1:15" x14ac:dyDescent="0.25">
      <c r="A53" s="134"/>
      <c r="B53" s="136"/>
      <c r="C53" s="138"/>
      <c r="D53" s="90"/>
      <c r="E53" s="89">
        <v>0</v>
      </c>
      <c r="F53" s="89">
        <v>0</v>
      </c>
      <c r="G53" s="89">
        <f t="shared" si="10"/>
        <v>0</v>
      </c>
      <c r="I53" s="134"/>
      <c r="J53" s="136"/>
      <c r="K53" s="138"/>
      <c r="L53" s="96"/>
      <c r="M53" s="89">
        <v>0</v>
      </c>
      <c r="N53" s="89">
        <v>0</v>
      </c>
      <c r="O53" s="89">
        <f t="shared" si="11"/>
        <v>0</v>
      </c>
    </row>
    <row r="54" spans="1:15" x14ac:dyDescent="0.25">
      <c r="A54" s="135"/>
      <c r="B54" s="136"/>
      <c r="C54" s="139"/>
      <c r="D54" s="90"/>
      <c r="E54" s="89">
        <v>0</v>
      </c>
      <c r="F54" s="89">
        <v>0</v>
      </c>
      <c r="G54" s="89">
        <f t="shared" si="10"/>
        <v>0</v>
      </c>
      <c r="I54" s="135"/>
      <c r="J54" s="136"/>
      <c r="K54" s="139"/>
      <c r="L54" s="96"/>
      <c r="M54" s="89">
        <v>0</v>
      </c>
      <c r="N54" s="89">
        <v>0</v>
      </c>
      <c r="O54" s="89">
        <f t="shared" si="11"/>
        <v>0</v>
      </c>
    </row>
    <row r="55" spans="1:15" ht="15.75" thickBot="1" x14ac:dyDescent="0.3">
      <c r="A55" s="91"/>
      <c r="B55" s="91"/>
      <c r="C55" s="91"/>
      <c r="D55" s="91"/>
      <c r="E55" s="91"/>
      <c r="F55" s="91"/>
      <c r="G55" s="92">
        <f>SUM(G47,G54)</f>
        <v>1.3888888888888951E-2</v>
      </c>
      <c r="I55" s="91"/>
      <c r="J55" s="91"/>
      <c r="K55" s="91"/>
      <c r="L55" s="97"/>
      <c r="M55" s="91"/>
      <c r="N55" s="91"/>
      <c r="O55" s="92">
        <f>SUM(O47,O54)</f>
        <v>0</v>
      </c>
    </row>
    <row r="56" spans="1:15" x14ac:dyDescent="0.25">
      <c r="A56" s="133">
        <f>A47+1</f>
        <v>46088</v>
      </c>
      <c r="B56" s="136"/>
      <c r="C56" s="137" t="s">
        <v>82</v>
      </c>
      <c r="D56" s="88"/>
      <c r="E56" s="89">
        <v>0</v>
      </c>
      <c r="F56" s="89">
        <v>0</v>
      </c>
      <c r="G56" s="89">
        <f>F56-E56</f>
        <v>0</v>
      </c>
      <c r="I56" s="133">
        <f>I47+1</f>
        <v>46088</v>
      </c>
      <c r="J56" s="136" t="s">
        <v>75</v>
      </c>
      <c r="K56" s="142" t="s">
        <v>83</v>
      </c>
      <c r="L56" s="95" t="s">
        <v>197</v>
      </c>
      <c r="M56" s="89">
        <v>0.85416666666666663</v>
      </c>
      <c r="N56" s="89">
        <v>0.86805555555555558</v>
      </c>
      <c r="O56" s="89">
        <f>N56-M56</f>
        <v>1.3888888888888951E-2</v>
      </c>
    </row>
    <row r="57" spans="1:15" x14ac:dyDescent="0.25">
      <c r="A57" s="134"/>
      <c r="B57" s="136"/>
      <c r="C57" s="138"/>
      <c r="D57" s="88"/>
      <c r="E57" s="89">
        <v>0</v>
      </c>
      <c r="F57" s="89">
        <v>0</v>
      </c>
      <c r="G57" s="89">
        <f t="shared" ref="G57:G63" si="12">F57-E57</f>
        <v>0</v>
      </c>
      <c r="I57" s="134"/>
      <c r="J57" s="136"/>
      <c r="K57" s="138"/>
      <c r="L57" s="95" t="s">
        <v>198</v>
      </c>
      <c r="M57" s="89">
        <v>0.88194444444444442</v>
      </c>
      <c r="N57" s="89">
        <v>0.88888888888888884</v>
      </c>
      <c r="O57" s="89">
        <f t="shared" ref="O57:O63" si="13">N57-M57</f>
        <v>6.9444444444444198E-3</v>
      </c>
    </row>
    <row r="58" spans="1:15" x14ac:dyDescent="0.25">
      <c r="A58" s="134"/>
      <c r="B58" s="136"/>
      <c r="C58" s="138"/>
      <c r="D58" s="90"/>
      <c r="E58" s="89">
        <v>0</v>
      </c>
      <c r="F58" s="89">
        <v>0</v>
      </c>
      <c r="G58" s="89">
        <f t="shared" si="12"/>
        <v>0</v>
      </c>
      <c r="I58" s="134"/>
      <c r="J58" s="136"/>
      <c r="K58" s="138"/>
      <c r="L58" s="96"/>
      <c r="M58" s="89">
        <v>0</v>
      </c>
      <c r="N58" s="89">
        <v>0</v>
      </c>
      <c r="O58" s="89">
        <f t="shared" si="13"/>
        <v>0</v>
      </c>
    </row>
    <row r="59" spans="1:15" x14ac:dyDescent="0.25">
      <c r="A59" s="134"/>
      <c r="B59" s="136"/>
      <c r="C59" s="138"/>
      <c r="D59" s="90"/>
      <c r="E59" s="89">
        <v>0</v>
      </c>
      <c r="F59" s="89">
        <v>0</v>
      </c>
      <c r="G59" s="89">
        <f t="shared" si="12"/>
        <v>0</v>
      </c>
      <c r="I59" s="134"/>
      <c r="J59" s="136"/>
      <c r="K59" s="138"/>
      <c r="L59" s="96"/>
      <c r="M59" s="89">
        <v>0</v>
      </c>
      <c r="N59" s="89">
        <v>0</v>
      </c>
      <c r="O59" s="89">
        <f t="shared" si="13"/>
        <v>0</v>
      </c>
    </row>
    <row r="60" spans="1:15" x14ac:dyDescent="0.25">
      <c r="A60" s="134"/>
      <c r="B60" s="136"/>
      <c r="C60" s="138"/>
      <c r="D60" s="90"/>
      <c r="E60" s="89">
        <v>0</v>
      </c>
      <c r="F60" s="89">
        <v>0</v>
      </c>
      <c r="G60" s="89">
        <f t="shared" si="12"/>
        <v>0</v>
      </c>
      <c r="I60" s="134"/>
      <c r="J60" s="136"/>
      <c r="K60" s="138"/>
      <c r="L60" s="96"/>
      <c r="M60" s="89">
        <v>0</v>
      </c>
      <c r="N60" s="89">
        <v>0</v>
      </c>
      <c r="O60" s="89">
        <f t="shared" si="13"/>
        <v>0</v>
      </c>
    </row>
    <row r="61" spans="1:15" x14ac:dyDescent="0.25">
      <c r="A61" s="134"/>
      <c r="B61" s="136"/>
      <c r="C61" s="138"/>
      <c r="D61" s="90"/>
      <c r="E61" s="89">
        <v>0</v>
      </c>
      <c r="F61" s="89">
        <v>0</v>
      </c>
      <c r="G61" s="89">
        <f t="shared" si="12"/>
        <v>0</v>
      </c>
      <c r="I61" s="134"/>
      <c r="J61" s="136"/>
      <c r="K61" s="138"/>
      <c r="L61" s="96"/>
      <c r="M61" s="89">
        <v>0</v>
      </c>
      <c r="N61" s="89">
        <v>0</v>
      </c>
      <c r="O61" s="89">
        <f t="shared" si="13"/>
        <v>0</v>
      </c>
    </row>
    <row r="62" spans="1:15" x14ac:dyDescent="0.25">
      <c r="A62" s="134"/>
      <c r="B62" s="136"/>
      <c r="C62" s="138"/>
      <c r="D62" s="90"/>
      <c r="E62" s="89">
        <v>0</v>
      </c>
      <c r="F62" s="89">
        <v>0</v>
      </c>
      <c r="G62" s="89">
        <f t="shared" si="12"/>
        <v>0</v>
      </c>
      <c r="I62" s="134"/>
      <c r="J62" s="136"/>
      <c r="K62" s="138"/>
      <c r="L62" s="96"/>
      <c r="M62" s="89">
        <v>0</v>
      </c>
      <c r="N62" s="89">
        <v>0</v>
      </c>
      <c r="O62" s="89">
        <f t="shared" si="13"/>
        <v>0</v>
      </c>
    </row>
    <row r="63" spans="1:15" x14ac:dyDescent="0.25">
      <c r="A63" s="135"/>
      <c r="B63" s="136"/>
      <c r="C63" s="139"/>
      <c r="D63" s="90"/>
      <c r="E63" s="89">
        <v>0</v>
      </c>
      <c r="F63" s="89">
        <v>0</v>
      </c>
      <c r="G63" s="89">
        <f t="shared" si="12"/>
        <v>0</v>
      </c>
      <c r="I63" s="135"/>
      <c r="J63" s="136"/>
      <c r="K63" s="139"/>
      <c r="L63" s="96"/>
      <c r="M63" s="89">
        <v>0</v>
      </c>
      <c r="N63" s="89">
        <v>0</v>
      </c>
      <c r="O63" s="89">
        <f t="shared" si="13"/>
        <v>0</v>
      </c>
    </row>
    <row r="64" spans="1:15" ht="15.75" thickBot="1" x14ac:dyDescent="0.3">
      <c r="A64" s="91"/>
      <c r="B64" s="91"/>
      <c r="C64" s="91"/>
      <c r="D64" s="91"/>
      <c r="E64" s="91"/>
      <c r="F64" s="91"/>
      <c r="G64" s="92">
        <f>SUM(G56,G63)</f>
        <v>0</v>
      </c>
      <c r="I64" s="91"/>
      <c r="J64" s="91"/>
      <c r="K64" s="91"/>
      <c r="L64" s="97"/>
      <c r="M64" s="91"/>
      <c r="N64" s="91"/>
      <c r="O64" s="92">
        <f>SUM(O56,O63)</f>
        <v>1.3888888888888951E-2</v>
      </c>
    </row>
    <row r="65" spans="1:15" ht="58.9" customHeight="1" x14ac:dyDescent="0.25">
      <c r="A65" s="133">
        <f>A56+1</f>
        <v>46089</v>
      </c>
      <c r="B65" s="136" t="s">
        <v>114</v>
      </c>
      <c r="C65" s="137" t="s">
        <v>82</v>
      </c>
      <c r="D65" s="88" t="s">
        <v>200</v>
      </c>
      <c r="E65" s="89">
        <v>0.45555555555555555</v>
      </c>
      <c r="F65" s="89">
        <v>0.51527777777777772</v>
      </c>
      <c r="G65" s="89">
        <f>F65-E65</f>
        <v>5.9722222222222177E-2</v>
      </c>
      <c r="I65" s="133">
        <f>I56+1</f>
        <v>46089</v>
      </c>
      <c r="J65" s="136" t="s">
        <v>77</v>
      </c>
      <c r="K65" s="142" t="s">
        <v>83</v>
      </c>
      <c r="L65" s="95"/>
      <c r="M65" s="89">
        <v>0</v>
      </c>
      <c r="N65" s="89">
        <v>0</v>
      </c>
      <c r="O65" s="89">
        <f>N65-M65</f>
        <v>0</v>
      </c>
    </row>
    <row r="66" spans="1:15" ht="45" x14ac:dyDescent="0.25">
      <c r="A66" s="134"/>
      <c r="B66" s="136"/>
      <c r="C66" s="138"/>
      <c r="D66" s="88" t="s">
        <v>201</v>
      </c>
      <c r="E66" s="89">
        <v>0.63611111111111107</v>
      </c>
      <c r="F66" s="89">
        <v>0.65069444444444446</v>
      </c>
      <c r="G66" s="89">
        <f t="shared" ref="G66:G72" si="14">F66-E66</f>
        <v>1.4583333333333393E-2</v>
      </c>
      <c r="I66" s="134"/>
      <c r="J66" s="136"/>
      <c r="K66" s="138"/>
      <c r="L66" s="95"/>
      <c r="M66" s="89">
        <v>0</v>
      </c>
      <c r="N66" s="89">
        <v>0</v>
      </c>
      <c r="O66" s="89">
        <f t="shared" ref="O66:O72" si="15">N66-M66</f>
        <v>0</v>
      </c>
    </row>
    <row r="67" spans="1:15" ht="60" x14ac:dyDescent="0.25">
      <c r="A67" s="134"/>
      <c r="B67" s="136"/>
      <c r="C67" s="138"/>
      <c r="D67" s="93" t="s">
        <v>199</v>
      </c>
      <c r="E67" s="89">
        <v>0.69861111111111107</v>
      </c>
      <c r="F67" s="89">
        <v>0.72916666666666663</v>
      </c>
      <c r="G67" s="89">
        <f t="shared" si="14"/>
        <v>3.0555555555555558E-2</v>
      </c>
      <c r="I67" s="134"/>
      <c r="J67" s="136"/>
      <c r="K67" s="138"/>
      <c r="L67" s="96"/>
      <c r="M67" s="89">
        <v>0</v>
      </c>
      <c r="N67" s="89">
        <v>0</v>
      </c>
      <c r="O67" s="89">
        <f t="shared" si="15"/>
        <v>0</v>
      </c>
    </row>
    <row r="68" spans="1:15" x14ac:dyDescent="0.25">
      <c r="A68" s="134"/>
      <c r="B68" s="136"/>
      <c r="C68" s="138"/>
      <c r="D68" s="90"/>
      <c r="E68" s="89">
        <v>0</v>
      </c>
      <c r="F68" s="89">
        <v>0</v>
      </c>
      <c r="G68" s="89">
        <f t="shared" si="14"/>
        <v>0</v>
      </c>
      <c r="I68" s="134"/>
      <c r="J68" s="136"/>
      <c r="K68" s="138"/>
      <c r="L68" s="96"/>
      <c r="M68" s="89">
        <v>0</v>
      </c>
      <c r="N68" s="89">
        <v>0</v>
      </c>
      <c r="O68" s="89">
        <f t="shared" si="15"/>
        <v>0</v>
      </c>
    </row>
    <row r="69" spans="1:15" x14ac:dyDescent="0.25">
      <c r="A69" s="134"/>
      <c r="B69" s="136"/>
      <c r="C69" s="138"/>
      <c r="D69" s="90"/>
      <c r="E69" s="89">
        <v>0</v>
      </c>
      <c r="F69" s="89">
        <v>0</v>
      </c>
      <c r="G69" s="89">
        <f t="shared" si="14"/>
        <v>0</v>
      </c>
      <c r="I69" s="134"/>
      <c r="J69" s="136"/>
      <c r="K69" s="138"/>
      <c r="L69" s="96"/>
      <c r="M69" s="89">
        <v>0</v>
      </c>
      <c r="N69" s="89">
        <v>0</v>
      </c>
      <c r="O69" s="89">
        <f t="shared" si="15"/>
        <v>0</v>
      </c>
    </row>
    <row r="70" spans="1:15" x14ac:dyDescent="0.25">
      <c r="A70" s="134"/>
      <c r="B70" s="136"/>
      <c r="C70" s="138"/>
      <c r="D70" s="90"/>
      <c r="E70" s="89">
        <v>0</v>
      </c>
      <c r="F70" s="89">
        <v>0</v>
      </c>
      <c r="G70" s="89">
        <f t="shared" si="14"/>
        <v>0</v>
      </c>
      <c r="I70" s="134"/>
      <c r="J70" s="136"/>
      <c r="K70" s="138"/>
      <c r="L70" s="96"/>
      <c r="M70" s="89">
        <v>0</v>
      </c>
      <c r="N70" s="89">
        <v>0</v>
      </c>
      <c r="O70" s="89">
        <f t="shared" si="15"/>
        <v>0</v>
      </c>
    </row>
    <row r="71" spans="1:15" x14ac:dyDescent="0.25">
      <c r="A71" s="134"/>
      <c r="B71" s="136"/>
      <c r="C71" s="138"/>
      <c r="D71" s="90"/>
      <c r="E71" s="89">
        <v>0</v>
      </c>
      <c r="F71" s="89">
        <v>0</v>
      </c>
      <c r="G71" s="89">
        <f t="shared" si="14"/>
        <v>0</v>
      </c>
      <c r="I71" s="134"/>
      <c r="J71" s="136"/>
      <c r="K71" s="138"/>
      <c r="L71" s="96"/>
      <c r="M71" s="89">
        <v>0</v>
      </c>
      <c r="N71" s="89">
        <v>0</v>
      </c>
      <c r="O71" s="89">
        <f t="shared" si="15"/>
        <v>0</v>
      </c>
    </row>
    <row r="72" spans="1:15" x14ac:dyDescent="0.25">
      <c r="A72" s="135"/>
      <c r="B72" s="136"/>
      <c r="C72" s="139"/>
      <c r="D72" s="90"/>
      <c r="E72" s="89">
        <v>0</v>
      </c>
      <c r="F72" s="89">
        <v>0</v>
      </c>
      <c r="G72" s="89">
        <f t="shared" si="14"/>
        <v>0</v>
      </c>
      <c r="I72" s="135"/>
      <c r="J72" s="136"/>
      <c r="K72" s="139"/>
      <c r="L72" s="96"/>
      <c r="M72" s="89">
        <v>0</v>
      </c>
      <c r="N72" s="89">
        <v>0</v>
      </c>
      <c r="O72" s="89">
        <f t="shared" si="15"/>
        <v>0</v>
      </c>
    </row>
    <row r="73" spans="1:15" ht="15.75" thickBot="1" x14ac:dyDescent="0.3">
      <c r="A73" s="91"/>
      <c r="B73" s="91"/>
      <c r="C73" s="91"/>
      <c r="D73" s="91"/>
      <c r="E73" s="91"/>
      <c r="F73" s="91"/>
      <c r="G73" s="92">
        <f>SUM(G65,G72)</f>
        <v>5.9722222222222177E-2</v>
      </c>
      <c r="I73" s="91"/>
      <c r="J73" s="91"/>
      <c r="K73" s="91"/>
      <c r="L73" s="97"/>
      <c r="M73" s="91"/>
      <c r="N73" s="91"/>
      <c r="O73" s="92">
        <f>SUM(O65,O72)</f>
        <v>0</v>
      </c>
    </row>
    <row r="74" spans="1:15" ht="45" x14ac:dyDescent="0.25">
      <c r="A74" s="133">
        <f>A65+1</f>
        <v>46090</v>
      </c>
      <c r="B74" s="136" t="s">
        <v>113</v>
      </c>
      <c r="C74" s="137" t="s">
        <v>82</v>
      </c>
      <c r="D74" s="88" t="s">
        <v>209</v>
      </c>
      <c r="E74" s="89">
        <v>0.60277777777777775</v>
      </c>
      <c r="F74" s="89">
        <v>0.61319444444444449</v>
      </c>
      <c r="G74" s="89">
        <f>F74-E74</f>
        <v>1.0416666666666741E-2</v>
      </c>
      <c r="I74" s="133">
        <f>I65+1</f>
        <v>46090</v>
      </c>
      <c r="J74" s="136" t="s">
        <v>114</v>
      </c>
      <c r="K74" s="142" t="s">
        <v>83</v>
      </c>
      <c r="L74" s="100" t="s">
        <v>210</v>
      </c>
      <c r="M74" s="89">
        <v>0.81944444444444442</v>
      </c>
      <c r="N74" s="89">
        <v>0.86944444444444446</v>
      </c>
      <c r="O74" s="89">
        <f>N74-M74</f>
        <v>5.0000000000000044E-2</v>
      </c>
    </row>
    <row r="75" spans="1:15" ht="45" x14ac:dyDescent="0.25">
      <c r="A75" s="134"/>
      <c r="B75" s="136"/>
      <c r="C75" s="138"/>
      <c r="D75" s="88" t="s">
        <v>212</v>
      </c>
      <c r="E75" s="89">
        <v>0</v>
      </c>
      <c r="F75" s="89">
        <v>0</v>
      </c>
      <c r="G75" s="89">
        <f t="shared" ref="G75:G83" si="16">F75-E75</f>
        <v>0</v>
      </c>
      <c r="I75" s="134"/>
      <c r="J75" s="136"/>
      <c r="K75" s="138"/>
      <c r="L75" s="99"/>
      <c r="M75" s="89">
        <v>0</v>
      </c>
      <c r="N75" s="89">
        <v>0</v>
      </c>
      <c r="O75" s="89">
        <f t="shared" ref="O75:O83" si="17">N75-M75</f>
        <v>0</v>
      </c>
    </row>
    <row r="76" spans="1:15" x14ac:dyDescent="0.25">
      <c r="A76" s="134"/>
      <c r="B76" s="136"/>
      <c r="C76" s="138"/>
      <c r="D76" s="88" t="s">
        <v>202</v>
      </c>
      <c r="E76" s="89">
        <v>0</v>
      </c>
      <c r="F76" s="89">
        <v>0</v>
      </c>
      <c r="G76" s="89">
        <f t="shared" si="16"/>
        <v>0</v>
      </c>
      <c r="I76" s="134"/>
      <c r="J76" s="136"/>
      <c r="K76" s="138"/>
      <c r="L76" s="99"/>
      <c r="M76" s="89">
        <v>0</v>
      </c>
      <c r="N76" s="89">
        <v>0</v>
      </c>
      <c r="O76" s="89">
        <f t="shared" si="17"/>
        <v>0</v>
      </c>
    </row>
    <row r="77" spans="1:15" x14ac:dyDescent="0.25">
      <c r="A77" s="134"/>
      <c r="B77" s="136"/>
      <c r="C77" s="138"/>
      <c r="D77" s="88" t="s">
        <v>211</v>
      </c>
      <c r="E77" s="89">
        <v>0</v>
      </c>
      <c r="F77" s="89">
        <v>0</v>
      </c>
      <c r="G77" s="89">
        <f t="shared" si="16"/>
        <v>0</v>
      </c>
      <c r="I77" s="134"/>
      <c r="J77" s="136"/>
      <c r="K77" s="138"/>
      <c r="L77" s="99"/>
      <c r="M77" s="89">
        <v>0</v>
      </c>
      <c r="N77" s="89">
        <v>0</v>
      </c>
      <c r="O77" s="89">
        <f t="shared" si="17"/>
        <v>0</v>
      </c>
    </row>
    <row r="78" spans="1:15" x14ac:dyDescent="0.25">
      <c r="A78" s="134"/>
      <c r="B78" s="136"/>
      <c r="C78" s="138"/>
      <c r="D78" s="90" t="s">
        <v>203</v>
      </c>
      <c r="E78" s="89">
        <v>0</v>
      </c>
      <c r="F78" s="89">
        <v>0</v>
      </c>
      <c r="G78" s="89">
        <f t="shared" si="16"/>
        <v>0</v>
      </c>
      <c r="I78" s="134"/>
      <c r="J78" s="136"/>
      <c r="K78" s="138"/>
      <c r="L78" s="99"/>
      <c r="M78" s="89">
        <v>0</v>
      </c>
      <c r="N78" s="89">
        <v>0</v>
      </c>
      <c r="O78" s="89">
        <f t="shared" si="17"/>
        <v>0</v>
      </c>
    </row>
    <row r="79" spans="1:15" x14ac:dyDescent="0.25">
      <c r="A79" s="134"/>
      <c r="B79" s="136"/>
      <c r="C79" s="138"/>
      <c r="D79" s="90" t="s">
        <v>204</v>
      </c>
      <c r="E79" s="89">
        <v>0.87083333333333335</v>
      </c>
      <c r="F79" s="89">
        <v>0.88611111111111107</v>
      </c>
      <c r="G79" s="89">
        <f t="shared" si="16"/>
        <v>1.5277777777777724E-2</v>
      </c>
      <c r="I79" s="134"/>
      <c r="J79" s="136"/>
      <c r="K79" s="138"/>
      <c r="L79" s="99"/>
      <c r="M79" s="89">
        <v>0</v>
      </c>
      <c r="N79" s="89">
        <v>0</v>
      </c>
      <c r="O79" s="89">
        <f t="shared" si="17"/>
        <v>0</v>
      </c>
    </row>
    <row r="80" spans="1:15" x14ac:dyDescent="0.25">
      <c r="A80" s="134"/>
      <c r="B80" s="136"/>
      <c r="C80" s="138"/>
      <c r="D80" s="90" t="s">
        <v>205</v>
      </c>
      <c r="E80" s="89"/>
      <c r="F80" s="89"/>
      <c r="G80" s="89"/>
      <c r="I80" s="134"/>
      <c r="J80" s="136"/>
      <c r="K80" s="138"/>
      <c r="L80" s="99"/>
      <c r="M80" s="89"/>
      <c r="N80" s="89"/>
      <c r="O80" s="89"/>
    </row>
    <row r="81" spans="1:15" x14ac:dyDescent="0.25">
      <c r="A81" s="134"/>
      <c r="B81" s="136"/>
      <c r="C81" s="138"/>
      <c r="D81" s="90" t="s">
        <v>206</v>
      </c>
      <c r="E81" s="89"/>
      <c r="F81" s="89"/>
      <c r="G81" s="89"/>
      <c r="I81" s="134"/>
      <c r="J81" s="136"/>
      <c r="K81" s="138"/>
      <c r="L81" s="99"/>
      <c r="M81" s="89"/>
      <c r="N81" s="89"/>
      <c r="O81" s="89"/>
    </row>
    <row r="82" spans="1:15" x14ac:dyDescent="0.25">
      <c r="A82" s="134"/>
      <c r="B82" s="136"/>
      <c r="C82" s="138"/>
      <c r="D82" s="90" t="s">
        <v>207</v>
      </c>
      <c r="E82" s="89">
        <v>0</v>
      </c>
      <c r="F82" s="89">
        <v>0</v>
      </c>
      <c r="G82" s="89">
        <f t="shared" si="16"/>
        <v>0</v>
      </c>
      <c r="I82" s="134"/>
      <c r="J82" s="136"/>
      <c r="K82" s="138"/>
      <c r="L82" s="99"/>
      <c r="M82" s="89">
        <v>0</v>
      </c>
      <c r="N82" s="89">
        <v>0</v>
      </c>
      <c r="O82" s="89">
        <f t="shared" si="17"/>
        <v>0</v>
      </c>
    </row>
    <row r="83" spans="1:15" x14ac:dyDescent="0.25">
      <c r="A83" s="135"/>
      <c r="B83" s="136"/>
      <c r="C83" s="139"/>
      <c r="D83" s="90" t="s">
        <v>208</v>
      </c>
      <c r="E83" s="89">
        <v>0</v>
      </c>
      <c r="F83" s="89">
        <v>0</v>
      </c>
      <c r="G83" s="89">
        <f t="shared" si="16"/>
        <v>0</v>
      </c>
      <c r="I83" s="135"/>
      <c r="J83" s="136"/>
      <c r="K83" s="139"/>
      <c r="L83" s="99"/>
      <c r="M83" s="89">
        <v>0</v>
      </c>
      <c r="N83" s="89">
        <v>0</v>
      </c>
      <c r="O83" s="89">
        <f t="shared" si="17"/>
        <v>0</v>
      </c>
    </row>
    <row r="84" spans="1:15" ht="15.75" thickBot="1" x14ac:dyDescent="0.3">
      <c r="A84" s="91"/>
      <c r="B84" s="91"/>
      <c r="C84" s="91"/>
      <c r="D84" s="91"/>
      <c r="E84" s="91"/>
      <c r="F84" s="91"/>
      <c r="G84" s="92">
        <f>SUM(G74,G83)</f>
        <v>1.0416666666666741E-2</v>
      </c>
      <c r="I84" s="91"/>
      <c r="J84" s="91"/>
      <c r="K84" s="91"/>
      <c r="L84" s="97"/>
      <c r="M84" s="91"/>
      <c r="N84" s="91"/>
      <c r="O84" s="92">
        <f>SUM(O74,O83)</f>
        <v>5.0000000000000044E-2</v>
      </c>
    </row>
    <row r="85" spans="1:15" ht="45" x14ac:dyDescent="0.25">
      <c r="A85" s="133">
        <f>A74+1</f>
        <v>46091</v>
      </c>
      <c r="B85" s="136"/>
      <c r="C85" s="137" t="s">
        <v>82</v>
      </c>
      <c r="D85" s="88" t="s">
        <v>236</v>
      </c>
      <c r="E85" s="89">
        <v>0.33333333333333331</v>
      </c>
      <c r="F85" s="89">
        <v>0.79166666666666663</v>
      </c>
      <c r="G85" s="89">
        <f t="shared" ref="G85:G92" si="18">F85-E85</f>
        <v>0.45833333333333331</v>
      </c>
      <c r="I85" s="133">
        <f>I74+1</f>
        <v>46091</v>
      </c>
      <c r="J85" s="136" t="s">
        <v>75</v>
      </c>
      <c r="K85" s="142" t="s">
        <v>83</v>
      </c>
      <c r="L85" s="95" t="s">
        <v>214</v>
      </c>
      <c r="M85" s="89">
        <v>0.79166666666666663</v>
      </c>
      <c r="N85" s="89">
        <v>0.90694444444444444</v>
      </c>
      <c r="O85" s="89">
        <f>N85-M85</f>
        <v>0.11527777777777781</v>
      </c>
    </row>
    <row r="86" spans="1:15" ht="30" x14ac:dyDescent="0.25">
      <c r="A86" s="134"/>
      <c r="B86" s="136"/>
      <c r="C86" s="138"/>
      <c r="D86" s="88"/>
      <c r="E86" s="89">
        <v>0</v>
      </c>
      <c r="F86" s="89">
        <v>0</v>
      </c>
      <c r="G86" s="89">
        <f t="shared" si="18"/>
        <v>0</v>
      </c>
      <c r="I86" s="134"/>
      <c r="J86" s="136"/>
      <c r="K86" s="138"/>
      <c r="L86" s="95" t="s">
        <v>213</v>
      </c>
      <c r="M86" s="89">
        <v>2.7083333333333334E-2</v>
      </c>
      <c r="N86" s="89">
        <v>8.5416666666666669E-2</v>
      </c>
      <c r="O86" s="89">
        <f t="shared" ref="O86:O92" si="19">N86-M86</f>
        <v>5.8333333333333334E-2</v>
      </c>
    </row>
    <row r="87" spans="1:15" x14ac:dyDescent="0.25">
      <c r="A87" s="134"/>
      <c r="B87" s="136"/>
      <c r="C87" s="138"/>
      <c r="D87" s="90"/>
      <c r="E87" s="89">
        <v>0.23680555555555555</v>
      </c>
      <c r="F87" s="89">
        <v>0</v>
      </c>
      <c r="G87" s="89">
        <v>0</v>
      </c>
      <c r="I87" s="134"/>
      <c r="J87" s="136"/>
      <c r="K87" s="138"/>
      <c r="L87" s="96" t="s">
        <v>215</v>
      </c>
      <c r="M87" s="89">
        <v>0</v>
      </c>
      <c r="N87" s="89">
        <v>0</v>
      </c>
      <c r="O87" s="89">
        <f t="shared" si="19"/>
        <v>0</v>
      </c>
    </row>
    <row r="88" spans="1:15" x14ac:dyDescent="0.25">
      <c r="A88" s="134"/>
      <c r="B88" s="136"/>
      <c r="C88" s="138"/>
      <c r="D88" s="90"/>
      <c r="E88" s="89">
        <v>0</v>
      </c>
      <c r="F88" s="89">
        <v>0</v>
      </c>
      <c r="G88" s="89">
        <f t="shared" si="18"/>
        <v>0</v>
      </c>
      <c r="I88" s="134"/>
      <c r="J88" s="136"/>
      <c r="K88" s="138"/>
      <c r="L88" s="96" t="s">
        <v>216</v>
      </c>
      <c r="M88" s="89">
        <v>0</v>
      </c>
      <c r="N88" s="89">
        <v>0</v>
      </c>
      <c r="O88" s="89">
        <f t="shared" si="19"/>
        <v>0</v>
      </c>
    </row>
    <row r="89" spans="1:15" x14ac:dyDescent="0.25">
      <c r="A89" s="134"/>
      <c r="B89" s="136"/>
      <c r="C89" s="138"/>
      <c r="D89" s="90"/>
      <c r="E89" s="89">
        <v>0</v>
      </c>
      <c r="F89" s="89">
        <v>0</v>
      </c>
      <c r="G89" s="89">
        <f t="shared" si="18"/>
        <v>0</v>
      </c>
      <c r="I89" s="134"/>
      <c r="J89" s="136"/>
      <c r="K89" s="138"/>
      <c r="L89" s="96" t="s">
        <v>217</v>
      </c>
      <c r="M89" s="89">
        <v>0</v>
      </c>
      <c r="N89" s="89">
        <v>0</v>
      </c>
      <c r="O89" s="89">
        <f t="shared" si="19"/>
        <v>0</v>
      </c>
    </row>
    <row r="90" spans="1:15" x14ac:dyDescent="0.25">
      <c r="A90" s="134"/>
      <c r="B90" s="136"/>
      <c r="C90" s="138"/>
      <c r="D90" s="90"/>
      <c r="E90" s="89">
        <v>0</v>
      </c>
      <c r="F90" s="89">
        <v>0</v>
      </c>
      <c r="G90" s="89">
        <f t="shared" si="18"/>
        <v>0</v>
      </c>
      <c r="I90" s="134"/>
      <c r="J90" s="136"/>
      <c r="K90" s="138"/>
      <c r="L90" s="96"/>
      <c r="M90" s="89">
        <v>0</v>
      </c>
      <c r="N90" s="89">
        <v>0</v>
      </c>
      <c r="O90" s="89">
        <f t="shared" si="19"/>
        <v>0</v>
      </c>
    </row>
    <row r="91" spans="1:15" x14ac:dyDescent="0.25">
      <c r="A91" s="134"/>
      <c r="B91" s="136"/>
      <c r="C91" s="138"/>
      <c r="D91" s="90"/>
      <c r="E91" s="89">
        <v>0</v>
      </c>
      <c r="F91" s="89">
        <v>0</v>
      </c>
      <c r="G91" s="89">
        <f t="shared" si="18"/>
        <v>0</v>
      </c>
      <c r="I91" s="134"/>
      <c r="J91" s="136"/>
      <c r="K91" s="138"/>
      <c r="L91" s="96"/>
      <c r="M91" s="89">
        <v>0</v>
      </c>
      <c r="N91" s="89">
        <v>0</v>
      </c>
      <c r="O91" s="89">
        <f t="shared" si="19"/>
        <v>0</v>
      </c>
    </row>
    <row r="92" spans="1:15" x14ac:dyDescent="0.25">
      <c r="A92" s="135"/>
      <c r="B92" s="136"/>
      <c r="C92" s="139"/>
      <c r="D92" s="90"/>
      <c r="E92" s="89">
        <v>0</v>
      </c>
      <c r="F92" s="89">
        <v>0</v>
      </c>
      <c r="G92" s="89">
        <f t="shared" si="18"/>
        <v>0</v>
      </c>
      <c r="I92" s="135"/>
      <c r="J92" s="136"/>
      <c r="K92" s="139"/>
      <c r="L92" s="96"/>
      <c r="M92" s="89">
        <v>0</v>
      </c>
      <c r="N92" s="89">
        <v>0</v>
      </c>
      <c r="O92" s="89">
        <f t="shared" si="19"/>
        <v>0</v>
      </c>
    </row>
    <row r="93" spans="1:15" ht="15.75" thickBot="1" x14ac:dyDescent="0.3">
      <c r="A93" s="91"/>
      <c r="B93" s="91"/>
      <c r="C93" s="91"/>
      <c r="D93" s="91"/>
      <c r="E93" s="91"/>
      <c r="F93" s="91"/>
      <c r="G93" s="92">
        <f>SUM(G85,G92)</f>
        <v>0.45833333333333331</v>
      </c>
      <c r="I93" s="91"/>
      <c r="J93" s="91"/>
      <c r="K93" s="91"/>
      <c r="L93" s="97"/>
      <c r="M93" s="91"/>
      <c r="N93" s="91"/>
      <c r="O93" s="92">
        <f>SUM(O85,O92)</f>
        <v>0.11527777777777781</v>
      </c>
    </row>
    <row r="94" spans="1:15" x14ac:dyDescent="0.25">
      <c r="A94" s="133">
        <f>A85+1</f>
        <v>46092</v>
      </c>
      <c r="B94" s="136"/>
      <c r="C94" s="137" t="s">
        <v>82</v>
      </c>
      <c r="D94" s="88" t="s">
        <v>236</v>
      </c>
      <c r="E94" s="89">
        <v>0.33333333333333331</v>
      </c>
      <c r="F94" s="89">
        <v>0.79166666666666663</v>
      </c>
      <c r="G94" s="89">
        <f>F94-E94</f>
        <v>0.45833333333333331</v>
      </c>
      <c r="I94" s="133">
        <f>I85+1</f>
        <v>46092</v>
      </c>
      <c r="J94" s="136" t="s">
        <v>75</v>
      </c>
      <c r="K94" s="142" t="s">
        <v>83</v>
      </c>
      <c r="L94" s="95" t="s">
        <v>239</v>
      </c>
      <c r="M94" s="89">
        <v>0.79166666666666663</v>
      </c>
      <c r="N94" s="89">
        <v>0.82986111111111116</v>
      </c>
      <c r="O94" s="89">
        <f>N94-M94</f>
        <v>3.8194444444444531E-2</v>
      </c>
    </row>
    <row r="95" spans="1:15" ht="30" x14ac:dyDescent="0.25">
      <c r="A95" s="134"/>
      <c r="B95" s="136"/>
      <c r="C95" s="138"/>
      <c r="D95" s="88"/>
      <c r="E95" s="89">
        <v>0</v>
      </c>
      <c r="F95" s="89">
        <v>0</v>
      </c>
      <c r="G95" s="89">
        <f t="shared" ref="G95:G101" si="20">F95-E95</f>
        <v>0</v>
      </c>
      <c r="I95" s="134"/>
      <c r="J95" s="136"/>
      <c r="K95" s="138"/>
      <c r="L95" s="95" t="s">
        <v>238</v>
      </c>
      <c r="M95" s="89">
        <v>0.25347222222222221</v>
      </c>
      <c r="N95" s="89">
        <v>0.33333333333333331</v>
      </c>
      <c r="O95" s="89">
        <f t="shared" ref="O95:O101" si="21">N95-M95</f>
        <v>7.9861111111111105E-2</v>
      </c>
    </row>
    <row r="96" spans="1:15" x14ac:dyDescent="0.25">
      <c r="A96" s="134"/>
      <c r="B96" s="136"/>
      <c r="C96" s="138"/>
      <c r="D96" s="90"/>
      <c r="E96" s="89">
        <v>0</v>
      </c>
      <c r="F96" s="89">
        <v>0</v>
      </c>
      <c r="G96" s="89">
        <f t="shared" si="20"/>
        <v>0</v>
      </c>
      <c r="I96" s="134"/>
      <c r="J96" s="136"/>
      <c r="K96" s="138"/>
      <c r="L96" s="96"/>
      <c r="M96" s="89">
        <v>0</v>
      </c>
      <c r="N96" s="89">
        <v>0</v>
      </c>
      <c r="O96" s="89">
        <f t="shared" si="21"/>
        <v>0</v>
      </c>
    </row>
    <row r="97" spans="1:15" x14ac:dyDescent="0.25">
      <c r="A97" s="134"/>
      <c r="B97" s="136"/>
      <c r="C97" s="138"/>
      <c r="D97" s="90"/>
      <c r="E97" s="89">
        <v>0</v>
      </c>
      <c r="F97" s="89">
        <v>0</v>
      </c>
      <c r="G97" s="89">
        <f t="shared" si="20"/>
        <v>0</v>
      </c>
      <c r="I97" s="134"/>
      <c r="J97" s="136"/>
      <c r="K97" s="138"/>
      <c r="L97" s="96"/>
      <c r="M97" s="89">
        <v>0</v>
      </c>
      <c r="N97" s="89">
        <v>0</v>
      </c>
      <c r="O97" s="89">
        <f t="shared" si="21"/>
        <v>0</v>
      </c>
    </row>
    <row r="98" spans="1:15" x14ac:dyDescent="0.25">
      <c r="A98" s="134"/>
      <c r="B98" s="136"/>
      <c r="C98" s="138"/>
      <c r="D98" s="90"/>
      <c r="E98" s="89">
        <v>0</v>
      </c>
      <c r="F98" s="89">
        <v>0</v>
      </c>
      <c r="G98" s="89">
        <f t="shared" si="20"/>
        <v>0</v>
      </c>
      <c r="I98" s="134"/>
      <c r="J98" s="136"/>
      <c r="K98" s="138"/>
      <c r="L98" s="96"/>
      <c r="M98" s="89">
        <v>0</v>
      </c>
      <c r="N98" s="89">
        <v>0</v>
      </c>
      <c r="O98" s="89">
        <f t="shared" si="21"/>
        <v>0</v>
      </c>
    </row>
    <row r="99" spans="1:15" x14ac:dyDescent="0.25">
      <c r="A99" s="134"/>
      <c r="B99" s="136"/>
      <c r="C99" s="138"/>
      <c r="D99" s="90"/>
      <c r="E99" s="89">
        <v>0</v>
      </c>
      <c r="F99" s="89">
        <v>0</v>
      </c>
      <c r="G99" s="89">
        <f t="shared" si="20"/>
        <v>0</v>
      </c>
      <c r="I99" s="134"/>
      <c r="J99" s="136"/>
      <c r="K99" s="138"/>
      <c r="L99" s="96"/>
      <c r="M99" s="89">
        <v>0</v>
      </c>
      <c r="N99" s="89">
        <v>0</v>
      </c>
      <c r="O99" s="89">
        <f t="shared" si="21"/>
        <v>0</v>
      </c>
    </row>
    <row r="100" spans="1:15" x14ac:dyDescent="0.25">
      <c r="A100" s="134"/>
      <c r="B100" s="136"/>
      <c r="C100" s="138"/>
      <c r="D100" s="90"/>
      <c r="E100" s="89">
        <v>0</v>
      </c>
      <c r="F100" s="89">
        <v>0</v>
      </c>
      <c r="G100" s="89">
        <f t="shared" si="20"/>
        <v>0</v>
      </c>
      <c r="I100" s="134"/>
      <c r="J100" s="136"/>
      <c r="K100" s="138"/>
      <c r="L100" s="96"/>
      <c r="M100" s="89">
        <v>0</v>
      </c>
      <c r="N100" s="89">
        <v>0</v>
      </c>
      <c r="O100" s="89">
        <f t="shared" si="21"/>
        <v>0</v>
      </c>
    </row>
    <row r="101" spans="1:15" x14ac:dyDescent="0.25">
      <c r="A101" s="135"/>
      <c r="B101" s="136"/>
      <c r="C101" s="139"/>
      <c r="D101" s="90"/>
      <c r="E101" s="89">
        <v>0</v>
      </c>
      <c r="F101" s="89">
        <v>0</v>
      </c>
      <c r="G101" s="89">
        <f t="shared" si="20"/>
        <v>0</v>
      </c>
      <c r="I101" s="135"/>
      <c r="J101" s="136"/>
      <c r="K101" s="139"/>
      <c r="L101" s="96"/>
      <c r="M101" s="89">
        <v>0</v>
      </c>
      <c r="N101" s="89">
        <v>0</v>
      </c>
      <c r="O101" s="89">
        <f t="shared" si="21"/>
        <v>0</v>
      </c>
    </row>
    <row r="102" spans="1:15" ht="15.75" thickBot="1" x14ac:dyDescent="0.3">
      <c r="A102" s="91"/>
      <c r="B102" s="91"/>
      <c r="C102" s="91"/>
      <c r="D102" s="91"/>
      <c r="E102" s="91"/>
      <c r="F102" s="91"/>
      <c r="G102" s="92">
        <f>SUM(G94,G101)</f>
        <v>0.45833333333333331</v>
      </c>
      <c r="I102" s="91"/>
      <c r="J102" s="91"/>
      <c r="K102" s="91"/>
      <c r="L102" s="97"/>
      <c r="M102" s="91"/>
      <c r="N102" s="91"/>
      <c r="O102" s="92">
        <f>SUM(O94:O101)</f>
        <v>0.11805555555555564</v>
      </c>
    </row>
    <row r="103" spans="1:15" x14ac:dyDescent="0.25">
      <c r="A103" s="133">
        <f>A94+1</f>
        <v>46093</v>
      </c>
      <c r="B103" s="136"/>
      <c r="C103" s="137" t="s">
        <v>82</v>
      </c>
      <c r="D103" s="88" t="s">
        <v>236</v>
      </c>
      <c r="E103" s="89">
        <v>0.33333333333333331</v>
      </c>
      <c r="F103" s="89">
        <v>0.79166666666666663</v>
      </c>
      <c r="G103" s="89">
        <f>F103-E103</f>
        <v>0.45833333333333331</v>
      </c>
      <c r="I103" s="133">
        <f>I94+1</f>
        <v>46093</v>
      </c>
      <c r="J103" s="136" t="s">
        <v>77</v>
      </c>
      <c r="K103" s="142" t="s">
        <v>83</v>
      </c>
      <c r="L103" s="95" t="s">
        <v>237</v>
      </c>
      <c r="M103" s="89">
        <v>0.79166666666666663</v>
      </c>
      <c r="N103" s="89">
        <v>0.84722222222222221</v>
      </c>
      <c r="O103" s="89">
        <f>N103-M103</f>
        <v>5.555555555555558E-2</v>
      </c>
    </row>
    <row r="104" spans="1:15" x14ac:dyDescent="0.25">
      <c r="A104" s="134"/>
      <c r="B104" s="136"/>
      <c r="C104" s="138"/>
      <c r="D104" s="88"/>
      <c r="E104" s="89">
        <v>0</v>
      </c>
      <c r="F104" s="89">
        <v>0</v>
      </c>
      <c r="G104" s="89">
        <f t="shared" ref="G104:G110" si="22">F104-E104</f>
        <v>0</v>
      </c>
      <c r="I104" s="134"/>
      <c r="J104" s="136"/>
      <c r="K104" s="138"/>
      <c r="L104" s="95" t="s">
        <v>218</v>
      </c>
      <c r="M104" s="89">
        <v>0.91666666666666663</v>
      </c>
      <c r="N104" s="89">
        <v>0.93055555555555558</v>
      </c>
      <c r="O104" s="89">
        <f t="shared" ref="O104:O110" si="23">N104-M104</f>
        <v>1.3888888888888951E-2</v>
      </c>
    </row>
    <row r="105" spans="1:15" x14ac:dyDescent="0.25">
      <c r="A105" s="134"/>
      <c r="B105" s="136"/>
      <c r="C105" s="138"/>
      <c r="D105" s="90"/>
      <c r="E105" s="89">
        <v>0</v>
      </c>
      <c r="F105" s="89">
        <v>0</v>
      </c>
      <c r="G105" s="89">
        <f t="shared" si="22"/>
        <v>0</v>
      </c>
      <c r="I105" s="134"/>
      <c r="J105" s="136"/>
      <c r="K105" s="138"/>
      <c r="L105" s="96" t="s">
        <v>240</v>
      </c>
      <c r="M105" s="89">
        <v>0.24305555555555555</v>
      </c>
      <c r="N105" s="89">
        <v>0.33333333333333331</v>
      </c>
      <c r="O105" s="89">
        <f t="shared" si="23"/>
        <v>9.0277777777777762E-2</v>
      </c>
    </row>
    <row r="106" spans="1:15" x14ac:dyDescent="0.25">
      <c r="A106" s="134"/>
      <c r="B106" s="136"/>
      <c r="C106" s="138"/>
      <c r="D106" s="90"/>
      <c r="E106" s="89">
        <v>0</v>
      </c>
      <c r="F106" s="89">
        <v>0</v>
      </c>
      <c r="G106" s="89">
        <f t="shared" si="22"/>
        <v>0</v>
      </c>
      <c r="I106" s="134"/>
      <c r="J106" s="136"/>
      <c r="K106" s="138"/>
      <c r="L106" s="96"/>
      <c r="M106" s="89">
        <v>0</v>
      </c>
      <c r="N106" s="89">
        <v>0</v>
      </c>
      <c r="O106" s="89">
        <f t="shared" si="23"/>
        <v>0</v>
      </c>
    </row>
    <row r="107" spans="1:15" x14ac:dyDescent="0.25">
      <c r="A107" s="134"/>
      <c r="B107" s="136"/>
      <c r="C107" s="138"/>
      <c r="D107" s="90"/>
      <c r="E107" s="89">
        <v>0</v>
      </c>
      <c r="F107" s="89">
        <v>0</v>
      </c>
      <c r="G107" s="89">
        <f t="shared" si="22"/>
        <v>0</v>
      </c>
      <c r="I107" s="134"/>
      <c r="J107" s="136"/>
      <c r="K107" s="138"/>
      <c r="L107" s="96"/>
      <c r="M107" s="89">
        <v>0</v>
      </c>
      <c r="N107" s="89">
        <v>0</v>
      </c>
      <c r="O107" s="89">
        <f t="shared" si="23"/>
        <v>0</v>
      </c>
    </row>
    <row r="108" spans="1:15" x14ac:dyDescent="0.25">
      <c r="A108" s="134"/>
      <c r="B108" s="136"/>
      <c r="C108" s="138"/>
      <c r="D108" s="90"/>
      <c r="E108" s="89">
        <v>0</v>
      </c>
      <c r="F108" s="89">
        <v>0</v>
      </c>
      <c r="G108" s="89">
        <f t="shared" si="22"/>
        <v>0</v>
      </c>
      <c r="I108" s="134"/>
      <c r="J108" s="136"/>
      <c r="K108" s="138"/>
      <c r="L108" s="96"/>
      <c r="M108" s="89">
        <v>0</v>
      </c>
      <c r="N108" s="89">
        <v>0</v>
      </c>
      <c r="O108" s="89">
        <f t="shared" si="23"/>
        <v>0</v>
      </c>
    </row>
    <row r="109" spans="1:15" x14ac:dyDescent="0.25">
      <c r="A109" s="134"/>
      <c r="B109" s="136"/>
      <c r="C109" s="138"/>
      <c r="D109" s="90"/>
      <c r="E109" s="89">
        <v>0</v>
      </c>
      <c r="F109" s="89">
        <v>0</v>
      </c>
      <c r="G109" s="89">
        <f t="shared" si="22"/>
        <v>0</v>
      </c>
      <c r="I109" s="134"/>
      <c r="J109" s="136"/>
      <c r="K109" s="138"/>
      <c r="L109" s="96"/>
      <c r="M109" s="89">
        <v>0</v>
      </c>
      <c r="N109" s="89">
        <v>0</v>
      </c>
      <c r="O109" s="89">
        <f t="shared" si="23"/>
        <v>0</v>
      </c>
    </row>
    <row r="110" spans="1:15" x14ac:dyDescent="0.25">
      <c r="A110" s="135"/>
      <c r="B110" s="136"/>
      <c r="C110" s="139"/>
      <c r="D110" s="90"/>
      <c r="E110" s="89">
        <v>0</v>
      </c>
      <c r="F110" s="89">
        <v>0</v>
      </c>
      <c r="G110" s="89">
        <f t="shared" si="22"/>
        <v>0</v>
      </c>
      <c r="I110" s="135"/>
      <c r="J110" s="136"/>
      <c r="K110" s="139"/>
      <c r="L110" s="96"/>
      <c r="M110" s="89">
        <v>0</v>
      </c>
      <c r="N110" s="89">
        <v>0</v>
      </c>
      <c r="O110" s="89">
        <f t="shared" si="23"/>
        <v>0</v>
      </c>
    </row>
    <row r="111" spans="1:15" ht="15.75" thickBot="1" x14ac:dyDescent="0.3">
      <c r="A111" s="91"/>
      <c r="B111" s="91"/>
      <c r="C111" s="91"/>
      <c r="D111" s="91"/>
      <c r="E111" s="91"/>
      <c r="F111" s="91"/>
      <c r="G111" s="92">
        <f>SUM(G103,G110)</f>
        <v>0.45833333333333331</v>
      </c>
      <c r="I111" s="91"/>
      <c r="J111" s="91"/>
      <c r="K111" s="91"/>
      <c r="L111" s="97"/>
      <c r="M111" s="91"/>
      <c r="N111" s="91"/>
      <c r="O111" s="92">
        <f>SUM(O103,O110)</f>
        <v>5.555555555555558E-2</v>
      </c>
    </row>
    <row r="112" spans="1:15" ht="42.6" customHeight="1" x14ac:dyDescent="0.25">
      <c r="A112" s="133">
        <f>A103+1</f>
        <v>46094</v>
      </c>
      <c r="B112" s="136"/>
      <c r="C112" s="137" t="s">
        <v>82</v>
      </c>
      <c r="D112" s="88" t="s">
        <v>236</v>
      </c>
      <c r="E112" s="89">
        <v>0.33333333333333331</v>
      </c>
      <c r="F112" s="89">
        <v>0.79166666666666663</v>
      </c>
      <c r="G112" s="89">
        <f>F112-E112</f>
        <v>0.45833333333333331</v>
      </c>
      <c r="I112" s="133">
        <f>I103+1</f>
        <v>46094</v>
      </c>
      <c r="J112" s="136" t="s">
        <v>114</v>
      </c>
      <c r="K112" s="142" t="s">
        <v>83</v>
      </c>
      <c r="L112" s="95" t="s">
        <v>219</v>
      </c>
      <c r="M112" s="89">
        <v>0.83750000000000002</v>
      </c>
      <c r="N112" s="89">
        <v>0.86111111111111116</v>
      </c>
      <c r="O112" s="89">
        <f>N112-M112</f>
        <v>2.3611111111111138E-2</v>
      </c>
    </row>
    <row r="113" spans="1:15" ht="30" x14ac:dyDescent="0.25">
      <c r="A113" s="134"/>
      <c r="B113" s="136"/>
      <c r="C113" s="138"/>
      <c r="D113" s="88"/>
      <c r="E113" s="89">
        <v>0</v>
      </c>
      <c r="F113" s="89">
        <v>0</v>
      </c>
      <c r="G113" s="89">
        <f t="shared" ref="G113:G119" si="24">F113-E113</f>
        <v>0</v>
      </c>
      <c r="I113" s="134"/>
      <c r="J113" s="136"/>
      <c r="K113" s="138"/>
      <c r="L113" s="95" t="s">
        <v>220</v>
      </c>
      <c r="M113" s="89">
        <v>3.0555555555555555E-2</v>
      </c>
      <c r="N113" s="89">
        <v>0.20902777777777778</v>
      </c>
      <c r="O113" s="89">
        <f t="shared" ref="O113:O119" si="25">N113-M113</f>
        <v>0.17847222222222223</v>
      </c>
    </row>
    <row r="114" spans="1:15" x14ac:dyDescent="0.25">
      <c r="A114" s="134"/>
      <c r="B114" s="136"/>
      <c r="C114" s="138"/>
      <c r="D114" s="90"/>
      <c r="E114" s="89">
        <v>0</v>
      </c>
      <c r="F114" s="89">
        <v>0</v>
      </c>
      <c r="G114" s="89">
        <f t="shared" si="24"/>
        <v>0</v>
      </c>
      <c r="I114" s="134"/>
      <c r="J114" s="136"/>
      <c r="K114" s="138"/>
      <c r="L114" s="96"/>
      <c r="M114" s="89">
        <v>0</v>
      </c>
      <c r="N114" s="89">
        <v>0</v>
      </c>
      <c r="O114" s="89">
        <f t="shared" si="25"/>
        <v>0</v>
      </c>
    </row>
    <row r="115" spans="1:15" x14ac:dyDescent="0.25">
      <c r="A115" s="134"/>
      <c r="B115" s="136"/>
      <c r="C115" s="138"/>
      <c r="D115" s="90"/>
      <c r="E115" s="89">
        <v>0</v>
      </c>
      <c r="F115" s="89">
        <v>0</v>
      </c>
      <c r="G115" s="89">
        <f t="shared" si="24"/>
        <v>0</v>
      </c>
      <c r="I115" s="134"/>
      <c r="J115" s="136"/>
      <c r="K115" s="138"/>
      <c r="L115" s="96"/>
      <c r="M115" s="89">
        <v>0</v>
      </c>
      <c r="N115" s="89">
        <v>0</v>
      </c>
      <c r="O115" s="89">
        <f t="shared" si="25"/>
        <v>0</v>
      </c>
    </row>
    <row r="116" spans="1:15" x14ac:dyDescent="0.25">
      <c r="A116" s="134"/>
      <c r="B116" s="136"/>
      <c r="C116" s="138"/>
      <c r="D116" s="90"/>
      <c r="E116" s="89">
        <v>0</v>
      </c>
      <c r="F116" s="89">
        <v>0</v>
      </c>
      <c r="G116" s="89">
        <f t="shared" si="24"/>
        <v>0</v>
      </c>
      <c r="I116" s="134"/>
      <c r="J116" s="136"/>
      <c r="K116" s="138"/>
      <c r="L116" s="96"/>
      <c r="M116" s="89">
        <v>0</v>
      </c>
      <c r="N116" s="89">
        <v>0</v>
      </c>
      <c r="O116" s="89">
        <f t="shared" si="25"/>
        <v>0</v>
      </c>
    </row>
    <row r="117" spans="1:15" x14ac:dyDescent="0.25">
      <c r="A117" s="134"/>
      <c r="B117" s="136"/>
      <c r="C117" s="138"/>
      <c r="D117" s="90"/>
      <c r="E117" s="89">
        <v>0</v>
      </c>
      <c r="F117" s="89">
        <v>0</v>
      </c>
      <c r="G117" s="89">
        <f t="shared" si="24"/>
        <v>0</v>
      </c>
      <c r="I117" s="134"/>
      <c r="J117" s="136"/>
      <c r="K117" s="138"/>
      <c r="L117" s="96"/>
      <c r="M117" s="89">
        <v>0</v>
      </c>
      <c r="N117" s="89">
        <v>0</v>
      </c>
      <c r="O117" s="89">
        <f t="shared" si="25"/>
        <v>0</v>
      </c>
    </row>
    <row r="118" spans="1:15" x14ac:dyDescent="0.25">
      <c r="A118" s="134"/>
      <c r="B118" s="136"/>
      <c r="C118" s="138"/>
      <c r="D118" s="90"/>
      <c r="E118" s="89">
        <v>0</v>
      </c>
      <c r="F118" s="89">
        <v>0</v>
      </c>
      <c r="G118" s="89">
        <f t="shared" si="24"/>
        <v>0</v>
      </c>
      <c r="I118" s="134"/>
      <c r="J118" s="136"/>
      <c r="K118" s="138"/>
      <c r="L118" s="96"/>
      <c r="M118" s="89">
        <v>0</v>
      </c>
      <c r="N118" s="89">
        <v>0</v>
      </c>
      <c r="O118" s="89">
        <f t="shared" si="25"/>
        <v>0</v>
      </c>
    </row>
    <row r="119" spans="1:15" x14ac:dyDescent="0.25">
      <c r="A119" s="135"/>
      <c r="B119" s="136"/>
      <c r="C119" s="139"/>
      <c r="D119" s="90"/>
      <c r="E119" s="89">
        <v>0</v>
      </c>
      <c r="F119" s="89">
        <v>0</v>
      </c>
      <c r="G119" s="89">
        <f t="shared" si="24"/>
        <v>0</v>
      </c>
      <c r="I119" s="135"/>
      <c r="J119" s="136"/>
      <c r="K119" s="139"/>
      <c r="M119" s="89">
        <v>0</v>
      </c>
      <c r="N119" s="89">
        <v>0</v>
      </c>
      <c r="O119" s="89">
        <f t="shared" si="25"/>
        <v>0</v>
      </c>
    </row>
    <row r="120" spans="1:15" ht="15.75" thickBot="1" x14ac:dyDescent="0.3">
      <c r="A120" s="91"/>
      <c r="B120" s="91"/>
      <c r="C120" s="91"/>
      <c r="D120" s="91"/>
      <c r="E120" s="91"/>
      <c r="F120" s="91"/>
      <c r="G120" s="92">
        <f>SUM(G112,G119)</f>
        <v>0.45833333333333331</v>
      </c>
      <c r="I120" s="91"/>
      <c r="J120" s="91"/>
      <c r="K120" s="91"/>
      <c r="L120" s="97"/>
      <c r="M120" s="91"/>
      <c r="N120" s="91"/>
      <c r="O120" s="92">
        <f>SUM(O112:O119)</f>
        <v>0.20208333333333336</v>
      </c>
    </row>
    <row r="121" spans="1:15" x14ac:dyDescent="0.25">
      <c r="A121" s="133">
        <f>A112+1</f>
        <v>46095</v>
      </c>
      <c r="B121" s="136" t="s">
        <v>75</v>
      </c>
      <c r="C121" s="137" t="s">
        <v>82</v>
      </c>
      <c r="D121" s="88" t="s">
        <v>241</v>
      </c>
      <c r="E121" s="89">
        <v>0.33333333333333331</v>
      </c>
      <c r="F121" s="89">
        <v>0.51736111111111116</v>
      </c>
      <c r="G121" s="89">
        <f>F121-E121</f>
        <v>0.18402777777777785</v>
      </c>
      <c r="I121" s="133">
        <f>I112+1</f>
        <v>46095</v>
      </c>
      <c r="J121" s="136" t="s">
        <v>113</v>
      </c>
      <c r="K121" s="142" t="s">
        <v>83</v>
      </c>
      <c r="L121" s="95" t="s">
        <v>222</v>
      </c>
      <c r="M121" s="89">
        <v>0.9243055555555556</v>
      </c>
      <c r="N121" s="89">
        <v>0.93402777777777779</v>
      </c>
      <c r="O121" s="89">
        <f>N121-M121</f>
        <v>9.7222222222221877E-3</v>
      </c>
    </row>
    <row r="122" spans="1:15" x14ac:dyDescent="0.25">
      <c r="A122" s="134"/>
      <c r="B122" s="136"/>
      <c r="C122" s="138"/>
      <c r="D122" s="88" t="s">
        <v>221</v>
      </c>
      <c r="E122" s="89">
        <v>0</v>
      </c>
      <c r="F122" s="89">
        <v>0</v>
      </c>
      <c r="G122" s="89">
        <f t="shared" ref="G122:G125" si="26">F122-E122</f>
        <v>0</v>
      </c>
      <c r="I122" s="134"/>
      <c r="J122" s="136"/>
      <c r="K122" s="138"/>
      <c r="L122" s="96" t="s">
        <v>242</v>
      </c>
      <c r="M122" s="89">
        <v>0.97222222222222221</v>
      </c>
      <c r="N122" s="89">
        <v>7.6388888888888886E-3</v>
      </c>
      <c r="O122" s="89">
        <v>3.5416666666666666E-2</v>
      </c>
    </row>
    <row r="123" spans="1:15" x14ac:dyDescent="0.25">
      <c r="A123" s="134"/>
      <c r="B123" s="136"/>
      <c r="C123" s="138"/>
      <c r="D123" s="90"/>
      <c r="E123" s="89">
        <v>0</v>
      </c>
      <c r="F123" s="89">
        <v>0</v>
      </c>
      <c r="G123" s="89">
        <f t="shared" si="26"/>
        <v>0</v>
      </c>
      <c r="I123" s="134"/>
      <c r="J123" s="136"/>
      <c r="K123" s="138"/>
      <c r="L123" s="96" t="s">
        <v>223</v>
      </c>
      <c r="M123" s="89">
        <v>0.10902777777777778</v>
      </c>
      <c r="N123" s="89">
        <v>0.11319444444444444</v>
      </c>
      <c r="O123" s="89">
        <f t="shared" ref="O123:O125" si="27">N123-M123</f>
        <v>4.1666666666666657E-3</v>
      </c>
    </row>
    <row r="124" spans="1:15" ht="60" x14ac:dyDescent="0.25">
      <c r="A124" s="134"/>
      <c r="B124" s="136"/>
      <c r="C124" s="138"/>
      <c r="D124" s="90"/>
      <c r="E124" s="89">
        <v>0</v>
      </c>
      <c r="F124" s="89">
        <v>0</v>
      </c>
      <c r="G124" s="89">
        <f t="shared" si="26"/>
        <v>0</v>
      </c>
      <c r="I124" s="134"/>
      <c r="J124" s="136"/>
      <c r="K124" s="138"/>
      <c r="L124" s="106" t="s">
        <v>243</v>
      </c>
      <c r="M124" s="89">
        <v>0</v>
      </c>
      <c r="N124" s="89">
        <v>0</v>
      </c>
      <c r="O124" s="89">
        <f t="shared" si="27"/>
        <v>0</v>
      </c>
    </row>
    <row r="125" spans="1:15" x14ac:dyDescent="0.25">
      <c r="A125" s="134"/>
      <c r="B125" s="136"/>
      <c r="C125" s="138"/>
      <c r="D125" s="90"/>
      <c r="E125" s="89">
        <v>0</v>
      </c>
      <c r="F125" s="89">
        <v>0</v>
      </c>
      <c r="G125" s="89">
        <f t="shared" si="26"/>
        <v>0</v>
      </c>
      <c r="I125" s="134"/>
      <c r="J125" s="136"/>
      <c r="K125" s="138"/>
      <c r="L125" s="96"/>
      <c r="M125" s="89">
        <v>0</v>
      </c>
      <c r="N125" s="89">
        <v>0</v>
      </c>
      <c r="O125" s="89">
        <f t="shared" si="27"/>
        <v>0</v>
      </c>
    </row>
    <row r="126" spans="1:15" ht="15.75" thickBot="1" x14ac:dyDescent="0.3">
      <c r="A126" s="91"/>
      <c r="B126" s="91"/>
      <c r="C126" s="91"/>
      <c r="D126" s="91"/>
      <c r="E126" s="91"/>
      <c r="F126" s="91"/>
      <c r="G126" s="92">
        <f>SUM(G121:G125)</f>
        <v>0.18402777777777785</v>
      </c>
      <c r="I126" s="91"/>
      <c r="J126" s="91"/>
      <c r="K126" s="91"/>
      <c r="L126" s="97"/>
      <c r="M126" s="91"/>
      <c r="N126" s="91"/>
      <c r="O126" s="92">
        <f>SUM(O121:O125)</f>
        <v>4.9305555555555519E-2</v>
      </c>
    </row>
    <row r="127" spans="1:15" ht="30" x14ac:dyDescent="0.25">
      <c r="A127" s="133">
        <v>46096</v>
      </c>
      <c r="B127" s="136" t="s">
        <v>77</v>
      </c>
      <c r="C127" s="137" t="s">
        <v>82</v>
      </c>
      <c r="D127" s="88" t="s">
        <v>224</v>
      </c>
      <c r="E127" s="89">
        <v>0</v>
      </c>
      <c r="F127" s="89">
        <v>0</v>
      </c>
      <c r="G127" s="89">
        <f>F127-E127</f>
        <v>0</v>
      </c>
      <c r="I127" s="133">
        <f>I121+1</f>
        <v>46096</v>
      </c>
      <c r="J127" s="136" t="s">
        <v>75</v>
      </c>
      <c r="K127" s="137" t="s">
        <v>83</v>
      </c>
      <c r="L127" s="95" t="s">
        <v>228</v>
      </c>
      <c r="M127" s="89">
        <v>0.80555555555555558</v>
      </c>
      <c r="N127" s="89">
        <v>0.84513888888888888</v>
      </c>
      <c r="O127" s="89">
        <f>N127-M127</f>
        <v>3.9583333333333304E-2</v>
      </c>
    </row>
    <row r="128" spans="1:15" ht="60" x14ac:dyDescent="0.25">
      <c r="A128" s="134"/>
      <c r="B128" s="136"/>
      <c r="C128" s="138"/>
      <c r="D128" s="88" t="s">
        <v>225</v>
      </c>
      <c r="E128" s="89">
        <v>0.33333333333333331</v>
      </c>
      <c r="F128" s="89">
        <v>0.35416666666666669</v>
      </c>
      <c r="G128" s="89">
        <f t="shared" ref="G128:G134" si="28">F128-E128</f>
        <v>2.083333333333337E-2</v>
      </c>
      <c r="I128" s="134"/>
      <c r="J128" s="136"/>
      <c r="K128" s="138"/>
      <c r="L128" s="95" t="s">
        <v>229</v>
      </c>
      <c r="M128" s="89">
        <v>0.24513888888888888</v>
      </c>
      <c r="N128" s="89">
        <v>0.33333333333333331</v>
      </c>
      <c r="O128" s="89">
        <f t="shared" ref="O128:O134" si="29">N128-M128</f>
        <v>8.8194444444444436E-2</v>
      </c>
    </row>
    <row r="129" spans="1:15" x14ac:dyDescent="0.25">
      <c r="A129" s="134"/>
      <c r="B129" s="136"/>
      <c r="C129" s="138"/>
      <c r="D129" s="90" t="s">
        <v>226</v>
      </c>
      <c r="E129" s="89">
        <v>0.35416666666666669</v>
      </c>
      <c r="F129" s="89">
        <v>0.38194444444444442</v>
      </c>
      <c r="G129" s="89">
        <f t="shared" si="28"/>
        <v>2.7777777777777735E-2</v>
      </c>
      <c r="I129" s="134"/>
      <c r="J129" s="136"/>
      <c r="K129" s="138"/>
      <c r="L129" s="96"/>
      <c r="M129" s="89">
        <v>0</v>
      </c>
      <c r="N129" s="89">
        <v>0</v>
      </c>
      <c r="O129" s="89">
        <f t="shared" si="29"/>
        <v>0</v>
      </c>
    </row>
    <row r="130" spans="1:15" x14ac:dyDescent="0.25">
      <c r="A130" s="134"/>
      <c r="B130" s="136"/>
      <c r="C130" s="138"/>
      <c r="D130" s="90" t="s">
        <v>227</v>
      </c>
      <c r="E130" s="89">
        <v>0.41666666666666669</v>
      </c>
      <c r="F130" s="89">
        <v>0.43402777777777779</v>
      </c>
      <c r="G130" s="89">
        <f t="shared" si="28"/>
        <v>1.7361111111111105E-2</v>
      </c>
      <c r="I130" s="134"/>
      <c r="J130" s="136"/>
      <c r="K130" s="138"/>
      <c r="L130" s="96"/>
      <c r="M130" s="89">
        <v>0</v>
      </c>
      <c r="N130" s="89">
        <v>0</v>
      </c>
      <c r="O130" s="89">
        <f t="shared" si="29"/>
        <v>0</v>
      </c>
    </row>
    <row r="131" spans="1:15" x14ac:dyDescent="0.25">
      <c r="A131" s="134"/>
      <c r="B131" s="136"/>
      <c r="C131" s="138"/>
      <c r="D131" s="90"/>
      <c r="E131" s="89">
        <v>0</v>
      </c>
      <c r="F131" s="89">
        <v>0</v>
      </c>
      <c r="G131" s="89">
        <f t="shared" si="28"/>
        <v>0</v>
      </c>
      <c r="I131" s="134"/>
      <c r="J131" s="136"/>
      <c r="K131" s="138"/>
      <c r="L131" s="96"/>
      <c r="M131" s="89">
        <v>0</v>
      </c>
      <c r="N131" s="89">
        <v>0</v>
      </c>
      <c r="O131" s="89">
        <f t="shared" si="29"/>
        <v>0</v>
      </c>
    </row>
    <row r="132" spans="1:15" x14ac:dyDescent="0.25">
      <c r="A132" s="134"/>
      <c r="B132" s="136"/>
      <c r="C132" s="138"/>
      <c r="D132" s="90"/>
      <c r="E132" s="89">
        <v>0</v>
      </c>
      <c r="F132" s="89">
        <v>0</v>
      </c>
      <c r="G132" s="89">
        <f t="shared" si="28"/>
        <v>0</v>
      </c>
      <c r="I132" s="134"/>
      <c r="J132" s="136"/>
      <c r="K132" s="138"/>
      <c r="L132" s="96"/>
      <c r="M132" s="89">
        <v>0</v>
      </c>
      <c r="N132" s="89">
        <v>0</v>
      </c>
      <c r="O132" s="89">
        <f t="shared" si="29"/>
        <v>0</v>
      </c>
    </row>
    <row r="133" spans="1:15" x14ac:dyDescent="0.25">
      <c r="A133" s="134"/>
      <c r="B133" s="136"/>
      <c r="C133" s="138"/>
      <c r="D133" s="90"/>
      <c r="E133" s="89">
        <v>0</v>
      </c>
      <c r="F133" s="89">
        <v>0</v>
      </c>
      <c r="G133" s="89">
        <f t="shared" si="28"/>
        <v>0</v>
      </c>
      <c r="I133" s="134"/>
      <c r="J133" s="136"/>
      <c r="K133" s="138"/>
      <c r="L133" s="96"/>
      <c r="M133" s="89">
        <v>0</v>
      </c>
      <c r="N133" s="89">
        <v>0</v>
      </c>
      <c r="O133" s="89">
        <f t="shared" si="29"/>
        <v>0</v>
      </c>
    </row>
    <row r="134" spans="1:15" x14ac:dyDescent="0.25">
      <c r="A134" s="135"/>
      <c r="B134" s="136"/>
      <c r="C134" s="139"/>
      <c r="D134" s="90"/>
      <c r="E134" s="89">
        <v>0</v>
      </c>
      <c r="F134" s="89">
        <v>0</v>
      </c>
      <c r="G134" s="89">
        <f t="shared" si="28"/>
        <v>0</v>
      </c>
      <c r="I134" s="135"/>
      <c r="J134" s="136"/>
      <c r="K134" s="139"/>
      <c r="L134" s="96"/>
      <c r="M134" s="89">
        <v>0</v>
      </c>
      <c r="N134" s="89">
        <v>0</v>
      </c>
      <c r="O134" s="89">
        <f t="shared" si="29"/>
        <v>0</v>
      </c>
    </row>
    <row r="135" spans="1:15" ht="15.75" thickBot="1" x14ac:dyDescent="0.3">
      <c r="A135" s="91"/>
      <c r="B135" s="91"/>
      <c r="C135" s="91"/>
      <c r="D135" s="91"/>
      <c r="E135" s="91"/>
      <c r="F135" s="91"/>
      <c r="G135" s="92">
        <f>SUM(G127:G134)</f>
        <v>6.597222222222221E-2</v>
      </c>
      <c r="I135" s="140"/>
      <c r="J135" s="140"/>
      <c r="K135" s="140"/>
      <c r="L135" s="140"/>
      <c r="M135" s="140"/>
      <c r="N135" s="141"/>
      <c r="O135" s="92">
        <f>SUM(O127:O134)</f>
        <v>0.12777777777777774</v>
      </c>
    </row>
    <row r="136" spans="1:15" x14ac:dyDescent="0.25">
      <c r="A136" s="133">
        <f>A127+1</f>
        <v>46097</v>
      </c>
      <c r="B136" s="136"/>
      <c r="C136" s="137" t="s">
        <v>82</v>
      </c>
      <c r="D136" s="88" t="s">
        <v>244</v>
      </c>
      <c r="E136" s="89">
        <v>0.33333333333333331</v>
      </c>
      <c r="F136" s="89">
        <v>0.79166666666666663</v>
      </c>
      <c r="G136" s="89">
        <f>F136-E136</f>
        <v>0.45833333333333331</v>
      </c>
      <c r="I136" s="133">
        <f>I127+1</f>
        <v>46097</v>
      </c>
      <c r="J136" s="136"/>
      <c r="K136" s="137" t="s">
        <v>83</v>
      </c>
      <c r="L136" s="88" t="s">
        <v>244</v>
      </c>
      <c r="M136" s="89">
        <v>0.79166666666666663</v>
      </c>
      <c r="N136" s="89">
        <v>0.33333333333333331</v>
      </c>
      <c r="O136" s="89">
        <v>0.54166666666666663</v>
      </c>
    </row>
    <row r="137" spans="1:15" x14ac:dyDescent="0.25">
      <c r="A137" s="134"/>
      <c r="B137" s="136"/>
      <c r="C137" s="138"/>
      <c r="D137" s="88"/>
      <c r="E137" s="89">
        <v>0</v>
      </c>
      <c r="F137" s="89">
        <v>0</v>
      </c>
      <c r="G137" s="89">
        <f t="shared" ref="G137:G143" si="30">F137-E137</f>
        <v>0</v>
      </c>
      <c r="I137" s="134"/>
      <c r="J137" s="136"/>
      <c r="K137" s="138"/>
      <c r="L137" s="95"/>
      <c r="M137" s="89">
        <v>0</v>
      </c>
      <c r="N137" s="89">
        <v>0</v>
      </c>
      <c r="O137" s="89">
        <f t="shared" ref="O137:O143" si="31">N137-M137</f>
        <v>0</v>
      </c>
    </row>
    <row r="138" spans="1:15" x14ac:dyDescent="0.25">
      <c r="A138" s="134"/>
      <c r="B138" s="136"/>
      <c r="C138" s="138"/>
      <c r="D138" s="90"/>
      <c r="E138" s="89">
        <v>0</v>
      </c>
      <c r="F138" s="89">
        <v>0</v>
      </c>
      <c r="G138" s="89">
        <f t="shared" si="30"/>
        <v>0</v>
      </c>
      <c r="I138" s="134"/>
      <c r="J138" s="136"/>
      <c r="K138" s="138"/>
      <c r="L138" s="96"/>
      <c r="M138" s="89">
        <v>0</v>
      </c>
      <c r="N138" s="89">
        <v>0</v>
      </c>
      <c r="O138" s="89">
        <f t="shared" si="31"/>
        <v>0</v>
      </c>
    </row>
    <row r="139" spans="1:15" x14ac:dyDescent="0.25">
      <c r="A139" s="134"/>
      <c r="B139" s="136"/>
      <c r="C139" s="138"/>
      <c r="D139" s="90"/>
      <c r="E139" s="89">
        <v>0</v>
      </c>
      <c r="F139" s="89">
        <v>0</v>
      </c>
      <c r="G139" s="89">
        <f t="shared" si="30"/>
        <v>0</v>
      </c>
      <c r="I139" s="134"/>
      <c r="J139" s="136"/>
      <c r="K139" s="138"/>
      <c r="L139" s="96"/>
      <c r="M139" s="89">
        <v>0</v>
      </c>
      <c r="N139" s="89">
        <v>0</v>
      </c>
      <c r="O139" s="89">
        <f t="shared" si="31"/>
        <v>0</v>
      </c>
    </row>
    <row r="140" spans="1:15" x14ac:dyDescent="0.25">
      <c r="A140" s="134"/>
      <c r="B140" s="136"/>
      <c r="C140" s="138"/>
      <c r="D140" s="90"/>
      <c r="E140" s="89">
        <v>0</v>
      </c>
      <c r="F140" s="89">
        <v>0</v>
      </c>
      <c r="G140" s="89">
        <f t="shared" si="30"/>
        <v>0</v>
      </c>
      <c r="I140" s="134"/>
      <c r="J140" s="136"/>
      <c r="K140" s="138"/>
      <c r="L140" s="96"/>
      <c r="M140" s="89">
        <v>0</v>
      </c>
      <c r="N140" s="89">
        <v>0</v>
      </c>
      <c r="O140" s="89">
        <f t="shared" si="31"/>
        <v>0</v>
      </c>
    </row>
    <row r="141" spans="1:15" x14ac:dyDescent="0.25">
      <c r="A141" s="134"/>
      <c r="B141" s="136"/>
      <c r="C141" s="138"/>
      <c r="D141" s="90"/>
      <c r="E141" s="89">
        <v>0</v>
      </c>
      <c r="F141" s="89">
        <v>0</v>
      </c>
      <c r="G141" s="89">
        <f t="shared" si="30"/>
        <v>0</v>
      </c>
      <c r="I141" s="134"/>
      <c r="J141" s="136"/>
      <c r="K141" s="138"/>
      <c r="L141" s="96"/>
      <c r="M141" s="89">
        <v>0</v>
      </c>
      <c r="N141" s="89">
        <v>0</v>
      </c>
      <c r="O141" s="89">
        <f t="shared" si="31"/>
        <v>0</v>
      </c>
    </row>
    <row r="142" spans="1:15" x14ac:dyDescent="0.25">
      <c r="A142" s="134"/>
      <c r="B142" s="136"/>
      <c r="C142" s="138"/>
      <c r="D142" s="90"/>
      <c r="E142" s="89">
        <v>0</v>
      </c>
      <c r="F142" s="89">
        <v>0</v>
      </c>
      <c r="G142" s="89">
        <f t="shared" si="30"/>
        <v>0</v>
      </c>
      <c r="I142" s="134"/>
      <c r="J142" s="136"/>
      <c r="K142" s="138"/>
      <c r="L142" s="96"/>
      <c r="M142" s="89">
        <v>0</v>
      </c>
      <c r="N142" s="89">
        <v>0</v>
      </c>
      <c r="O142" s="89">
        <f t="shared" si="31"/>
        <v>0</v>
      </c>
    </row>
    <row r="143" spans="1:15" x14ac:dyDescent="0.25">
      <c r="A143" s="135"/>
      <c r="B143" s="136"/>
      <c r="C143" s="139"/>
      <c r="D143" s="90"/>
      <c r="E143" s="89">
        <v>0</v>
      </c>
      <c r="F143" s="89">
        <v>0</v>
      </c>
      <c r="G143" s="89">
        <f t="shared" si="30"/>
        <v>0</v>
      </c>
      <c r="I143" s="135"/>
      <c r="J143" s="136"/>
      <c r="K143" s="139"/>
      <c r="L143" s="96"/>
      <c r="M143" s="89">
        <v>0</v>
      </c>
      <c r="N143" s="89">
        <v>0</v>
      </c>
      <c r="O143" s="89">
        <f t="shared" si="31"/>
        <v>0</v>
      </c>
    </row>
    <row r="144" spans="1:15" ht="15.75" thickBot="1" x14ac:dyDescent="0.3">
      <c r="A144" s="91"/>
      <c r="B144" s="91"/>
      <c r="C144" s="91"/>
      <c r="D144" s="91"/>
      <c r="E144" s="91"/>
      <c r="F144" s="91"/>
      <c r="G144" s="92">
        <f>SUM(G136,G143)</f>
        <v>0.45833333333333331</v>
      </c>
      <c r="I144" s="91"/>
      <c r="J144" s="91"/>
      <c r="K144" s="91"/>
      <c r="L144" s="143"/>
      <c r="M144" s="143"/>
      <c r="N144" s="144"/>
      <c r="O144" s="92">
        <f>SUM(O136,O143)</f>
        <v>0.54166666666666663</v>
      </c>
    </row>
    <row r="145" spans="1:15" x14ac:dyDescent="0.25">
      <c r="A145" s="133">
        <f>A136+1</f>
        <v>46098</v>
      </c>
      <c r="B145" s="136"/>
      <c r="C145" s="137" t="s">
        <v>82</v>
      </c>
      <c r="D145" s="88" t="s">
        <v>244</v>
      </c>
      <c r="E145" s="89">
        <v>0.33333333333333331</v>
      </c>
      <c r="F145" s="89">
        <v>0.79166666666666663</v>
      </c>
      <c r="G145" s="89">
        <f>F145-E145</f>
        <v>0.45833333333333331</v>
      </c>
      <c r="I145" s="133">
        <f>I136+1</f>
        <v>46098</v>
      </c>
      <c r="J145" s="136"/>
      <c r="K145" s="137" t="s">
        <v>83</v>
      </c>
      <c r="L145" s="88" t="s">
        <v>244</v>
      </c>
      <c r="M145" s="89">
        <v>0.79166666666666663</v>
      </c>
      <c r="N145" s="89">
        <v>0.33333333333333331</v>
      </c>
      <c r="O145" s="89">
        <v>0.54166666666666663</v>
      </c>
    </row>
    <row r="146" spans="1:15" x14ac:dyDescent="0.25">
      <c r="A146" s="134"/>
      <c r="B146" s="136"/>
      <c r="C146" s="138"/>
      <c r="D146" s="88"/>
      <c r="E146" s="89">
        <v>0</v>
      </c>
      <c r="F146" s="89">
        <v>0</v>
      </c>
      <c r="G146" s="89">
        <f t="shared" ref="G146:G152" si="32">F146-E146</f>
        <v>0</v>
      </c>
      <c r="I146" s="134"/>
      <c r="J146" s="136"/>
      <c r="K146" s="138"/>
      <c r="L146" s="95"/>
      <c r="M146" s="89">
        <v>0</v>
      </c>
      <c r="N146" s="89">
        <v>0</v>
      </c>
      <c r="O146" s="89">
        <f t="shared" ref="O146:O152" si="33">N146-M146</f>
        <v>0</v>
      </c>
    </row>
    <row r="147" spans="1:15" x14ac:dyDescent="0.25">
      <c r="A147" s="134"/>
      <c r="B147" s="136"/>
      <c r="C147" s="138"/>
      <c r="D147" s="90"/>
      <c r="E147" s="89">
        <v>0</v>
      </c>
      <c r="F147" s="89">
        <v>0</v>
      </c>
      <c r="G147" s="89">
        <f t="shared" si="32"/>
        <v>0</v>
      </c>
      <c r="I147" s="134"/>
      <c r="J147" s="136"/>
      <c r="K147" s="138"/>
      <c r="L147" s="96"/>
      <c r="M147" s="89">
        <v>0</v>
      </c>
      <c r="N147" s="89">
        <v>0</v>
      </c>
      <c r="O147" s="89">
        <f t="shared" si="33"/>
        <v>0</v>
      </c>
    </row>
    <row r="148" spans="1:15" x14ac:dyDescent="0.25">
      <c r="A148" s="134"/>
      <c r="B148" s="136"/>
      <c r="C148" s="138"/>
      <c r="D148" s="90"/>
      <c r="E148" s="89">
        <v>0</v>
      </c>
      <c r="F148" s="89">
        <v>0</v>
      </c>
      <c r="G148" s="89">
        <f t="shared" si="32"/>
        <v>0</v>
      </c>
      <c r="I148" s="134"/>
      <c r="J148" s="136"/>
      <c r="K148" s="138"/>
      <c r="L148" s="96"/>
      <c r="M148" s="89">
        <v>0</v>
      </c>
      <c r="N148" s="89">
        <v>0</v>
      </c>
      <c r="O148" s="89">
        <f t="shared" si="33"/>
        <v>0</v>
      </c>
    </row>
    <row r="149" spans="1:15" x14ac:dyDescent="0.25">
      <c r="A149" s="134"/>
      <c r="B149" s="136"/>
      <c r="C149" s="138"/>
      <c r="D149" s="90"/>
      <c r="E149" s="89">
        <v>0</v>
      </c>
      <c r="F149" s="89">
        <v>0</v>
      </c>
      <c r="G149" s="89">
        <f t="shared" si="32"/>
        <v>0</v>
      </c>
      <c r="I149" s="134"/>
      <c r="J149" s="136"/>
      <c r="K149" s="138"/>
      <c r="L149" s="96"/>
      <c r="M149" s="89">
        <v>0</v>
      </c>
      <c r="N149" s="89">
        <v>0</v>
      </c>
      <c r="O149" s="89">
        <f t="shared" si="33"/>
        <v>0</v>
      </c>
    </row>
    <row r="150" spans="1:15" x14ac:dyDescent="0.25">
      <c r="A150" s="134"/>
      <c r="B150" s="136"/>
      <c r="C150" s="138"/>
      <c r="D150" s="90"/>
      <c r="E150" s="89">
        <v>0</v>
      </c>
      <c r="F150" s="89">
        <v>0</v>
      </c>
      <c r="G150" s="89">
        <f t="shared" si="32"/>
        <v>0</v>
      </c>
      <c r="I150" s="134"/>
      <c r="J150" s="136"/>
      <c r="K150" s="138"/>
      <c r="L150" s="96"/>
      <c r="M150" s="89">
        <v>0</v>
      </c>
      <c r="N150" s="89">
        <v>0</v>
      </c>
      <c r="O150" s="89">
        <f t="shared" si="33"/>
        <v>0</v>
      </c>
    </row>
    <row r="151" spans="1:15" x14ac:dyDescent="0.25">
      <c r="A151" s="134"/>
      <c r="B151" s="136"/>
      <c r="C151" s="138"/>
      <c r="D151" s="90"/>
      <c r="E151" s="89">
        <v>0</v>
      </c>
      <c r="F151" s="89">
        <v>0</v>
      </c>
      <c r="G151" s="89">
        <f t="shared" si="32"/>
        <v>0</v>
      </c>
      <c r="I151" s="134"/>
      <c r="J151" s="136"/>
      <c r="K151" s="138"/>
      <c r="L151" s="96"/>
      <c r="M151" s="89">
        <v>0</v>
      </c>
      <c r="N151" s="89">
        <v>0</v>
      </c>
      <c r="O151" s="89">
        <f t="shared" si="33"/>
        <v>0</v>
      </c>
    </row>
    <row r="152" spans="1:15" x14ac:dyDescent="0.25">
      <c r="A152" s="135"/>
      <c r="B152" s="136"/>
      <c r="C152" s="139"/>
      <c r="D152" s="90"/>
      <c r="E152" s="89">
        <v>0</v>
      </c>
      <c r="F152" s="89">
        <v>0</v>
      </c>
      <c r="G152" s="89">
        <f t="shared" si="32"/>
        <v>0</v>
      </c>
      <c r="I152" s="135"/>
      <c r="J152" s="136"/>
      <c r="K152" s="139"/>
      <c r="L152" s="96"/>
      <c r="M152" s="89">
        <v>0</v>
      </c>
      <c r="N152" s="89">
        <v>0</v>
      </c>
      <c r="O152" s="89">
        <f t="shared" si="33"/>
        <v>0</v>
      </c>
    </row>
    <row r="153" spans="1:15" ht="15.75" thickBot="1" x14ac:dyDescent="0.3">
      <c r="A153" s="91"/>
      <c r="B153" s="91"/>
      <c r="C153" s="91"/>
      <c r="D153" s="91"/>
      <c r="E153" s="91"/>
      <c r="F153" s="91"/>
      <c r="G153" s="92">
        <f>SUM(G145,G152)</f>
        <v>0.45833333333333331</v>
      </c>
      <c r="I153" s="91"/>
      <c r="J153" s="91"/>
      <c r="K153" s="91"/>
      <c r="L153" s="97"/>
      <c r="M153" s="91"/>
      <c r="N153" s="91"/>
      <c r="O153" s="92">
        <f>SUM(O145,O152)</f>
        <v>0.54166666666666663</v>
      </c>
    </row>
    <row r="154" spans="1:15" x14ac:dyDescent="0.25">
      <c r="A154" s="133">
        <f>A145+1</f>
        <v>46099</v>
      </c>
      <c r="B154" s="136"/>
      <c r="C154" s="137" t="s">
        <v>82</v>
      </c>
      <c r="D154" s="88" t="s">
        <v>244</v>
      </c>
      <c r="E154" s="89">
        <v>0.33333333333333331</v>
      </c>
      <c r="F154" s="89">
        <v>0.79166666666666663</v>
      </c>
      <c r="G154" s="89">
        <f>F154-E154</f>
        <v>0.45833333333333331</v>
      </c>
      <c r="I154" s="133">
        <f>I145+1</f>
        <v>46099</v>
      </c>
      <c r="J154" s="136"/>
      <c r="K154" s="137" t="s">
        <v>83</v>
      </c>
      <c r="L154" s="88" t="s">
        <v>244</v>
      </c>
      <c r="M154" s="89">
        <v>0.79166666666666663</v>
      </c>
      <c r="N154" s="89">
        <v>0.33333333333333331</v>
      </c>
      <c r="O154" s="89">
        <v>0.54166666666666663</v>
      </c>
    </row>
    <row r="155" spans="1:15" x14ac:dyDescent="0.25">
      <c r="A155" s="134"/>
      <c r="B155" s="136"/>
      <c r="C155" s="138"/>
      <c r="D155" s="88"/>
      <c r="E155" s="89">
        <v>0</v>
      </c>
      <c r="F155" s="89">
        <v>0</v>
      </c>
      <c r="G155" s="89">
        <f t="shared" ref="G155:G161" si="34">F155-E155</f>
        <v>0</v>
      </c>
      <c r="I155" s="134"/>
      <c r="J155" s="136"/>
      <c r="K155" s="138"/>
      <c r="L155" s="95"/>
      <c r="M155" s="89">
        <v>0</v>
      </c>
      <c r="N155" s="89">
        <v>0</v>
      </c>
      <c r="O155" s="89">
        <f t="shared" ref="O155:O161" si="35">N155-M155</f>
        <v>0</v>
      </c>
    </row>
    <row r="156" spans="1:15" x14ac:dyDescent="0.25">
      <c r="A156" s="134"/>
      <c r="B156" s="136"/>
      <c r="C156" s="138"/>
      <c r="D156" s="90"/>
      <c r="E156" s="89">
        <v>0</v>
      </c>
      <c r="F156" s="89">
        <v>0</v>
      </c>
      <c r="G156" s="89">
        <f t="shared" si="34"/>
        <v>0</v>
      </c>
      <c r="I156" s="134"/>
      <c r="J156" s="136"/>
      <c r="K156" s="138"/>
      <c r="L156" s="96"/>
      <c r="M156" s="89">
        <v>0</v>
      </c>
      <c r="N156" s="89">
        <v>0</v>
      </c>
      <c r="O156" s="89">
        <f t="shared" si="35"/>
        <v>0</v>
      </c>
    </row>
    <row r="157" spans="1:15" x14ac:dyDescent="0.25">
      <c r="A157" s="134"/>
      <c r="B157" s="136"/>
      <c r="C157" s="138"/>
      <c r="D157" s="90"/>
      <c r="E157" s="89">
        <v>0</v>
      </c>
      <c r="F157" s="89">
        <v>0</v>
      </c>
      <c r="G157" s="89">
        <f t="shared" si="34"/>
        <v>0</v>
      </c>
      <c r="I157" s="134"/>
      <c r="J157" s="136"/>
      <c r="K157" s="138"/>
      <c r="L157" s="96"/>
      <c r="M157" s="89">
        <v>0</v>
      </c>
      <c r="N157" s="89">
        <v>0</v>
      </c>
      <c r="O157" s="89">
        <f t="shared" si="35"/>
        <v>0</v>
      </c>
    </row>
    <row r="158" spans="1:15" x14ac:dyDescent="0.25">
      <c r="A158" s="134"/>
      <c r="B158" s="136"/>
      <c r="C158" s="138"/>
      <c r="D158" s="90"/>
      <c r="E158" s="89">
        <v>0</v>
      </c>
      <c r="F158" s="89">
        <v>0</v>
      </c>
      <c r="G158" s="89">
        <f t="shared" si="34"/>
        <v>0</v>
      </c>
      <c r="I158" s="134"/>
      <c r="J158" s="136"/>
      <c r="K158" s="138"/>
      <c r="L158" s="96"/>
      <c r="M158" s="89">
        <v>0</v>
      </c>
      <c r="N158" s="89">
        <v>0</v>
      </c>
      <c r="O158" s="89">
        <f t="shared" si="35"/>
        <v>0</v>
      </c>
    </row>
    <row r="159" spans="1:15" x14ac:dyDescent="0.25">
      <c r="A159" s="134"/>
      <c r="B159" s="136"/>
      <c r="C159" s="138"/>
      <c r="D159" s="90"/>
      <c r="E159" s="89">
        <v>0</v>
      </c>
      <c r="F159" s="89">
        <v>0</v>
      </c>
      <c r="G159" s="89">
        <f t="shared" si="34"/>
        <v>0</v>
      </c>
      <c r="I159" s="134"/>
      <c r="J159" s="136"/>
      <c r="K159" s="138"/>
      <c r="L159" s="96"/>
      <c r="M159" s="89">
        <v>0</v>
      </c>
      <c r="N159" s="89">
        <v>0</v>
      </c>
      <c r="O159" s="89">
        <f t="shared" si="35"/>
        <v>0</v>
      </c>
    </row>
    <row r="160" spans="1:15" x14ac:dyDescent="0.25">
      <c r="A160" s="134"/>
      <c r="B160" s="136"/>
      <c r="C160" s="138"/>
      <c r="D160" s="90"/>
      <c r="E160" s="89">
        <v>0</v>
      </c>
      <c r="F160" s="89">
        <v>0</v>
      </c>
      <c r="G160" s="89">
        <f t="shared" si="34"/>
        <v>0</v>
      </c>
      <c r="I160" s="134"/>
      <c r="J160" s="136"/>
      <c r="K160" s="138"/>
      <c r="L160" s="96"/>
      <c r="M160" s="89">
        <v>0</v>
      </c>
      <c r="N160" s="89">
        <v>0</v>
      </c>
      <c r="O160" s="89">
        <f t="shared" si="35"/>
        <v>0</v>
      </c>
    </row>
    <row r="161" spans="1:15" x14ac:dyDescent="0.25">
      <c r="A161" s="135"/>
      <c r="B161" s="136"/>
      <c r="C161" s="139"/>
      <c r="D161" s="90"/>
      <c r="E161" s="89">
        <v>0</v>
      </c>
      <c r="F161" s="89">
        <v>0</v>
      </c>
      <c r="G161" s="89">
        <f t="shared" si="34"/>
        <v>0</v>
      </c>
      <c r="I161" s="135"/>
      <c r="J161" s="136"/>
      <c r="K161" s="139"/>
      <c r="L161" s="96"/>
      <c r="M161" s="89">
        <v>0</v>
      </c>
      <c r="N161" s="89">
        <v>0</v>
      </c>
      <c r="O161" s="89">
        <f t="shared" si="35"/>
        <v>0</v>
      </c>
    </row>
    <row r="162" spans="1:15" ht="15.75" thickBot="1" x14ac:dyDescent="0.3">
      <c r="A162" s="91"/>
      <c r="B162" s="91"/>
      <c r="C162" s="91"/>
      <c r="D162" s="91"/>
      <c r="E162" s="91"/>
      <c r="F162" s="91"/>
      <c r="G162" s="92">
        <f>SUM(G154,G161)</f>
        <v>0.45833333333333331</v>
      </c>
      <c r="I162" s="91"/>
      <c r="J162" s="91"/>
      <c r="K162" s="91"/>
      <c r="L162" s="97"/>
      <c r="M162" s="91"/>
      <c r="N162" s="91"/>
      <c r="O162" s="92">
        <f>SUM(O154,O161)</f>
        <v>0.54166666666666663</v>
      </c>
    </row>
    <row r="163" spans="1:15" x14ac:dyDescent="0.25">
      <c r="A163" s="133">
        <f>A154+1</f>
        <v>46100</v>
      </c>
      <c r="B163" s="136"/>
      <c r="C163" s="137" t="s">
        <v>82</v>
      </c>
      <c r="D163" s="88" t="s">
        <v>244</v>
      </c>
      <c r="E163" s="89">
        <v>0.33333333333333331</v>
      </c>
      <c r="F163" s="89">
        <v>0.79166666666666663</v>
      </c>
      <c r="G163" s="89">
        <f>F163-E163</f>
        <v>0.45833333333333331</v>
      </c>
      <c r="I163" s="133">
        <f>I154+1</f>
        <v>46100</v>
      </c>
      <c r="J163" s="136"/>
      <c r="K163" s="137" t="s">
        <v>83</v>
      </c>
      <c r="L163" s="88" t="s">
        <v>244</v>
      </c>
      <c r="M163" s="89">
        <v>0.79166666666666663</v>
      </c>
      <c r="N163" s="89">
        <v>0.33333333333333331</v>
      </c>
      <c r="O163" s="89">
        <v>0.54166666666666663</v>
      </c>
    </row>
    <row r="164" spans="1:15" x14ac:dyDescent="0.25">
      <c r="A164" s="134"/>
      <c r="B164" s="136"/>
      <c r="C164" s="138"/>
      <c r="D164" s="88"/>
      <c r="E164" s="89">
        <v>0</v>
      </c>
      <c r="F164" s="89">
        <v>0</v>
      </c>
      <c r="G164" s="89">
        <f t="shared" ref="G164:G170" si="36">F164-E164</f>
        <v>0</v>
      </c>
      <c r="I164" s="134"/>
      <c r="J164" s="136"/>
      <c r="K164" s="138"/>
      <c r="L164" s="95"/>
      <c r="M164" s="89">
        <v>0</v>
      </c>
      <c r="N164" s="89">
        <v>0</v>
      </c>
      <c r="O164" s="89">
        <f t="shared" ref="O164:O170" si="37">N164-M164</f>
        <v>0</v>
      </c>
    </row>
    <row r="165" spans="1:15" x14ac:dyDescent="0.25">
      <c r="A165" s="134"/>
      <c r="B165" s="136"/>
      <c r="C165" s="138"/>
      <c r="D165" s="90"/>
      <c r="E165" s="89">
        <v>0</v>
      </c>
      <c r="F165" s="89">
        <v>0</v>
      </c>
      <c r="G165" s="89">
        <f t="shared" si="36"/>
        <v>0</v>
      </c>
      <c r="I165" s="134"/>
      <c r="J165" s="136"/>
      <c r="K165" s="138"/>
      <c r="L165" s="96"/>
      <c r="M165" s="89">
        <v>0</v>
      </c>
      <c r="N165" s="89">
        <v>0</v>
      </c>
      <c r="O165" s="89">
        <f t="shared" si="37"/>
        <v>0</v>
      </c>
    </row>
    <row r="166" spans="1:15" x14ac:dyDescent="0.25">
      <c r="A166" s="134"/>
      <c r="B166" s="136"/>
      <c r="C166" s="138"/>
      <c r="D166" s="90"/>
      <c r="E166" s="89">
        <v>0</v>
      </c>
      <c r="F166" s="89">
        <v>0</v>
      </c>
      <c r="G166" s="89">
        <f t="shared" si="36"/>
        <v>0</v>
      </c>
      <c r="I166" s="134"/>
      <c r="J166" s="136"/>
      <c r="K166" s="138"/>
      <c r="L166" s="96"/>
      <c r="M166" s="89">
        <v>0</v>
      </c>
      <c r="N166" s="89">
        <v>0</v>
      </c>
      <c r="O166" s="89">
        <f t="shared" si="37"/>
        <v>0</v>
      </c>
    </row>
    <row r="167" spans="1:15" x14ac:dyDescent="0.25">
      <c r="A167" s="134"/>
      <c r="B167" s="136"/>
      <c r="C167" s="138"/>
      <c r="D167" s="90"/>
      <c r="E167" s="89">
        <v>0</v>
      </c>
      <c r="F167" s="89">
        <v>0</v>
      </c>
      <c r="G167" s="89">
        <f t="shared" si="36"/>
        <v>0</v>
      </c>
      <c r="I167" s="134"/>
      <c r="J167" s="136"/>
      <c r="K167" s="138"/>
      <c r="L167" s="96"/>
      <c r="M167" s="89">
        <v>0</v>
      </c>
      <c r="N167" s="89">
        <v>0</v>
      </c>
      <c r="O167" s="89">
        <f t="shared" si="37"/>
        <v>0</v>
      </c>
    </row>
    <row r="168" spans="1:15" x14ac:dyDescent="0.25">
      <c r="A168" s="134"/>
      <c r="B168" s="136"/>
      <c r="C168" s="138"/>
      <c r="D168" s="90"/>
      <c r="E168" s="89">
        <v>0</v>
      </c>
      <c r="F168" s="89">
        <v>0</v>
      </c>
      <c r="G168" s="89">
        <f t="shared" si="36"/>
        <v>0</v>
      </c>
      <c r="I168" s="134"/>
      <c r="J168" s="136"/>
      <c r="K168" s="138"/>
      <c r="L168" s="96"/>
      <c r="M168" s="89">
        <v>0</v>
      </c>
      <c r="N168" s="89">
        <v>0</v>
      </c>
      <c r="O168" s="89">
        <f t="shared" si="37"/>
        <v>0</v>
      </c>
    </row>
    <row r="169" spans="1:15" x14ac:dyDescent="0.25">
      <c r="A169" s="134"/>
      <c r="B169" s="136"/>
      <c r="C169" s="138"/>
      <c r="D169" s="90"/>
      <c r="E169" s="89">
        <v>0</v>
      </c>
      <c r="F169" s="89">
        <v>0</v>
      </c>
      <c r="G169" s="89">
        <f t="shared" si="36"/>
        <v>0</v>
      </c>
      <c r="I169" s="134"/>
      <c r="J169" s="136"/>
      <c r="K169" s="138"/>
      <c r="L169" s="96"/>
      <c r="M169" s="89">
        <v>0</v>
      </c>
      <c r="N169" s="89">
        <v>0</v>
      </c>
      <c r="O169" s="89">
        <f t="shared" si="37"/>
        <v>0</v>
      </c>
    </row>
    <row r="170" spans="1:15" x14ac:dyDescent="0.25">
      <c r="A170" s="135"/>
      <c r="B170" s="136"/>
      <c r="C170" s="139"/>
      <c r="D170" s="90"/>
      <c r="E170" s="89">
        <v>0</v>
      </c>
      <c r="F170" s="89">
        <v>0</v>
      </c>
      <c r="G170" s="89">
        <f t="shared" si="36"/>
        <v>0</v>
      </c>
      <c r="I170" s="135"/>
      <c r="J170" s="136"/>
      <c r="K170" s="139"/>
      <c r="L170" s="96"/>
      <c r="M170" s="89">
        <v>0</v>
      </c>
      <c r="N170" s="89">
        <v>0</v>
      </c>
      <c r="O170" s="89">
        <f t="shared" si="37"/>
        <v>0</v>
      </c>
    </row>
    <row r="171" spans="1:15" ht="15.75" thickBot="1" x14ac:dyDescent="0.3">
      <c r="A171" s="91"/>
      <c r="B171" s="91"/>
      <c r="C171" s="91"/>
      <c r="D171" s="91"/>
      <c r="E171" s="91"/>
      <c r="F171" s="91"/>
      <c r="G171" s="92">
        <f>SUM(G163,G170)</f>
        <v>0.45833333333333331</v>
      </c>
      <c r="I171" s="91"/>
      <c r="J171" s="91"/>
      <c r="K171" s="91"/>
      <c r="L171" s="97"/>
      <c r="M171" s="91"/>
      <c r="N171" s="91"/>
      <c r="O171" s="92">
        <f>SUM(O163,O170)</f>
        <v>0.54166666666666663</v>
      </c>
    </row>
    <row r="172" spans="1:15" x14ac:dyDescent="0.25">
      <c r="A172" s="133">
        <f>A163+1</f>
        <v>46101</v>
      </c>
      <c r="B172" s="136"/>
      <c r="C172" s="137" t="s">
        <v>82</v>
      </c>
      <c r="D172" s="88" t="s">
        <v>244</v>
      </c>
      <c r="E172" s="89">
        <v>0.33333333333333331</v>
      </c>
      <c r="F172" s="89">
        <v>0.79166666666666663</v>
      </c>
      <c r="G172" s="89">
        <f>F172-E172</f>
        <v>0.45833333333333331</v>
      </c>
      <c r="I172" s="133">
        <f>I163+1</f>
        <v>46101</v>
      </c>
      <c r="J172" s="136"/>
      <c r="K172" s="137" t="s">
        <v>83</v>
      </c>
      <c r="L172" s="88" t="s">
        <v>244</v>
      </c>
      <c r="M172" s="89">
        <v>0.79166666666666663</v>
      </c>
      <c r="N172" s="89">
        <v>0.33333333333333331</v>
      </c>
      <c r="O172" s="89">
        <v>0.54166666666666663</v>
      </c>
    </row>
    <row r="173" spans="1:15" x14ac:dyDescent="0.25">
      <c r="A173" s="134"/>
      <c r="B173" s="136"/>
      <c r="C173" s="138"/>
      <c r="D173" s="88"/>
      <c r="E173" s="89">
        <v>0</v>
      </c>
      <c r="F173" s="89">
        <v>0</v>
      </c>
      <c r="G173" s="89">
        <f t="shared" ref="G173:G179" si="38">F173-E173</f>
        <v>0</v>
      </c>
      <c r="I173" s="134"/>
      <c r="J173" s="136"/>
      <c r="K173" s="138"/>
      <c r="L173" s="95"/>
      <c r="M173" s="89">
        <v>0</v>
      </c>
      <c r="N173" s="89">
        <v>0</v>
      </c>
      <c r="O173" s="89">
        <f t="shared" ref="O173:O179" si="39">N173-M173</f>
        <v>0</v>
      </c>
    </row>
    <row r="174" spans="1:15" x14ac:dyDescent="0.25">
      <c r="A174" s="134"/>
      <c r="B174" s="136"/>
      <c r="C174" s="138"/>
      <c r="D174" s="90"/>
      <c r="E174" s="89">
        <v>0</v>
      </c>
      <c r="F174" s="89">
        <v>0</v>
      </c>
      <c r="G174" s="89">
        <f t="shared" si="38"/>
        <v>0</v>
      </c>
      <c r="I174" s="134"/>
      <c r="J174" s="136"/>
      <c r="K174" s="138"/>
      <c r="L174" s="96"/>
      <c r="M174" s="89">
        <v>0</v>
      </c>
      <c r="N174" s="89">
        <v>0</v>
      </c>
      <c r="O174" s="89">
        <f t="shared" si="39"/>
        <v>0</v>
      </c>
    </row>
    <row r="175" spans="1:15" x14ac:dyDescent="0.25">
      <c r="A175" s="134"/>
      <c r="B175" s="136"/>
      <c r="C175" s="138"/>
      <c r="D175" s="90"/>
      <c r="E175" s="89">
        <v>0</v>
      </c>
      <c r="F175" s="89">
        <v>0</v>
      </c>
      <c r="G175" s="89">
        <f t="shared" si="38"/>
        <v>0</v>
      </c>
      <c r="I175" s="134"/>
      <c r="J175" s="136"/>
      <c r="K175" s="138"/>
      <c r="L175" s="96"/>
      <c r="M175" s="89">
        <v>0</v>
      </c>
      <c r="N175" s="89">
        <v>0</v>
      </c>
      <c r="O175" s="89">
        <f t="shared" si="39"/>
        <v>0</v>
      </c>
    </row>
    <row r="176" spans="1:15" x14ac:dyDescent="0.25">
      <c r="A176" s="134"/>
      <c r="B176" s="136"/>
      <c r="C176" s="138"/>
      <c r="D176" s="90"/>
      <c r="E176" s="89">
        <v>0</v>
      </c>
      <c r="F176" s="89">
        <v>0</v>
      </c>
      <c r="G176" s="89">
        <f t="shared" si="38"/>
        <v>0</v>
      </c>
      <c r="I176" s="134"/>
      <c r="J176" s="136"/>
      <c r="K176" s="138"/>
      <c r="L176" s="96"/>
      <c r="M176" s="89">
        <v>0</v>
      </c>
      <c r="N176" s="89">
        <v>0</v>
      </c>
      <c r="O176" s="89">
        <f t="shared" si="39"/>
        <v>0</v>
      </c>
    </row>
    <row r="177" spans="1:15" x14ac:dyDescent="0.25">
      <c r="A177" s="134"/>
      <c r="B177" s="136"/>
      <c r="C177" s="138"/>
      <c r="D177" s="90"/>
      <c r="E177" s="89">
        <v>0</v>
      </c>
      <c r="F177" s="89">
        <v>0</v>
      </c>
      <c r="G177" s="89">
        <f t="shared" si="38"/>
        <v>0</v>
      </c>
      <c r="I177" s="134"/>
      <c r="J177" s="136"/>
      <c r="K177" s="138"/>
      <c r="L177" s="96"/>
      <c r="M177" s="89">
        <v>0</v>
      </c>
      <c r="N177" s="89">
        <v>0</v>
      </c>
      <c r="O177" s="89">
        <f t="shared" si="39"/>
        <v>0</v>
      </c>
    </row>
    <row r="178" spans="1:15" x14ac:dyDescent="0.25">
      <c r="A178" s="134"/>
      <c r="B178" s="136"/>
      <c r="C178" s="138"/>
      <c r="D178" s="90"/>
      <c r="E178" s="89">
        <v>0</v>
      </c>
      <c r="F178" s="89">
        <v>0</v>
      </c>
      <c r="G178" s="89">
        <f t="shared" si="38"/>
        <v>0</v>
      </c>
      <c r="I178" s="134"/>
      <c r="J178" s="136"/>
      <c r="K178" s="138"/>
      <c r="L178" s="96"/>
      <c r="M178" s="89">
        <v>0</v>
      </c>
      <c r="N178" s="89">
        <v>0</v>
      </c>
      <c r="O178" s="89">
        <f t="shared" si="39"/>
        <v>0</v>
      </c>
    </row>
    <row r="179" spans="1:15" x14ac:dyDescent="0.25">
      <c r="A179" s="135"/>
      <c r="B179" s="136"/>
      <c r="C179" s="139"/>
      <c r="D179" s="90"/>
      <c r="E179" s="89">
        <v>0</v>
      </c>
      <c r="F179" s="89">
        <v>0</v>
      </c>
      <c r="G179" s="89">
        <f t="shared" si="38"/>
        <v>0</v>
      </c>
      <c r="I179" s="135"/>
      <c r="J179" s="136"/>
      <c r="K179" s="139"/>
      <c r="L179" s="96"/>
      <c r="M179" s="89">
        <v>0</v>
      </c>
      <c r="N179" s="89">
        <v>0</v>
      </c>
      <c r="O179" s="89">
        <f t="shared" si="39"/>
        <v>0</v>
      </c>
    </row>
    <row r="180" spans="1:15" ht="15.75" thickBot="1" x14ac:dyDescent="0.3">
      <c r="A180" s="91"/>
      <c r="B180" s="91"/>
      <c r="C180" s="91"/>
      <c r="D180" s="91"/>
      <c r="E180" s="91"/>
      <c r="F180" s="91"/>
      <c r="G180" s="92">
        <f>SUM(G172,G179)</f>
        <v>0.45833333333333331</v>
      </c>
      <c r="I180" s="91"/>
      <c r="J180" s="91"/>
      <c r="K180" s="91"/>
      <c r="L180" s="97"/>
      <c r="M180" s="91"/>
      <c r="N180" s="91"/>
      <c r="O180" s="92">
        <f>SUM(O172,O179)</f>
        <v>0.54166666666666663</v>
      </c>
    </row>
    <row r="181" spans="1:15" x14ac:dyDescent="0.25">
      <c r="A181" s="133">
        <f>A172+1</f>
        <v>46102</v>
      </c>
      <c r="B181" s="136"/>
      <c r="C181" s="137" t="s">
        <v>82</v>
      </c>
      <c r="D181" s="88" t="s">
        <v>244</v>
      </c>
      <c r="E181" s="89">
        <v>0.33333333333333331</v>
      </c>
      <c r="F181" s="89">
        <v>0.79166666666666663</v>
      </c>
      <c r="G181" s="89">
        <f>F181-E181</f>
        <v>0.45833333333333331</v>
      </c>
      <c r="I181" s="133">
        <f>I172+1</f>
        <v>46102</v>
      </c>
      <c r="J181" s="136"/>
      <c r="K181" s="137" t="s">
        <v>83</v>
      </c>
      <c r="L181" s="88" t="s">
        <v>244</v>
      </c>
      <c r="M181" s="89">
        <v>0.79166666666666663</v>
      </c>
      <c r="N181" s="89">
        <v>0.33333333333333331</v>
      </c>
      <c r="O181" s="89">
        <v>0.54166666666666663</v>
      </c>
    </row>
    <row r="182" spans="1:15" x14ac:dyDescent="0.25">
      <c r="A182" s="134"/>
      <c r="B182" s="136"/>
      <c r="C182" s="138"/>
      <c r="D182" s="88"/>
      <c r="E182" s="89">
        <v>0</v>
      </c>
      <c r="F182" s="89">
        <v>0</v>
      </c>
      <c r="G182" s="89">
        <f t="shared" ref="G182:G188" si="40">F182-E182</f>
        <v>0</v>
      </c>
      <c r="I182" s="134"/>
      <c r="J182" s="136"/>
      <c r="K182" s="138"/>
      <c r="L182" s="95"/>
      <c r="M182" s="89">
        <v>0</v>
      </c>
      <c r="N182" s="89">
        <v>0</v>
      </c>
      <c r="O182" s="89">
        <f t="shared" ref="O182:O188" si="41">N182-M182</f>
        <v>0</v>
      </c>
    </row>
    <row r="183" spans="1:15" x14ac:dyDescent="0.25">
      <c r="A183" s="134"/>
      <c r="B183" s="136"/>
      <c r="C183" s="138"/>
      <c r="D183" s="90"/>
      <c r="E183" s="89">
        <v>0</v>
      </c>
      <c r="F183" s="89">
        <v>0</v>
      </c>
      <c r="G183" s="89">
        <f t="shared" si="40"/>
        <v>0</v>
      </c>
      <c r="I183" s="134"/>
      <c r="J183" s="136"/>
      <c r="K183" s="138"/>
      <c r="L183" s="96"/>
      <c r="M183" s="89">
        <v>0</v>
      </c>
      <c r="N183" s="89">
        <v>0</v>
      </c>
      <c r="O183" s="89">
        <f t="shared" si="41"/>
        <v>0</v>
      </c>
    </row>
    <row r="184" spans="1:15" x14ac:dyDescent="0.25">
      <c r="A184" s="134"/>
      <c r="B184" s="136"/>
      <c r="C184" s="138"/>
      <c r="D184" s="90"/>
      <c r="E184" s="89">
        <v>0</v>
      </c>
      <c r="F184" s="89">
        <v>0</v>
      </c>
      <c r="G184" s="89">
        <f t="shared" si="40"/>
        <v>0</v>
      </c>
      <c r="I184" s="134"/>
      <c r="J184" s="136"/>
      <c r="K184" s="138"/>
      <c r="L184" s="96"/>
      <c r="M184" s="89">
        <v>0</v>
      </c>
      <c r="N184" s="89">
        <v>0</v>
      </c>
      <c r="O184" s="89">
        <f t="shared" si="41"/>
        <v>0</v>
      </c>
    </row>
    <row r="185" spans="1:15" x14ac:dyDescent="0.25">
      <c r="A185" s="134"/>
      <c r="B185" s="136"/>
      <c r="C185" s="138"/>
      <c r="D185" s="90"/>
      <c r="E185" s="89">
        <v>0</v>
      </c>
      <c r="F185" s="89">
        <v>0</v>
      </c>
      <c r="G185" s="89">
        <f t="shared" si="40"/>
        <v>0</v>
      </c>
      <c r="I185" s="134"/>
      <c r="J185" s="136"/>
      <c r="K185" s="138"/>
      <c r="L185" s="96"/>
      <c r="M185" s="89">
        <v>0</v>
      </c>
      <c r="N185" s="89">
        <v>0</v>
      </c>
      <c r="O185" s="89">
        <f t="shared" si="41"/>
        <v>0</v>
      </c>
    </row>
    <row r="186" spans="1:15" x14ac:dyDescent="0.25">
      <c r="A186" s="134"/>
      <c r="B186" s="136"/>
      <c r="C186" s="138"/>
      <c r="D186" s="90"/>
      <c r="E186" s="89">
        <v>0</v>
      </c>
      <c r="F186" s="89">
        <v>0</v>
      </c>
      <c r="G186" s="89">
        <f t="shared" si="40"/>
        <v>0</v>
      </c>
      <c r="I186" s="134"/>
      <c r="J186" s="136"/>
      <c r="K186" s="138"/>
      <c r="L186" s="96"/>
      <c r="M186" s="89">
        <v>0</v>
      </c>
      <c r="N186" s="89">
        <v>0</v>
      </c>
      <c r="O186" s="89">
        <f t="shared" si="41"/>
        <v>0</v>
      </c>
    </row>
    <row r="187" spans="1:15" x14ac:dyDescent="0.25">
      <c r="A187" s="134"/>
      <c r="B187" s="136"/>
      <c r="C187" s="138"/>
      <c r="D187" s="90"/>
      <c r="E187" s="89">
        <v>0</v>
      </c>
      <c r="F187" s="89">
        <v>0</v>
      </c>
      <c r="G187" s="89">
        <f t="shared" si="40"/>
        <v>0</v>
      </c>
      <c r="I187" s="134"/>
      <c r="J187" s="136"/>
      <c r="K187" s="138"/>
      <c r="L187" s="96"/>
      <c r="M187" s="89">
        <v>0</v>
      </c>
      <c r="N187" s="89">
        <v>0</v>
      </c>
      <c r="O187" s="89">
        <f t="shared" si="41"/>
        <v>0</v>
      </c>
    </row>
    <row r="188" spans="1:15" x14ac:dyDescent="0.25">
      <c r="A188" s="135"/>
      <c r="B188" s="136"/>
      <c r="C188" s="139"/>
      <c r="D188" s="90"/>
      <c r="E188" s="89">
        <v>0</v>
      </c>
      <c r="F188" s="89">
        <v>0</v>
      </c>
      <c r="G188" s="89">
        <f t="shared" si="40"/>
        <v>0</v>
      </c>
      <c r="I188" s="135"/>
      <c r="J188" s="136"/>
      <c r="K188" s="139"/>
      <c r="L188" s="96"/>
      <c r="M188" s="89">
        <v>0</v>
      </c>
      <c r="N188" s="89">
        <v>0</v>
      </c>
      <c r="O188" s="89">
        <f t="shared" si="41"/>
        <v>0</v>
      </c>
    </row>
    <row r="189" spans="1:15" ht="15.75" thickBot="1" x14ac:dyDescent="0.3">
      <c r="A189" s="91"/>
      <c r="B189" s="91"/>
      <c r="C189" s="91"/>
      <c r="D189" s="91"/>
      <c r="E189" s="91"/>
      <c r="F189" s="91"/>
      <c r="G189" s="92">
        <f>SUM(G181,G188)</f>
        <v>0.45833333333333331</v>
      </c>
      <c r="I189" s="91"/>
      <c r="J189" s="91"/>
      <c r="K189" s="91"/>
      <c r="L189" s="97"/>
      <c r="M189" s="91"/>
      <c r="N189" s="91"/>
      <c r="O189" s="92">
        <f>SUM(O181,O188)</f>
        <v>0.54166666666666663</v>
      </c>
    </row>
    <row r="190" spans="1:15" x14ac:dyDescent="0.25">
      <c r="A190" s="133">
        <f>A181+1</f>
        <v>46103</v>
      </c>
      <c r="B190" s="136"/>
      <c r="C190" s="137" t="s">
        <v>82</v>
      </c>
      <c r="D190" s="88" t="s">
        <v>244</v>
      </c>
      <c r="E190" s="89">
        <v>0.33333333333333331</v>
      </c>
      <c r="F190" s="89">
        <v>0.79166666666666663</v>
      </c>
      <c r="G190" s="89">
        <f>F190-E190</f>
        <v>0.45833333333333331</v>
      </c>
      <c r="I190" s="133">
        <f>I181+1</f>
        <v>46103</v>
      </c>
      <c r="J190" s="136"/>
      <c r="K190" s="137" t="s">
        <v>83</v>
      </c>
      <c r="L190" s="88" t="s">
        <v>244</v>
      </c>
      <c r="M190" s="89">
        <v>0.79166666666666663</v>
      </c>
      <c r="N190" s="89">
        <v>0.33333333333333331</v>
      </c>
      <c r="O190" s="89">
        <v>0.54166666666666663</v>
      </c>
    </row>
    <row r="191" spans="1:15" x14ac:dyDescent="0.25">
      <c r="A191" s="134"/>
      <c r="B191" s="136"/>
      <c r="C191" s="138"/>
      <c r="D191" s="88"/>
      <c r="E191" s="89">
        <v>0</v>
      </c>
      <c r="F191" s="89">
        <v>0</v>
      </c>
      <c r="G191" s="89">
        <f t="shared" ref="G191:G197" si="42">F191-E191</f>
        <v>0</v>
      </c>
      <c r="I191" s="134"/>
      <c r="J191" s="136"/>
      <c r="K191" s="138"/>
      <c r="L191" s="95"/>
      <c r="M191" s="89">
        <v>0</v>
      </c>
      <c r="N191" s="89">
        <v>0</v>
      </c>
      <c r="O191" s="89">
        <f t="shared" ref="O191:O197" si="43">N191-M191</f>
        <v>0</v>
      </c>
    </row>
    <row r="192" spans="1:15" x14ac:dyDescent="0.25">
      <c r="A192" s="134"/>
      <c r="B192" s="136"/>
      <c r="C192" s="138"/>
      <c r="D192" s="90"/>
      <c r="E192" s="89">
        <v>0</v>
      </c>
      <c r="F192" s="89">
        <v>0</v>
      </c>
      <c r="G192" s="89">
        <f t="shared" si="42"/>
        <v>0</v>
      </c>
      <c r="I192" s="134"/>
      <c r="J192" s="136"/>
      <c r="K192" s="138"/>
      <c r="L192" s="96"/>
      <c r="M192" s="89">
        <v>0</v>
      </c>
      <c r="N192" s="89">
        <v>0</v>
      </c>
      <c r="O192" s="89">
        <f t="shared" si="43"/>
        <v>0</v>
      </c>
    </row>
    <row r="193" spans="1:15" x14ac:dyDescent="0.25">
      <c r="A193" s="134"/>
      <c r="B193" s="136"/>
      <c r="C193" s="138"/>
      <c r="D193" s="90"/>
      <c r="E193" s="89">
        <v>0</v>
      </c>
      <c r="F193" s="89">
        <v>0</v>
      </c>
      <c r="G193" s="89">
        <f t="shared" si="42"/>
        <v>0</v>
      </c>
      <c r="I193" s="134"/>
      <c r="J193" s="136"/>
      <c r="K193" s="138"/>
      <c r="L193" s="96"/>
      <c r="M193" s="89">
        <v>0</v>
      </c>
      <c r="N193" s="89">
        <v>0</v>
      </c>
      <c r="O193" s="89">
        <f t="shared" si="43"/>
        <v>0</v>
      </c>
    </row>
    <row r="194" spans="1:15" x14ac:dyDescent="0.25">
      <c r="A194" s="134"/>
      <c r="B194" s="136"/>
      <c r="C194" s="138"/>
      <c r="D194" s="90"/>
      <c r="E194" s="89">
        <v>0</v>
      </c>
      <c r="F194" s="89">
        <v>0</v>
      </c>
      <c r="G194" s="89">
        <f t="shared" si="42"/>
        <v>0</v>
      </c>
      <c r="I194" s="134"/>
      <c r="J194" s="136"/>
      <c r="K194" s="138"/>
      <c r="L194" s="96"/>
      <c r="M194" s="89">
        <v>0</v>
      </c>
      <c r="N194" s="89">
        <v>0</v>
      </c>
      <c r="O194" s="89">
        <f t="shared" si="43"/>
        <v>0</v>
      </c>
    </row>
    <row r="195" spans="1:15" x14ac:dyDescent="0.25">
      <c r="A195" s="134"/>
      <c r="B195" s="136"/>
      <c r="C195" s="138"/>
      <c r="D195" s="90"/>
      <c r="E195" s="89">
        <v>0</v>
      </c>
      <c r="F195" s="89">
        <v>0</v>
      </c>
      <c r="G195" s="89">
        <f t="shared" si="42"/>
        <v>0</v>
      </c>
      <c r="I195" s="134"/>
      <c r="J195" s="136"/>
      <c r="K195" s="138"/>
      <c r="L195" s="96"/>
      <c r="M195" s="89">
        <v>0</v>
      </c>
      <c r="N195" s="89">
        <v>0</v>
      </c>
      <c r="O195" s="89">
        <f t="shared" si="43"/>
        <v>0</v>
      </c>
    </row>
    <row r="196" spans="1:15" x14ac:dyDescent="0.25">
      <c r="A196" s="134"/>
      <c r="B196" s="136"/>
      <c r="C196" s="138"/>
      <c r="D196" s="90"/>
      <c r="E196" s="89">
        <v>0</v>
      </c>
      <c r="F196" s="89">
        <v>0</v>
      </c>
      <c r="G196" s="89">
        <f t="shared" si="42"/>
        <v>0</v>
      </c>
      <c r="I196" s="134"/>
      <c r="J196" s="136"/>
      <c r="K196" s="138"/>
      <c r="L196" s="96"/>
      <c r="M196" s="89">
        <v>0</v>
      </c>
      <c r="N196" s="89">
        <v>0</v>
      </c>
      <c r="O196" s="89">
        <f t="shared" si="43"/>
        <v>0</v>
      </c>
    </row>
    <row r="197" spans="1:15" x14ac:dyDescent="0.25">
      <c r="A197" s="135"/>
      <c r="B197" s="136"/>
      <c r="C197" s="139"/>
      <c r="D197" s="90"/>
      <c r="E197" s="89">
        <v>0</v>
      </c>
      <c r="F197" s="89">
        <v>0</v>
      </c>
      <c r="G197" s="89">
        <f t="shared" si="42"/>
        <v>0</v>
      </c>
      <c r="I197" s="135"/>
      <c r="J197" s="136"/>
      <c r="K197" s="139"/>
      <c r="L197" s="96"/>
      <c r="M197" s="89">
        <v>0</v>
      </c>
      <c r="N197" s="89">
        <v>0</v>
      </c>
      <c r="O197" s="89">
        <f t="shared" si="43"/>
        <v>0</v>
      </c>
    </row>
    <row r="198" spans="1:15" ht="15.75" thickBot="1" x14ac:dyDescent="0.3">
      <c r="A198" s="91"/>
      <c r="B198" s="91"/>
      <c r="C198" s="91"/>
      <c r="D198" s="91"/>
      <c r="E198" s="91"/>
      <c r="F198" s="91"/>
      <c r="G198" s="92">
        <f>SUM(G190,G197)</f>
        <v>0.45833333333333331</v>
      </c>
      <c r="I198" s="91"/>
      <c r="J198" s="91"/>
      <c r="K198" s="91"/>
      <c r="L198" s="97"/>
      <c r="M198" s="91"/>
      <c r="N198" s="91"/>
      <c r="O198" s="92">
        <f>SUM(O190,O197)</f>
        <v>0.54166666666666663</v>
      </c>
    </row>
    <row r="199" spans="1:15" x14ac:dyDescent="0.25">
      <c r="A199" s="133">
        <f>A190+1</f>
        <v>46104</v>
      </c>
      <c r="B199" s="136"/>
      <c r="C199" s="137" t="s">
        <v>82</v>
      </c>
      <c r="D199" s="88" t="s">
        <v>244</v>
      </c>
      <c r="E199" s="89">
        <v>0.33333333333333331</v>
      </c>
      <c r="F199" s="89">
        <v>0.79166666666666663</v>
      </c>
      <c r="G199" s="89">
        <f>F199-E199</f>
        <v>0.45833333333333331</v>
      </c>
      <c r="I199" s="133">
        <f>I190+1</f>
        <v>46104</v>
      </c>
      <c r="J199" s="136"/>
      <c r="K199" s="137" t="s">
        <v>83</v>
      </c>
      <c r="L199" s="88" t="s">
        <v>244</v>
      </c>
      <c r="M199" s="89">
        <v>0.79166666666666663</v>
      </c>
      <c r="N199" s="89">
        <v>0.33333333333333331</v>
      </c>
      <c r="O199" s="89">
        <v>0.54166666666666663</v>
      </c>
    </row>
    <row r="200" spans="1:15" x14ac:dyDescent="0.25">
      <c r="A200" s="134"/>
      <c r="B200" s="136"/>
      <c r="C200" s="138"/>
      <c r="D200" s="88"/>
      <c r="E200" s="89">
        <v>0</v>
      </c>
      <c r="F200" s="89">
        <v>0</v>
      </c>
      <c r="G200" s="89">
        <f t="shared" ref="G200:G206" si="44">F200-E200</f>
        <v>0</v>
      </c>
      <c r="I200" s="134"/>
      <c r="J200" s="136"/>
      <c r="K200" s="138"/>
      <c r="L200" s="95"/>
      <c r="M200" s="89">
        <v>0</v>
      </c>
      <c r="N200" s="89">
        <v>0</v>
      </c>
      <c r="O200" s="89">
        <f t="shared" ref="O200:O206" si="45">N200-M200</f>
        <v>0</v>
      </c>
    </row>
    <row r="201" spans="1:15" x14ac:dyDescent="0.25">
      <c r="A201" s="134"/>
      <c r="B201" s="136"/>
      <c r="C201" s="138"/>
      <c r="D201" s="90"/>
      <c r="E201" s="89">
        <v>0</v>
      </c>
      <c r="F201" s="89">
        <v>0</v>
      </c>
      <c r="G201" s="89">
        <f t="shared" si="44"/>
        <v>0</v>
      </c>
      <c r="I201" s="134"/>
      <c r="J201" s="136"/>
      <c r="K201" s="138"/>
      <c r="L201" s="96"/>
      <c r="M201" s="89">
        <v>0</v>
      </c>
      <c r="N201" s="89">
        <v>0</v>
      </c>
      <c r="O201" s="89">
        <f t="shared" si="45"/>
        <v>0</v>
      </c>
    </row>
    <row r="202" spans="1:15" x14ac:dyDescent="0.25">
      <c r="A202" s="134"/>
      <c r="B202" s="136"/>
      <c r="C202" s="138"/>
      <c r="D202" s="90"/>
      <c r="E202" s="89">
        <v>0</v>
      </c>
      <c r="F202" s="89">
        <v>0</v>
      </c>
      <c r="G202" s="89">
        <f t="shared" si="44"/>
        <v>0</v>
      </c>
      <c r="I202" s="134"/>
      <c r="J202" s="136"/>
      <c r="K202" s="138"/>
      <c r="L202" s="96"/>
      <c r="M202" s="89">
        <v>0</v>
      </c>
      <c r="N202" s="89">
        <v>0</v>
      </c>
      <c r="O202" s="89">
        <f t="shared" si="45"/>
        <v>0</v>
      </c>
    </row>
    <row r="203" spans="1:15" x14ac:dyDescent="0.25">
      <c r="A203" s="134"/>
      <c r="B203" s="136"/>
      <c r="C203" s="138"/>
      <c r="D203" s="90"/>
      <c r="E203" s="89">
        <v>0</v>
      </c>
      <c r="F203" s="89">
        <v>0</v>
      </c>
      <c r="G203" s="89">
        <f t="shared" si="44"/>
        <v>0</v>
      </c>
      <c r="I203" s="134"/>
      <c r="J203" s="136"/>
      <c r="K203" s="138"/>
      <c r="L203" s="96"/>
      <c r="M203" s="89">
        <v>0</v>
      </c>
      <c r="N203" s="89">
        <v>0</v>
      </c>
      <c r="O203" s="89">
        <f t="shared" si="45"/>
        <v>0</v>
      </c>
    </row>
    <row r="204" spans="1:15" x14ac:dyDescent="0.25">
      <c r="A204" s="134"/>
      <c r="B204" s="136"/>
      <c r="C204" s="138"/>
      <c r="D204" s="90"/>
      <c r="E204" s="89">
        <v>0</v>
      </c>
      <c r="F204" s="89">
        <v>0</v>
      </c>
      <c r="G204" s="89">
        <f t="shared" si="44"/>
        <v>0</v>
      </c>
      <c r="I204" s="134"/>
      <c r="J204" s="136"/>
      <c r="K204" s="138"/>
      <c r="L204" s="96"/>
      <c r="M204" s="89">
        <v>0</v>
      </c>
      <c r="N204" s="89">
        <v>0</v>
      </c>
      <c r="O204" s="89">
        <f t="shared" si="45"/>
        <v>0</v>
      </c>
    </row>
    <row r="205" spans="1:15" x14ac:dyDescent="0.25">
      <c r="A205" s="134"/>
      <c r="B205" s="136"/>
      <c r="C205" s="138"/>
      <c r="D205" s="90"/>
      <c r="E205" s="89">
        <v>0</v>
      </c>
      <c r="F205" s="89">
        <v>0</v>
      </c>
      <c r="G205" s="89">
        <f t="shared" si="44"/>
        <v>0</v>
      </c>
      <c r="I205" s="134"/>
      <c r="J205" s="136"/>
      <c r="K205" s="138"/>
      <c r="L205" s="96"/>
      <c r="M205" s="89">
        <v>0</v>
      </c>
      <c r="N205" s="89">
        <v>0</v>
      </c>
      <c r="O205" s="89">
        <f t="shared" si="45"/>
        <v>0</v>
      </c>
    </row>
    <row r="206" spans="1:15" x14ac:dyDescent="0.25">
      <c r="A206" s="135"/>
      <c r="B206" s="136"/>
      <c r="C206" s="139"/>
      <c r="D206" s="90"/>
      <c r="E206" s="89">
        <v>0</v>
      </c>
      <c r="F206" s="89">
        <v>0</v>
      </c>
      <c r="G206" s="89">
        <f t="shared" si="44"/>
        <v>0</v>
      </c>
      <c r="I206" s="135"/>
      <c r="J206" s="136"/>
      <c r="K206" s="139"/>
      <c r="L206" s="96"/>
      <c r="M206" s="89">
        <v>0</v>
      </c>
      <c r="N206" s="89">
        <v>0</v>
      </c>
      <c r="O206" s="89">
        <f t="shared" si="45"/>
        <v>0</v>
      </c>
    </row>
    <row r="207" spans="1:15" ht="15.75" thickBot="1" x14ac:dyDescent="0.3">
      <c r="A207" s="91"/>
      <c r="B207" s="91"/>
      <c r="C207" s="91"/>
      <c r="D207" s="91"/>
      <c r="E207" s="91"/>
      <c r="F207" s="91"/>
      <c r="G207" s="92">
        <f>SUM(G199,G206)</f>
        <v>0.45833333333333331</v>
      </c>
      <c r="I207" s="91"/>
      <c r="J207" s="91"/>
      <c r="K207" s="91"/>
      <c r="L207" s="97"/>
      <c r="M207" s="91"/>
      <c r="N207" s="91"/>
      <c r="O207" s="92">
        <f>SUM(O199,O206)</f>
        <v>0.54166666666666663</v>
      </c>
    </row>
    <row r="208" spans="1:15" x14ac:dyDescent="0.25">
      <c r="A208" s="133">
        <f>A199+1</f>
        <v>46105</v>
      </c>
      <c r="B208" s="136"/>
      <c r="C208" s="137" t="s">
        <v>82</v>
      </c>
      <c r="D208" s="88" t="s">
        <v>244</v>
      </c>
      <c r="E208" s="89">
        <v>0.33333333333333331</v>
      </c>
      <c r="F208" s="89">
        <v>0.79166666666666663</v>
      </c>
      <c r="G208" s="89">
        <f>F208-E208</f>
        <v>0.45833333333333331</v>
      </c>
      <c r="I208" s="133">
        <f>I199+1</f>
        <v>46105</v>
      </c>
      <c r="J208" s="136"/>
      <c r="K208" s="137" t="s">
        <v>83</v>
      </c>
      <c r="L208" s="88" t="s">
        <v>244</v>
      </c>
      <c r="M208" s="89">
        <v>0.79166666666666663</v>
      </c>
      <c r="N208" s="89">
        <v>0.33333333333333331</v>
      </c>
      <c r="O208" s="89">
        <v>0.54166666666666663</v>
      </c>
    </row>
    <row r="209" spans="1:15" x14ac:dyDescent="0.25">
      <c r="A209" s="134"/>
      <c r="B209" s="136"/>
      <c r="C209" s="138"/>
      <c r="D209" s="88"/>
      <c r="E209" s="89">
        <v>0</v>
      </c>
      <c r="F209" s="89">
        <v>0</v>
      </c>
      <c r="G209" s="89">
        <f t="shared" ref="G209:G215" si="46">F209-E209</f>
        <v>0</v>
      </c>
      <c r="I209" s="134"/>
      <c r="J209" s="136"/>
      <c r="K209" s="138"/>
      <c r="L209" s="95"/>
      <c r="M209" s="89">
        <v>0</v>
      </c>
      <c r="N209" s="89">
        <v>0</v>
      </c>
      <c r="O209" s="89">
        <f t="shared" ref="O209:O215" si="47">N209-M209</f>
        <v>0</v>
      </c>
    </row>
    <row r="210" spans="1:15" x14ac:dyDescent="0.25">
      <c r="A210" s="134"/>
      <c r="B210" s="136"/>
      <c r="C210" s="138"/>
      <c r="D210" s="90"/>
      <c r="E210" s="89">
        <v>0</v>
      </c>
      <c r="F210" s="89">
        <v>0</v>
      </c>
      <c r="G210" s="89">
        <f t="shared" si="46"/>
        <v>0</v>
      </c>
      <c r="I210" s="134"/>
      <c r="J210" s="136"/>
      <c r="K210" s="138"/>
      <c r="L210" s="96"/>
      <c r="M210" s="89">
        <v>0</v>
      </c>
      <c r="N210" s="89">
        <v>0</v>
      </c>
      <c r="O210" s="89">
        <f t="shared" si="47"/>
        <v>0</v>
      </c>
    </row>
    <row r="211" spans="1:15" x14ac:dyDescent="0.25">
      <c r="A211" s="134"/>
      <c r="B211" s="136"/>
      <c r="C211" s="138"/>
      <c r="D211" s="90"/>
      <c r="E211" s="89">
        <v>0</v>
      </c>
      <c r="F211" s="89">
        <v>0</v>
      </c>
      <c r="G211" s="89">
        <f t="shared" si="46"/>
        <v>0</v>
      </c>
      <c r="I211" s="134"/>
      <c r="J211" s="136"/>
      <c r="K211" s="138"/>
      <c r="L211" s="96"/>
      <c r="M211" s="89">
        <v>0</v>
      </c>
      <c r="N211" s="89">
        <v>0</v>
      </c>
      <c r="O211" s="89">
        <f t="shared" si="47"/>
        <v>0</v>
      </c>
    </row>
    <row r="212" spans="1:15" x14ac:dyDescent="0.25">
      <c r="A212" s="134"/>
      <c r="B212" s="136"/>
      <c r="C212" s="138"/>
      <c r="D212" s="90"/>
      <c r="E212" s="89">
        <v>0</v>
      </c>
      <c r="F212" s="89">
        <v>0</v>
      </c>
      <c r="G212" s="89">
        <f t="shared" si="46"/>
        <v>0</v>
      </c>
      <c r="I212" s="134"/>
      <c r="J212" s="136"/>
      <c r="K212" s="138"/>
      <c r="L212" s="96"/>
      <c r="M212" s="89">
        <v>0</v>
      </c>
      <c r="N212" s="89">
        <v>0</v>
      </c>
      <c r="O212" s="89">
        <f t="shared" si="47"/>
        <v>0</v>
      </c>
    </row>
    <row r="213" spans="1:15" x14ac:dyDescent="0.25">
      <c r="A213" s="134"/>
      <c r="B213" s="136"/>
      <c r="C213" s="138"/>
      <c r="D213" s="90"/>
      <c r="E213" s="89">
        <v>0</v>
      </c>
      <c r="F213" s="89">
        <v>0</v>
      </c>
      <c r="G213" s="89">
        <f t="shared" si="46"/>
        <v>0</v>
      </c>
      <c r="I213" s="134"/>
      <c r="J213" s="136"/>
      <c r="K213" s="138"/>
      <c r="L213" s="96"/>
      <c r="M213" s="89">
        <v>0</v>
      </c>
      <c r="N213" s="89">
        <v>0</v>
      </c>
      <c r="O213" s="89">
        <f t="shared" si="47"/>
        <v>0</v>
      </c>
    </row>
    <row r="214" spans="1:15" x14ac:dyDescent="0.25">
      <c r="A214" s="134"/>
      <c r="B214" s="136"/>
      <c r="C214" s="138"/>
      <c r="D214" s="90"/>
      <c r="E214" s="89">
        <v>0</v>
      </c>
      <c r="F214" s="89">
        <v>0</v>
      </c>
      <c r="G214" s="89">
        <f t="shared" si="46"/>
        <v>0</v>
      </c>
      <c r="I214" s="134"/>
      <c r="J214" s="136"/>
      <c r="K214" s="138"/>
      <c r="L214" s="96"/>
      <c r="M214" s="89">
        <v>0</v>
      </c>
      <c r="N214" s="89">
        <v>0</v>
      </c>
      <c r="O214" s="89">
        <f t="shared" si="47"/>
        <v>0</v>
      </c>
    </row>
    <row r="215" spans="1:15" x14ac:dyDescent="0.25">
      <c r="A215" s="135"/>
      <c r="B215" s="136"/>
      <c r="C215" s="139"/>
      <c r="D215" s="90"/>
      <c r="E215" s="89">
        <v>0</v>
      </c>
      <c r="F215" s="89">
        <v>0</v>
      </c>
      <c r="G215" s="89">
        <f t="shared" si="46"/>
        <v>0</v>
      </c>
      <c r="I215" s="135"/>
      <c r="J215" s="136"/>
      <c r="K215" s="139"/>
      <c r="L215" s="96"/>
      <c r="M215" s="89">
        <v>0</v>
      </c>
      <c r="N215" s="89">
        <v>0</v>
      </c>
      <c r="O215" s="89">
        <f t="shared" si="47"/>
        <v>0</v>
      </c>
    </row>
    <row r="216" spans="1:15" ht="15.75" thickBot="1" x14ac:dyDescent="0.3">
      <c r="A216" s="91"/>
      <c r="B216" s="91"/>
      <c r="C216" s="91"/>
      <c r="D216" s="91"/>
      <c r="E216" s="91"/>
      <c r="F216" s="91"/>
      <c r="G216" s="92">
        <f>SUM(G208,G215)</f>
        <v>0.45833333333333331</v>
      </c>
      <c r="I216" s="91"/>
      <c r="J216" s="91"/>
      <c r="K216" s="91"/>
      <c r="L216" s="97"/>
      <c r="M216" s="91"/>
      <c r="N216" s="91"/>
      <c r="O216" s="92">
        <f>SUM(O208,O215)</f>
        <v>0.54166666666666663</v>
      </c>
    </row>
    <row r="217" spans="1:15" x14ac:dyDescent="0.25">
      <c r="A217" s="133">
        <f>A208+1</f>
        <v>46106</v>
      </c>
      <c r="B217" s="136"/>
      <c r="C217" s="137" t="s">
        <v>82</v>
      </c>
      <c r="D217" s="88" t="s">
        <v>244</v>
      </c>
      <c r="E217" s="89">
        <v>0.33333333333333331</v>
      </c>
      <c r="F217" s="89">
        <v>0.79166666666666663</v>
      </c>
      <c r="G217" s="89">
        <f>F217-E217</f>
        <v>0.45833333333333331</v>
      </c>
      <c r="I217" s="133">
        <f>I208+1</f>
        <v>46106</v>
      </c>
      <c r="J217" s="136"/>
      <c r="K217" s="137" t="s">
        <v>83</v>
      </c>
      <c r="L217" s="88" t="s">
        <v>244</v>
      </c>
      <c r="M217" s="89">
        <v>0.79166666666666663</v>
      </c>
      <c r="N217" s="89">
        <v>0.33333333333333331</v>
      </c>
      <c r="O217" s="89">
        <v>0.54166666666666663</v>
      </c>
    </row>
    <row r="218" spans="1:15" x14ac:dyDescent="0.25">
      <c r="A218" s="134"/>
      <c r="B218" s="136"/>
      <c r="C218" s="138"/>
      <c r="D218" s="88"/>
      <c r="E218" s="89">
        <v>0</v>
      </c>
      <c r="F218" s="89">
        <v>0</v>
      </c>
      <c r="G218" s="89">
        <f t="shared" ref="G218:G224" si="48">F218-E218</f>
        <v>0</v>
      </c>
      <c r="I218" s="134"/>
      <c r="J218" s="136"/>
      <c r="K218" s="138"/>
      <c r="L218" s="95"/>
      <c r="M218" s="89">
        <v>0</v>
      </c>
      <c r="N218" s="89">
        <v>0</v>
      </c>
      <c r="O218" s="89">
        <f t="shared" ref="O218:O224" si="49">N218-M218</f>
        <v>0</v>
      </c>
    </row>
    <row r="219" spans="1:15" x14ac:dyDescent="0.25">
      <c r="A219" s="134"/>
      <c r="B219" s="136"/>
      <c r="C219" s="138"/>
      <c r="D219" s="90"/>
      <c r="E219" s="89">
        <v>0</v>
      </c>
      <c r="F219" s="89">
        <v>0</v>
      </c>
      <c r="G219" s="89">
        <f t="shared" si="48"/>
        <v>0</v>
      </c>
      <c r="I219" s="134"/>
      <c r="J219" s="136"/>
      <c r="K219" s="138"/>
      <c r="L219" s="96"/>
      <c r="M219" s="89">
        <v>0</v>
      </c>
      <c r="N219" s="89">
        <v>0</v>
      </c>
      <c r="O219" s="89">
        <f t="shared" si="49"/>
        <v>0</v>
      </c>
    </row>
    <row r="220" spans="1:15" x14ac:dyDescent="0.25">
      <c r="A220" s="134"/>
      <c r="B220" s="136"/>
      <c r="C220" s="138"/>
      <c r="D220" s="90"/>
      <c r="E220" s="89">
        <v>0</v>
      </c>
      <c r="F220" s="89">
        <v>0</v>
      </c>
      <c r="G220" s="89">
        <f t="shared" si="48"/>
        <v>0</v>
      </c>
      <c r="I220" s="134"/>
      <c r="J220" s="136"/>
      <c r="K220" s="138"/>
      <c r="L220" s="96"/>
      <c r="M220" s="89">
        <v>0</v>
      </c>
      <c r="N220" s="89">
        <v>0</v>
      </c>
      <c r="O220" s="89">
        <f t="shared" si="49"/>
        <v>0</v>
      </c>
    </row>
    <row r="221" spans="1:15" x14ac:dyDescent="0.25">
      <c r="A221" s="134"/>
      <c r="B221" s="136"/>
      <c r="C221" s="138"/>
      <c r="D221" s="90"/>
      <c r="E221" s="89">
        <v>0.22916666666666666</v>
      </c>
      <c r="F221" s="89">
        <v>0.92777777777777781</v>
      </c>
      <c r="G221" s="89">
        <f t="shared" si="48"/>
        <v>0.69861111111111118</v>
      </c>
      <c r="I221" s="134"/>
      <c r="J221" s="136"/>
      <c r="K221" s="138"/>
      <c r="L221" s="96"/>
      <c r="M221" s="89">
        <v>0</v>
      </c>
      <c r="N221" s="89">
        <v>0</v>
      </c>
      <c r="O221" s="89">
        <f t="shared" si="49"/>
        <v>0</v>
      </c>
    </row>
    <row r="222" spans="1:15" x14ac:dyDescent="0.25">
      <c r="A222" s="134"/>
      <c r="B222" s="136"/>
      <c r="C222" s="138"/>
      <c r="D222" s="90"/>
      <c r="E222" s="89">
        <v>0</v>
      </c>
      <c r="F222" s="89">
        <v>0</v>
      </c>
      <c r="G222" s="89">
        <f t="shared" si="48"/>
        <v>0</v>
      </c>
      <c r="I222" s="134"/>
      <c r="J222" s="136"/>
      <c r="K222" s="138"/>
      <c r="L222" s="96"/>
      <c r="M222" s="89">
        <v>0</v>
      </c>
      <c r="N222" s="89">
        <v>0</v>
      </c>
      <c r="O222" s="89">
        <f t="shared" si="49"/>
        <v>0</v>
      </c>
    </row>
    <row r="223" spans="1:15" x14ac:dyDescent="0.25">
      <c r="A223" s="134"/>
      <c r="B223" s="136"/>
      <c r="C223" s="138"/>
      <c r="D223" s="90"/>
      <c r="E223" s="89">
        <v>0</v>
      </c>
      <c r="F223" s="89">
        <v>0</v>
      </c>
      <c r="G223" s="89">
        <f t="shared" si="48"/>
        <v>0</v>
      </c>
      <c r="I223" s="134"/>
      <c r="J223" s="136"/>
      <c r="K223" s="138"/>
      <c r="L223" s="96"/>
      <c r="M223" s="89">
        <v>0</v>
      </c>
      <c r="N223" s="89">
        <v>0</v>
      </c>
      <c r="O223" s="89">
        <f t="shared" si="49"/>
        <v>0</v>
      </c>
    </row>
    <row r="224" spans="1:15" x14ac:dyDescent="0.25">
      <c r="A224" s="135"/>
      <c r="B224" s="136"/>
      <c r="C224" s="139"/>
      <c r="D224" s="90"/>
      <c r="E224" s="89">
        <v>0</v>
      </c>
      <c r="F224" s="89">
        <v>0</v>
      </c>
      <c r="G224" s="89">
        <f t="shared" si="48"/>
        <v>0</v>
      </c>
      <c r="I224" s="135"/>
      <c r="J224" s="136"/>
      <c r="K224" s="139"/>
      <c r="L224" s="96"/>
      <c r="M224" s="89">
        <v>0</v>
      </c>
      <c r="N224" s="89">
        <v>0</v>
      </c>
      <c r="O224" s="89">
        <f t="shared" si="49"/>
        <v>0</v>
      </c>
    </row>
    <row r="225" spans="1:15" ht="15.75" thickBot="1" x14ac:dyDescent="0.3">
      <c r="A225" s="91"/>
      <c r="B225" s="91"/>
      <c r="C225" s="91"/>
      <c r="D225" s="91"/>
      <c r="E225" s="91"/>
      <c r="F225" s="91"/>
      <c r="G225" s="92">
        <f>SUM(G217,G224)</f>
        <v>0.45833333333333331</v>
      </c>
      <c r="I225" s="91"/>
      <c r="J225" s="91"/>
      <c r="K225" s="91"/>
      <c r="L225" s="97"/>
      <c r="M225" s="91"/>
      <c r="N225" s="91"/>
      <c r="O225" s="92">
        <f>SUM(O217,O224)</f>
        <v>0.54166666666666663</v>
      </c>
    </row>
    <row r="226" spans="1:15" ht="30" x14ac:dyDescent="0.25">
      <c r="A226" s="133">
        <f>A217+1</f>
        <v>46107</v>
      </c>
      <c r="B226" s="136" t="s">
        <v>75</v>
      </c>
      <c r="C226" s="137" t="s">
        <v>82</v>
      </c>
      <c r="D226" s="88"/>
      <c r="E226" s="89">
        <v>0.33333333333333331</v>
      </c>
      <c r="F226" s="89">
        <v>0.79166666666666663</v>
      </c>
      <c r="G226" s="89">
        <f>F226-E226</f>
        <v>0.45833333333333331</v>
      </c>
      <c r="I226" s="133">
        <f>I217+1</f>
        <v>46107</v>
      </c>
      <c r="J226" s="136"/>
      <c r="K226" s="137" t="s">
        <v>83</v>
      </c>
      <c r="L226" s="95" t="s">
        <v>251</v>
      </c>
      <c r="M226" s="89">
        <v>0.9458333333333333</v>
      </c>
      <c r="N226" s="89">
        <v>6.9444444444444447E-4</v>
      </c>
      <c r="O226" s="89">
        <v>5.4166666666666669E-2</v>
      </c>
    </row>
    <row r="227" spans="1:15" x14ac:dyDescent="0.25">
      <c r="A227" s="134"/>
      <c r="B227" s="136"/>
      <c r="C227" s="138"/>
      <c r="D227" s="88" t="s">
        <v>246</v>
      </c>
      <c r="E227" s="89">
        <v>0.37847222222222221</v>
      </c>
      <c r="F227" s="89">
        <v>0</v>
      </c>
      <c r="G227" s="89">
        <f t="shared" ref="G227:G233" si="50">F227-E227</f>
        <v>-0.37847222222222221</v>
      </c>
      <c r="I227" s="134"/>
      <c r="J227" s="136"/>
      <c r="K227" s="138"/>
      <c r="L227" s="95" t="s">
        <v>254</v>
      </c>
      <c r="M227" s="89">
        <v>0</v>
      </c>
      <c r="N227" s="89">
        <v>0</v>
      </c>
      <c r="O227" s="89">
        <f t="shared" ref="O227:O233" si="51">N227-M227</f>
        <v>0</v>
      </c>
    </row>
    <row r="228" spans="1:15" x14ac:dyDescent="0.25">
      <c r="A228" s="134"/>
      <c r="B228" s="136"/>
      <c r="C228" s="138"/>
      <c r="D228" s="90" t="s">
        <v>247</v>
      </c>
      <c r="E228" s="89">
        <v>0.39583333333333331</v>
      </c>
      <c r="F228" s="89">
        <v>0.40277777777777779</v>
      </c>
      <c r="G228" s="89">
        <f t="shared" si="50"/>
        <v>6.9444444444444753E-3</v>
      </c>
      <c r="I228" s="134"/>
      <c r="J228" s="136"/>
      <c r="K228" s="138"/>
      <c r="L228" s="96" t="s">
        <v>252</v>
      </c>
      <c r="M228" s="89">
        <v>0</v>
      </c>
      <c r="N228" s="89">
        <v>0</v>
      </c>
      <c r="O228" s="89">
        <f t="shared" si="51"/>
        <v>0</v>
      </c>
    </row>
    <row r="229" spans="1:15" x14ac:dyDescent="0.25">
      <c r="A229" s="134"/>
      <c r="B229" s="136"/>
      <c r="C229" s="138"/>
      <c r="D229" s="90" t="s">
        <v>248</v>
      </c>
      <c r="E229" s="89">
        <v>0.57291666666666663</v>
      </c>
      <c r="F229" s="89">
        <v>0.59027777777777779</v>
      </c>
      <c r="G229" s="89">
        <f t="shared" si="50"/>
        <v>1.736111111111116E-2</v>
      </c>
      <c r="I229" s="134"/>
      <c r="J229" s="136"/>
      <c r="K229" s="138"/>
      <c r="L229" s="96" t="s">
        <v>253</v>
      </c>
      <c r="M229" s="89">
        <v>0</v>
      </c>
      <c r="N229" s="89">
        <v>0</v>
      </c>
      <c r="O229" s="89">
        <f t="shared" si="51"/>
        <v>0</v>
      </c>
    </row>
    <row r="230" spans="1:15" x14ac:dyDescent="0.25">
      <c r="A230" s="134"/>
      <c r="B230" s="136"/>
      <c r="C230" s="138"/>
      <c r="D230" s="90" t="s">
        <v>249</v>
      </c>
      <c r="E230" s="89">
        <v>0</v>
      </c>
      <c r="F230" s="89">
        <v>0</v>
      </c>
      <c r="G230" s="89">
        <f t="shared" si="50"/>
        <v>0</v>
      </c>
      <c r="I230" s="134"/>
      <c r="J230" s="136"/>
      <c r="K230" s="138"/>
      <c r="L230" s="96"/>
      <c r="M230" s="89">
        <v>0</v>
      </c>
      <c r="N230" s="89">
        <v>0</v>
      </c>
      <c r="O230" s="89">
        <f t="shared" si="51"/>
        <v>0</v>
      </c>
    </row>
    <row r="231" spans="1:15" x14ac:dyDescent="0.25">
      <c r="A231" s="134"/>
      <c r="B231" s="136"/>
      <c r="C231" s="138"/>
      <c r="D231" s="90"/>
      <c r="E231" s="89">
        <v>0</v>
      </c>
      <c r="F231" s="89">
        <v>0</v>
      </c>
      <c r="G231" s="89">
        <f t="shared" si="50"/>
        <v>0</v>
      </c>
      <c r="I231" s="134"/>
      <c r="J231" s="136"/>
      <c r="K231" s="138"/>
      <c r="L231" s="96" t="s">
        <v>255</v>
      </c>
      <c r="M231" s="89">
        <v>0.31944444444444442</v>
      </c>
      <c r="N231" s="89">
        <v>0.3215277777777778</v>
      </c>
      <c r="O231" s="89">
        <f t="shared" si="51"/>
        <v>2.0833333333333814E-3</v>
      </c>
    </row>
    <row r="232" spans="1:15" x14ac:dyDescent="0.25">
      <c r="A232" s="134"/>
      <c r="B232" s="136"/>
      <c r="C232" s="138"/>
      <c r="D232" s="90"/>
      <c r="E232" s="89">
        <v>0</v>
      </c>
      <c r="F232" s="89">
        <v>0</v>
      </c>
      <c r="G232" s="89">
        <f t="shared" si="50"/>
        <v>0</v>
      </c>
      <c r="I232" s="134"/>
      <c r="J232" s="136"/>
      <c r="K232" s="138"/>
      <c r="L232" s="96" t="s">
        <v>256</v>
      </c>
      <c r="M232" s="89">
        <v>0</v>
      </c>
      <c r="N232" s="89">
        <v>0</v>
      </c>
      <c r="O232" s="89">
        <f t="shared" si="51"/>
        <v>0</v>
      </c>
    </row>
    <row r="233" spans="1:15" x14ac:dyDescent="0.25">
      <c r="A233" s="135"/>
      <c r="B233" s="136"/>
      <c r="C233" s="139"/>
      <c r="D233" s="90"/>
      <c r="E233" s="89">
        <v>0</v>
      </c>
      <c r="F233" s="89">
        <v>0</v>
      </c>
      <c r="G233" s="89">
        <f t="shared" si="50"/>
        <v>0</v>
      </c>
      <c r="I233" s="135"/>
      <c r="J233" s="136"/>
      <c r="K233" s="139"/>
      <c r="L233" s="96"/>
      <c r="M233" s="89">
        <v>0</v>
      </c>
      <c r="N233" s="89">
        <v>0</v>
      </c>
      <c r="O233" s="89">
        <f t="shared" si="51"/>
        <v>0</v>
      </c>
    </row>
    <row r="234" spans="1:15" ht="15.75" thickBot="1" x14ac:dyDescent="0.3">
      <c r="A234" s="91"/>
      <c r="B234" s="91"/>
      <c r="C234" s="91"/>
      <c r="D234" s="91"/>
      <c r="E234" s="91"/>
      <c r="F234" s="91"/>
      <c r="G234" s="92">
        <f>SUM(G226,G233)</f>
        <v>0.45833333333333331</v>
      </c>
      <c r="I234" s="91"/>
      <c r="J234" s="91"/>
      <c r="K234" s="91"/>
      <c r="L234" s="97"/>
      <c r="M234" s="91"/>
      <c r="N234" s="91"/>
      <c r="O234" s="92">
        <f>SUM(O226,O233)</f>
        <v>5.4166666666666669E-2</v>
      </c>
    </row>
    <row r="235" spans="1:15" x14ac:dyDescent="0.25">
      <c r="A235" s="133">
        <f>A226+1</f>
        <v>46108</v>
      </c>
      <c r="B235" s="136" t="s">
        <v>77</v>
      </c>
      <c r="C235" s="137" t="s">
        <v>82</v>
      </c>
      <c r="D235" s="88" t="s">
        <v>258</v>
      </c>
      <c r="E235" s="89">
        <v>0</v>
      </c>
      <c r="F235" s="89">
        <v>0</v>
      </c>
      <c r="G235" s="89">
        <f>F235-E235</f>
        <v>0</v>
      </c>
      <c r="I235" s="133">
        <f>I226+1</f>
        <v>46108</v>
      </c>
      <c r="J235" s="136" t="s">
        <v>75</v>
      </c>
      <c r="K235" s="137" t="s">
        <v>83</v>
      </c>
      <c r="L235" s="95" t="s">
        <v>264</v>
      </c>
      <c r="M235" s="89">
        <v>0.8125</v>
      </c>
      <c r="N235" s="89">
        <v>0.83333333333333337</v>
      </c>
      <c r="O235" s="89">
        <f>N235-M235</f>
        <v>2.083333333333337E-2</v>
      </c>
    </row>
    <row r="236" spans="1:15" x14ac:dyDescent="0.25">
      <c r="A236" s="134"/>
      <c r="B236" s="136"/>
      <c r="C236" s="138"/>
      <c r="D236" s="88" t="s">
        <v>259</v>
      </c>
      <c r="E236" s="89">
        <v>0.33333333333333331</v>
      </c>
      <c r="F236" s="89">
        <v>0.43055555555555558</v>
      </c>
      <c r="G236" s="89">
        <f t="shared" ref="G236:G242" si="52">F236-E236</f>
        <v>9.7222222222222265E-2</v>
      </c>
      <c r="I236" s="134"/>
      <c r="J236" s="136"/>
      <c r="K236" s="138"/>
      <c r="L236" s="95" t="s">
        <v>265</v>
      </c>
      <c r="M236" s="89">
        <v>0.86805555555555558</v>
      </c>
      <c r="N236" s="89">
        <v>0.87152777777777779</v>
      </c>
      <c r="O236" s="89">
        <f t="shared" ref="O236:O242" si="53">N236-M236</f>
        <v>3.4722222222222099E-3</v>
      </c>
    </row>
    <row r="237" spans="1:15" x14ac:dyDescent="0.25">
      <c r="A237" s="134"/>
      <c r="B237" s="136"/>
      <c r="C237" s="138"/>
      <c r="D237" s="90" t="s">
        <v>260</v>
      </c>
      <c r="E237" s="89">
        <v>0</v>
      </c>
      <c r="F237" s="89">
        <v>0</v>
      </c>
      <c r="G237" s="89">
        <f t="shared" si="52"/>
        <v>0</v>
      </c>
      <c r="I237" s="134"/>
      <c r="J237" s="136"/>
      <c r="K237" s="138"/>
      <c r="L237" s="96" t="s">
        <v>266</v>
      </c>
      <c r="M237" s="89">
        <v>0.92708333333333337</v>
      </c>
      <c r="N237" s="89">
        <v>0.94444444444444442</v>
      </c>
      <c r="O237" s="89">
        <f t="shared" si="53"/>
        <v>1.7361111111111049E-2</v>
      </c>
    </row>
    <row r="238" spans="1:15" x14ac:dyDescent="0.25">
      <c r="A238" s="134"/>
      <c r="B238" s="136"/>
      <c r="C238" s="138"/>
      <c r="D238" s="90" t="s">
        <v>261</v>
      </c>
      <c r="E238" s="89">
        <v>0.43055555555555558</v>
      </c>
      <c r="F238" s="89">
        <v>0.46527777777777779</v>
      </c>
      <c r="G238" s="89">
        <f t="shared" si="52"/>
        <v>3.472222222222221E-2</v>
      </c>
      <c r="I238" s="134"/>
      <c r="J238" s="136"/>
      <c r="K238" s="138"/>
      <c r="L238" s="96" t="s">
        <v>267</v>
      </c>
      <c r="M238" s="89">
        <v>0</v>
      </c>
      <c r="N238" s="89">
        <v>0</v>
      </c>
      <c r="O238" s="89">
        <f t="shared" si="53"/>
        <v>0</v>
      </c>
    </row>
    <row r="239" spans="1:15" x14ac:dyDescent="0.25">
      <c r="A239" s="134"/>
      <c r="B239" s="136"/>
      <c r="C239" s="138"/>
      <c r="D239" t="s">
        <v>262</v>
      </c>
      <c r="E239" s="89">
        <v>0.65277777777777779</v>
      </c>
      <c r="F239" s="89">
        <v>0.6875</v>
      </c>
      <c r="G239" s="89">
        <f t="shared" si="52"/>
        <v>3.472222222222221E-2</v>
      </c>
      <c r="I239" s="134"/>
      <c r="J239" s="136"/>
      <c r="K239" s="138"/>
      <c r="L239" s="96" t="s">
        <v>268</v>
      </c>
      <c r="M239" s="89">
        <v>0</v>
      </c>
      <c r="N239" s="89">
        <v>0</v>
      </c>
      <c r="O239" s="89">
        <f t="shared" si="53"/>
        <v>0</v>
      </c>
    </row>
    <row r="240" spans="1:15" x14ac:dyDescent="0.25">
      <c r="A240" s="134"/>
      <c r="B240" s="136"/>
      <c r="C240" s="138"/>
      <c r="D240" s="90"/>
      <c r="E240" s="89">
        <v>0</v>
      </c>
      <c r="F240" s="89">
        <v>0</v>
      </c>
      <c r="G240" s="89">
        <f t="shared" si="52"/>
        <v>0</v>
      </c>
      <c r="I240" s="134"/>
      <c r="J240" s="136"/>
      <c r="K240" s="138"/>
      <c r="L240" s="96" t="s">
        <v>269</v>
      </c>
      <c r="M240" s="89">
        <v>0</v>
      </c>
      <c r="N240" s="89">
        <v>0</v>
      </c>
      <c r="O240" s="89">
        <f t="shared" si="53"/>
        <v>0</v>
      </c>
    </row>
    <row r="241" spans="1:15" x14ac:dyDescent="0.25">
      <c r="A241" s="134"/>
      <c r="B241" s="136"/>
      <c r="C241" s="138"/>
      <c r="D241" s="90"/>
      <c r="E241" s="89">
        <v>0</v>
      </c>
      <c r="F241" s="89">
        <v>0</v>
      </c>
      <c r="G241" s="89">
        <f t="shared" si="52"/>
        <v>0</v>
      </c>
      <c r="I241" s="134"/>
      <c r="J241" s="136"/>
      <c r="K241" s="138"/>
      <c r="L241" s="96"/>
      <c r="M241" s="89">
        <v>0</v>
      </c>
      <c r="N241" s="89">
        <v>0</v>
      </c>
      <c r="O241" s="89">
        <f t="shared" si="53"/>
        <v>0</v>
      </c>
    </row>
    <row r="242" spans="1:15" x14ac:dyDescent="0.25">
      <c r="A242" s="135"/>
      <c r="B242" s="136"/>
      <c r="C242" s="139"/>
      <c r="D242" s="90"/>
      <c r="E242" s="89">
        <v>0</v>
      </c>
      <c r="F242" s="89">
        <v>0</v>
      </c>
      <c r="G242" s="89">
        <f t="shared" si="52"/>
        <v>0</v>
      </c>
      <c r="I242" s="135"/>
      <c r="J242" s="136"/>
      <c r="K242" s="139"/>
      <c r="L242" s="96"/>
      <c r="M242" s="89">
        <v>0</v>
      </c>
      <c r="N242" s="89">
        <v>0</v>
      </c>
      <c r="O242" s="89">
        <f t="shared" si="53"/>
        <v>0</v>
      </c>
    </row>
    <row r="243" spans="1:15" ht="15.75" thickBot="1" x14ac:dyDescent="0.3">
      <c r="A243" s="91"/>
      <c r="B243" s="91"/>
      <c r="C243" s="91"/>
      <c r="D243" s="91"/>
      <c r="E243" s="91"/>
      <c r="F243" s="91"/>
      <c r="G243" s="92">
        <f>SUM(G235,G242)</f>
        <v>0</v>
      </c>
      <c r="I243" s="91"/>
      <c r="J243" s="91"/>
      <c r="K243" s="91"/>
      <c r="L243" s="97"/>
      <c r="M243" s="91"/>
      <c r="N243" s="91"/>
      <c r="O243" s="92">
        <f>SUM(O235,O242)</f>
        <v>2.083333333333337E-2</v>
      </c>
    </row>
    <row r="244" spans="1:15" ht="75" x14ac:dyDescent="0.25">
      <c r="A244" s="133">
        <f>A235+1</f>
        <v>46109</v>
      </c>
      <c r="B244" s="136"/>
      <c r="C244" s="137" t="s">
        <v>82</v>
      </c>
      <c r="D244" s="88" t="s">
        <v>271</v>
      </c>
      <c r="E244" s="89">
        <v>0.42638888888888887</v>
      </c>
      <c r="F244" s="89">
        <v>0.43819444444444444</v>
      </c>
      <c r="G244" s="89">
        <f>F244-E244</f>
        <v>1.1805555555555569E-2</v>
      </c>
      <c r="I244" s="133">
        <f>I235+1</f>
        <v>46109</v>
      </c>
      <c r="J244" s="136"/>
      <c r="K244" s="137" t="s">
        <v>83</v>
      </c>
      <c r="L244" s="95"/>
      <c r="M244" s="89">
        <v>0</v>
      </c>
      <c r="N244" s="89">
        <v>0</v>
      </c>
      <c r="O244" s="89">
        <f>N244-M244</f>
        <v>0</v>
      </c>
    </row>
    <row r="245" spans="1:15" ht="30" x14ac:dyDescent="0.25">
      <c r="A245" s="134"/>
      <c r="B245" s="136"/>
      <c r="C245" s="138"/>
      <c r="D245" s="88" t="s">
        <v>272</v>
      </c>
      <c r="E245" s="89">
        <v>0.45624999999999999</v>
      </c>
      <c r="F245" s="89">
        <v>0.46250000000000002</v>
      </c>
      <c r="G245" s="89">
        <f t="shared" ref="G245:G251" si="54">F245-E245</f>
        <v>6.2500000000000333E-3</v>
      </c>
      <c r="I245" s="134"/>
      <c r="J245" s="136"/>
      <c r="K245" s="138"/>
      <c r="L245" s="95" t="s">
        <v>274</v>
      </c>
      <c r="M245" s="89">
        <v>0.79166666666666663</v>
      </c>
      <c r="N245" s="89">
        <v>0.81944444444444442</v>
      </c>
      <c r="O245" s="89">
        <f t="shared" ref="O245:O251" si="55">N245-M245</f>
        <v>2.777777777777779E-2</v>
      </c>
    </row>
    <row r="246" spans="1:15" x14ac:dyDescent="0.25">
      <c r="A246" s="134"/>
      <c r="B246" s="136"/>
      <c r="C246" s="138"/>
      <c r="D246" s="90"/>
      <c r="E246" s="89">
        <v>0</v>
      </c>
      <c r="F246" s="89">
        <v>0</v>
      </c>
      <c r="G246" s="89">
        <f t="shared" si="54"/>
        <v>0</v>
      </c>
      <c r="I246" s="134"/>
      <c r="J246" s="136"/>
      <c r="K246" s="138"/>
      <c r="L246" s="96" t="s">
        <v>275</v>
      </c>
      <c r="M246" s="89">
        <v>0.86111111111111116</v>
      </c>
      <c r="N246" s="89">
        <v>0.89583333333333337</v>
      </c>
      <c r="O246" s="89">
        <f t="shared" si="55"/>
        <v>3.472222222222221E-2</v>
      </c>
    </row>
    <row r="247" spans="1:15" x14ac:dyDescent="0.25">
      <c r="A247" s="134"/>
      <c r="B247" s="136"/>
      <c r="C247" s="138"/>
      <c r="D247" s="90"/>
      <c r="E247" s="89">
        <v>0</v>
      </c>
      <c r="F247" s="89">
        <v>0</v>
      </c>
      <c r="G247" s="89">
        <f t="shared" si="54"/>
        <v>0</v>
      </c>
      <c r="I247" s="134"/>
      <c r="J247" s="136"/>
      <c r="K247" s="138"/>
      <c r="L247" s="96" t="s">
        <v>276</v>
      </c>
      <c r="M247" s="89">
        <v>0</v>
      </c>
      <c r="N247" s="89">
        <v>0</v>
      </c>
      <c r="O247" s="89">
        <f t="shared" si="55"/>
        <v>0</v>
      </c>
    </row>
    <row r="248" spans="1:15" x14ac:dyDescent="0.25">
      <c r="A248" s="134"/>
      <c r="B248" s="136"/>
      <c r="C248" s="138"/>
      <c r="D248" s="90"/>
      <c r="E248" s="89">
        <v>0</v>
      </c>
      <c r="F248" s="89">
        <v>0</v>
      </c>
      <c r="G248" s="89">
        <f t="shared" si="54"/>
        <v>0</v>
      </c>
      <c r="I248" s="134"/>
      <c r="J248" s="136"/>
      <c r="K248" s="138"/>
      <c r="L248" s="96" t="s">
        <v>277</v>
      </c>
      <c r="M248" s="89">
        <v>4.5138888888888888E-2</v>
      </c>
      <c r="N248" s="89">
        <v>6.25E-2</v>
      </c>
      <c r="O248" s="89">
        <f t="shared" si="55"/>
        <v>1.7361111111111112E-2</v>
      </c>
    </row>
    <row r="249" spans="1:15" x14ac:dyDescent="0.25">
      <c r="A249" s="134"/>
      <c r="B249" s="136"/>
      <c r="C249" s="138"/>
      <c r="D249" s="90"/>
      <c r="E249" s="89">
        <v>0</v>
      </c>
      <c r="F249" s="89">
        <v>0</v>
      </c>
      <c r="G249" s="89">
        <f t="shared" si="54"/>
        <v>0</v>
      </c>
      <c r="I249" s="134"/>
      <c r="J249" s="136"/>
      <c r="K249" s="138"/>
      <c r="L249" s="96"/>
      <c r="M249" s="89">
        <v>0</v>
      </c>
      <c r="N249" s="89">
        <v>0</v>
      </c>
      <c r="O249" s="89">
        <f t="shared" si="55"/>
        <v>0</v>
      </c>
    </row>
    <row r="250" spans="1:15" x14ac:dyDescent="0.25">
      <c r="A250" s="134"/>
      <c r="B250" s="136"/>
      <c r="C250" s="138"/>
      <c r="D250" s="90"/>
      <c r="E250" s="89">
        <v>0</v>
      </c>
      <c r="F250" s="89">
        <v>0</v>
      </c>
      <c r="G250" s="89">
        <f t="shared" si="54"/>
        <v>0</v>
      </c>
      <c r="I250" s="134"/>
      <c r="J250" s="136"/>
      <c r="K250" s="138"/>
      <c r="L250" s="96"/>
      <c r="M250" s="89">
        <v>0</v>
      </c>
      <c r="N250" s="89">
        <v>0</v>
      </c>
      <c r="O250" s="89">
        <f t="shared" si="55"/>
        <v>0</v>
      </c>
    </row>
    <row r="251" spans="1:15" x14ac:dyDescent="0.25">
      <c r="A251" s="135"/>
      <c r="B251" s="136"/>
      <c r="C251" s="139"/>
      <c r="D251" s="90"/>
      <c r="E251" s="89">
        <v>0</v>
      </c>
      <c r="F251" s="89">
        <v>0</v>
      </c>
      <c r="G251" s="89">
        <f t="shared" si="54"/>
        <v>0</v>
      </c>
      <c r="I251" s="135"/>
      <c r="J251" s="136"/>
      <c r="K251" s="139"/>
      <c r="L251" s="96"/>
      <c r="M251" s="89">
        <v>0</v>
      </c>
      <c r="N251" s="89">
        <v>0</v>
      </c>
      <c r="O251" s="89">
        <f t="shared" si="55"/>
        <v>0</v>
      </c>
    </row>
    <row r="252" spans="1:15" ht="15.75" thickBot="1" x14ac:dyDescent="0.3">
      <c r="A252" s="91"/>
      <c r="B252" s="91"/>
      <c r="C252" s="91"/>
      <c r="D252" s="91"/>
      <c r="E252" s="91"/>
      <c r="F252" s="91"/>
      <c r="G252" s="92">
        <f>SUM(G244,G251)</f>
        <v>1.1805555555555569E-2</v>
      </c>
      <c r="I252" s="91"/>
      <c r="J252" s="91"/>
      <c r="K252" s="91"/>
      <c r="L252" s="97"/>
      <c r="M252" s="91"/>
      <c r="N252" s="91"/>
      <c r="O252" s="92">
        <f>SUM(O244,O251)</f>
        <v>0</v>
      </c>
    </row>
    <row r="253" spans="1:15" ht="45" x14ac:dyDescent="0.25">
      <c r="A253" s="133">
        <f>A244+1</f>
        <v>46110</v>
      </c>
      <c r="B253" s="136"/>
      <c r="C253" s="137" t="s">
        <v>82</v>
      </c>
      <c r="D253" s="88" t="s">
        <v>279</v>
      </c>
      <c r="E253" s="89">
        <v>0.60972222222222228</v>
      </c>
      <c r="F253" s="89">
        <v>0.68263888888888891</v>
      </c>
      <c r="G253" s="89">
        <f>F253-E253</f>
        <v>7.291666666666663E-2</v>
      </c>
      <c r="I253" s="133">
        <f>I244+1</f>
        <v>46110</v>
      </c>
      <c r="J253" s="136"/>
      <c r="K253" s="137" t="s">
        <v>83</v>
      </c>
      <c r="L253" s="95" t="s">
        <v>284</v>
      </c>
      <c r="M253" s="89">
        <v>0</v>
      </c>
      <c r="N253" s="89">
        <v>0</v>
      </c>
      <c r="O253" s="89">
        <f>N253-M253</f>
        <v>0</v>
      </c>
    </row>
    <row r="254" spans="1:15" x14ac:dyDescent="0.25">
      <c r="A254" s="134"/>
      <c r="B254" s="136"/>
      <c r="C254" s="138"/>
      <c r="D254" s="88" t="s">
        <v>280</v>
      </c>
      <c r="E254" s="89">
        <v>0</v>
      </c>
      <c r="F254" s="89">
        <v>0</v>
      </c>
      <c r="G254" s="89">
        <f t="shared" ref="G254:G260" si="56">F254-E254</f>
        <v>0</v>
      </c>
      <c r="I254" s="134"/>
      <c r="J254" s="136"/>
      <c r="K254" s="138"/>
      <c r="L254" s="95"/>
      <c r="M254" s="89">
        <v>0</v>
      </c>
      <c r="N254" s="89">
        <v>0</v>
      </c>
      <c r="O254" s="89">
        <f t="shared" ref="O254:O260" si="57">N254-M254</f>
        <v>0</v>
      </c>
    </row>
    <row r="255" spans="1:15" x14ac:dyDescent="0.25">
      <c r="A255" s="134"/>
      <c r="B255" s="136"/>
      <c r="C255" s="138"/>
      <c r="D255" s="90" t="s">
        <v>282</v>
      </c>
      <c r="E255" s="89">
        <v>0.74027777777777781</v>
      </c>
      <c r="F255" s="89">
        <v>0.7631944444444444</v>
      </c>
      <c r="G255" s="89">
        <f t="shared" si="56"/>
        <v>2.2916666666666585E-2</v>
      </c>
      <c r="I255" s="134"/>
      <c r="J255" s="136"/>
      <c r="K255" s="138"/>
      <c r="L255" s="96"/>
      <c r="M255" s="89">
        <v>0</v>
      </c>
      <c r="N255" s="89">
        <v>0</v>
      </c>
      <c r="O255" s="89">
        <f t="shared" si="57"/>
        <v>0</v>
      </c>
    </row>
    <row r="256" spans="1:15" x14ac:dyDescent="0.25">
      <c r="A256" s="134"/>
      <c r="B256" s="136"/>
      <c r="C256" s="138"/>
      <c r="D256" s="90"/>
      <c r="E256" s="89">
        <v>0</v>
      </c>
      <c r="F256" s="89">
        <v>0</v>
      </c>
      <c r="G256" s="89">
        <f t="shared" si="56"/>
        <v>0</v>
      </c>
      <c r="I256" s="134"/>
      <c r="J256" s="136"/>
      <c r="K256" s="138"/>
      <c r="L256" s="96"/>
      <c r="M256" s="89">
        <v>0</v>
      </c>
      <c r="N256" s="89">
        <v>0</v>
      </c>
      <c r="O256" s="89">
        <f t="shared" si="57"/>
        <v>0</v>
      </c>
    </row>
    <row r="257" spans="1:15" x14ac:dyDescent="0.25">
      <c r="A257" s="134"/>
      <c r="B257" s="136"/>
      <c r="C257" s="138"/>
      <c r="D257" s="90" t="s">
        <v>281</v>
      </c>
      <c r="E257" s="89">
        <v>0</v>
      </c>
      <c r="F257" s="89">
        <v>0</v>
      </c>
      <c r="G257" s="89">
        <f t="shared" si="56"/>
        <v>0</v>
      </c>
      <c r="I257" s="134"/>
      <c r="J257" s="136"/>
      <c r="K257" s="138"/>
      <c r="L257" s="96"/>
      <c r="M257" s="89">
        <v>0</v>
      </c>
      <c r="N257" s="89">
        <v>0</v>
      </c>
      <c r="O257" s="89">
        <f t="shared" si="57"/>
        <v>0</v>
      </c>
    </row>
    <row r="258" spans="1:15" x14ac:dyDescent="0.25">
      <c r="A258" s="134"/>
      <c r="B258" s="136"/>
      <c r="C258" s="138"/>
      <c r="D258" s="90"/>
      <c r="E258" s="89">
        <v>0</v>
      </c>
      <c r="F258" s="89">
        <v>0</v>
      </c>
      <c r="G258" s="89">
        <f t="shared" si="56"/>
        <v>0</v>
      </c>
      <c r="I258" s="134"/>
      <c r="J258" s="136"/>
      <c r="K258" s="138"/>
      <c r="L258" s="96"/>
      <c r="M258" s="89">
        <v>0</v>
      </c>
      <c r="N258" s="89">
        <v>0</v>
      </c>
      <c r="O258" s="89">
        <f t="shared" si="57"/>
        <v>0</v>
      </c>
    </row>
    <row r="259" spans="1:15" x14ac:dyDescent="0.25">
      <c r="A259" s="134"/>
      <c r="B259" s="136"/>
      <c r="C259" s="138"/>
      <c r="D259" s="90"/>
      <c r="E259" s="89">
        <v>0</v>
      </c>
      <c r="F259" s="89">
        <v>0</v>
      </c>
      <c r="G259" s="89">
        <f t="shared" si="56"/>
        <v>0</v>
      </c>
      <c r="I259" s="134"/>
      <c r="J259" s="136"/>
      <c r="K259" s="138"/>
      <c r="L259" s="96"/>
      <c r="M259" s="89">
        <v>0</v>
      </c>
      <c r="N259" s="89">
        <v>0</v>
      </c>
      <c r="O259" s="89">
        <f t="shared" si="57"/>
        <v>0</v>
      </c>
    </row>
    <row r="260" spans="1:15" x14ac:dyDescent="0.25">
      <c r="A260" s="135"/>
      <c r="B260" s="136"/>
      <c r="C260" s="139"/>
      <c r="D260" s="90"/>
      <c r="E260" s="89">
        <v>0</v>
      </c>
      <c r="F260" s="89">
        <v>0</v>
      </c>
      <c r="G260" s="89">
        <f t="shared" si="56"/>
        <v>0</v>
      </c>
      <c r="I260" s="135"/>
      <c r="J260" s="136"/>
      <c r="K260" s="139"/>
      <c r="L260" s="96"/>
      <c r="M260" s="89">
        <v>0</v>
      </c>
      <c r="N260" s="89">
        <v>0</v>
      </c>
      <c r="O260" s="89">
        <f t="shared" si="57"/>
        <v>0</v>
      </c>
    </row>
    <row r="261" spans="1:15" ht="15.75" thickBot="1" x14ac:dyDescent="0.3">
      <c r="A261" s="91"/>
      <c r="B261" s="91"/>
      <c r="C261" s="91"/>
      <c r="D261" s="91"/>
      <c r="E261" s="91"/>
      <c r="F261" s="91"/>
      <c r="G261" s="92">
        <f>SUM(G253,G260)</f>
        <v>7.291666666666663E-2</v>
      </c>
      <c r="I261" s="91"/>
      <c r="J261" s="91"/>
      <c r="K261" s="91"/>
      <c r="L261" s="97"/>
      <c r="M261" s="91"/>
      <c r="N261" s="91"/>
      <c r="O261" s="92">
        <f>SUM(O253,O260)</f>
        <v>0</v>
      </c>
    </row>
    <row r="262" spans="1:15" ht="30" x14ac:dyDescent="0.25">
      <c r="A262" s="133">
        <f>A253+1</f>
        <v>46111</v>
      </c>
      <c r="B262" s="136" t="s">
        <v>75</v>
      </c>
      <c r="C262" s="137" t="s">
        <v>82</v>
      </c>
      <c r="D262" s="88" t="s">
        <v>286</v>
      </c>
      <c r="E262" s="89">
        <v>0.375</v>
      </c>
      <c r="F262" s="89">
        <v>0</v>
      </c>
      <c r="G262" s="89">
        <f>F262-E262</f>
        <v>-0.375</v>
      </c>
      <c r="I262" s="133">
        <f>I253+1</f>
        <v>46111</v>
      </c>
      <c r="J262" s="136" t="s">
        <v>113</v>
      </c>
      <c r="K262" s="137" t="s">
        <v>83</v>
      </c>
      <c r="L262" s="95" t="s">
        <v>290</v>
      </c>
      <c r="M262" s="89">
        <v>0</v>
      </c>
      <c r="N262" s="89">
        <v>0</v>
      </c>
      <c r="O262" s="89">
        <f>N262-M262</f>
        <v>0</v>
      </c>
    </row>
    <row r="263" spans="1:15" x14ac:dyDescent="0.25">
      <c r="A263" s="134"/>
      <c r="B263" s="136"/>
      <c r="C263" s="138"/>
      <c r="D263" s="88" t="s">
        <v>287</v>
      </c>
      <c r="E263" s="89">
        <v>0.3611111111111111</v>
      </c>
      <c r="F263" s="89">
        <v>0.375</v>
      </c>
      <c r="G263" s="89">
        <f t="shared" ref="G263:G269" si="58">F263-E263</f>
        <v>1.3888888888888895E-2</v>
      </c>
      <c r="I263" s="134"/>
      <c r="J263" s="136"/>
      <c r="K263" s="138"/>
      <c r="L263" s="95"/>
      <c r="M263" s="89">
        <v>0</v>
      </c>
      <c r="N263" s="89">
        <v>0</v>
      </c>
      <c r="O263" s="89">
        <f t="shared" ref="O263:O269" si="59">N263-M263</f>
        <v>0</v>
      </c>
    </row>
    <row r="264" spans="1:15" x14ac:dyDescent="0.25">
      <c r="A264" s="134"/>
      <c r="B264" s="136"/>
      <c r="C264" s="138"/>
      <c r="D264" s="90" t="s">
        <v>288</v>
      </c>
      <c r="E264" s="89">
        <v>0.75</v>
      </c>
      <c r="F264" s="89">
        <v>0.76388888888888884</v>
      </c>
      <c r="G264" s="89">
        <f t="shared" si="58"/>
        <v>1.388888888888884E-2</v>
      </c>
      <c r="I264" s="134"/>
      <c r="J264" s="136"/>
      <c r="K264" s="138"/>
      <c r="L264" s="96"/>
      <c r="M264" s="89">
        <v>0</v>
      </c>
      <c r="N264" s="89">
        <v>0</v>
      </c>
      <c r="O264" s="89">
        <f t="shared" si="59"/>
        <v>0</v>
      </c>
    </row>
    <row r="265" spans="1:15" x14ac:dyDescent="0.25">
      <c r="A265" s="134"/>
      <c r="B265" s="136"/>
      <c r="C265" s="138"/>
      <c r="D265" s="90"/>
      <c r="E265" s="89">
        <v>0</v>
      </c>
      <c r="F265" s="89">
        <v>0</v>
      </c>
      <c r="G265" s="89">
        <f t="shared" si="58"/>
        <v>0</v>
      </c>
      <c r="I265" s="134"/>
      <c r="J265" s="136"/>
      <c r="K265" s="138"/>
      <c r="L265" s="96"/>
      <c r="M265" s="89">
        <v>0</v>
      </c>
      <c r="N265" s="89">
        <v>0</v>
      </c>
      <c r="O265" s="89">
        <f t="shared" si="59"/>
        <v>0</v>
      </c>
    </row>
    <row r="266" spans="1:15" x14ac:dyDescent="0.25">
      <c r="A266" s="134"/>
      <c r="B266" s="136"/>
      <c r="C266" s="138"/>
      <c r="D266" s="90"/>
      <c r="E266" s="89">
        <v>0</v>
      </c>
      <c r="F266" s="89">
        <v>0</v>
      </c>
      <c r="G266" s="89">
        <f t="shared" si="58"/>
        <v>0</v>
      </c>
      <c r="I266" s="134"/>
      <c r="J266" s="136"/>
      <c r="K266" s="138"/>
      <c r="L266" s="96"/>
      <c r="M266" s="89">
        <v>0</v>
      </c>
      <c r="N266" s="89">
        <v>0</v>
      </c>
      <c r="O266" s="89">
        <f t="shared" si="59"/>
        <v>0</v>
      </c>
    </row>
    <row r="267" spans="1:15" x14ac:dyDescent="0.25">
      <c r="A267" s="134"/>
      <c r="B267" s="136"/>
      <c r="C267" s="138"/>
      <c r="D267" s="90"/>
      <c r="E267" s="89">
        <v>0</v>
      </c>
      <c r="F267" s="89">
        <v>0</v>
      </c>
      <c r="G267" s="89">
        <f t="shared" si="58"/>
        <v>0</v>
      </c>
      <c r="I267" s="134"/>
      <c r="J267" s="136"/>
      <c r="K267" s="138"/>
      <c r="L267" s="96"/>
      <c r="M267" s="89">
        <v>0</v>
      </c>
      <c r="N267" s="89">
        <v>0</v>
      </c>
      <c r="O267" s="89">
        <f t="shared" si="59"/>
        <v>0</v>
      </c>
    </row>
    <row r="268" spans="1:15" x14ac:dyDescent="0.25">
      <c r="A268" s="134"/>
      <c r="B268" s="136"/>
      <c r="C268" s="138"/>
      <c r="D268" s="90"/>
      <c r="E268" s="89">
        <v>0</v>
      </c>
      <c r="F268" s="89">
        <v>0</v>
      </c>
      <c r="G268" s="89">
        <f t="shared" si="58"/>
        <v>0</v>
      </c>
      <c r="I268" s="134"/>
      <c r="J268" s="136"/>
      <c r="K268" s="138"/>
      <c r="L268" s="96"/>
      <c r="M268" s="89">
        <v>0</v>
      </c>
      <c r="N268" s="89">
        <v>0</v>
      </c>
      <c r="O268" s="89">
        <f t="shared" si="59"/>
        <v>0</v>
      </c>
    </row>
    <row r="269" spans="1:15" x14ac:dyDescent="0.25">
      <c r="A269" s="135"/>
      <c r="B269" s="136"/>
      <c r="C269" s="139"/>
      <c r="D269" s="90"/>
      <c r="E269" s="89">
        <v>0</v>
      </c>
      <c r="F269" s="89">
        <v>0</v>
      </c>
      <c r="G269" s="89">
        <f t="shared" si="58"/>
        <v>0</v>
      </c>
      <c r="I269" s="135"/>
      <c r="J269" s="136"/>
      <c r="K269" s="139"/>
      <c r="L269" s="96"/>
      <c r="M269" s="89">
        <v>0</v>
      </c>
      <c r="N269" s="89">
        <v>0</v>
      </c>
      <c r="O269" s="89">
        <f t="shared" si="59"/>
        <v>0</v>
      </c>
    </row>
    <row r="270" spans="1:15" ht="15.75" thickBot="1" x14ac:dyDescent="0.3">
      <c r="A270" s="91"/>
      <c r="B270" s="91"/>
      <c r="C270" s="91"/>
      <c r="D270" s="91"/>
      <c r="E270" s="91"/>
      <c r="F270" s="91"/>
      <c r="G270" s="92">
        <f>SUM(G262,G269)</f>
        <v>-0.375</v>
      </c>
      <c r="I270" s="91"/>
      <c r="J270" s="91"/>
      <c r="K270" s="91"/>
      <c r="L270" s="97"/>
      <c r="M270" s="91"/>
      <c r="N270" s="91"/>
      <c r="O270" s="92">
        <f>SUM(O262,O269)</f>
        <v>0</v>
      </c>
    </row>
    <row r="271" spans="1:15" x14ac:dyDescent="0.25">
      <c r="A271" s="133">
        <f>A262+1</f>
        <v>46112</v>
      </c>
      <c r="B271" s="136" t="s">
        <v>77</v>
      </c>
      <c r="C271" s="137" t="s">
        <v>82</v>
      </c>
      <c r="D271" s="88" t="s">
        <v>291</v>
      </c>
      <c r="E271" s="89">
        <v>0</v>
      </c>
      <c r="F271" s="89">
        <v>0</v>
      </c>
      <c r="G271" s="89">
        <f>F271-E271</f>
        <v>0</v>
      </c>
      <c r="I271" s="133">
        <f>I262+1</f>
        <v>46112</v>
      </c>
      <c r="J271" s="136" t="s">
        <v>75</v>
      </c>
      <c r="K271" s="137" t="s">
        <v>83</v>
      </c>
      <c r="L271" s="95" t="s">
        <v>300</v>
      </c>
      <c r="M271" s="89">
        <v>0.81111111111111112</v>
      </c>
      <c r="N271" s="89">
        <v>0</v>
      </c>
      <c r="O271" s="89">
        <f>N271-M271</f>
        <v>-0.81111111111111112</v>
      </c>
    </row>
    <row r="272" spans="1:15" ht="30" x14ac:dyDescent="0.25">
      <c r="A272" s="134"/>
      <c r="B272" s="136"/>
      <c r="C272" s="138"/>
      <c r="D272" s="88" t="s">
        <v>292</v>
      </c>
      <c r="E272" s="89">
        <v>0</v>
      </c>
      <c r="F272" s="89">
        <v>0</v>
      </c>
      <c r="G272" s="89">
        <f t="shared" ref="G272:G278" si="60">F272-E272</f>
        <v>0</v>
      </c>
      <c r="I272" s="134"/>
      <c r="J272" s="136"/>
      <c r="K272" s="138"/>
      <c r="L272" s="95" t="s">
        <v>301</v>
      </c>
      <c r="M272" s="89">
        <v>0.11805555555555555</v>
      </c>
      <c r="N272" s="89">
        <v>0.13194444444444445</v>
      </c>
      <c r="O272" s="89">
        <f t="shared" ref="O272:O278" si="61">N272-M272</f>
        <v>1.3888888888888895E-2</v>
      </c>
    </row>
    <row r="273" spans="1:15" x14ac:dyDescent="0.25">
      <c r="A273" s="134"/>
      <c r="B273" s="136"/>
      <c r="C273" s="138"/>
      <c r="D273" s="90" t="s">
        <v>293</v>
      </c>
      <c r="E273" s="89">
        <v>0</v>
      </c>
      <c r="F273" s="89">
        <v>0</v>
      </c>
      <c r="G273" s="89">
        <f t="shared" si="60"/>
        <v>0</v>
      </c>
      <c r="I273" s="134"/>
      <c r="J273" s="136"/>
      <c r="K273" s="138"/>
      <c r="L273" s="96" t="s">
        <v>302</v>
      </c>
      <c r="M273" s="89">
        <v>0</v>
      </c>
      <c r="N273" s="89">
        <v>0</v>
      </c>
      <c r="O273" s="89">
        <f t="shared" si="61"/>
        <v>0</v>
      </c>
    </row>
    <row r="274" spans="1:15" x14ac:dyDescent="0.25">
      <c r="A274" s="134"/>
      <c r="B274" s="136"/>
      <c r="C274" s="138"/>
      <c r="D274" s="90" t="s">
        <v>294</v>
      </c>
      <c r="E274" s="89">
        <v>0</v>
      </c>
      <c r="F274" s="89">
        <v>0</v>
      </c>
      <c r="G274" s="89">
        <f t="shared" si="60"/>
        <v>0</v>
      </c>
      <c r="I274" s="134"/>
      <c r="J274" s="136"/>
      <c r="K274" s="138"/>
      <c r="L274" s="96" t="s">
        <v>303</v>
      </c>
      <c r="M274" s="89">
        <v>0</v>
      </c>
      <c r="N274" s="89">
        <v>0</v>
      </c>
      <c r="O274" s="89">
        <f t="shared" si="61"/>
        <v>0</v>
      </c>
    </row>
    <row r="275" spans="1:15" x14ac:dyDescent="0.25">
      <c r="A275" s="134"/>
      <c r="B275" s="136"/>
      <c r="C275" s="138"/>
      <c r="D275" s="90" t="s">
        <v>295</v>
      </c>
      <c r="E275" s="89">
        <v>0</v>
      </c>
      <c r="F275" s="89">
        <v>0</v>
      </c>
      <c r="G275" s="89">
        <f t="shared" si="60"/>
        <v>0</v>
      </c>
      <c r="I275" s="134"/>
      <c r="J275" s="136"/>
      <c r="K275" s="138"/>
      <c r="L275" s="96" t="s">
        <v>304</v>
      </c>
      <c r="M275" s="89">
        <v>0.16666666666666666</v>
      </c>
      <c r="N275" s="89">
        <v>0.33333333333333331</v>
      </c>
      <c r="O275" s="89">
        <f t="shared" si="61"/>
        <v>0.16666666666666666</v>
      </c>
    </row>
    <row r="276" spans="1:15" x14ac:dyDescent="0.25">
      <c r="A276" s="134"/>
      <c r="B276" s="136"/>
      <c r="C276" s="138"/>
      <c r="D276" s="90" t="s">
        <v>296</v>
      </c>
      <c r="E276" s="89">
        <v>0</v>
      </c>
      <c r="F276" s="89">
        <v>0</v>
      </c>
      <c r="G276" s="89">
        <f t="shared" si="60"/>
        <v>0</v>
      </c>
      <c r="I276" s="134"/>
      <c r="J276" s="136"/>
      <c r="K276" s="138"/>
      <c r="L276" s="96" t="s">
        <v>305</v>
      </c>
      <c r="M276" s="89">
        <v>0</v>
      </c>
      <c r="N276" s="89">
        <v>0</v>
      </c>
      <c r="O276" s="89">
        <f t="shared" si="61"/>
        <v>0</v>
      </c>
    </row>
    <row r="277" spans="1:15" x14ac:dyDescent="0.25">
      <c r="A277" s="134"/>
      <c r="B277" s="136"/>
      <c r="C277" s="138"/>
      <c r="D277" s="90" t="s">
        <v>297</v>
      </c>
      <c r="E277" s="89">
        <v>0.33333333333333331</v>
      </c>
      <c r="F277" s="89">
        <v>0.70833333333333337</v>
      </c>
      <c r="G277" s="89">
        <f t="shared" si="60"/>
        <v>0.37500000000000006</v>
      </c>
      <c r="I277" s="134"/>
      <c r="J277" s="136"/>
      <c r="K277" s="138"/>
      <c r="L277" s="96"/>
      <c r="M277" s="89">
        <v>0</v>
      </c>
      <c r="N277" s="89">
        <v>0</v>
      </c>
      <c r="O277" s="89">
        <f t="shared" si="61"/>
        <v>0</v>
      </c>
    </row>
    <row r="278" spans="1:15" x14ac:dyDescent="0.25">
      <c r="A278" s="135"/>
      <c r="B278" s="136"/>
      <c r="C278" s="139"/>
      <c r="D278" s="90"/>
      <c r="E278" s="89">
        <v>0</v>
      </c>
      <c r="F278" s="89">
        <v>0</v>
      </c>
      <c r="G278" s="89">
        <f t="shared" si="60"/>
        <v>0</v>
      </c>
      <c r="I278" s="135"/>
      <c r="J278" s="136"/>
      <c r="K278" s="139"/>
      <c r="L278" s="96"/>
      <c r="M278" s="89">
        <v>0</v>
      </c>
      <c r="N278" s="89">
        <v>0</v>
      </c>
      <c r="O278" s="89">
        <f t="shared" si="61"/>
        <v>0</v>
      </c>
    </row>
    <row r="279" spans="1:15" x14ac:dyDescent="0.25">
      <c r="A279" s="91"/>
      <c r="B279" s="91"/>
      <c r="C279" s="91"/>
      <c r="D279" s="91"/>
      <c r="E279" s="91"/>
      <c r="F279" s="91"/>
      <c r="G279" s="92">
        <f>SUM(G271,G278)</f>
        <v>0</v>
      </c>
      <c r="I279" s="91"/>
      <c r="J279" s="91"/>
      <c r="K279" s="91"/>
      <c r="L279" s="97"/>
      <c r="M279" s="91"/>
      <c r="N279" s="91"/>
      <c r="O279" s="92">
        <f>SUM(O271,O278)</f>
        <v>-0.81111111111111112</v>
      </c>
    </row>
    <row r="280" spans="1:15" ht="15.75" thickBot="1" x14ac:dyDescent="0.3">
      <c r="A280" s="91"/>
      <c r="B280" s="91"/>
      <c r="C280" s="91"/>
      <c r="D280" s="91"/>
      <c r="E280" s="91"/>
      <c r="F280" s="91"/>
      <c r="G280" s="92">
        <f>SUM(G272,G279)</f>
        <v>0</v>
      </c>
      <c r="I280" s="91"/>
      <c r="J280" s="91"/>
      <c r="K280" s="91"/>
      <c r="L280" s="97"/>
      <c r="M280" s="91"/>
      <c r="N280" s="91"/>
      <c r="O280" s="92">
        <f>SUM(O272,O279)</f>
        <v>-0.79722222222222228</v>
      </c>
    </row>
    <row r="281" spans="1:15" x14ac:dyDescent="0.25">
      <c r="A281" s="133">
        <v>46113</v>
      </c>
      <c r="B281" s="136" t="s">
        <v>114</v>
      </c>
      <c r="C281" s="137" t="s">
        <v>82</v>
      </c>
      <c r="D281" s="88"/>
      <c r="E281" s="89">
        <v>0</v>
      </c>
      <c r="F281" s="89">
        <v>0</v>
      </c>
      <c r="G281" s="89">
        <f>F281-E281</f>
        <v>0</v>
      </c>
      <c r="I281" s="133">
        <v>46113</v>
      </c>
      <c r="J281" s="136" t="s">
        <v>77</v>
      </c>
      <c r="K281" s="137" t="s">
        <v>83</v>
      </c>
      <c r="L281" s="95" t="s">
        <v>310</v>
      </c>
      <c r="M281" s="89">
        <v>0.79166666666666663</v>
      </c>
      <c r="N281" s="89">
        <v>0.80902777777777779</v>
      </c>
      <c r="O281" s="89">
        <f>N281-M281</f>
        <v>1.736111111111116E-2</v>
      </c>
    </row>
    <row r="282" spans="1:15" x14ac:dyDescent="0.25">
      <c r="A282" s="134"/>
      <c r="B282" s="136"/>
      <c r="C282" s="138"/>
      <c r="D282" s="88"/>
      <c r="E282" s="89">
        <v>0</v>
      </c>
      <c r="F282" s="89">
        <v>0</v>
      </c>
      <c r="G282" s="89">
        <f t="shared" ref="G282:G288" si="62">F282-E282</f>
        <v>0</v>
      </c>
      <c r="I282" s="134"/>
      <c r="J282" s="136"/>
      <c r="K282" s="138"/>
      <c r="L282" s="95"/>
      <c r="M282" s="89">
        <v>0</v>
      </c>
      <c r="N282" s="89">
        <v>0</v>
      </c>
      <c r="O282" s="89">
        <f t="shared" ref="O282:O288" si="63">N282-M282</f>
        <v>0</v>
      </c>
    </row>
    <row r="283" spans="1:15" x14ac:dyDescent="0.25">
      <c r="A283" s="134"/>
      <c r="B283" s="136"/>
      <c r="C283" s="138"/>
      <c r="D283" s="90"/>
      <c r="E283" s="89">
        <v>0</v>
      </c>
      <c r="F283" s="89">
        <v>0</v>
      </c>
      <c r="G283" s="89">
        <f t="shared" si="62"/>
        <v>0</v>
      </c>
      <c r="I283" s="134"/>
      <c r="J283" s="136"/>
      <c r="K283" s="138"/>
      <c r="L283" s="96"/>
      <c r="M283" s="89">
        <v>0</v>
      </c>
      <c r="N283" s="89">
        <v>0</v>
      </c>
      <c r="O283" s="89">
        <f t="shared" si="63"/>
        <v>0</v>
      </c>
    </row>
    <row r="284" spans="1:15" x14ac:dyDescent="0.25">
      <c r="A284" s="134"/>
      <c r="B284" s="136"/>
      <c r="C284" s="138"/>
      <c r="D284" s="90"/>
      <c r="E284" s="89">
        <v>0</v>
      </c>
      <c r="F284" s="89">
        <v>0</v>
      </c>
      <c r="G284" s="89">
        <f t="shared" si="62"/>
        <v>0</v>
      </c>
      <c r="I284" s="134"/>
      <c r="J284" s="136"/>
      <c r="K284" s="138"/>
      <c r="L284" s="96"/>
      <c r="M284" s="89">
        <v>0</v>
      </c>
      <c r="N284" s="89">
        <v>0</v>
      </c>
      <c r="O284" s="89">
        <f t="shared" si="63"/>
        <v>0</v>
      </c>
    </row>
    <row r="285" spans="1:15" x14ac:dyDescent="0.25">
      <c r="A285" s="134"/>
      <c r="B285" s="136"/>
      <c r="C285" s="138"/>
      <c r="D285" s="90"/>
      <c r="E285" s="89">
        <v>0</v>
      </c>
      <c r="F285" s="89">
        <v>0</v>
      </c>
      <c r="G285" s="89">
        <f t="shared" si="62"/>
        <v>0</v>
      </c>
      <c r="I285" s="134"/>
      <c r="J285" s="136"/>
      <c r="K285" s="138"/>
      <c r="L285" s="96"/>
      <c r="M285" s="89">
        <v>0</v>
      </c>
      <c r="N285" s="89">
        <v>0</v>
      </c>
      <c r="O285" s="89">
        <f t="shared" si="63"/>
        <v>0</v>
      </c>
    </row>
    <row r="286" spans="1:15" x14ac:dyDescent="0.25">
      <c r="A286" s="134"/>
      <c r="B286" s="136"/>
      <c r="C286" s="138"/>
      <c r="D286" s="90"/>
      <c r="E286" s="89">
        <v>0</v>
      </c>
      <c r="F286" s="89">
        <v>0</v>
      </c>
      <c r="G286" s="89">
        <f t="shared" si="62"/>
        <v>0</v>
      </c>
      <c r="I286" s="134"/>
      <c r="J286" s="136"/>
      <c r="K286" s="138"/>
      <c r="L286" s="96"/>
      <c r="M286" s="89">
        <v>0</v>
      </c>
      <c r="N286" s="89">
        <v>0</v>
      </c>
      <c r="O286" s="89">
        <f t="shared" si="63"/>
        <v>0</v>
      </c>
    </row>
    <row r="287" spans="1:15" x14ac:dyDescent="0.25">
      <c r="A287" s="134"/>
      <c r="B287" s="136"/>
      <c r="C287" s="138"/>
      <c r="D287" s="90"/>
      <c r="E287" s="89">
        <v>0</v>
      </c>
      <c r="F287" s="89">
        <v>0</v>
      </c>
      <c r="G287" s="89">
        <f t="shared" si="62"/>
        <v>0</v>
      </c>
      <c r="I287" s="134"/>
      <c r="J287" s="136"/>
      <c r="K287" s="138"/>
      <c r="L287" s="96"/>
      <c r="M287" s="89">
        <v>0</v>
      </c>
      <c r="N287" s="89">
        <v>0</v>
      </c>
      <c r="O287" s="89">
        <f t="shared" si="63"/>
        <v>0</v>
      </c>
    </row>
    <row r="288" spans="1:15" x14ac:dyDescent="0.25">
      <c r="A288" s="135"/>
      <c r="B288" s="136"/>
      <c r="C288" s="139"/>
      <c r="D288" s="90"/>
      <c r="E288" s="89">
        <v>0</v>
      </c>
      <c r="F288" s="89">
        <v>0</v>
      </c>
      <c r="G288" s="89">
        <f t="shared" si="62"/>
        <v>0</v>
      </c>
      <c r="I288" s="135"/>
      <c r="J288" s="136"/>
      <c r="K288" s="139"/>
      <c r="L288" s="96"/>
      <c r="M288" s="89">
        <v>0</v>
      </c>
      <c r="N288" s="89">
        <v>0</v>
      </c>
      <c r="O288" s="89">
        <f t="shared" si="63"/>
        <v>0</v>
      </c>
    </row>
    <row r="289" spans="1:15" ht="15.75" thickBot="1" x14ac:dyDescent="0.3">
      <c r="A289" s="91"/>
      <c r="B289" s="91"/>
      <c r="C289" s="91"/>
      <c r="D289" s="91"/>
      <c r="E289" s="91"/>
      <c r="F289" s="91"/>
      <c r="G289" s="92">
        <f>SUM(G281,G288)</f>
        <v>0</v>
      </c>
      <c r="I289" s="91"/>
      <c r="J289" s="91"/>
      <c r="K289" s="91"/>
      <c r="L289" s="97"/>
      <c r="M289" s="91"/>
      <c r="N289" s="91"/>
      <c r="O289" s="92">
        <f>SUM(O281,O288)</f>
        <v>1.736111111111116E-2</v>
      </c>
    </row>
    <row r="290" spans="1:15" x14ac:dyDescent="0.25">
      <c r="A290" s="133">
        <f>A281+1</f>
        <v>46114</v>
      </c>
      <c r="B290" s="136" t="s">
        <v>113</v>
      </c>
      <c r="C290" s="137" t="s">
        <v>82</v>
      </c>
      <c r="D290" s="88"/>
      <c r="E290" s="89">
        <v>0</v>
      </c>
      <c r="F290" s="89">
        <v>0</v>
      </c>
      <c r="G290" s="89">
        <f>F290-E290</f>
        <v>0</v>
      </c>
      <c r="I290" s="133">
        <f>I281+1</f>
        <v>46114</v>
      </c>
      <c r="J290" s="136" t="s">
        <v>114</v>
      </c>
      <c r="K290" s="137" t="s">
        <v>83</v>
      </c>
      <c r="L290" s="95" t="s">
        <v>314</v>
      </c>
      <c r="M290" s="89">
        <v>0</v>
      </c>
      <c r="N290" s="89">
        <v>0</v>
      </c>
      <c r="O290" s="89">
        <f>N290-M290</f>
        <v>0</v>
      </c>
    </row>
    <row r="291" spans="1:15" ht="45" x14ac:dyDescent="0.25">
      <c r="A291" s="134"/>
      <c r="B291" s="136"/>
      <c r="C291" s="138"/>
      <c r="D291" s="88"/>
      <c r="E291" s="89">
        <v>0</v>
      </c>
      <c r="F291" s="89">
        <v>0</v>
      </c>
      <c r="G291" s="89">
        <f t="shared" ref="G291:G297" si="64">F291-E291</f>
        <v>0</v>
      </c>
      <c r="I291" s="134"/>
      <c r="J291" s="136"/>
      <c r="K291" s="138"/>
      <c r="L291" s="107" t="s">
        <v>315</v>
      </c>
      <c r="M291" s="89">
        <v>0</v>
      </c>
      <c r="N291" s="89">
        <v>0</v>
      </c>
      <c r="O291" s="89">
        <f t="shared" ref="O291:O297" si="65">N291-M291</f>
        <v>0</v>
      </c>
    </row>
    <row r="292" spans="1:15" x14ac:dyDescent="0.25">
      <c r="A292" s="134"/>
      <c r="B292" s="136"/>
      <c r="C292" s="138"/>
      <c r="D292" s="90"/>
      <c r="E292" s="89">
        <v>0</v>
      </c>
      <c r="F292" s="89">
        <v>0</v>
      </c>
      <c r="G292" s="89">
        <f t="shared" si="64"/>
        <v>0</v>
      </c>
      <c r="I292" s="134"/>
      <c r="J292" s="136"/>
      <c r="K292" s="138"/>
      <c r="L292" s="96" t="s">
        <v>316</v>
      </c>
      <c r="M292" s="89">
        <v>0</v>
      </c>
      <c r="N292" s="89">
        <v>0</v>
      </c>
      <c r="O292" s="89">
        <f t="shared" si="65"/>
        <v>0</v>
      </c>
    </row>
    <row r="293" spans="1:15" x14ac:dyDescent="0.25">
      <c r="A293" s="134"/>
      <c r="B293" s="136"/>
      <c r="C293" s="138"/>
      <c r="D293" s="90"/>
      <c r="E293" s="89">
        <v>0</v>
      </c>
      <c r="F293" s="89">
        <v>0</v>
      </c>
      <c r="G293" s="89">
        <f t="shared" si="64"/>
        <v>0</v>
      </c>
      <c r="I293" s="134"/>
      <c r="J293" s="136"/>
      <c r="K293" s="138"/>
      <c r="L293" s="96"/>
      <c r="M293" s="89">
        <v>0</v>
      </c>
      <c r="N293" s="89">
        <v>0</v>
      </c>
      <c r="O293" s="89">
        <f t="shared" si="65"/>
        <v>0</v>
      </c>
    </row>
    <row r="294" spans="1:15" x14ac:dyDescent="0.25">
      <c r="A294" s="134"/>
      <c r="B294" s="136"/>
      <c r="C294" s="138"/>
      <c r="D294" s="90"/>
      <c r="E294" s="89">
        <v>0</v>
      </c>
      <c r="F294" s="89">
        <v>0</v>
      </c>
      <c r="G294" s="89">
        <f t="shared" si="64"/>
        <v>0</v>
      </c>
      <c r="I294" s="134"/>
      <c r="J294" s="136"/>
      <c r="K294" s="138"/>
      <c r="L294" s="96"/>
      <c r="M294" s="89">
        <v>0</v>
      </c>
      <c r="N294" s="89">
        <v>0</v>
      </c>
      <c r="O294" s="89">
        <f t="shared" si="65"/>
        <v>0</v>
      </c>
    </row>
    <row r="295" spans="1:15" x14ac:dyDescent="0.25">
      <c r="A295" s="134"/>
      <c r="B295" s="136"/>
      <c r="C295" s="138"/>
      <c r="D295" s="90"/>
      <c r="E295" s="89">
        <v>0</v>
      </c>
      <c r="F295" s="89">
        <v>0</v>
      </c>
      <c r="G295" s="89">
        <f t="shared" si="64"/>
        <v>0</v>
      </c>
      <c r="I295" s="134"/>
      <c r="J295" s="136"/>
      <c r="K295" s="138"/>
      <c r="L295" s="96"/>
      <c r="M295" s="89">
        <v>0</v>
      </c>
      <c r="N295" s="89">
        <v>0</v>
      </c>
      <c r="O295" s="89">
        <f t="shared" si="65"/>
        <v>0</v>
      </c>
    </row>
    <row r="296" spans="1:15" x14ac:dyDescent="0.25">
      <c r="A296" s="134"/>
      <c r="B296" s="136"/>
      <c r="C296" s="138"/>
      <c r="D296" s="90"/>
      <c r="E296" s="89">
        <v>0</v>
      </c>
      <c r="F296" s="89">
        <v>0</v>
      </c>
      <c r="G296" s="89">
        <f t="shared" si="64"/>
        <v>0</v>
      </c>
      <c r="I296" s="134"/>
      <c r="J296" s="136"/>
      <c r="K296" s="138"/>
      <c r="L296" s="96"/>
      <c r="M296" s="89">
        <v>0</v>
      </c>
      <c r="N296" s="89">
        <v>0</v>
      </c>
      <c r="O296" s="89">
        <f t="shared" si="65"/>
        <v>0</v>
      </c>
    </row>
    <row r="297" spans="1:15" x14ac:dyDescent="0.25">
      <c r="A297" s="135"/>
      <c r="B297" s="136"/>
      <c r="C297" s="139"/>
      <c r="D297" s="90"/>
      <c r="E297" s="89">
        <v>0</v>
      </c>
      <c r="F297" s="89">
        <v>0</v>
      </c>
      <c r="G297" s="89">
        <f t="shared" si="64"/>
        <v>0</v>
      </c>
      <c r="I297" s="135"/>
      <c r="J297" s="136"/>
      <c r="K297" s="139"/>
      <c r="L297" s="96"/>
      <c r="M297" s="89">
        <v>0</v>
      </c>
      <c r="N297" s="89">
        <v>0</v>
      </c>
      <c r="O297" s="89">
        <f t="shared" si="65"/>
        <v>0</v>
      </c>
    </row>
    <row r="298" spans="1:15" ht="15.75" thickBot="1" x14ac:dyDescent="0.3">
      <c r="A298" s="91"/>
      <c r="B298" s="91"/>
      <c r="C298" s="91"/>
      <c r="D298" s="91"/>
      <c r="E298" s="91"/>
      <c r="F298" s="91"/>
      <c r="G298" s="92">
        <f>SUM(G290,G297)</f>
        <v>0</v>
      </c>
      <c r="I298" s="91"/>
      <c r="J298" s="91"/>
      <c r="K298" s="91"/>
      <c r="L298" s="97"/>
      <c r="M298" s="91"/>
      <c r="N298" s="91"/>
      <c r="O298" s="92">
        <f>SUM(O290,O297)</f>
        <v>0</v>
      </c>
    </row>
    <row r="299" spans="1:15" x14ac:dyDescent="0.25">
      <c r="A299" s="133">
        <f>A290+1</f>
        <v>46115</v>
      </c>
      <c r="B299" s="136" t="s">
        <v>75</v>
      </c>
      <c r="C299" s="137" t="s">
        <v>82</v>
      </c>
      <c r="D299" s="88" t="s">
        <v>318</v>
      </c>
      <c r="E299" s="89" t="s">
        <v>317</v>
      </c>
      <c r="F299" s="89">
        <v>0</v>
      </c>
      <c r="G299" s="89" t="e">
        <f>F299-E299</f>
        <v>#VALUE!</v>
      </c>
      <c r="I299" s="133">
        <f>I290+1</f>
        <v>46115</v>
      </c>
      <c r="J299" s="136" t="s">
        <v>113</v>
      </c>
      <c r="K299" s="137" t="s">
        <v>83</v>
      </c>
      <c r="L299" s="95"/>
      <c r="M299" s="89">
        <v>0</v>
      </c>
      <c r="N299" s="89">
        <v>0</v>
      </c>
      <c r="O299" s="89">
        <f>N299-M299</f>
        <v>0</v>
      </c>
    </row>
    <row r="300" spans="1:15" x14ac:dyDescent="0.25">
      <c r="A300" s="134"/>
      <c r="B300" s="136"/>
      <c r="C300" s="138"/>
      <c r="D300" s="88" t="s">
        <v>321</v>
      </c>
      <c r="E300" s="89" t="s">
        <v>319</v>
      </c>
      <c r="F300" s="89" t="s">
        <v>320</v>
      </c>
      <c r="G300" s="89" t="e">
        <f t="shared" ref="G300:G306" si="66">F300-E300</f>
        <v>#VALUE!</v>
      </c>
      <c r="I300" s="134"/>
      <c r="J300" s="136"/>
      <c r="K300" s="138"/>
      <c r="L300" s="107"/>
      <c r="M300" s="89">
        <v>0</v>
      </c>
      <c r="N300" s="89">
        <v>0</v>
      </c>
      <c r="O300" s="89">
        <f t="shared" ref="O300:O306" si="67">N300-M300</f>
        <v>0</v>
      </c>
    </row>
    <row r="301" spans="1:15" x14ac:dyDescent="0.25">
      <c r="A301" s="134"/>
      <c r="B301" s="136"/>
      <c r="C301" s="138"/>
      <c r="D301" s="88" t="s">
        <v>322</v>
      </c>
      <c r="E301" s="89">
        <v>0.54166666666666663</v>
      </c>
      <c r="F301" s="89">
        <v>0.79166666666666663</v>
      </c>
      <c r="G301" s="89">
        <f t="shared" si="66"/>
        <v>0.25</v>
      </c>
      <c r="I301" s="134"/>
      <c r="J301" s="136"/>
      <c r="K301" s="138"/>
      <c r="L301" s="96"/>
      <c r="M301" s="89">
        <v>0</v>
      </c>
      <c r="N301" s="89">
        <v>0</v>
      </c>
      <c r="O301" s="89">
        <f t="shared" si="67"/>
        <v>0</v>
      </c>
    </row>
    <row r="302" spans="1:15" x14ac:dyDescent="0.25">
      <c r="A302" s="134"/>
      <c r="B302" s="136"/>
      <c r="C302" s="138"/>
      <c r="D302" s="90" t="s">
        <v>323</v>
      </c>
      <c r="E302" s="89">
        <v>0</v>
      </c>
      <c r="F302" s="89">
        <v>0</v>
      </c>
      <c r="G302" s="89">
        <f t="shared" si="66"/>
        <v>0</v>
      </c>
      <c r="I302" s="134"/>
      <c r="J302" s="136"/>
      <c r="K302" s="138"/>
      <c r="L302" s="96"/>
      <c r="M302" s="89">
        <v>0</v>
      </c>
      <c r="N302" s="89">
        <v>0</v>
      </c>
      <c r="O302" s="89">
        <f t="shared" si="67"/>
        <v>0</v>
      </c>
    </row>
    <row r="303" spans="1:15" x14ac:dyDescent="0.25">
      <c r="A303" s="134"/>
      <c r="B303" s="136"/>
      <c r="C303" s="138"/>
      <c r="D303" s="90"/>
      <c r="E303" s="89">
        <v>0</v>
      </c>
      <c r="F303" s="89">
        <v>0</v>
      </c>
      <c r="G303" s="89">
        <f t="shared" si="66"/>
        <v>0</v>
      </c>
      <c r="I303" s="134"/>
      <c r="J303" s="136"/>
      <c r="K303" s="138"/>
      <c r="L303" s="96"/>
      <c r="M303" s="89">
        <v>0</v>
      </c>
      <c r="N303" s="89">
        <v>0</v>
      </c>
      <c r="O303" s="89">
        <f t="shared" si="67"/>
        <v>0</v>
      </c>
    </row>
    <row r="304" spans="1:15" x14ac:dyDescent="0.25">
      <c r="A304" s="134"/>
      <c r="B304" s="136"/>
      <c r="C304" s="138"/>
      <c r="D304" s="90"/>
      <c r="E304" s="89">
        <v>0</v>
      </c>
      <c r="F304" s="89">
        <v>0</v>
      </c>
      <c r="G304" s="89">
        <f t="shared" si="66"/>
        <v>0</v>
      </c>
      <c r="I304" s="134"/>
      <c r="J304" s="136"/>
      <c r="K304" s="138"/>
      <c r="L304" s="96"/>
      <c r="M304" s="89">
        <v>0</v>
      </c>
      <c r="N304" s="89">
        <v>0</v>
      </c>
      <c r="O304" s="89">
        <f t="shared" si="67"/>
        <v>0</v>
      </c>
    </row>
    <row r="305" spans="1:15" x14ac:dyDescent="0.25">
      <c r="A305" s="134"/>
      <c r="B305" s="136"/>
      <c r="C305" s="138"/>
      <c r="D305" s="90"/>
      <c r="E305" s="89">
        <v>0</v>
      </c>
      <c r="F305" s="89">
        <v>0</v>
      </c>
      <c r="G305" s="89">
        <f t="shared" si="66"/>
        <v>0</v>
      </c>
      <c r="I305" s="134"/>
      <c r="J305" s="136"/>
      <c r="K305" s="138"/>
      <c r="L305" s="96"/>
      <c r="M305" s="89">
        <v>0</v>
      </c>
      <c r="N305" s="89">
        <v>0</v>
      </c>
      <c r="O305" s="89">
        <f t="shared" si="67"/>
        <v>0</v>
      </c>
    </row>
    <row r="306" spans="1:15" x14ac:dyDescent="0.25">
      <c r="A306" s="135"/>
      <c r="B306" s="136"/>
      <c r="C306" s="139"/>
      <c r="D306" s="90"/>
      <c r="E306" s="89">
        <v>0</v>
      </c>
      <c r="F306" s="89">
        <v>0</v>
      </c>
      <c r="G306" s="89">
        <f t="shared" si="66"/>
        <v>0</v>
      </c>
      <c r="I306" s="135"/>
      <c r="J306" s="136"/>
      <c r="K306" s="139"/>
      <c r="L306" s="96"/>
      <c r="M306" s="89">
        <v>0</v>
      </c>
      <c r="N306" s="89">
        <v>0</v>
      </c>
      <c r="O306" s="89">
        <f t="shared" si="67"/>
        <v>0</v>
      </c>
    </row>
    <row r="307" spans="1:15" ht="15.75" thickBot="1" x14ac:dyDescent="0.3">
      <c r="A307" s="91"/>
      <c r="B307" s="91"/>
      <c r="C307" s="91"/>
      <c r="D307" s="91"/>
      <c r="E307" s="91"/>
      <c r="F307" s="91"/>
      <c r="G307" s="92" t="e">
        <f>SUM(G299,G306)</f>
        <v>#VALUE!</v>
      </c>
      <c r="I307" s="91"/>
      <c r="J307" s="91"/>
      <c r="K307" s="91"/>
      <c r="L307" s="97"/>
      <c r="M307" s="91"/>
      <c r="N307" s="91"/>
      <c r="O307" s="92">
        <f>SUM(O299,O306)</f>
        <v>0</v>
      </c>
    </row>
    <row r="308" spans="1:15" x14ac:dyDescent="0.25">
      <c r="A308" s="133">
        <f>A299+1</f>
        <v>46116</v>
      </c>
      <c r="B308" s="136" t="s">
        <v>113</v>
      </c>
      <c r="C308" s="137" t="s">
        <v>82</v>
      </c>
      <c r="D308" s="88" t="s">
        <v>326</v>
      </c>
      <c r="E308" s="89">
        <v>4.8611111111111112E-2</v>
      </c>
      <c r="F308" s="89">
        <v>6.3888888888888884E-2</v>
      </c>
      <c r="G308" s="89">
        <f>F308-E308</f>
        <v>1.5277777777777772E-2</v>
      </c>
      <c r="I308" s="133">
        <f>I299+1</f>
        <v>46116</v>
      </c>
      <c r="J308" s="136" t="s">
        <v>75</v>
      </c>
      <c r="K308" s="137" t="s">
        <v>83</v>
      </c>
      <c r="L308" s="95" t="s">
        <v>331</v>
      </c>
      <c r="M308" s="89">
        <v>0.91666666666666663</v>
      </c>
      <c r="N308" s="89">
        <v>4.1666666666666664E-2</v>
      </c>
      <c r="O308" s="89">
        <f>N308-M308</f>
        <v>-0.875</v>
      </c>
    </row>
    <row r="309" spans="1:15" x14ac:dyDescent="0.25">
      <c r="A309" s="134"/>
      <c r="B309" s="136"/>
      <c r="C309" s="138"/>
      <c r="D309" s="88" t="s">
        <v>327</v>
      </c>
      <c r="E309" s="89">
        <v>0.19722222222222222</v>
      </c>
      <c r="F309" s="89">
        <v>0.2</v>
      </c>
      <c r="G309" s="89">
        <f t="shared" ref="G309:G315" si="68">F309-E309</f>
        <v>2.7777777777777957E-3</v>
      </c>
      <c r="I309" s="134"/>
      <c r="J309" s="136"/>
      <c r="K309" s="138"/>
      <c r="L309" s="95" t="s">
        <v>332</v>
      </c>
      <c r="M309" s="89">
        <v>0</v>
      </c>
      <c r="N309" s="89">
        <v>0</v>
      </c>
      <c r="O309" s="89">
        <f t="shared" ref="O309:O315" si="69">N309-M309</f>
        <v>0</v>
      </c>
    </row>
    <row r="310" spans="1:15" x14ac:dyDescent="0.25">
      <c r="A310" s="134"/>
      <c r="B310" s="136"/>
      <c r="C310" s="138"/>
      <c r="D310" s="90"/>
      <c r="E310" s="89">
        <v>0</v>
      </c>
      <c r="F310" s="89">
        <v>0</v>
      </c>
      <c r="G310" s="89">
        <f t="shared" si="68"/>
        <v>0</v>
      </c>
      <c r="I310" s="134"/>
      <c r="J310" s="136"/>
      <c r="K310" s="138"/>
      <c r="L310" s="96" t="s">
        <v>333</v>
      </c>
      <c r="M310" s="89">
        <v>0</v>
      </c>
      <c r="N310" s="89">
        <v>0</v>
      </c>
      <c r="O310" s="89">
        <f t="shared" si="69"/>
        <v>0</v>
      </c>
    </row>
    <row r="311" spans="1:15" x14ac:dyDescent="0.25">
      <c r="A311" s="134"/>
      <c r="B311" s="136"/>
      <c r="C311" s="138"/>
      <c r="D311" s="90"/>
      <c r="E311" s="89">
        <v>0</v>
      </c>
      <c r="F311" s="89">
        <v>0</v>
      </c>
      <c r="G311" s="89">
        <f t="shared" si="68"/>
        <v>0</v>
      </c>
      <c r="I311" s="134"/>
      <c r="J311" s="136"/>
      <c r="K311" s="138"/>
      <c r="L311" s="96"/>
      <c r="M311" s="89">
        <v>0</v>
      </c>
      <c r="N311" s="89">
        <v>0</v>
      </c>
      <c r="O311" s="89">
        <f t="shared" si="69"/>
        <v>0</v>
      </c>
    </row>
    <row r="312" spans="1:15" x14ac:dyDescent="0.25">
      <c r="A312" s="134"/>
      <c r="B312" s="136"/>
      <c r="C312" s="138"/>
      <c r="D312" s="90" t="s">
        <v>329</v>
      </c>
      <c r="E312" s="89">
        <v>0.33333333333333331</v>
      </c>
      <c r="F312" s="89">
        <v>0.35069444444444442</v>
      </c>
      <c r="G312" s="89">
        <f t="shared" si="68"/>
        <v>1.7361111111111105E-2</v>
      </c>
      <c r="I312" s="134"/>
      <c r="J312" s="136"/>
      <c r="K312" s="138"/>
      <c r="L312" s="96"/>
      <c r="M312" s="89">
        <v>0</v>
      </c>
      <c r="N312" s="89">
        <v>0</v>
      </c>
      <c r="O312" s="89">
        <f t="shared" si="69"/>
        <v>0</v>
      </c>
    </row>
    <row r="313" spans="1:15" x14ac:dyDescent="0.25">
      <c r="A313" s="134"/>
      <c r="B313" s="136"/>
      <c r="C313" s="138"/>
      <c r="D313" s="90"/>
      <c r="E313" s="89">
        <v>0</v>
      </c>
      <c r="F313" s="89">
        <v>0</v>
      </c>
      <c r="G313" s="89">
        <f t="shared" si="68"/>
        <v>0</v>
      </c>
      <c r="I313" s="134"/>
      <c r="J313" s="136"/>
      <c r="K313" s="138"/>
      <c r="L313" s="96"/>
      <c r="M313" s="89">
        <v>0</v>
      </c>
      <c r="N313" s="89">
        <v>0</v>
      </c>
      <c r="O313" s="89">
        <f t="shared" si="69"/>
        <v>0</v>
      </c>
    </row>
    <row r="314" spans="1:15" x14ac:dyDescent="0.25">
      <c r="A314" s="134"/>
      <c r="B314" s="136"/>
      <c r="C314" s="138"/>
      <c r="D314" s="90"/>
      <c r="E314" s="89">
        <v>0</v>
      </c>
      <c r="F314" s="89">
        <v>0</v>
      </c>
      <c r="G314" s="89">
        <f t="shared" si="68"/>
        <v>0</v>
      </c>
      <c r="I314" s="134"/>
      <c r="J314" s="136"/>
      <c r="K314" s="138"/>
      <c r="L314" s="96"/>
      <c r="M314" s="89">
        <v>0</v>
      </c>
      <c r="N314" s="89">
        <v>0</v>
      </c>
      <c r="O314" s="89">
        <f t="shared" si="69"/>
        <v>0</v>
      </c>
    </row>
    <row r="315" spans="1:15" x14ac:dyDescent="0.25">
      <c r="A315" s="135"/>
      <c r="B315" s="136"/>
      <c r="C315" s="139"/>
      <c r="D315" s="90"/>
      <c r="E315" s="89">
        <v>0</v>
      </c>
      <c r="F315" s="89">
        <v>0</v>
      </c>
      <c r="G315" s="89">
        <f t="shared" si="68"/>
        <v>0</v>
      </c>
      <c r="I315" s="135"/>
      <c r="J315" s="136"/>
      <c r="K315" s="139"/>
      <c r="L315" s="96"/>
      <c r="M315" s="89">
        <v>0</v>
      </c>
      <c r="N315" s="89">
        <v>0</v>
      </c>
      <c r="O315" s="89">
        <f t="shared" si="69"/>
        <v>0</v>
      </c>
    </row>
    <row r="316" spans="1:15" ht="15.75" thickBot="1" x14ac:dyDescent="0.3">
      <c r="A316" s="91"/>
      <c r="B316" s="91"/>
      <c r="C316" s="91"/>
      <c r="D316" s="91"/>
      <c r="E316" s="91"/>
      <c r="F316" s="91"/>
      <c r="G316" s="92">
        <f>SUM(G308,G315)</f>
        <v>1.5277777777777772E-2</v>
      </c>
      <c r="I316" s="91"/>
      <c r="J316" s="91"/>
      <c r="K316" s="91"/>
      <c r="L316" s="97"/>
      <c r="M316" s="91"/>
      <c r="N316" s="91"/>
      <c r="O316" s="92">
        <f>SUM(O308,O315)</f>
        <v>-0.875</v>
      </c>
    </row>
    <row r="317" spans="1:15" ht="45" x14ac:dyDescent="0.25">
      <c r="A317" s="133">
        <f>A308+1</f>
        <v>46117</v>
      </c>
      <c r="B317" s="136" t="s">
        <v>114</v>
      </c>
      <c r="C317" s="137" t="s">
        <v>82</v>
      </c>
      <c r="D317" s="88" t="s">
        <v>335</v>
      </c>
      <c r="E317" s="89">
        <v>0.73402777777777772</v>
      </c>
      <c r="F317" s="89">
        <v>0.74305555555555558</v>
      </c>
      <c r="G317" s="89">
        <f>F317-E317</f>
        <v>9.0277777777778567E-3</v>
      </c>
      <c r="I317" s="133">
        <f>I308+1</f>
        <v>46117</v>
      </c>
      <c r="J317" s="136"/>
      <c r="K317" s="137" t="s">
        <v>83</v>
      </c>
      <c r="L317" s="95" t="s">
        <v>337</v>
      </c>
      <c r="M317" s="89">
        <v>0.79861111111111116</v>
      </c>
      <c r="N317" s="89">
        <v>0.82291666666666663</v>
      </c>
      <c r="O317" s="89">
        <f>N317-M317</f>
        <v>2.4305555555555469E-2</v>
      </c>
    </row>
    <row r="318" spans="1:15" x14ac:dyDescent="0.25">
      <c r="A318" s="134"/>
      <c r="B318" s="136"/>
      <c r="C318" s="138"/>
      <c r="D318" s="88"/>
      <c r="E318" s="89">
        <v>0</v>
      </c>
      <c r="F318" s="89">
        <v>0</v>
      </c>
      <c r="G318" s="89">
        <f t="shared" ref="G318:G324" si="70">F318-E318</f>
        <v>0</v>
      </c>
      <c r="I318" s="134"/>
      <c r="J318" s="136"/>
      <c r="K318" s="138"/>
      <c r="L318" s="95" t="s">
        <v>338</v>
      </c>
      <c r="M318" s="89">
        <v>0</v>
      </c>
      <c r="N318" s="89">
        <v>0</v>
      </c>
      <c r="O318" s="89">
        <f t="shared" ref="O318:O324" si="71">N318-M318</f>
        <v>0</v>
      </c>
    </row>
    <row r="319" spans="1:15" x14ac:dyDescent="0.25">
      <c r="A319" s="134"/>
      <c r="B319" s="136"/>
      <c r="C319" s="138"/>
      <c r="D319" s="90"/>
      <c r="E319" s="89">
        <v>0</v>
      </c>
      <c r="F319" s="89">
        <v>0</v>
      </c>
      <c r="G319" s="89">
        <f t="shared" si="70"/>
        <v>0</v>
      </c>
      <c r="I319" s="134"/>
      <c r="J319" s="136"/>
      <c r="K319" s="138"/>
      <c r="L319" s="96"/>
      <c r="M319" s="89">
        <v>0</v>
      </c>
      <c r="N319" s="89">
        <v>0</v>
      </c>
      <c r="O319" s="89">
        <f t="shared" si="71"/>
        <v>0</v>
      </c>
    </row>
    <row r="320" spans="1:15" x14ac:dyDescent="0.25">
      <c r="A320" s="134"/>
      <c r="B320" s="136"/>
      <c r="C320" s="138"/>
      <c r="D320" s="90"/>
      <c r="E320" s="89">
        <v>0</v>
      </c>
      <c r="F320" s="89">
        <v>0</v>
      </c>
      <c r="G320" s="89">
        <f t="shared" si="70"/>
        <v>0</v>
      </c>
      <c r="I320" s="134"/>
      <c r="J320" s="136"/>
      <c r="K320" s="138"/>
      <c r="L320" s="96"/>
      <c r="M320" s="89">
        <v>0</v>
      </c>
      <c r="N320" s="89">
        <v>0</v>
      </c>
      <c r="O320" s="89">
        <f t="shared" si="71"/>
        <v>0</v>
      </c>
    </row>
    <row r="321" spans="1:15" x14ac:dyDescent="0.25">
      <c r="A321" s="134"/>
      <c r="B321" s="136"/>
      <c r="C321" s="138"/>
      <c r="D321" s="90"/>
      <c r="E321" s="89">
        <v>0</v>
      </c>
      <c r="F321" s="89">
        <v>0</v>
      </c>
      <c r="G321" s="89">
        <f t="shared" si="70"/>
        <v>0</v>
      </c>
      <c r="I321" s="134"/>
      <c r="J321" s="136"/>
      <c r="K321" s="138"/>
      <c r="L321" s="96"/>
      <c r="M321" s="89">
        <v>0</v>
      </c>
      <c r="N321" s="89">
        <v>0</v>
      </c>
      <c r="O321" s="89">
        <f t="shared" si="71"/>
        <v>0</v>
      </c>
    </row>
    <row r="322" spans="1:15" x14ac:dyDescent="0.25">
      <c r="A322" s="134"/>
      <c r="B322" s="136"/>
      <c r="C322" s="138"/>
      <c r="D322" s="90"/>
      <c r="E322" s="89">
        <v>0</v>
      </c>
      <c r="F322" s="89">
        <v>0</v>
      </c>
      <c r="G322" s="89">
        <f t="shared" si="70"/>
        <v>0</v>
      </c>
      <c r="I322" s="134"/>
      <c r="J322" s="136"/>
      <c r="K322" s="138"/>
      <c r="L322" s="96"/>
      <c r="M322" s="89">
        <v>0</v>
      </c>
      <c r="N322" s="89">
        <v>0</v>
      </c>
      <c r="O322" s="89">
        <f t="shared" si="71"/>
        <v>0</v>
      </c>
    </row>
    <row r="323" spans="1:15" x14ac:dyDescent="0.25">
      <c r="A323" s="134"/>
      <c r="B323" s="136"/>
      <c r="C323" s="138"/>
      <c r="D323" s="90"/>
      <c r="E323" s="89">
        <v>0</v>
      </c>
      <c r="F323" s="89">
        <v>0</v>
      </c>
      <c r="G323" s="89">
        <f t="shared" si="70"/>
        <v>0</v>
      </c>
      <c r="I323" s="134"/>
      <c r="J323" s="136"/>
      <c r="K323" s="138"/>
      <c r="L323" s="96"/>
      <c r="M323" s="89">
        <v>0</v>
      </c>
      <c r="N323" s="89">
        <v>0</v>
      </c>
      <c r="O323" s="89">
        <f t="shared" si="71"/>
        <v>0</v>
      </c>
    </row>
    <row r="324" spans="1:15" x14ac:dyDescent="0.25">
      <c r="A324" s="135"/>
      <c r="B324" s="136"/>
      <c r="C324" s="139"/>
      <c r="D324" s="90"/>
      <c r="E324" s="89">
        <v>0</v>
      </c>
      <c r="F324" s="89">
        <v>0</v>
      </c>
      <c r="G324" s="89">
        <f t="shared" si="70"/>
        <v>0</v>
      </c>
      <c r="I324" s="135"/>
      <c r="J324" s="136"/>
      <c r="K324" s="139"/>
      <c r="L324" s="96"/>
      <c r="M324" s="89">
        <v>0</v>
      </c>
      <c r="N324" s="89">
        <v>0</v>
      </c>
      <c r="O324" s="89">
        <f t="shared" si="71"/>
        <v>0</v>
      </c>
    </row>
    <row r="325" spans="1:15" ht="15.75" thickBot="1" x14ac:dyDescent="0.3">
      <c r="A325" s="91"/>
      <c r="B325" s="91"/>
      <c r="C325" s="91"/>
      <c r="D325" s="91"/>
      <c r="E325" s="91"/>
      <c r="F325" s="91"/>
      <c r="G325" s="92">
        <f>SUM(G317,G324)</f>
        <v>9.0277777777778567E-3</v>
      </c>
      <c r="I325" s="91"/>
      <c r="J325" s="91"/>
      <c r="K325" s="91"/>
      <c r="L325" s="97"/>
      <c r="M325" s="91"/>
      <c r="N325" s="91"/>
      <c r="O325" s="92">
        <f>SUM(O317,O324)</f>
        <v>2.4305555555555469E-2</v>
      </c>
    </row>
    <row r="326" spans="1:15" ht="105" x14ac:dyDescent="0.25">
      <c r="A326" s="133">
        <f>A317+1</f>
        <v>46118</v>
      </c>
      <c r="B326" s="136" t="s">
        <v>113</v>
      </c>
      <c r="C326" s="137" t="s">
        <v>82</v>
      </c>
      <c r="D326" s="88" t="s">
        <v>343</v>
      </c>
      <c r="E326" s="89">
        <v>0.34722222222222221</v>
      </c>
      <c r="F326" s="89">
        <v>0.37083333333333335</v>
      </c>
      <c r="G326" s="89">
        <f>F326-E326</f>
        <v>2.3611111111111138E-2</v>
      </c>
      <c r="I326" s="133">
        <f>I317+1</f>
        <v>46118</v>
      </c>
      <c r="J326" s="136" t="s">
        <v>114</v>
      </c>
      <c r="K326" s="137" t="s">
        <v>83</v>
      </c>
      <c r="L326" s="95" t="s">
        <v>345</v>
      </c>
      <c r="M326" s="89">
        <v>0.93194444444444446</v>
      </c>
      <c r="N326" s="89">
        <v>0.94374999999999998</v>
      </c>
      <c r="O326" s="89">
        <f>N326-M326</f>
        <v>1.1805555555555514E-2</v>
      </c>
    </row>
    <row r="327" spans="1:15" x14ac:dyDescent="0.25">
      <c r="A327" s="134"/>
      <c r="B327" s="136"/>
      <c r="C327" s="138"/>
      <c r="D327" s="88" t="s">
        <v>311</v>
      </c>
      <c r="E327" s="89">
        <v>0</v>
      </c>
      <c r="F327" s="89">
        <v>0</v>
      </c>
      <c r="G327" s="89">
        <f t="shared" ref="G327:G333" si="72">F327-E327</f>
        <v>0</v>
      </c>
      <c r="I327" s="134"/>
      <c r="J327" s="136"/>
      <c r="K327" s="138"/>
      <c r="L327" s="95"/>
      <c r="M327" s="89">
        <v>0</v>
      </c>
      <c r="N327" s="89">
        <v>0</v>
      </c>
      <c r="O327" s="89">
        <f t="shared" ref="O327:O333" si="73">N327-M327</f>
        <v>0</v>
      </c>
    </row>
    <row r="328" spans="1:15" x14ac:dyDescent="0.25">
      <c r="A328" s="134"/>
      <c r="B328" s="136"/>
      <c r="C328" s="138"/>
      <c r="D328" s="90"/>
      <c r="E328" s="89">
        <v>0</v>
      </c>
      <c r="F328" s="89">
        <v>0</v>
      </c>
      <c r="G328" s="89">
        <f t="shared" si="72"/>
        <v>0</v>
      </c>
      <c r="I328" s="134"/>
      <c r="J328" s="136"/>
      <c r="K328" s="138"/>
      <c r="L328" s="96"/>
      <c r="M328" s="89">
        <v>0</v>
      </c>
      <c r="N328" s="89">
        <v>0</v>
      </c>
      <c r="O328" s="89">
        <f t="shared" si="73"/>
        <v>0</v>
      </c>
    </row>
    <row r="329" spans="1:15" x14ac:dyDescent="0.25">
      <c r="A329" s="134"/>
      <c r="B329" s="136"/>
      <c r="C329" s="138"/>
      <c r="D329" s="90"/>
      <c r="E329" s="89">
        <v>0</v>
      </c>
      <c r="F329" s="89">
        <v>0</v>
      </c>
      <c r="G329" s="89">
        <f t="shared" si="72"/>
        <v>0</v>
      </c>
      <c r="I329" s="134"/>
      <c r="J329" s="136"/>
      <c r="K329" s="138"/>
      <c r="L329" s="96"/>
      <c r="M329" s="89">
        <v>0</v>
      </c>
      <c r="N329" s="89">
        <v>0</v>
      </c>
      <c r="O329" s="89">
        <f t="shared" si="73"/>
        <v>0</v>
      </c>
    </row>
    <row r="330" spans="1:15" x14ac:dyDescent="0.25">
      <c r="A330" s="134"/>
      <c r="B330" s="136"/>
      <c r="C330" s="138"/>
      <c r="D330" s="90"/>
      <c r="E330" s="89">
        <v>0</v>
      </c>
      <c r="F330" s="89">
        <v>0</v>
      </c>
      <c r="G330" s="89">
        <f t="shared" si="72"/>
        <v>0</v>
      </c>
      <c r="I330" s="134"/>
      <c r="J330" s="136"/>
      <c r="K330" s="138"/>
      <c r="L330" s="96"/>
      <c r="M330" s="89">
        <v>0</v>
      </c>
      <c r="N330" s="89">
        <v>0</v>
      </c>
      <c r="O330" s="89">
        <f t="shared" si="73"/>
        <v>0</v>
      </c>
    </row>
    <row r="331" spans="1:15" x14ac:dyDescent="0.25">
      <c r="A331" s="134"/>
      <c r="B331" s="136"/>
      <c r="C331" s="138"/>
      <c r="D331" s="90"/>
      <c r="E331" s="89">
        <v>0</v>
      </c>
      <c r="F331" s="89">
        <v>0</v>
      </c>
      <c r="G331" s="89">
        <f t="shared" si="72"/>
        <v>0</v>
      </c>
      <c r="I331" s="134"/>
      <c r="J331" s="136"/>
      <c r="K331" s="138"/>
      <c r="L331" s="96"/>
      <c r="M331" s="89">
        <v>0</v>
      </c>
      <c r="N331" s="89">
        <v>0</v>
      </c>
      <c r="O331" s="89">
        <f t="shared" si="73"/>
        <v>0</v>
      </c>
    </row>
    <row r="332" spans="1:15" x14ac:dyDescent="0.25">
      <c r="A332" s="134"/>
      <c r="B332" s="136"/>
      <c r="C332" s="138"/>
      <c r="D332" s="90"/>
      <c r="E332" s="89">
        <v>0</v>
      </c>
      <c r="F332" s="89">
        <v>0</v>
      </c>
      <c r="G332" s="89">
        <f t="shared" si="72"/>
        <v>0</v>
      </c>
      <c r="I332" s="134"/>
      <c r="J332" s="136"/>
      <c r="K332" s="138"/>
      <c r="L332" s="96"/>
      <c r="M332" s="89">
        <v>0</v>
      </c>
      <c r="N332" s="89">
        <v>0</v>
      </c>
      <c r="O332" s="89">
        <f t="shared" si="73"/>
        <v>0</v>
      </c>
    </row>
    <row r="333" spans="1:15" x14ac:dyDescent="0.25">
      <c r="A333" s="135"/>
      <c r="B333" s="136"/>
      <c r="C333" s="139"/>
      <c r="D333" s="90"/>
      <c r="E333" s="89">
        <v>0</v>
      </c>
      <c r="F333" s="89">
        <v>0</v>
      </c>
      <c r="G333" s="89">
        <f t="shared" si="72"/>
        <v>0</v>
      </c>
      <c r="I333" s="135"/>
      <c r="J333" s="136"/>
      <c r="K333" s="139"/>
      <c r="L333" s="96"/>
      <c r="M333" s="89">
        <v>0</v>
      </c>
      <c r="N333" s="89">
        <v>0</v>
      </c>
      <c r="O333" s="89">
        <f t="shared" si="73"/>
        <v>0</v>
      </c>
    </row>
    <row r="334" spans="1:15" ht="15.75" thickBot="1" x14ac:dyDescent="0.3">
      <c r="A334" s="91"/>
      <c r="B334" s="91"/>
      <c r="C334" s="91"/>
      <c r="D334" s="91"/>
      <c r="E334" s="91"/>
      <c r="F334" s="91"/>
      <c r="G334" s="92">
        <f>SUM(G326,G333)</f>
        <v>2.3611111111111138E-2</v>
      </c>
      <c r="I334" s="91"/>
      <c r="J334" s="91"/>
      <c r="K334" s="91"/>
      <c r="L334" s="97"/>
      <c r="M334" s="91"/>
      <c r="N334" s="91"/>
      <c r="O334" s="92">
        <f>SUM(O326,O333)</f>
        <v>1.1805555555555514E-2</v>
      </c>
    </row>
    <row r="335" spans="1:15" ht="75" x14ac:dyDescent="0.25">
      <c r="A335" s="133">
        <f>A326+1</f>
        <v>46119</v>
      </c>
      <c r="B335" s="136" t="s">
        <v>75</v>
      </c>
      <c r="C335" s="137" t="s">
        <v>82</v>
      </c>
      <c r="D335" s="88" t="s">
        <v>347</v>
      </c>
      <c r="E335" s="89">
        <v>0.3611111111111111</v>
      </c>
      <c r="F335" s="89">
        <v>0.45833333333333331</v>
      </c>
      <c r="G335" s="89">
        <f>F335-E335</f>
        <v>9.722222222222221E-2</v>
      </c>
      <c r="I335" s="133">
        <f>I326+1</f>
        <v>46119</v>
      </c>
      <c r="J335" s="136" t="s">
        <v>113</v>
      </c>
      <c r="K335" s="137" t="s">
        <v>83</v>
      </c>
      <c r="L335" s="95" t="s">
        <v>300</v>
      </c>
      <c r="M335" s="89">
        <v>0.81944444444444442</v>
      </c>
      <c r="N335" s="89">
        <v>0</v>
      </c>
      <c r="O335" s="89">
        <f>N335-M335</f>
        <v>-0.81944444444444442</v>
      </c>
    </row>
    <row r="336" spans="1:15" ht="30" x14ac:dyDescent="0.25">
      <c r="A336" s="134"/>
      <c r="B336" s="136"/>
      <c r="C336" s="138"/>
      <c r="D336" s="88" t="s">
        <v>351</v>
      </c>
      <c r="E336" s="89">
        <v>0.55555555555555558</v>
      </c>
      <c r="F336" s="89">
        <v>0.59375</v>
      </c>
      <c r="G336" s="89">
        <f t="shared" ref="G336:G342" si="74">F336-E336</f>
        <v>3.819444444444442E-2</v>
      </c>
      <c r="I336" s="134"/>
      <c r="J336" s="136"/>
      <c r="K336" s="138"/>
      <c r="L336" s="95" t="s">
        <v>353</v>
      </c>
      <c r="M336" s="89">
        <v>0.14722222222222223</v>
      </c>
      <c r="N336" s="89">
        <v>0.15833333333333333</v>
      </c>
      <c r="O336" s="89">
        <f t="shared" ref="O336:O342" si="75">N336-M336</f>
        <v>1.1111111111111099E-2</v>
      </c>
    </row>
    <row r="337" spans="1:15" x14ac:dyDescent="0.25">
      <c r="A337" s="134"/>
      <c r="B337" s="136"/>
      <c r="C337" s="138"/>
      <c r="D337" s="90"/>
      <c r="E337" s="89">
        <v>0</v>
      </c>
      <c r="F337" s="89">
        <v>0</v>
      </c>
      <c r="G337" s="89">
        <f t="shared" si="74"/>
        <v>0</v>
      </c>
      <c r="I337" s="134"/>
      <c r="J337" s="136"/>
      <c r="K337" s="138"/>
      <c r="L337" s="96" t="s">
        <v>354</v>
      </c>
      <c r="M337" s="89">
        <v>0</v>
      </c>
      <c r="N337" s="89">
        <v>0</v>
      </c>
      <c r="O337" s="89">
        <f t="shared" si="75"/>
        <v>0</v>
      </c>
    </row>
    <row r="338" spans="1:15" x14ac:dyDescent="0.25">
      <c r="A338" s="134"/>
      <c r="B338" s="136"/>
      <c r="C338" s="138"/>
      <c r="D338" s="90"/>
      <c r="E338" s="89">
        <v>0</v>
      </c>
      <c r="F338" s="89">
        <v>0</v>
      </c>
      <c r="G338" s="89">
        <f t="shared" si="74"/>
        <v>0</v>
      </c>
      <c r="I338" s="134"/>
      <c r="J338" s="136"/>
      <c r="K338" s="138"/>
      <c r="L338" s="96" t="s">
        <v>355</v>
      </c>
      <c r="M338" s="89">
        <v>0</v>
      </c>
      <c r="N338" s="89">
        <v>0</v>
      </c>
      <c r="O338" s="89">
        <f t="shared" si="75"/>
        <v>0</v>
      </c>
    </row>
    <row r="339" spans="1:15" x14ac:dyDescent="0.25">
      <c r="A339" s="134"/>
      <c r="B339" s="136"/>
      <c r="C339" s="138"/>
      <c r="D339" s="90"/>
      <c r="E339" s="89">
        <v>0</v>
      </c>
      <c r="F339" s="89">
        <v>0</v>
      </c>
      <c r="G339" s="89">
        <f t="shared" si="74"/>
        <v>0</v>
      </c>
      <c r="I339" s="134"/>
      <c r="J339" s="136"/>
      <c r="K339" s="138"/>
      <c r="L339" s="96"/>
      <c r="M339" s="89">
        <v>0</v>
      </c>
      <c r="N339" s="89">
        <v>0</v>
      </c>
      <c r="O339" s="89">
        <f t="shared" si="75"/>
        <v>0</v>
      </c>
    </row>
    <row r="340" spans="1:15" x14ac:dyDescent="0.25">
      <c r="A340" s="134"/>
      <c r="B340" s="136"/>
      <c r="C340" s="138"/>
      <c r="D340" s="90"/>
      <c r="E340" s="89">
        <v>0</v>
      </c>
      <c r="F340" s="89">
        <v>0</v>
      </c>
      <c r="G340" s="89">
        <f t="shared" si="74"/>
        <v>0</v>
      </c>
      <c r="I340" s="134"/>
      <c r="J340" s="136"/>
      <c r="K340" s="138"/>
      <c r="L340" s="96"/>
      <c r="M340" s="89">
        <v>0</v>
      </c>
      <c r="N340" s="89">
        <v>0</v>
      </c>
      <c r="O340" s="89">
        <f t="shared" si="75"/>
        <v>0</v>
      </c>
    </row>
    <row r="341" spans="1:15" x14ac:dyDescent="0.25">
      <c r="A341" s="134"/>
      <c r="B341" s="136"/>
      <c r="C341" s="138"/>
      <c r="D341" s="90"/>
      <c r="E341" s="89">
        <v>0</v>
      </c>
      <c r="F341" s="89">
        <v>0</v>
      </c>
      <c r="G341" s="89">
        <f t="shared" si="74"/>
        <v>0</v>
      </c>
      <c r="I341" s="134"/>
      <c r="J341" s="136"/>
      <c r="K341" s="138"/>
      <c r="L341" s="96"/>
      <c r="M341" s="89">
        <v>0</v>
      </c>
      <c r="N341" s="89">
        <v>0</v>
      </c>
      <c r="O341" s="89">
        <f t="shared" si="75"/>
        <v>0</v>
      </c>
    </row>
    <row r="342" spans="1:15" x14ac:dyDescent="0.25">
      <c r="A342" s="135"/>
      <c r="B342" s="136"/>
      <c r="C342" s="139"/>
      <c r="D342" s="90"/>
      <c r="E342" s="89">
        <v>0</v>
      </c>
      <c r="F342" s="89">
        <v>0</v>
      </c>
      <c r="G342" s="89">
        <f t="shared" si="74"/>
        <v>0</v>
      </c>
      <c r="I342" s="135"/>
      <c r="J342" s="136"/>
      <c r="K342" s="139"/>
      <c r="L342" s="96"/>
      <c r="M342" s="89">
        <v>0</v>
      </c>
      <c r="N342" s="89">
        <v>0</v>
      </c>
      <c r="O342" s="89">
        <f t="shared" si="75"/>
        <v>0</v>
      </c>
    </row>
    <row r="343" spans="1:15" ht="15.75" thickBot="1" x14ac:dyDescent="0.3">
      <c r="A343" s="91"/>
      <c r="B343" s="91"/>
      <c r="C343" s="91"/>
      <c r="D343" s="91"/>
      <c r="E343" s="91"/>
      <c r="F343" s="91"/>
      <c r="G343" s="92">
        <f>SUM(G335,G342)</f>
        <v>9.722222222222221E-2</v>
      </c>
      <c r="I343" s="91"/>
      <c r="J343" s="91"/>
      <c r="K343" s="91"/>
      <c r="L343" s="97"/>
      <c r="M343" s="91"/>
      <c r="N343" s="91"/>
      <c r="O343" s="92">
        <f>SUM(O335,O342)</f>
        <v>-0.81944444444444442</v>
      </c>
    </row>
    <row r="344" spans="1:15" x14ac:dyDescent="0.25">
      <c r="A344" s="133">
        <f>A335+1</f>
        <v>46120</v>
      </c>
      <c r="B344" s="136" t="s">
        <v>77</v>
      </c>
      <c r="C344" s="137" t="s">
        <v>82</v>
      </c>
      <c r="D344" s="88" t="s">
        <v>357</v>
      </c>
      <c r="E344" s="89">
        <v>0.5625</v>
      </c>
      <c r="F344" s="89">
        <v>0.57638888888888884</v>
      </c>
      <c r="G344" s="89">
        <f>F344-E344</f>
        <v>1.388888888888884E-2</v>
      </c>
      <c r="I344" s="133">
        <f>I335+1</f>
        <v>46120</v>
      </c>
      <c r="J344" s="136" t="s">
        <v>75</v>
      </c>
      <c r="K344" s="137" t="s">
        <v>83</v>
      </c>
      <c r="L344" s="95" t="s">
        <v>365</v>
      </c>
      <c r="M344" s="89">
        <v>0.79166666666666663</v>
      </c>
      <c r="N344" s="89">
        <v>0.80555555555555558</v>
      </c>
      <c r="O344" s="89">
        <f>N344-M344</f>
        <v>1.3888888888888951E-2</v>
      </c>
    </row>
    <row r="345" spans="1:15" x14ac:dyDescent="0.25">
      <c r="A345" s="134"/>
      <c r="B345" s="136"/>
      <c r="C345" s="138"/>
      <c r="D345" s="88" t="s">
        <v>358</v>
      </c>
      <c r="E345" s="89">
        <v>0.56944444444444442</v>
      </c>
      <c r="F345" s="89">
        <v>0.58333333333333337</v>
      </c>
      <c r="G345" s="89">
        <f t="shared" ref="G345:G351" si="76">F345-E345</f>
        <v>1.3888888888888951E-2</v>
      </c>
      <c r="I345" s="134"/>
      <c r="J345" s="136"/>
      <c r="K345" s="138"/>
      <c r="L345" s="95" t="s">
        <v>366</v>
      </c>
      <c r="M345" s="89">
        <v>0.12708333333333333</v>
      </c>
      <c r="N345" s="89">
        <v>0.1388888888888889</v>
      </c>
      <c r="O345" s="89">
        <f t="shared" ref="O345:O351" si="77">N345-M345</f>
        <v>1.1805555555555569E-2</v>
      </c>
    </row>
    <row r="346" spans="1:15" x14ac:dyDescent="0.25">
      <c r="A346" s="134"/>
      <c r="B346" s="136"/>
      <c r="C346" s="138"/>
      <c r="D346" s="90" t="s">
        <v>359</v>
      </c>
      <c r="E346" s="89">
        <v>0.56944444444444442</v>
      </c>
      <c r="F346" s="89">
        <v>0.58333333333333337</v>
      </c>
      <c r="G346" s="89">
        <f t="shared" si="76"/>
        <v>1.3888888888888951E-2</v>
      </c>
      <c r="I346" s="134"/>
      <c r="J346" s="136"/>
      <c r="K346" s="138"/>
      <c r="L346" s="96" t="s">
        <v>367</v>
      </c>
      <c r="M346" s="89">
        <v>0</v>
      </c>
      <c r="N346" s="89">
        <v>0</v>
      </c>
      <c r="O346" s="89"/>
    </row>
    <row r="347" spans="1:15" x14ac:dyDescent="0.25">
      <c r="A347" s="134"/>
      <c r="B347" s="136"/>
      <c r="C347" s="138"/>
      <c r="D347" s="90" t="s">
        <v>360</v>
      </c>
      <c r="E347" s="89">
        <v>0.58333333333333337</v>
      </c>
      <c r="F347" s="89">
        <v>0.59375</v>
      </c>
      <c r="G347" s="89">
        <f t="shared" si="76"/>
        <v>1.041666666666663E-2</v>
      </c>
      <c r="I347" s="134"/>
      <c r="J347" s="136"/>
      <c r="K347" s="138"/>
      <c r="L347" s="96"/>
      <c r="M347" s="89">
        <v>0</v>
      </c>
      <c r="N347" s="89">
        <v>0</v>
      </c>
      <c r="O347" s="89">
        <f t="shared" si="77"/>
        <v>0</v>
      </c>
    </row>
    <row r="348" spans="1:15" x14ac:dyDescent="0.25">
      <c r="A348" s="134"/>
      <c r="B348" s="136"/>
      <c r="C348" s="138"/>
      <c r="D348" s="90" t="s">
        <v>361</v>
      </c>
      <c r="E348" s="89">
        <v>0</v>
      </c>
      <c r="F348" s="89">
        <v>0</v>
      </c>
      <c r="G348" s="89">
        <f t="shared" si="76"/>
        <v>0</v>
      </c>
      <c r="I348" s="134"/>
      <c r="J348" s="136"/>
      <c r="K348" s="138"/>
      <c r="L348" s="96"/>
      <c r="M348" s="89">
        <v>0</v>
      </c>
      <c r="N348" s="89">
        <v>0</v>
      </c>
      <c r="O348" s="89">
        <f t="shared" si="77"/>
        <v>0</v>
      </c>
    </row>
    <row r="349" spans="1:15" x14ac:dyDescent="0.25">
      <c r="A349" s="134"/>
      <c r="B349" s="136"/>
      <c r="C349" s="138"/>
      <c r="D349" s="90" t="s">
        <v>362</v>
      </c>
      <c r="E349" s="89">
        <v>0</v>
      </c>
      <c r="F349" s="89">
        <v>0</v>
      </c>
      <c r="G349" s="89">
        <f t="shared" si="76"/>
        <v>0</v>
      </c>
      <c r="I349" s="134"/>
      <c r="J349" s="136"/>
      <c r="K349" s="138"/>
      <c r="L349" s="96"/>
      <c r="M349" s="89">
        <v>0</v>
      </c>
      <c r="N349" s="89">
        <v>0</v>
      </c>
      <c r="O349" s="89">
        <f t="shared" si="77"/>
        <v>0</v>
      </c>
    </row>
    <row r="350" spans="1:15" x14ac:dyDescent="0.25">
      <c r="A350" s="134"/>
      <c r="B350" s="136"/>
      <c r="C350" s="138"/>
      <c r="D350" s="90" t="s">
        <v>363</v>
      </c>
      <c r="E350" s="89">
        <v>0</v>
      </c>
      <c r="F350" s="89">
        <v>0</v>
      </c>
      <c r="G350" s="89">
        <f t="shared" si="76"/>
        <v>0</v>
      </c>
      <c r="I350" s="134"/>
      <c r="J350" s="136"/>
      <c r="K350" s="138"/>
      <c r="L350" s="96"/>
      <c r="M350" s="89">
        <v>0</v>
      </c>
      <c r="N350" s="89">
        <v>0</v>
      </c>
      <c r="O350" s="89">
        <f t="shared" si="77"/>
        <v>0</v>
      </c>
    </row>
    <row r="351" spans="1:15" x14ac:dyDescent="0.25">
      <c r="A351" s="135"/>
      <c r="B351" s="136"/>
      <c r="C351" s="139"/>
      <c r="D351" s="90"/>
      <c r="E351" s="89">
        <v>0</v>
      </c>
      <c r="F351" s="89">
        <v>0</v>
      </c>
      <c r="G351" s="89">
        <f t="shared" si="76"/>
        <v>0</v>
      </c>
      <c r="I351" s="135"/>
      <c r="J351" s="136"/>
      <c r="K351" s="139"/>
      <c r="L351" s="96"/>
      <c r="M351" s="89">
        <v>0</v>
      </c>
      <c r="N351" s="89">
        <v>0</v>
      </c>
      <c r="O351" s="89">
        <f t="shared" si="77"/>
        <v>0</v>
      </c>
    </row>
    <row r="352" spans="1:15" ht="15.75" thickBot="1" x14ac:dyDescent="0.3">
      <c r="A352" s="91"/>
      <c r="B352" s="91"/>
      <c r="C352" s="91"/>
      <c r="D352" s="91"/>
      <c r="E352" s="91"/>
      <c r="F352" s="91"/>
      <c r="G352" s="92">
        <f>SUM(G344,G351)</f>
        <v>1.388888888888884E-2</v>
      </c>
      <c r="I352" s="91"/>
      <c r="J352" s="91"/>
      <c r="K352" s="91"/>
      <c r="L352" s="97"/>
      <c r="M352" s="91"/>
      <c r="N352" s="91"/>
      <c r="O352" s="92">
        <f>SUM(O344,O351)</f>
        <v>1.3888888888888951E-2</v>
      </c>
    </row>
    <row r="353" spans="1:15" ht="90" x14ac:dyDescent="0.25">
      <c r="A353" s="133">
        <f>A344+1</f>
        <v>46121</v>
      </c>
      <c r="B353" s="136" t="s">
        <v>114</v>
      </c>
      <c r="C353" s="137" t="s">
        <v>82</v>
      </c>
      <c r="D353" s="88" t="s">
        <v>369</v>
      </c>
      <c r="E353" s="89">
        <v>0.42708333333333331</v>
      </c>
      <c r="F353" s="89">
        <v>0.4826388888888889</v>
      </c>
      <c r="G353" s="89">
        <f>F353-E353</f>
        <v>5.555555555555558E-2</v>
      </c>
      <c r="I353" s="133">
        <f>I344+1</f>
        <v>46121</v>
      </c>
      <c r="J353" s="136" t="s">
        <v>77</v>
      </c>
      <c r="K353" s="137" t="s">
        <v>83</v>
      </c>
      <c r="L353" s="95"/>
      <c r="M353" s="89">
        <v>0</v>
      </c>
      <c r="N353" s="89">
        <v>0</v>
      </c>
      <c r="O353" s="89">
        <f>N353-M353</f>
        <v>0</v>
      </c>
    </row>
    <row r="354" spans="1:15" x14ac:dyDescent="0.25">
      <c r="A354" s="134"/>
      <c r="B354" s="136"/>
      <c r="C354" s="138"/>
      <c r="D354" s="88"/>
      <c r="E354" s="89">
        <v>0</v>
      </c>
      <c r="F354" s="89">
        <v>0</v>
      </c>
      <c r="G354" s="89">
        <f t="shared" ref="G354:G360" si="78">F354-E354</f>
        <v>0</v>
      </c>
      <c r="I354" s="134"/>
      <c r="J354" s="136"/>
      <c r="K354" s="138"/>
      <c r="L354" s="95" t="s">
        <v>371</v>
      </c>
      <c r="M354" s="89">
        <v>0.79861111111111116</v>
      </c>
      <c r="N354" s="89">
        <v>0.81944444444444442</v>
      </c>
      <c r="O354" s="89">
        <f t="shared" ref="O354:O360" si="79">N354-M354</f>
        <v>2.0833333333333259E-2</v>
      </c>
    </row>
    <row r="355" spans="1:15" x14ac:dyDescent="0.25">
      <c r="A355" s="134"/>
      <c r="B355" s="136"/>
      <c r="C355" s="138"/>
      <c r="D355" s="90"/>
      <c r="E355" s="89">
        <v>0</v>
      </c>
      <c r="F355" s="89">
        <v>0</v>
      </c>
      <c r="G355" s="89">
        <f t="shared" si="78"/>
        <v>0</v>
      </c>
      <c r="I355" s="134"/>
      <c r="J355" s="136"/>
      <c r="K355" s="138"/>
      <c r="L355" s="96" t="s">
        <v>372</v>
      </c>
      <c r="M355" s="89">
        <v>0</v>
      </c>
      <c r="N355" s="89">
        <v>0</v>
      </c>
      <c r="O355" s="89">
        <f t="shared" si="79"/>
        <v>0</v>
      </c>
    </row>
    <row r="356" spans="1:15" x14ac:dyDescent="0.25">
      <c r="A356" s="134"/>
      <c r="B356" s="136"/>
      <c r="C356" s="138"/>
      <c r="D356" s="90"/>
      <c r="E356" s="89">
        <v>0</v>
      </c>
      <c r="F356" s="89">
        <v>0</v>
      </c>
      <c r="G356" s="89">
        <f t="shared" si="78"/>
        <v>0</v>
      </c>
      <c r="I356" s="134"/>
      <c r="J356" s="136"/>
      <c r="K356" s="138"/>
      <c r="L356" s="96" t="s">
        <v>373</v>
      </c>
      <c r="M356" s="89">
        <v>0</v>
      </c>
      <c r="N356" s="89">
        <v>0</v>
      </c>
      <c r="O356" s="89">
        <f t="shared" si="79"/>
        <v>0</v>
      </c>
    </row>
    <row r="357" spans="1:15" x14ac:dyDescent="0.25">
      <c r="A357" s="134"/>
      <c r="B357" s="136"/>
      <c r="C357" s="138"/>
      <c r="D357" s="90"/>
      <c r="E357" s="89">
        <v>0</v>
      </c>
      <c r="F357" s="89">
        <v>0</v>
      </c>
      <c r="G357" s="89">
        <f t="shared" si="78"/>
        <v>0</v>
      </c>
      <c r="I357" s="134"/>
      <c r="J357" s="136"/>
      <c r="K357" s="138"/>
      <c r="L357" s="96" t="s">
        <v>374</v>
      </c>
      <c r="M357" s="89">
        <v>0</v>
      </c>
      <c r="N357" s="89">
        <v>0</v>
      </c>
      <c r="O357" s="89">
        <f t="shared" si="79"/>
        <v>0</v>
      </c>
    </row>
    <row r="358" spans="1:15" x14ac:dyDescent="0.25">
      <c r="A358" s="134"/>
      <c r="B358" s="136"/>
      <c r="C358" s="138"/>
      <c r="D358" s="90"/>
      <c r="E358" s="89">
        <v>0</v>
      </c>
      <c r="F358" s="89">
        <v>0</v>
      </c>
      <c r="G358" s="89">
        <f t="shared" si="78"/>
        <v>0</v>
      </c>
      <c r="I358" s="134"/>
      <c r="J358" s="136"/>
      <c r="K358" s="138"/>
      <c r="L358" s="96" t="s">
        <v>375</v>
      </c>
      <c r="M358" s="89">
        <v>0</v>
      </c>
      <c r="N358" s="89">
        <v>0</v>
      </c>
      <c r="O358" s="89">
        <f t="shared" si="79"/>
        <v>0</v>
      </c>
    </row>
    <row r="359" spans="1:15" x14ac:dyDescent="0.25">
      <c r="A359" s="134"/>
      <c r="B359" s="136"/>
      <c r="C359" s="138"/>
      <c r="D359" s="90"/>
      <c r="E359" s="89">
        <v>0</v>
      </c>
      <c r="F359" s="89">
        <v>0</v>
      </c>
      <c r="G359" s="89">
        <f t="shared" si="78"/>
        <v>0</v>
      </c>
      <c r="I359" s="134"/>
      <c r="J359" s="136"/>
      <c r="K359" s="138"/>
      <c r="L359" s="96"/>
      <c r="M359" s="89">
        <v>0</v>
      </c>
      <c r="N359" s="89">
        <v>0</v>
      </c>
      <c r="O359" s="89">
        <f t="shared" si="79"/>
        <v>0</v>
      </c>
    </row>
    <row r="360" spans="1:15" x14ac:dyDescent="0.25">
      <c r="A360" s="135"/>
      <c r="B360" s="136"/>
      <c r="C360" s="139"/>
      <c r="D360" s="90"/>
      <c r="E360" s="89">
        <v>0</v>
      </c>
      <c r="F360" s="89">
        <v>0</v>
      </c>
      <c r="G360" s="89">
        <f t="shared" si="78"/>
        <v>0</v>
      </c>
      <c r="I360" s="135"/>
      <c r="J360" s="136"/>
      <c r="K360" s="139"/>
      <c r="L360" s="96"/>
      <c r="M360" s="89">
        <v>0</v>
      </c>
      <c r="N360" s="89">
        <v>0</v>
      </c>
      <c r="O360" s="89">
        <f t="shared" si="79"/>
        <v>0</v>
      </c>
    </row>
    <row r="361" spans="1:15" ht="15.75" thickBot="1" x14ac:dyDescent="0.3">
      <c r="A361" s="91"/>
      <c r="B361" s="91"/>
      <c r="C361" s="91"/>
      <c r="D361" s="91"/>
      <c r="E361" s="91"/>
      <c r="F361" s="91"/>
      <c r="G361" s="92">
        <f>SUM(G353,G360)</f>
        <v>5.555555555555558E-2</v>
      </c>
      <c r="I361" s="91"/>
      <c r="J361" s="91"/>
      <c r="K361" s="91"/>
      <c r="L361" s="97"/>
      <c r="M361" s="91"/>
      <c r="N361" s="91"/>
      <c r="O361" s="92">
        <f>SUM(O353,O360)</f>
        <v>0</v>
      </c>
    </row>
    <row r="362" spans="1:15" ht="195" x14ac:dyDescent="0.25">
      <c r="A362" s="133">
        <f>A353+1</f>
        <v>46122</v>
      </c>
      <c r="B362" s="136" t="s">
        <v>113</v>
      </c>
      <c r="C362" s="137" t="s">
        <v>82</v>
      </c>
      <c r="D362" s="88" t="s">
        <v>377</v>
      </c>
      <c r="E362" s="89">
        <v>0.40833333333333333</v>
      </c>
      <c r="F362" s="89">
        <v>0</v>
      </c>
      <c r="G362" s="89">
        <f>F362-E362</f>
        <v>-0.40833333333333333</v>
      </c>
      <c r="I362" s="133">
        <f>I353+1</f>
        <v>46122</v>
      </c>
      <c r="J362" s="136" t="s">
        <v>114</v>
      </c>
      <c r="K362" s="137" t="s">
        <v>83</v>
      </c>
      <c r="L362" s="95" t="s">
        <v>378</v>
      </c>
      <c r="M362" s="89">
        <v>0</v>
      </c>
      <c r="N362" s="89">
        <v>0</v>
      </c>
      <c r="O362" s="89">
        <f>N362-M362</f>
        <v>0</v>
      </c>
    </row>
    <row r="363" spans="1:15" x14ac:dyDescent="0.25">
      <c r="A363" s="134"/>
      <c r="B363" s="136"/>
      <c r="C363" s="138"/>
      <c r="D363" s="88"/>
      <c r="E363" s="89">
        <v>0</v>
      </c>
      <c r="F363" s="89">
        <v>0</v>
      </c>
      <c r="G363" s="89">
        <f t="shared" ref="G363:G369" si="80">F363-E363</f>
        <v>0</v>
      </c>
      <c r="I363" s="134"/>
      <c r="J363" s="136"/>
      <c r="K363" s="138"/>
      <c r="L363" s="95"/>
      <c r="M363" s="89">
        <v>0</v>
      </c>
      <c r="N363" s="89">
        <v>0</v>
      </c>
      <c r="O363" s="89">
        <f t="shared" ref="O363:O369" si="81">N363-M363</f>
        <v>0</v>
      </c>
    </row>
    <row r="364" spans="1:15" x14ac:dyDescent="0.25">
      <c r="A364" s="134"/>
      <c r="B364" s="136"/>
      <c r="C364" s="138"/>
      <c r="D364" s="90"/>
      <c r="E364" s="89">
        <v>0</v>
      </c>
      <c r="F364" s="89">
        <v>0</v>
      </c>
      <c r="G364" s="89">
        <f t="shared" si="80"/>
        <v>0</v>
      </c>
      <c r="I364" s="134"/>
      <c r="J364" s="136"/>
      <c r="K364" s="138"/>
      <c r="L364" s="96"/>
      <c r="M364" s="89">
        <v>0</v>
      </c>
      <c r="N364" s="89">
        <v>0</v>
      </c>
      <c r="O364" s="89">
        <f t="shared" si="81"/>
        <v>0</v>
      </c>
    </row>
    <row r="365" spans="1:15" x14ac:dyDescent="0.25">
      <c r="A365" s="134"/>
      <c r="B365" s="136"/>
      <c r="C365" s="138"/>
      <c r="D365" s="90"/>
      <c r="E365" s="89">
        <v>0</v>
      </c>
      <c r="F365" s="89">
        <v>0</v>
      </c>
      <c r="G365" s="89">
        <f t="shared" si="80"/>
        <v>0</v>
      </c>
      <c r="I365" s="134"/>
      <c r="J365" s="136"/>
      <c r="K365" s="138"/>
      <c r="L365" s="96"/>
      <c r="M365" s="89">
        <v>0</v>
      </c>
      <c r="N365" s="89">
        <v>0</v>
      </c>
      <c r="O365" s="89">
        <f t="shared" si="81"/>
        <v>0</v>
      </c>
    </row>
    <row r="366" spans="1:15" x14ac:dyDescent="0.25">
      <c r="A366" s="134"/>
      <c r="B366" s="136"/>
      <c r="C366" s="138"/>
      <c r="D366" s="90"/>
      <c r="E366" s="89">
        <v>0</v>
      </c>
      <c r="F366" s="89">
        <v>0</v>
      </c>
      <c r="G366" s="89">
        <f t="shared" si="80"/>
        <v>0</v>
      </c>
      <c r="I366" s="134"/>
      <c r="J366" s="136"/>
      <c r="K366" s="138"/>
      <c r="L366" s="96"/>
      <c r="M366" s="89">
        <v>0</v>
      </c>
      <c r="N366" s="89">
        <v>0</v>
      </c>
      <c r="O366" s="89">
        <f t="shared" si="81"/>
        <v>0</v>
      </c>
    </row>
    <row r="367" spans="1:15" x14ac:dyDescent="0.25">
      <c r="A367" s="134"/>
      <c r="B367" s="136"/>
      <c r="C367" s="138"/>
      <c r="D367" s="90"/>
      <c r="E367" s="89">
        <v>0</v>
      </c>
      <c r="F367" s="89">
        <v>0</v>
      </c>
      <c r="G367" s="89">
        <f t="shared" si="80"/>
        <v>0</v>
      </c>
      <c r="I367" s="134"/>
      <c r="J367" s="136"/>
      <c r="K367" s="138"/>
      <c r="L367" s="96"/>
      <c r="M367" s="89">
        <v>0</v>
      </c>
      <c r="N367" s="89">
        <v>0</v>
      </c>
      <c r="O367" s="89">
        <f t="shared" si="81"/>
        <v>0</v>
      </c>
    </row>
    <row r="368" spans="1:15" x14ac:dyDescent="0.25">
      <c r="A368" s="134"/>
      <c r="B368" s="136"/>
      <c r="C368" s="138"/>
      <c r="D368" s="90"/>
      <c r="E368" s="89">
        <v>0</v>
      </c>
      <c r="F368" s="89">
        <v>0</v>
      </c>
      <c r="G368" s="89">
        <f t="shared" si="80"/>
        <v>0</v>
      </c>
      <c r="I368" s="134"/>
      <c r="J368" s="136"/>
      <c r="K368" s="138"/>
      <c r="L368" s="96"/>
      <c r="M368" s="89">
        <v>0</v>
      </c>
      <c r="N368" s="89">
        <v>0</v>
      </c>
      <c r="O368" s="89">
        <f t="shared" si="81"/>
        <v>0</v>
      </c>
    </row>
    <row r="369" spans="1:15" x14ac:dyDescent="0.25">
      <c r="A369" s="135"/>
      <c r="B369" s="136"/>
      <c r="C369" s="139"/>
      <c r="D369" s="90"/>
      <c r="E369" s="89">
        <v>0</v>
      </c>
      <c r="F369" s="89">
        <v>0</v>
      </c>
      <c r="G369" s="89">
        <f t="shared" si="80"/>
        <v>0</v>
      </c>
      <c r="I369" s="135"/>
      <c r="J369" s="136"/>
      <c r="K369" s="139"/>
      <c r="L369" s="96"/>
      <c r="M369" s="89">
        <v>0</v>
      </c>
      <c r="N369" s="89">
        <v>0</v>
      </c>
      <c r="O369" s="89">
        <f t="shared" si="81"/>
        <v>0</v>
      </c>
    </row>
    <row r="370" spans="1:15" ht="15.75" thickBot="1" x14ac:dyDescent="0.3">
      <c r="A370" s="91"/>
      <c r="B370" s="91"/>
      <c r="C370" s="91"/>
      <c r="D370" s="91"/>
      <c r="E370" s="91"/>
      <c r="F370" s="91"/>
      <c r="G370" s="92">
        <f>SUM(G362,G369)</f>
        <v>-0.40833333333333333</v>
      </c>
      <c r="I370" s="91"/>
      <c r="J370" s="91"/>
      <c r="K370" s="91"/>
      <c r="L370" s="97"/>
      <c r="M370" s="91"/>
      <c r="N370" s="91"/>
      <c r="O370" s="92">
        <f>SUM(O362,O369)</f>
        <v>0</v>
      </c>
    </row>
    <row r="371" spans="1:15" x14ac:dyDescent="0.25">
      <c r="A371" s="133">
        <f>A362+1</f>
        <v>46123</v>
      </c>
      <c r="B371" s="136" t="s">
        <v>75</v>
      </c>
      <c r="C371" s="137" t="s">
        <v>82</v>
      </c>
      <c r="D371" s="88" t="s">
        <v>379</v>
      </c>
      <c r="E371" s="89">
        <v>0.33333333333333331</v>
      </c>
      <c r="F371" s="89">
        <v>0.79166666666666663</v>
      </c>
      <c r="G371" s="89">
        <f>F371-E371</f>
        <v>0.45833333333333331</v>
      </c>
      <c r="I371" s="133">
        <f>I362+1</f>
        <v>46123</v>
      </c>
      <c r="J371" s="136" t="s">
        <v>113</v>
      </c>
      <c r="K371" s="137" t="s">
        <v>83</v>
      </c>
      <c r="L371" s="95"/>
      <c r="M371" s="89">
        <v>0</v>
      </c>
      <c r="N371" s="89">
        <v>0</v>
      </c>
      <c r="O371" s="89">
        <f>N371-M371</f>
        <v>0</v>
      </c>
    </row>
    <row r="372" spans="1:15" x14ac:dyDescent="0.25">
      <c r="A372" s="134"/>
      <c r="B372" s="136"/>
      <c r="C372" s="138"/>
      <c r="D372" s="88" t="s">
        <v>380</v>
      </c>
      <c r="E372" s="89">
        <v>0</v>
      </c>
      <c r="F372" s="89">
        <v>0</v>
      </c>
      <c r="G372" s="89">
        <f t="shared" ref="G372:G378" si="82">F372-E372</f>
        <v>0</v>
      </c>
      <c r="I372" s="134"/>
      <c r="J372" s="136"/>
      <c r="K372" s="138"/>
      <c r="M372" s="89">
        <v>0</v>
      </c>
      <c r="N372" s="89">
        <v>0</v>
      </c>
      <c r="O372" s="89">
        <f t="shared" ref="O372:O378" si="83">N372-M372</f>
        <v>0</v>
      </c>
    </row>
    <row r="373" spans="1:15" x14ac:dyDescent="0.25">
      <c r="A373" s="134"/>
      <c r="B373" s="136"/>
      <c r="C373" s="138"/>
      <c r="D373" s="90"/>
      <c r="E373" s="89">
        <v>0</v>
      </c>
      <c r="F373" s="89">
        <v>0</v>
      </c>
      <c r="G373" s="89">
        <f t="shared" si="82"/>
        <v>0</v>
      </c>
      <c r="I373" s="134"/>
      <c r="J373" s="136"/>
      <c r="K373" s="138"/>
      <c r="L373" s="96"/>
      <c r="M373" s="89">
        <v>0</v>
      </c>
      <c r="N373" s="89">
        <v>0</v>
      </c>
      <c r="O373" s="89">
        <f t="shared" si="83"/>
        <v>0</v>
      </c>
    </row>
    <row r="374" spans="1:15" x14ac:dyDescent="0.25">
      <c r="A374" s="134"/>
      <c r="B374" s="136"/>
      <c r="C374" s="138"/>
      <c r="D374" s="90"/>
      <c r="E374" s="89">
        <v>0</v>
      </c>
      <c r="F374" s="89">
        <v>0</v>
      </c>
      <c r="G374" s="89">
        <f t="shared" si="82"/>
        <v>0</v>
      </c>
      <c r="I374" s="134"/>
      <c r="J374" s="136"/>
      <c r="K374" s="138"/>
      <c r="L374" s="96"/>
      <c r="M374" s="89">
        <v>0</v>
      </c>
      <c r="N374" s="89">
        <v>0</v>
      </c>
      <c r="O374" s="89">
        <f t="shared" si="83"/>
        <v>0</v>
      </c>
    </row>
    <row r="375" spans="1:15" x14ac:dyDescent="0.25">
      <c r="A375" s="134"/>
      <c r="B375" s="136"/>
      <c r="C375" s="138"/>
      <c r="D375" s="90"/>
      <c r="E375" s="89">
        <v>0</v>
      </c>
      <c r="F375" s="89">
        <v>0</v>
      </c>
      <c r="G375" s="89">
        <f t="shared" si="82"/>
        <v>0</v>
      </c>
      <c r="I375" s="134"/>
      <c r="J375" s="136"/>
      <c r="K375" s="138"/>
      <c r="L375" s="96"/>
      <c r="M375" s="89">
        <v>0</v>
      </c>
      <c r="N375" s="89">
        <v>0</v>
      </c>
      <c r="O375" s="89">
        <f t="shared" si="83"/>
        <v>0</v>
      </c>
    </row>
    <row r="376" spans="1:15" x14ac:dyDescent="0.25">
      <c r="A376" s="134"/>
      <c r="B376" s="136"/>
      <c r="C376" s="138"/>
      <c r="D376" s="90"/>
      <c r="E376" s="89">
        <v>0</v>
      </c>
      <c r="F376" s="89">
        <v>0</v>
      </c>
      <c r="G376" s="89">
        <f t="shared" si="82"/>
        <v>0</v>
      </c>
      <c r="I376" s="134"/>
      <c r="J376" s="136"/>
      <c r="K376" s="138"/>
      <c r="L376" s="96"/>
      <c r="M376" s="89">
        <v>0</v>
      </c>
      <c r="N376" s="89">
        <v>0</v>
      </c>
      <c r="O376" s="89">
        <f t="shared" si="83"/>
        <v>0</v>
      </c>
    </row>
    <row r="377" spans="1:15" x14ac:dyDescent="0.25">
      <c r="A377" s="134"/>
      <c r="B377" s="136"/>
      <c r="C377" s="138"/>
      <c r="D377" s="90"/>
      <c r="E377" s="89">
        <v>0</v>
      </c>
      <c r="F377" s="89">
        <v>0</v>
      </c>
      <c r="G377" s="89">
        <f t="shared" si="82"/>
        <v>0</v>
      </c>
      <c r="I377" s="134"/>
      <c r="J377" s="136"/>
      <c r="K377" s="138"/>
      <c r="L377" s="96"/>
      <c r="M377" s="89">
        <v>0</v>
      </c>
      <c r="N377" s="89">
        <v>0</v>
      </c>
      <c r="O377" s="89">
        <f t="shared" si="83"/>
        <v>0</v>
      </c>
    </row>
    <row r="378" spans="1:15" x14ac:dyDescent="0.25">
      <c r="A378" s="135"/>
      <c r="B378" s="136"/>
      <c r="C378" s="139"/>
      <c r="D378" s="90"/>
      <c r="E378" s="89">
        <v>0</v>
      </c>
      <c r="F378" s="89">
        <v>0</v>
      </c>
      <c r="G378" s="89">
        <f t="shared" si="82"/>
        <v>0</v>
      </c>
      <c r="I378" s="135"/>
      <c r="J378" s="136"/>
      <c r="K378" s="139"/>
      <c r="L378" s="96"/>
      <c r="M378" s="89">
        <v>0</v>
      </c>
      <c r="N378" s="89">
        <v>0</v>
      </c>
      <c r="O378" s="89">
        <f t="shared" si="83"/>
        <v>0</v>
      </c>
    </row>
    <row r="379" spans="1:15" ht="15.75" thickBot="1" x14ac:dyDescent="0.3">
      <c r="A379" s="91"/>
      <c r="B379" s="91"/>
      <c r="C379" s="91"/>
      <c r="D379" s="91"/>
      <c r="E379" s="91"/>
      <c r="F379" s="91"/>
      <c r="G379" s="92">
        <f>SUM(G371,G378)</f>
        <v>0.45833333333333331</v>
      </c>
      <c r="I379" s="91"/>
      <c r="J379" s="91"/>
      <c r="K379" s="91"/>
      <c r="L379" s="97"/>
      <c r="M379" s="91"/>
      <c r="N379" s="91"/>
      <c r="O379" s="92">
        <f>SUM(O371,O378)</f>
        <v>0</v>
      </c>
    </row>
    <row r="380" spans="1:15" ht="30" x14ac:dyDescent="0.25">
      <c r="A380" s="133">
        <f>A371+1</f>
        <v>46124</v>
      </c>
      <c r="B380" s="136" t="s">
        <v>77</v>
      </c>
      <c r="C380" s="137" t="s">
        <v>82</v>
      </c>
      <c r="D380" s="88" t="s">
        <v>382</v>
      </c>
      <c r="E380" s="89">
        <v>0</v>
      </c>
      <c r="F380" s="89">
        <v>0</v>
      </c>
      <c r="G380" s="89">
        <f>F380-E380</f>
        <v>0</v>
      </c>
      <c r="I380" s="133">
        <f>I371+1</f>
        <v>46124</v>
      </c>
      <c r="J380" s="136" t="s">
        <v>75</v>
      </c>
      <c r="K380" s="137" t="s">
        <v>83</v>
      </c>
      <c r="L380" s="95" t="s">
        <v>386</v>
      </c>
      <c r="M380" s="89">
        <v>0.88541666666666663</v>
      </c>
      <c r="N380" s="89">
        <v>0.89583333333333337</v>
      </c>
      <c r="O380" s="89">
        <f>N380-M380</f>
        <v>1.0416666666666741E-2</v>
      </c>
    </row>
    <row r="381" spans="1:15" x14ac:dyDescent="0.25">
      <c r="A381" s="134"/>
      <c r="B381" s="136"/>
      <c r="C381" s="138"/>
      <c r="D381" s="88" t="s">
        <v>383</v>
      </c>
      <c r="E381" s="89">
        <v>0</v>
      </c>
      <c r="F381" s="89">
        <v>0</v>
      </c>
      <c r="G381" s="89">
        <f t="shared" ref="G381:G387" si="84">F381-E381</f>
        <v>0</v>
      </c>
      <c r="I381" s="134"/>
      <c r="J381" s="136"/>
      <c r="K381" s="138"/>
      <c r="L381" s="95" t="s">
        <v>387</v>
      </c>
      <c r="M381" s="89">
        <v>0.96875</v>
      </c>
      <c r="N381" s="89">
        <v>1.0159722222222223</v>
      </c>
      <c r="O381" s="89">
        <f t="shared" ref="O381:O387" si="85">N381-M381</f>
        <v>4.7222222222222276E-2</v>
      </c>
    </row>
    <row r="382" spans="1:15" x14ac:dyDescent="0.25">
      <c r="A382" s="134"/>
      <c r="B382" s="136"/>
      <c r="C382" s="138"/>
      <c r="D382" s="90" t="s">
        <v>384</v>
      </c>
      <c r="E382" s="89">
        <v>0</v>
      </c>
      <c r="F382" s="89">
        <v>0</v>
      </c>
      <c r="G382" s="89">
        <f t="shared" si="84"/>
        <v>0</v>
      </c>
      <c r="I382" s="134"/>
      <c r="J382" s="136"/>
      <c r="K382" s="138"/>
      <c r="L382" s="96" t="s">
        <v>388</v>
      </c>
      <c r="M382" s="89">
        <v>7.6388888888888895E-2</v>
      </c>
      <c r="N382" s="89">
        <v>0.10416666666666667</v>
      </c>
      <c r="O382" s="89">
        <f t="shared" si="85"/>
        <v>2.7777777777777776E-2</v>
      </c>
    </row>
    <row r="383" spans="1:15" x14ac:dyDescent="0.25">
      <c r="A383" s="134"/>
      <c r="B383" s="136"/>
      <c r="C383" s="138"/>
      <c r="D383" s="90"/>
      <c r="E383" s="89">
        <v>0</v>
      </c>
      <c r="F383" s="89">
        <v>0</v>
      </c>
      <c r="G383" s="89">
        <f t="shared" si="84"/>
        <v>0</v>
      </c>
      <c r="I383" s="134"/>
      <c r="J383" s="136"/>
      <c r="K383" s="138"/>
      <c r="L383" s="96" t="s">
        <v>389</v>
      </c>
      <c r="M383" s="89">
        <v>0</v>
      </c>
      <c r="N383" s="89">
        <v>0</v>
      </c>
      <c r="O383" s="89">
        <f t="shared" si="85"/>
        <v>0</v>
      </c>
    </row>
    <row r="384" spans="1:15" x14ac:dyDescent="0.25">
      <c r="A384" s="134"/>
      <c r="B384" s="136"/>
      <c r="C384" s="138"/>
      <c r="D384" s="90"/>
      <c r="E384" s="89">
        <v>0</v>
      </c>
      <c r="F384" s="89">
        <v>0</v>
      </c>
      <c r="G384" s="89">
        <f t="shared" si="84"/>
        <v>0</v>
      </c>
      <c r="I384" s="134"/>
      <c r="J384" s="136"/>
      <c r="K384" s="138"/>
      <c r="L384" s="96" t="s">
        <v>390</v>
      </c>
      <c r="M384" s="89">
        <v>0.15972222222222221</v>
      </c>
      <c r="N384" s="89">
        <v>0.19444444444444445</v>
      </c>
      <c r="O384" s="89">
        <f t="shared" si="85"/>
        <v>3.4722222222222238E-2</v>
      </c>
    </row>
    <row r="385" spans="1:15" x14ac:dyDescent="0.25">
      <c r="A385" s="134"/>
      <c r="B385" s="136"/>
      <c r="C385" s="138"/>
      <c r="D385" s="90"/>
      <c r="E385" s="89">
        <v>0</v>
      </c>
      <c r="F385" s="89">
        <v>0</v>
      </c>
      <c r="G385" s="89">
        <f t="shared" si="84"/>
        <v>0</v>
      </c>
      <c r="I385" s="134"/>
      <c r="J385" s="136"/>
      <c r="K385" s="138"/>
      <c r="L385" s="96"/>
      <c r="M385" s="89">
        <v>0</v>
      </c>
      <c r="N385" s="89">
        <v>0</v>
      </c>
      <c r="O385" s="89">
        <f t="shared" si="85"/>
        <v>0</v>
      </c>
    </row>
    <row r="386" spans="1:15" x14ac:dyDescent="0.25">
      <c r="A386" s="134"/>
      <c r="B386" s="136"/>
      <c r="C386" s="138"/>
      <c r="D386" s="90"/>
      <c r="E386" s="89">
        <v>0</v>
      </c>
      <c r="F386" s="89">
        <v>0</v>
      </c>
      <c r="G386" s="89">
        <f t="shared" si="84"/>
        <v>0</v>
      </c>
      <c r="I386" s="134"/>
      <c r="J386" s="136"/>
      <c r="K386" s="138"/>
      <c r="L386" s="96"/>
      <c r="M386" s="89">
        <v>0</v>
      </c>
      <c r="N386" s="89">
        <v>0</v>
      </c>
      <c r="O386" s="89">
        <f t="shared" si="85"/>
        <v>0</v>
      </c>
    </row>
    <row r="387" spans="1:15" x14ac:dyDescent="0.25">
      <c r="A387" s="135"/>
      <c r="B387" s="136"/>
      <c r="C387" s="139"/>
      <c r="D387" s="90"/>
      <c r="E387" s="89">
        <v>0</v>
      </c>
      <c r="F387" s="89">
        <v>0</v>
      </c>
      <c r="G387" s="89">
        <f t="shared" si="84"/>
        <v>0</v>
      </c>
      <c r="I387" s="135"/>
      <c r="J387" s="136"/>
      <c r="K387" s="139"/>
      <c r="L387" s="96"/>
      <c r="M387" s="89">
        <v>0</v>
      </c>
      <c r="N387" s="89">
        <v>0</v>
      </c>
      <c r="O387" s="89">
        <f t="shared" si="85"/>
        <v>0</v>
      </c>
    </row>
    <row r="388" spans="1:15" ht="15.75" thickBot="1" x14ac:dyDescent="0.3">
      <c r="A388" s="91"/>
      <c r="B388" s="91"/>
      <c r="C388" s="91"/>
      <c r="D388" s="91"/>
      <c r="E388" s="91"/>
      <c r="F388" s="91"/>
      <c r="G388" s="92">
        <f>SUM(G380,G387)</f>
        <v>0</v>
      </c>
      <c r="I388" s="91"/>
      <c r="J388" s="91"/>
      <c r="K388" s="91"/>
      <c r="L388" s="97"/>
      <c r="M388" s="91"/>
      <c r="N388" s="91"/>
      <c r="O388" s="92">
        <f>SUM(O380,O387)</f>
        <v>1.0416666666666741E-2</v>
      </c>
    </row>
    <row r="389" spans="1:15" ht="45" x14ac:dyDescent="0.25">
      <c r="A389" s="133">
        <f>A380+1</f>
        <v>46125</v>
      </c>
      <c r="B389" s="136" t="s">
        <v>114</v>
      </c>
      <c r="C389" s="137" t="s">
        <v>82</v>
      </c>
      <c r="D389" s="88" t="s">
        <v>392</v>
      </c>
      <c r="E389" s="89">
        <v>0.37986111111111109</v>
      </c>
      <c r="F389" s="89">
        <v>0.40625</v>
      </c>
      <c r="G389" s="89">
        <f>F389-E389</f>
        <v>2.6388888888888906E-2</v>
      </c>
      <c r="I389" s="133">
        <f>I380+1</f>
        <v>46125</v>
      </c>
      <c r="J389" s="136" t="s">
        <v>77</v>
      </c>
      <c r="K389" s="137" t="s">
        <v>83</v>
      </c>
      <c r="L389" s="95" t="s">
        <v>394</v>
      </c>
      <c r="M389" s="89">
        <v>7.9166666666666663E-2</v>
      </c>
      <c r="N389" s="89">
        <v>9.375E-2</v>
      </c>
      <c r="O389" s="89">
        <f>N389-M389</f>
        <v>1.4583333333333337E-2</v>
      </c>
    </row>
    <row r="390" spans="1:15" x14ac:dyDescent="0.25">
      <c r="A390" s="134"/>
      <c r="B390" s="136"/>
      <c r="C390" s="138"/>
      <c r="D390" s="88"/>
      <c r="E390" s="89">
        <v>0</v>
      </c>
      <c r="F390" s="89">
        <v>0</v>
      </c>
      <c r="G390" s="89">
        <f t="shared" ref="G390:G396" si="86">F390-E390</f>
        <v>0</v>
      </c>
      <c r="I390" s="134"/>
      <c r="J390" s="136"/>
      <c r="K390" s="138"/>
      <c r="L390" s="95"/>
      <c r="M390" s="89">
        <v>0</v>
      </c>
      <c r="N390" s="89">
        <v>0</v>
      </c>
      <c r="O390" s="89">
        <f t="shared" ref="O390:O396" si="87">N390-M390</f>
        <v>0</v>
      </c>
    </row>
    <row r="391" spans="1:15" x14ac:dyDescent="0.25">
      <c r="A391" s="134"/>
      <c r="B391" s="136"/>
      <c r="C391" s="138"/>
      <c r="D391" s="90"/>
      <c r="E391" s="89">
        <v>0</v>
      </c>
      <c r="F391" s="89">
        <v>0</v>
      </c>
      <c r="G391" s="89">
        <f t="shared" si="86"/>
        <v>0</v>
      </c>
      <c r="I391" s="134"/>
      <c r="J391" s="136"/>
      <c r="K391" s="138"/>
      <c r="L391" s="96"/>
      <c r="M391" s="89">
        <v>0</v>
      </c>
      <c r="N391" s="89">
        <v>0</v>
      </c>
      <c r="O391" s="89">
        <f t="shared" si="87"/>
        <v>0</v>
      </c>
    </row>
    <row r="392" spans="1:15" x14ac:dyDescent="0.25">
      <c r="A392" s="134"/>
      <c r="B392" s="136"/>
      <c r="C392" s="138"/>
      <c r="D392" s="90"/>
      <c r="E392" s="89">
        <v>0</v>
      </c>
      <c r="F392" s="89">
        <v>0</v>
      </c>
      <c r="G392" s="89">
        <f t="shared" si="86"/>
        <v>0</v>
      </c>
      <c r="I392" s="134"/>
      <c r="J392" s="136"/>
      <c r="K392" s="138"/>
      <c r="L392" s="96"/>
      <c r="M392" s="89">
        <v>0</v>
      </c>
      <c r="N392" s="89">
        <v>0</v>
      </c>
      <c r="O392" s="89">
        <f t="shared" si="87"/>
        <v>0</v>
      </c>
    </row>
    <row r="393" spans="1:15" x14ac:dyDescent="0.25">
      <c r="A393" s="134"/>
      <c r="B393" s="136"/>
      <c r="C393" s="138"/>
      <c r="D393" s="90"/>
      <c r="E393" s="89">
        <v>0</v>
      </c>
      <c r="F393" s="89">
        <v>0</v>
      </c>
      <c r="G393" s="89">
        <f t="shared" si="86"/>
        <v>0</v>
      </c>
      <c r="I393" s="134"/>
      <c r="J393" s="136"/>
      <c r="K393" s="138"/>
      <c r="L393" s="96"/>
      <c r="M393" s="89">
        <v>0</v>
      </c>
      <c r="N393" s="89">
        <v>0</v>
      </c>
      <c r="O393" s="89">
        <f t="shared" si="87"/>
        <v>0</v>
      </c>
    </row>
    <row r="394" spans="1:15" x14ac:dyDescent="0.25">
      <c r="A394" s="134"/>
      <c r="B394" s="136"/>
      <c r="C394" s="138"/>
      <c r="D394" s="90"/>
      <c r="E394" s="89">
        <v>0</v>
      </c>
      <c r="F394" s="89">
        <v>0</v>
      </c>
      <c r="G394" s="89">
        <f t="shared" si="86"/>
        <v>0</v>
      </c>
      <c r="I394" s="134"/>
      <c r="J394" s="136"/>
      <c r="K394" s="138"/>
      <c r="L394" s="96"/>
      <c r="M394" s="89">
        <v>0</v>
      </c>
      <c r="N394" s="89">
        <v>0</v>
      </c>
      <c r="O394" s="89">
        <f t="shared" si="87"/>
        <v>0</v>
      </c>
    </row>
    <row r="395" spans="1:15" x14ac:dyDescent="0.25">
      <c r="A395" s="134"/>
      <c r="B395" s="136"/>
      <c r="C395" s="138"/>
      <c r="D395" s="90"/>
      <c r="E395" s="89">
        <v>0</v>
      </c>
      <c r="F395" s="89">
        <v>0</v>
      </c>
      <c r="G395" s="89">
        <f t="shared" si="86"/>
        <v>0</v>
      </c>
      <c r="I395" s="134"/>
      <c r="J395" s="136"/>
      <c r="K395" s="138"/>
      <c r="L395" s="96"/>
      <c r="M395" s="89">
        <v>0</v>
      </c>
      <c r="N395" s="89">
        <v>0</v>
      </c>
      <c r="O395" s="89">
        <f t="shared" si="87"/>
        <v>0</v>
      </c>
    </row>
    <row r="396" spans="1:15" x14ac:dyDescent="0.25">
      <c r="A396" s="135"/>
      <c r="B396" s="136"/>
      <c r="C396" s="139"/>
      <c r="D396" s="90"/>
      <c r="E396" s="89">
        <v>0</v>
      </c>
      <c r="F396" s="89">
        <v>0</v>
      </c>
      <c r="G396" s="89">
        <f t="shared" si="86"/>
        <v>0</v>
      </c>
      <c r="I396" s="135"/>
      <c r="J396" s="136"/>
      <c r="K396" s="139"/>
      <c r="L396" s="96"/>
      <c r="M396" s="89">
        <v>0</v>
      </c>
      <c r="N396" s="89">
        <v>0</v>
      </c>
      <c r="O396" s="89">
        <f t="shared" si="87"/>
        <v>0</v>
      </c>
    </row>
    <row r="397" spans="1:15" ht="15.75" thickBot="1" x14ac:dyDescent="0.3">
      <c r="A397" s="91"/>
      <c r="B397" s="91"/>
      <c r="C397" s="91"/>
      <c r="D397" s="91"/>
      <c r="E397" s="91"/>
      <c r="F397" s="91"/>
      <c r="G397" s="92">
        <f>SUM(G389,G396)</f>
        <v>2.6388888888888906E-2</v>
      </c>
      <c r="I397" s="91"/>
      <c r="J397" s="91"/>
      <c r="K397" s="91"/>
      <c r="L397" s="97"/>
      <c r="M397" s="91"/>
      <c r="N397" s="91"/>
      <c r="O397" s="92">
        <f>SUM(O389,O396)</f>
        <v>1.4583333333333337E-2</v>
      </c>
    </row>
    <row r="398" spans="1:15" ht="45" x14ac:dyDescent="0.25">
      <c r="A398" s="133">
        <f>A389+1</f>
        <v>46126</v>
      </c>
      <c r="B398" s="136" t="s">
        <v>113</v>
      </c>
      <c r="C398" s="137" t="s">
        <v>82</v>
      </c>
      <c r="D398" s="88" t="s">
        <v>239</v>
      </c>
      <c r="E398" s="89">
        <v>0.31944444444444442</v>
      </c>
      <c r="F398" s="89">
        <v>0</v>
      </c>
      <c r="G398" s="89">
        <f>F398-E398</f>
        <v>-0.31944444444444442</v>
      </c>
      <c r="I398" s="133">
        <f>I389+1</f>
        <v>46126</v>
      </c>
      <c r="J398" s="136" t="s">
        <v>114</v>
      </c>
      <c r="K398" s="137" t="s">
        <v>83</v>
      </c>
      <c r="L398" s="95" t="s">
        <v>401</v>
      </c>
      <c r="M398" s="89">
        <v>0.84652777777777777</v>
      </c>
      <c r="N398" s="89">
        <v>0.85347222222222219</v>
      </c>
      <c r="O398" s="89">
        <f>N398-M398</f>
        <v>6.9444444444444198E-3</v>
      </c>
    </row>
    <row r="399" spans="1:15" x14ac:dyDescent="0.25">
      <c r="A399" s="134"/>
      <c r="B399" s="136"/>
      <c r="C399" s="138"/>
      <c r="D399" s="88" t="s">
        <v>395</v>
      </c>
      <c r="E399" s="89">
        <v>0.44583333333333336</v>
      </c>
      <c r="F399" s="89">
        <v>0.47847222222222224</v>
      </c>
      <c r="G399" s="89">
        <f t="shared" ref="G399:G405" si="88">F399-E399</f>
        <v>3.2638888888888884E-2</v>
      </c>
      <c r="I399" s="134"/>
      <c r="J399" s="136"/>
      <c r="K399" s="138"/>
      <c r="L399" s="95"/>
      <c r="M399" s="89">
        <v>0</v>
      </c>
      <c r="N399" s="89">
        <v>0</v>
      </c>
      <c r="O399" s="89">
        <f t="shared" ref="O399:O405" si="89">N399-M399</f>
        <v>0</v>
      </c>
    </row>
    <row r="400" spans="1:15" x14ac:dyDescent="0.25">
      <c r="A400" s="134"/>
      <c r="B400" s="136"/>
      <c r="C400" s="138"/>
      <c r="D400" s="90" t="s">
        <v>396</v>
      </c>
      <c r="E400" s="89">
        <v>0</v>
      </c>
      <c r="F400" s="89">
        <v>0</v>
      </c>
      <c r="G400" s="89">
        <f t="shared" si="88"/>
        <v>0</v>
      </c>
      <c r="I400" s="134"/>
      <c r="J400" s="136"/>
      <c r="K400" s="138"/>
      <c r="L400" s="96"/>
      <c r="M400" s="89">
        <v>0</v>
      </c>
      <c r="N400" s="89">
        <v>0</v>
      </c>
      <c r="O400" s="89">
        <f t="shared" si="89"/>
        <v>0</v>
      </c>
    </row>
    <row r="401" spans="1:15" x14ac:dyDescent="0.25">
      <c r="A401" s="134"/>
      <c r="B401" s="136"/>
      <c r="C401" s="138"/>
      <c r="D401" s="90" t="s">
        <v>397</v>
      </c>
      <c r="E401" s="89">
        <v>0</v>
      </c>
      <c r="F401" s="89">
        <v>0</v>
      </c>
      <c r="G401" s="89">
        <f t="shared" si="88"/>
        <v>0</v>
      </c>
      <c r="I401" s="134"/>
      <c r="J401" s="136"/>
      <c r="K401" s="138"/>
      <c r="L401" s="96"/>
      <c r="M401" s="89">
        <v>0</v>
      </c>
      <c r="N401" s="89">
        <v>0</v>
      </c>
      <c r="O401" s="89">
        <f t="shared" si="89"/>
        <v>0</v>
      </c>
    </row>
    <row r="402" spans="1:15" x14ac:dyDescent="0.25">
      <c r="A402" s="134"/>
      <c r="B402" s="136"/>
      <c r="C402" s="138"/>
      <c r="D402" s="90" t="s">
        <v>399</v>
      </c>
      <c r="E402" s="89">
        <v>0.67222222222222228</v>
      </c>
      <c r="F402" s="89">
        <v>0.70138888888888884</v>
      </c>
      <c r="G402" s="89">
        <f t="shared" si="88"/>
        <v>2.9166666666666563E-2</v>
      </c>
      <c r="I402" s="134"/>
      <c r="J402" s="136"/>
      <c r="K402" s="138"/>
      <c r="L402" s="96"/>
      <c r="M402" s="89">
        <v>0</v>
      </c>
      <c r="N402" s="89">
        <v>0</v>
      </c>
      <c r="O402" s="89">
        <f t="shared" si="89"/>
        <v>0</v>
      </c>
    </row>
    <row r="403" spans="1:15" x14ac:dyDescent="0.25">
      <c r="A403" s="134"/>
      <c r="B403" s="136"/>
      <c r="C403" s="138"/>
      <c r="D403" s="90"/>
      <c r="E403" s="89">
        <v>0</v>
      </c>
      <c r="F403" s="89">
        <v>0</v>
      </c>
      <c r="G403" s="89">
        <f t="shared" si="88"/>
        <v>0</v>
      </c>
      <c r="I403" s="134"/>
      <c r="J403" s="136"/>
      <c r="K403" s="138"/>
      <c r="L403" s="96"/>
      <c r="M403" s="89">
        <v>0</v>
      </c>
      <c r="N403" s="89">
        <v>0</v>
      </c>
      <c r="O403" s="89">
        <f t="shared" si="89"/>
        <v>0</v>
      </c>
    </row>
    <row r="404" spans="1:15" x14ac:dyDescent="0.25">
      <c r="A404" s="134"/>
      <c r="B404" s="136"/>
      <c r="C404" s="138"/>
      <c r="D404" s="90"/>
      <c r="E404" s="89">
        <v>0</v>
      </c>
      <c r="F404" s="89">
        <v>0</v>
      </c>
      <c r="G404" s="89">
        <f t="shared" si="88"/>
        <v>0</v>
      </c>
      <c r="I404" s="134"/>
      <c r="J404" s="136"/>
      <c r="K404" s="138"/>
      <c r="L404" s="96"/>
      <c r="M404" s="89">
        <v>0</v>
      </c>
      <c r="N404" s="89">
        <v>0</v>
      </c>
      <c r="O404" s="89">
        <f t="shared" si="89"/>
        <v>0</v>
      </c>
    </row>
    <row r="405" spans="1:15" x14ac:dyDescent="0.25">
      <c r="A405" s="135"/>
      <c r="B405" s="136"/>
      <c r="C405" s="139"/>
      <c r="D405" s="90"/>
      <c r="E405" s="89">
        <v>0</v>
      </c>
      <c r="F405" s="89">
        <v>0</v>
      </c>
      <c r="G405" s="89">
        <f t="shared" si="88"/>
        <v>0</v>
      </c>
      <c r="I405" s="135"/>
      <c r="J405" s="136"/>
      <c r="K405" s="139"/>
      <c r="L405" s="96"/>
      <c r="M405" s="89">
        <v>0</v>
      </c>
      <c r="N405" s="89">
        <v>0</v>
      </c>
      <c r="O405" s="89">
        <f t="shared" si="89"/>
        <v>0</v>
      </c>
    </row>
    <row r="406" spans="1:15" ht="15.75" thickBot="1" x14ac:dyDescent="0.3">
      <c r="A406" s="91"/>
      <c r="B406" s="91"/>
      <c r="C406" s="91"/>
      <c r="D406" s="91"/>
      <c r="E406" s="91"/>
      <c r="F406" s="91"/>
      <c r="G406" s="92">
        <f>SUM(G398,G405)</f>
        <v>-0.31944444444444442</v>
      </c>
      <c r="I406" s="91"/>
      <c r="J406" s="91"/>
      <c r="K406" s="91"/>
      <c r="L406" s="97"/>
      <c r="M406" s="91"/>
      <c r="N406" s="91"/>
      <c r="O406" s="92">
        <f>SUM(O398,O405)</f>
        <v>6.9444444444444198E-3</v>
      </c>
    </row>
    <row r="407" spans="1:15" x14ac:dyDescent="0.25">
      <c r="A407" s="133">
        <f>A398+1</f>
        <v>46127</v>
      </c>
      <c r="B407" s="136" t="s">
        <v>75</v>
      </c>
      <c r="C407" s="137" t="s">
        <v>82</v>
      </c>
      <c r="D407" s="88" t="s">
        <v>403</v>
      </c>
      <c r="E407" s="89">
        <v>0.34722222222222221</v>
      </c>
      <c r="F407" s="89">
        <v>0</v>
      </c>
      <c r="G407" s="89">
        <f>F407-E407</f>
        <v>-0.34722222222222221</v>
      </c>
      <c r="I407" s="133">
        <f>I398+1</f>
        <v>46127</v>
      </c>
      <c r="J407" s="136" t="s">
        <v>113</v>
      </c>
      <c r="K407" s="137" t="s">
        <v>83</v>
      </c>
      <c r="L407" s="95" t="s">
        <v>407</v>
      </c>
      <c r="M407" s="89">
        <v>6.0416666666666667E-2</v>
      </c>
      <c r="N407" s="89">
        <v>6.8750000000000006E-2</v>
      </c>
      <c r="O407" s="89">
        <f>N407-M407</f>
        <v>8.3333333333333384E-3</v>
      </c>
    </row>
    <row r="408" spans="1:15" ht="75" x14ac:dyDescent="0.25">
      <c r="A408" s="134"/>
      <c r="B408" s="136"/>
      <c r="C408" s="138"/>
      <c r="D408" s="88" t="s">
        <v>404</v>
      </c>
      <c r="E408" s="89">
        <v>0.45833333333333331</v>
      </c>
      <c r="F408" s="89">
        <v>0.47569444444444442</v>
      </c>
      <c r="G408" s="89">
        <f t="shared" ref="G408:G414" si="90">F408-E408</f>
        <v>1.7361111111111105E-2</v>
      </c>
      <c r="I408" s="134"/>
      <c r="J408" s="136"/>
      <c r="K408" s="138"/>
      <c r="L408" s="95" t="s">
        <v>408</v>
      </c>
      <c r="M408" s="89">
        <v>0</v>
      </c>
      <c r="N408" s="89">
        <v>0</v>
      </c>
      <c r="O408" s="89">
        <f t="shared" ref="O408:O414" si="91">N408-M408</f>
        <v>0</v>
      </c>
    </row>
    <row r="409" spans="1:15" x14ac:dyDescent="0.25">
      <c r="A409" s="134"/>
      <c r="B409" s="136"/>
      <c r="C409" s="138"/>
      <c r="D409" s="90" t="s">
        <v>405</v>
      </c>
      <c r="E409" s="89">
        <v>0</v>
      </c>
      <c r="F409" s="89">
        <v>0</v>
      </c>
      <c r="G409" s="89">
        <f t="shared" si="90"/>
        <v>0</v>
      </c>
      <c r="I409" s="134"/>
      <c r="J409" s="136"/>
      <c r="K409" s="138"/>
      <c r="L409" s="96"/>
      <c r="M409" s="89">
        <v>0</v>
      </c>
      <c r="N409" s="89">
        <v>0</v>
      </c>
      <c r="O409" s="89">
        <f t="shared" si="91"/>
        <v>0</v>
      </c>
    </row>
    <row r="410" spans="1:15" x14ac:dyDescent="0.25">
      <c r="A410" s="134"/>
      <c r="B410" s="136"/>
      <c r="C410" s="138"/>
      <c r="D410" s="90" t="s">
        <v>406</v>
      </c>
      <c r="E410" s="89">
        <v>0.61458333333333337</v>
      </c>
      <c r="F410" s="89">
        <v>0.62847222222222221</v>
      </c>
      <c r="G410" s="89">
        <f t="shared" si="90"/>
        <v>1.388888888888884E-2</v>
      </c>
      <c r="I410" s="134"/>
      <c r="J410" s="136"/>
      <c r="K410" s="138"/>
      <c r="L410" s="96"/>
      <c r="M410" s="89">
        <v>0</v>
      </c>
      <c r="N410" s="89">
        <v>0</v>
      </c>
      <c r="O410" s="89">
        <f t="shared" si="91"/>
        <v>0</v>
      </c>
    </row>
    <row r="411" spans="1:15" x14ac:dyDescent="0.25">
      <c r="A411" s="134"/>
      <c r="B411" s="136"/>
      <c r="C411" s="138"/>
      <c r="D411" s="90"/>
      <c r="E411" s="89">
        <v>0</v>
      </c>
      <c r="F411" s="89">
        <v>0</v>
      </c>
      <c r="G411" s="89">
        <f t="shared" si="90"/>
        <v>0</v>
      </c>
      <c r="I411" s="134"/>
      <c r="J411" s="136"/>
      <c r="K411" s="138"/>
      <c r="L411" s="96"/>
      <c r="M411" s="89">
        <v>0</v>
      </c>
      <c r="N411" s="89">
        <v>0</v>
      </c>
      <c r="O411" s="89">
        <f t="shared" si="91"/>
        <v>0</v>
      </c>
    </row>
    <row r="412" spans="1:15" x14ac:dyDescent="0.25">
      <c r="A412" s="134"/>
      <c r="B412" s="136"/>
      <c r="C412" s="138"/>
      <c r="D412" s="90"/>
      <c r="E412" s="89">
        <v>0</v>
      </c>
      <c r="F412" s="89">
        <v>0</v>
      </c>
      <c r="G412" s="89">
        <f t="shared" si="90"/>
        <v>0</v>
      </c>
      <c r="I412" s="134"/>
      <c r="J412" s="136"/>
      <c r="K412" s="138"/>
      <c r="L412" s="96"/>
      <c r="M412" s="89">
        <v>0</v>
      </c>
      <c r="N412" s="89">
        <v>0</v>
      </c>
      <c r="O412" s="89">
        <f t="shared" si="91"/>
        <v>0</v>
      </c>
    </row>
    <row r="413" spans="1:15" x14ac:dyDescent="0.25">
      <c r="A413" s="134"/>
      <c r="B413" s="136"/>
      <c r="C413" s="138"/>
      <c r="D413" s="90"/>
      <c r="E413" s="89">
        <v>0</v>
      </c>
      <c r="F413" s="89">
        <v>0</v>
      </c>
      <c r="G413" s="89">
        <f t="shared" si="90"/>
        <v>0</v>
      </c>
      <c r="I413" s="134"/>
      <c r="J413" s="136"/>
      <c r="K413" s="138"/>
      <c r="L413" s="96"/>
      <c r="M413" s="89">
        <v>0</v>
      </c>
      <c r="N413" s="89">
        <v>0</v>
      </c>
      <c r="O413" s="89">
        <f t="shared" si="91"/>
        <v>0</v>
      </c>
    </row>
    <row r="414" spans="1:15" x14ac:dyDescent="0.25">
      <c r="A414" s="135"/>
      <c r="B414" s="136"/>
      <c r="C414" s="139"/>
      <c r="D414" s="90"/>
      <c r="E414" s="89">
        <v>0</v>
      </c>
      <c r="F414" s="89">
        <v>0</v>
      </c>
      <c r="G414" s="89">
        <f t="shared" si="90"/>
        <v>0</v>
      </c>
      <c r="I414" s="135"/>
      <c r="J414" s="136"/>
      <c r="K414" s="139"/>
      <c r="L414" s="96"/>
      <c r="M414" s="89">
        <v>0</v>
      </c>
      <c r="N414" s="89">
        <v>0</v>
      </c>
      <c r="O414" s="89">
        <f t="shared" si="91"/>
        <v>0</v>
      </c>
    </row>
    <row r="415" spans="1:15" ht="15.75" thickBot="1" x14ac:dyDescent="0.3">
      <c r="A415" s="91"/>
      <c r="B415" s="91"/>
      <c r="C415" s="91"/>
      <c r="D415" s="91"/>
      <c r="E415" s="91"/>
      <c r="F415" s="91"/>
      <c r="G415" s="92">
        <f>SUM(G407,G414)</f>
        <v>-0.34722222222222221</v>
      </c>
      <c r="I415" s="91"/>
      <c r="J415" s="91"/>
      <c r="K415" s="91"/>
      <c r="L415" s="97"/>
      <c r="M415" s="91"/>
      <c r="N415" s="91"/>
      <c r="O415" s="92">
        <f>SUM(O407,O414)</f>
        <v>8.3333333333333384E-3</v>
      </c>
    </row>
    <row r="416" spans="1:15" ht="30" x14ac:dyDescent="0.25">
      <c r="A416" s="133">
        <f>A407+1</f>
        <v>46128</v>
      </c>
      <c r="B416" s="136" t="s">
        <v>77</v>
      </c>
      <c r="C416" s="137" t="s">
        <v>82</v>
      </c>
      <c r="D416" s="88" t="s">
        <v>411</v>
      </c>
      <c r="E416" s="89">
        <v>0.33333333333333331</v>
      </c>
      <c r="F416" s="89">
        <v>0.79166666666666663</v>
      </c>
      <c r="G416" s="89">
        <f>F416-E416</f>
        <v>0.45833333333333331</v>
      </c>
      <c r="I416" s="133">
        <f>I407+1</f>
        <v>46128</v>
      </c>
      <c r="J416" s="136" t="s">
        <v>75</v>
      </c>
      <c r="K416" s="137" t="s">
        <v>83</v>
      </c>
      <c r="L416" s="95" t="s">
        <v>415</v>
      </c>
      <c r="M416" s="89">
        <v>0.80902777777777779</v>
      </c>
      <c r="N416" s="89">
        <v>0.81597222222222221</v>
      </c>
      <c r="O416" s="89">
        <f>N416-M416</f>
        <v>6.9444444444444198E-3</v>
      </c>
    </row>
    <row r="417" spans="1:15" ht="30" x14ac:dyDescent="0.25">
      <c r="A417" s="134"/>
      <c r="B417" s="136"/>
      <c r="C417" s="138"/>
      <c r="D417" s="88" t="s">
        <v>412</v>
      </c>
      <c r="E417" s="89">
        <v>0</v>
      </c>
      <c r="F417" s="89">
        <v>0</v>
      </c>
      <c r="G417" s="89">
        <f t="shared" ref="G417:G423" si="92">F417-E417</f>
        <v>0</v>
      </c>
      <c r="I417" s="134"/>
      <c r="J417" s="136"/>
      <c r="K417" s="138"/>
      <c r="L417" s="95" t="s">
        <v>300</v>
      </c>
      <c r="M417" s="89">
        <v>0.81597222222222221</v>
      </c>
      <c r="N417" s="89">
        <v>0.84375</v>
      </c>
      <c r="O417" s="89">
        <f t="shared" ref="O417:O423" si="93">N417-M417</f>
        <v>2.777777777777779E-2</v>
      </c>
    </row>
    <row r="418" spans="1:15" x14ac:dyDescent="0.25">
      <c r="A418" s="134"/>
      <c r="B418" s="136"/>
      <c r="C418" s="138"/>
      <c r="D418" s="90" t="s">
        <v>413</v>
      </c>
      <c r="E418" s="89">
        <v>0</v>
      </c>
      <c r="F418" s="89">
        <v>0</v>
      </c>
      <c r="G418" s="89">
        <f t="shared" si="92"/>
        <v>0</v>
      </c>
      <c r="I418" s="134"/>
      <c r="J418" s="136"/>
      <c r="K418" s="138"/>
      <c r="L418" s="96" t="s">
        <v>416</v>
      </c>
      <c r="M418" s="89">
        <v>0.92361111111111116</v>
      </c>
      <c r="N418" s="89">
        <v>0.95138888888888884</v>
      </c>
      <c r="O418" s="89">
        <f t="shared" si="93"/>
        <v>2.7777777777777679E-2</v>
      </c>
    </row>
    <row r="419" spans="1:15" x14ac:dyDescent="0.25">
      <c r="A419" s="134"/>
      <c r="B419" s="136"/>
      <c r="C419" s="138"/>
      <c r="D419" s="90" t="s">
        <v>414</v>
      </c>
      <c r="E419" s="89">
        <v>0</v>
      </c>
      <c r="F419" s="89">
        <v>0</v>
      </c>
      <c r="G419" s="89">
        <f t="shared" si="92"/>
        <v>0</v>
      </c>
      <c r="I419" s="134"/>
      <c r="J419" s="136"/>
      <c r="K419" s="138"/>
      <c r="L419" s="96" t="s">
        <v>417</v>
      </c>
      <c r="M419" s="89">
        <v>0</v>
      </c>
      <c r="N419" s="89">
        <v>0</v>
      </c>
      <c r="O419" s="89">
        <f t="shared" si="93"/>
        <v>0</v>
      </c>
    </row>
    <row r="420" spans="1:15" x14ac:dyDescent="0.25">
      <c r="A420" s="134"/>
      <c r="B420" s="136"/>
      <c r="C420" s="138"/>
      <c r="D420" s="90"/>
      <c r="E420" s="89">
        <v>0</v>
      </c>
      <c r="F420" s="89">
        <v>0</v>
      </c>
      <c r="G420" s="89">
        <f t="shared" si="92"/>
        <v>0</v>
      </c>
      <c r="I420" s="134"/>
      <c r="J420" s="136"/>
      <c r="K420" s="138"/>
      <c r="L420" s="96"/>
      <c r="M420" s="89">
        <v>0</v>
      </c>
      <c r="N420" s="89">
        <v>0</v>
      </c>
      <c r="O420" s="89">
        <f t="shared" si="93"/>
        <v>0</v>
      </c>
    </row>
    <row r="421" spans="1:15" x14ac:dyDescent="0.25">
      <c r="A421" s="134"/>
      <c r="B421" s="136"/>
      <c r="C421" s="138"/>
      <c r="D421" s="90"/>
      <c r="E421" s="89">
        <v>0</v>
      </c>
      <c r="F421" s="89">
        <v>0</v>
      </c>
      <c r="G421" s="89">
        <f t="shared" si="92"/>
        <v>0</v>
      </c>
      <c r="I421" s="134"/>
      <c r="J421" s="136"/>
      <c r="K421" s="138"/>
      <c r="L421" s="96"/>
      <c r="M421" s="89">
        <v>0</v>
      </c>
      <c r="N421" s="89">
        <v>0</v>
      </c>
      <c r="O421" s="89">
        <f t="shared" si="93"/>
        <v>0</v>
      </c>
    </row>
    <row r="422" spans="1:15" x14ac:dyDescent="0.25">
      <c r="A422" s="134"/>
      <c r="B422" s="136"/>
      <c r="C422" s="138"/>
      <c r="D422" s="90"/>
      <c r="E422" s="89">
        <v>0</v>
      </c>
      <c r="F422" s="89">
        <v>0</v>
      </c>
      <c r="G422" s="89">
        <f t="shared" si="92"/>
        <v>0</v>
      </c>
      <c r="I422" s="134"/>
      <c r="J422" s="136"/>
      <c r="K422" s="138"/>
      <c r="L422" s="96"/>
      <c r="M422" s="89">
        <v>0</v>
      </c>
      <c r="N422" s="89">
        <v>0</v>
      </c>
      <c r="O422" s="89">
        <f t="shared" si="93"/>
        <v>0</v>
      </c>
    </row>
    <row r="423" spans="1:15" x14ac:dyDescent="0.25">
      <c r="A423" s="135"/>
      <c r="B423" s="136"/>
      <c r="C423" s="139"/>
      <c r="D423" s="90"/>
      <c r="E423" s="89">
        <v>0</v>
      </c>
      <c r="F423" s="89">
        <v>0</v>
      </c>
      <c r="G423" s="89">
        <f t="shared" si="92"/>
        <v>0</v>
      </c>
      <c r="I423" s="135"/>
      <c r="J423" s="136"/>
      <c r="K423" s="139"/>
      <c r="L423" s="96"/>
      <c r="M423" s="89">
        <v>0</v>
      </c>
      <c r="N423" s="89">
        <v>0</v>
      </c>
      <c r="O423" s="89">
        <f t="shared" si="93"/>
        <v>0</v>
      </c>
    </row>
    <row r="424" spans="1:15" ht="15.75" thickBot="1" x14ac:dyDescent="0.3">
      <c r="A424" s="91"/>
      <c r="B424" s="91"/>
      <c r="C424" s="91"/>
      <c r="D424" s="91"/>
      <c r="E424" s="91"/>
      <c r="F424" s="91"/>
      <c r="G424" s="92">
        <f>SUM(G416,G423)</f>
        <v>0.45833333333333331</v>
      </c>
      <c r="I424" s="91"/>
      <c r="J424" s="91"/>
      <c r="K424" s="91"/>
      <c r="L424" s="97"/>
      <c r="M424" s="91"/>
      <c r="N424" s="91"/>
      <c r="O424" s="92"/>
    </row>
    <row r="425" spans="1:15" ht="30" x14ac:dyDescent="0.25">
      <c r="A425" s="133">
        <f>A416+1</f>
        <v>46129</v>
      </c>
      <c r="B425" s="136" t="s">
        <v>114</v>
      </c>
      <c r="C425" s="137" t="s">
        <v>82</v>
      </c>
      <c r="D425" s="88" t="s">
        <v>418</v>
      </c>
      <c r="E425" s="89">
        <v>0</v>
      </c>
      <c r="F425" s="89">
        <v>0</v>
      </c>
      <c r="G425" s="89">
        <f>F425-E425</f>
        <v>0</v>
      </c>
      <c r="I425" s="133">
        <f>I416+1</f>
        <v>46129</v>
      </c>
      <c r="J425" s="136" t="s">
        <v>77</v>
      </c>
      <c r="K425" s="137" t="s">
        <v>83</v>
      </c>
      <c r="L425" s="95" t="s">
        <v>422</v>
      </c>
      <c r="M425" s="89">
        <v>0.83333333333333337</v>
      </c>
      <c r="N425" s="89">
        <v>0.84375</v>
      </c>
      <c r="O425" s="89">
        <f>N425-M425</f>
        <v>1.041666666666663E-2</v>
      </c>
    </row>
    <row r="426" spans="1:15" ht="30" x14ac:dyDescent="0.25">
      <c r="A426" s="134"/>
      <c r="B426" s="136"/>
      <c r="C426" s="138"/>
      <c r="D426" s="88" t="s">
        <v>419</v>
      </c>
      <c r="E426" s="89">
        <v>0.47291666666666665</v>
      </c>
      <c r="F426" s="89">
        <v>0.4826388888888889</v>
      </c>
      <c r="G426" s="89">
        <f t="shared" ref="G426:G432" si="94">F426-E426</f>
        <v>9.7222222222222432E-3</v>
      </c>
      <c r="I426" s="134"/>
      <c r="J426" s="136"/>
      <c r="K426" s="138"/>
      <c r="L426" s="95" t="s">
        <v>423</v>
      </c>
      <c r="M426" s="89">
        <v>0</v>
      </c>
      <c r="N426" s="89">
        <v>0</v>
      </c>
      <c r="O426" s="89">
        <f t="shared" ref="O426:O432" si="95">N426-M426</f>
        <v>0</v>
      </c>
    </row>
    <row r="427" spans="1:15" x14ac:dyDescent="0.25">
      <c r="A427" s="134"/>
      <c r="B427" s="136"/>
      <c r="C427" s="138"/>
      <c r="D427" s="90"/>
      <c r="E427" s="89">
        <v>0</v>
      </c>
      <c r="F427" s="89">
        <v>0</v>
      </c>
      <c r="G427" s="89">
        <f t="shared" si="94"/>
        <v>0</v>
      </c>
      <c r="I427" s="134"/>
      <c r="J427" s="136"/>
      <c r="K427" s="138"/>
      <c r="L427" s="96" t="s">
        <v>424</v>
      </c>
      <c r="M427" s="89">
        <v>0</v>
      </c>
      <c r="N427" s="89">
        <v>0</v>
      </c>
      <c r="O427" s="89">
        <f t="shared" si="95"/>
        <v>0</v>
      </c>
    </row>
    <row r="428" spans="1:15" x14ac:dyDescent="0.25">
      <c r="A428" s="134"/>
      <c r="B428" s="136"/>
      <c r="C428" s="138"/>
      <c r="D428" s="90"/>
      <c r="E428" s="89">
        <v>0</v>
      </c>
      <c r="F428" s="89">
        <v>0</v>
      </c>
      <c r="G428" s="89">
        <f t="shared" si="94"/>
        <v>0</v>
      </c>
      <c r="I428" s="134"/>
      <c r="J428" s="136"/>
      <c r="K428" s="138"/>
      <c r="L428" s="96" t="s">
        <v>425</v>
      </c>
      <c r="M428" s="89">
        <v>0</v>
      </c>
      <c r="N428" s="89">
        <v>0</v>
      </c>
      <c r="O428" s="89">
        <f t="shared" si="95"/>
        <v>0</v>
      </c>
    </row>
    <row r="429" spans="1:15" x14ac:dyDescent="0.25">
      <c r="A429" s="134"/>
      <c r="B429" s="136"/>
      <c r="C429" s="138"/>
      <c r="D429" s="90"/>
      <c r="E429" s="89">
        <v>0</v>
      </c>
      <c r="F429" s="89">
        <v>0</v>
      </c>
      <c r="G429" s="89">
        <f t="shared" si="94"/>
        <v>0</v>
      </c>
      <c r="I429" s="134"/>
      <c r="J429" s="136"/>
      <c r="K429" s="138"/>
      <c r="L429" s="96" t="s">
        <v>426</v>
      </c>
      <c r="M429" s="89">
        <v>0.27083333333333331</v>
      </c>
      <c r="N429" s="89">
        <v>0.31597222222222221</v>
      </c>
      <c r="O429" s="89">
        <f t="shared" si="95"/>
        <v>4.5138888888888895E-2</v>
      </c>
    </row>
    <row r="430" spans="1:15" x14ac:dyDescent="0.25">
      <c r="A430" s="134"/>
      <c r="B430" s="136"/>
      <c r="C430" s="138"/>
      <c r="D430" s="90"/>
      <c r="E430" s="89">
        <v>0</v>
      </c>
      <c r="F430" s="89">
        <v>0</v>
      </c>
      <c r="G430" s="89">
        <f t="shared" si="94"/>
        <v>0</v>
      </c>
      <c r="I430" s="134"/>
      <c r="J430" s="136"/>
      <c r="K430" s="138"/>
      <c r="L430" s="96"/>
      <c r="M430" s="89">
        <v>0</v>
      </c>
      <c r="N430" s="89">
        <v>0</v>
      </c>
      <c r="O430" s="89">
        <f t="shared" si="95"/>
        <v>0</v>
      </c>
    </row>
    <row r="431" spans="1:15" x14ac:dyDescent="0.25">
      <c r="A431" s="134"/>
      <c r="B431" s="136"/>
      <c r="C431" s="138"/>
      <c r="D431" s="90"/>
      <c r="E431" s="89">
        <v>0</v>
      </c>
      <c r="F431" s="89">
        <v>0</v>
      </c>
      <c r="G431" s="89">
        <f t="shared" si="94"/>
        <v>0</v>
      </c>
      <c r="I431" s="134"/>
      <c r="J431" s="136"/>
      <c r="K431" s="138"/>
      <c r="L431" s="96"/>
      <c r="M431" s="89">
        <v>0</v>
      </c>
      <c r="N431" s="89">
        <v>0</v>
      </c>
      <c r="O431" s="89">
        <f t="shared" si="95"/>
        <v>0</v>
      </c>
    </row>
    <row r="432" spans="1:15" x14ac:dyDescent="0.25">
      <c r="A432" s="135"/>
      <c r="B432" s="136"/>
      <c r="C432" s="139"/>
      <c r="D432" s="90"/>
      <c r="E432" s="89">
        <v>0</v>
      </c>
      <c r="F432" s="89">
        <v>0</v>
      </c>
      <c r="G432" s="89">
        <f t="shared" si="94"/>
        <v>0</v>
      </c>
      <c r="I432" s="135"/>
      <c r="J432" s="136"/>
      <c r="K432" s="139"/>
      <c r="L432" s="96"/>
      <c r="M432" s="89">
        <v>0</v>
      </c>
      <c r="N432" s="89">
        <v>0</v>
      </c>
      <c r="O432" s="89">
        <f t="shared" si="95"/>
        <v>0</v>
      </c>
    </row>
    <row r="433" spans="1:15" ht="15.75" thickBot="1" x14ac:dyDescent="0.3">
      <c r="A433" s="91"/>
      <c r="B433" s="91"/>
      <c r="C433" s="91"/>
      <c r="D433" s="91"/>
      <c r="E433" s="91"/>
      <c r="F433" s="91"/>
      <c r="G433" s="92">
        <f>SUM(G425,G432)</f>
        <v>0</v>
      </c>
      <c r="I433" s="91"/>
      <c r="J433" s="91"/>
      <c r="K433" s="91"/>
      <c r="L433" s="97"/>
      <c r="M433" s="91"/>
      <c r="N433" s="91"/>
      <c r="O433" s="92">
        <f>SUM(O425,O432)</f>
        <v>1.041666666666663E-2</v>
      </c>
    </row>
    <row r="434" spans="1:15" ht="75" x14ac:dyDescent="0.25">
      <c r="A434" s="133">
        <f>A425+1</f>
        <v>46130</v>
      </c>
      <c r="B434" s="136" t="s">
        <v>113</v>
      </c>
      <c r="C434" s="137" t="s">
        <v>82</v>
      </c>
      <c r="D434" s="88" t="s">
        <v>428</v>
      </c>
      <c r="E434" s="89">
        <v>0.37013888888888891</v>
      </c>
      <c r="F434" s="89">
        <v>0.44305555555555554</v>
      </c>
      <c r="G434" s="89">
        <f>F434-E434</f>
        <v>7.291666666666663E-2</v>
      </c>
      <c r="I434" s="133">
        <f>I425+1</f>
        <v>46130</v>
      </c>
      <c r="J434" s="136" t="s">
        <v>114</v>
      </c>
      <c r="K434" s="137" t="s">
        <v>83</v>
      </c>
      <c r="L434" s="95" t="s">
        <v>436</v>
      </c>
      <c r="M434" s="89">
        <v>4.3749999999999997E-2</v>
      </c>
      <c r="N434" s="89">
        <v>0.13125000000000001</v>
      </c>
      <c r="O434" s="89">
        <f>N434-M434</f>
        <v>8.7500000000000008E-2</v>
      </c>
    </row>
    <row r="435" spans="1:15" ht="30" x14ac:dyDescent="0.25">
      <c r="A435" s="134"/>
      <c r="B435" s="136"/>
      <c r="C435" s="138"/>
      <c r="D435" s="88" t="s">
        <v>429</v>
      </c>
      <c r="E435" s="89">
        <v>0</v>
      </c>
      <c r="F435" s="89">
        <v>0</v>
      </c>
      <c r="G435" s="89">
        <f t="shared" ref="G435:G441" si="96">F435-E435</f>
        <v>0</v>
      </c>
      <c r="I435" s="134"/>
      <c r="J435" s="136"/>
      <c r="K435" s="138"/>
      <c r="L435" s="95" t="s">
        <v>437</v>
      </c>
      <c r="M435" s="89">
        <v>0</v>
      </c>
      <c r="N435" s="89">
        <v>0</v>
      </c>
      <c r="O435" s="89">
        <f t="shared" ref="O435:O441" si="97">N435-M435</f>
        <v>0</v>
      </c>
    </row>
    <row r="436" spans="1:15" ht="30" x14ac:dyDescent="0.25">
      <c r="A436" s="134"/>
      <c r="B436" s="136"/>
      <c r="C436" s="138"/>
      <c r="D436" s="90" t="s">
        <v>430</v>
      </c>
      <c r="E436" s="89">
        <v>0</v>
      </c>
      <c r="F436" s="89">
        <v>0</v>
      </c>
      <c r="G436" s="89">
        <f t="shared" si="96"/>
        <v>0</v>
      </c>
      <c r="I436" s="134"/>
      <c r="J436" s="136"/>
      <c r="K436" s="138"/>
      <c r="L436" s="93" t="s">
        <v>438</v>
      </c>
      <c r="M436" s="89">
        <v>0</v>
      </c>
      <c r="N436" s="89">
        <v>0</v>
      </c>
      <c r="O436" s="89">
        <f t="shared" si="97"/>
        <v>0</v>
      </c>
    </row>
    <row r="437" spans="1:15" ht="45" x14ac:dyDescent="0.25">
      <c r="A437" s="134"/>
      <c r="B437" s="136"/>
      <c r="C437" s="138"/>
      <c r="D437" s="90" t="s">
        <v>431</v>
      </c>
      <c r="E437" s="89">
        <v>0</v>
      </c>
      <c r="F437" s="89">
        <v>0</v>
      </c>
      <c r="G437" s="89">
        <f t="shared" si="96"/>
        <v>0</v>
      </c>
      <c r="I437" s="134"/>
      <c r="J437" s="136"/>
      <c r="K437" s="138"/>
      <c r="L437" s="93" t="s">
        <v>439</v>
      </c>
      <c r="M437" s="89">
        <v>0.28333333333333333</v>
      </c>
      <c r="N437" s="89">
        <v>0.3263888888888889</v>
      </c>
      <c r="O437" s="89">
        <f t="shared" si="97"/>
        <v>4.3055555555555569E-2</v>
      </c>
    </row>
    <row r="438" spans="1:15" x14ac:dyDescent="0.25">
      <c r="A438" s="134"/>
      <c r="B438" s="136"/>
      <c r="C438" s="138"/>
      <c r="D438" s="90" t="s">
        <v>432</v>
      </c>
      <c r="E438" s="89">
        <v>0</v>
      </c>
      <c r="F438" s="89">
        <v>0</v>
      </c>
      <c r="G438" s="89">
        <f t="shared" si="96"/>
        <v>0</v>
      </c>
      <c r="I438" s="134"/>
      <c r="J438" s="136"/>
      <c r="K438" s="138"/>
      <c r="L438" s="96"/>
      <c r="M438" s="89">
        <v>0</v>
      </c>
      <c r="N438" s="89">
        <v>0</v>
      </c>
      <c r="O438" s="89">
        <f t="shared" si="97"/>
        <v>0</v>
      </c>
    </row>
    <row r="439" spans="1:15" x14ac:dyDescent="0.25">
      <c r="A439" s="134"/>
      <c r="B439" s="136"/>
      <c r="C439" s="138"/>
      <c r="D439" s="90" t="s">
        <v>433</v>
      </c>
      <c r="E439" s="89">
        <v>0.69861111111111107</v>
      </c>
      <c r="F439" s="89">
        <v>0.71666666666666667</v>
      </c>
      <c r="G439" s="89">
        <f t="shared" si="96"/>
        <v>1.8055555555555602E-2</v>
      </c>
      <c r="I439" s="134"/>
      <c r="J439" s="136"/>
      <c r="K439" s="138"/>
      <c r="L439" s="96"/>
      <c r="M439" s="89">
        <v>0</v>
      </c>
      <c r="N439" s="89">
        <v>0</v>
      </c>
      <c r="O439" s="89">
        <f t="shared" si="97"/>
        <v>0</v>
      </c>
    </row>
    <row r="440" spans="1:15" x14ac:dyDescent="0.25">
      <c r="A440" s="134"/>
      <c r="B440" s="136"/>
      <c r="C440" s="138"/>
      <c r="D440" s="90" t="s">
        <v>434</v>
      </c>
      <c r="E440" s="89">
        <v>0</v>
      </c>
      <c r="F440" s="89">
        <v>0</v>
      </c>
      <c r="G440" s="89">
        <f t="shared" si="96"/>
        <v>0</v>
      </c>
      <c r="I440" s="134"/>
      <c r="J440" s="136"/>
      <c r="K440" s="138"/>
      <c r="L440" s="96"/>
      <c r="M440" s="89">
        <v>0</v>
      </c>
      <c r="N440" s="89">
        <v>0</v>
      </c>
      <c r="O440" s="89">
        <f t="shared" si="97"/>
        <v>0</v>
      </c>
    </row>
    <row r="441" spans="1:15" x14ac:dyDescent="0.25">
      <c r="A441" s="135"/>
      <c r="B441" s="136"/>
      <c r="C441" s="139"/>
      <c r="D441" s="90"/>
      <c r="E441" s="89">
        <v>0</v>
      </c>
      <c r="F441" s="89">
        <v>0</v>
      </c>
      <c r="G441" s="89">
        <f t="shared" si="96"/>
        <v>0</v>
      </c>
      <c r="I441" s="135"/>
      <c r="J441" s="136"/>
      <c r="K441" s="139"/>
      <c r="L441" s="96"/>
      <c r="M441" s="89">
        <v>0</v>
      </c>
      <c r="N441" s="89">
        <v>0</v>
      </c>
      <c r="O441" s="89">
        <f t="shared" si="97"/>
        <v>0</v>
      </c>
    </row>
    <row r="442" spans="1:15" ht="15.75" thickBot="1" x14ac:dyDescent="0.3">
      <c r="A442" s="91"/>
      <c r="B442" s="91"/>
      <c r="C442" s="91"/>
      <c r="D442" s="91"/>
      <c r="E442" s="91"/>
      <c r="F442" s="91"/>
      <c r="G442" s="92">
        <f>SUM(G434,G441)</f>
        <v>7.291666666666663E-2</v>
      </c>
      <c r="I442" s="91"/>
      <c r="J442" s="91"/>
      <c r="K442" s="91"/>
      <c r="L442" s="97"/>
      <c r="M442" s="91"/>
      <c r="N442" s="91"/>
      <c r="O442" s="92">
        <f>SUM(O434,O441)</f>
        <v>8.7500000000000008E-2</v>
      </c>
    </row>
    <row r="443" spans="1:15" ht="45" x14ac:dyDescent="0.25">
      <c r="A443" s="133">
        <f>A434+1</f>
        <v>46131</v>
      </c>
      <c r="B443" s="136" t="s">
        <v>75</v>
      </c>
      <c r="C443" s="137" t="s">
        <v>82</v>
      </c>
      <c r="D443" s="88" t="s">
        <v>441</v>
      </c>
      <c r="E443" s="89">
        <v>0.33333333333333331</v>
      </c>
      <c r="F443" s="89">
        <v>0.36805555555555558</v>
      </c>
      <c r="G443" s="89">
        <f>F443-E443</f>
        <v>3.4722222222222265E-2</v>
      </c>
      <c r="I443" s="133">
        <f>I434+1</f>
        <v>46131</v>
      </c>
      <c r="J443" s="136" t="s">
        <v>113</v>
      </c>
      <c r="K443" s="137" t="s">
        <v>83</v>
      </c>
      <c r="L443" s="95" t="s">
        <v>446</v>
      </c>
      <c r="M443" s="89">
        <v>0</v>
      </c>
      <c r="N443" s="89">
        <v>0</v>
      </c>
      <c r="O443" s="89">
        <f>N443-M443</f>
        <v>0</v>
      </c>
    </row>
    <row r="444" spans="1:15" ht="30" x14ac:dyDescent="0.25">
      <c r="A444" s="134"/>
      <c r="B444" s="136"/>
      <c r="C444" s="138"/>
      <c r="D444" s="88" t="s">
        <v>442</v>
      </c>
      <c r="E444" s="89"/>
      <c r="F444" s="89"/>
      <c r="G444" s="89"/>
      <c r="I444" s="134"/>
      <c r="J444" s="136"/>
      <c r="K444" s="138"/>
      <c r="L444" s="95" t="s">
        <v>451</v>
      </c>
      <c r="M444" s="89">
        <v>0</v>
      </c>
      <c r="N444" s="89">
        <v>0</v>
      </c>
      <c r="O444" s="89">
        <f t="shared" ref="O444:O450" si="98">N444-M444</f>
        <v>0</v>
      </c>
    </row>
    <row r="445" spans="1:15" x14ac:dyDescent="0.25">
      <c r="A445" s="134"/>
      <c r="B445" s="136"/>
      <c r="C445" s="138"/>
      <c r="D445" s="90" t="s">
        <v>443</v>
      </c>
      <c r="E445" s="89">
        <v>0.55972222222222223</v>
      </c>
      <c r="F445" s="89">
        <v>0.61319444444444449</v>
      </c>
      <c r="G445" s="89">
        <f t="shared" ref="G445:G450" si="99">F445-E445</f>
        <v>5.3472222222222254E-2</v>
      </c>
      <c r="I445" s="134"/>
      <c r="J445" s="136"/>
      <c r="K445" s="138"/>
      <c r="L445" s="96" t="s">
        <v>447</v>
      </c>
      <c r="M445" s="89">
        <v>0.84652777777777777</v>
      </c>
      <c r="N445" s="89">
        <v>0.85486111111111107</v>
      </c>
      <c r="O445" s="89">
        <f t="shared" si="98"/>
        <v>8.3333333333333037E-3</v>
      </c>
    </row>
    <row r="446" spans="1:15" x14ac:dyDescent="0.25">
      <c r="A446" s="134"/>
      <c r="B446" s="136"/>
      <c r="C446" s="138"/>
      <c r="D446" s="90" t="s">
        <v>444</v>
      </c>
      <c r="E446" s="89">
        <v>0</v>
      </c>
      <c r="F446" s="89">
        <v>0</v>
      </c>
      <c r="G446" s="89">
        <f t="shared" si="99"/>
        <v>0</v>
      </c>
      <c r="I446" s="134"/>
      <c r="J446" s="136"/>
      <c r="K446" s="138"/>
      <c r="L446" s="96" t="s">
        <v>448</v>
      </c>
      <c r="M446" s="89">
        <v>0.87222222222222223</v>
      </c>
      <c r="N446" s="89">
        <v>0.8979166666666667</v>
      </c>
      <c r="O446" s="89">
        <f t="shared" si="98"/>
        <v>2.5694444444444464E-2</v>
      </c>
    </row>
    <row r="447" spans="1:15" x14ac:dyDescent="0.25">
      <c r="A447" s="134"/>
      <c r="B447" s="136"/>
      <c r="C447" s="138"/>
      <c r="D447" s="90"/>
      <c r="E447" s="89">
        <v>0</v>
      </c>
      <c r="F447" s="89">
        <v>0</v>
      </c>
      <c r="G447" s="89">
        <f t="shared" si="99"/>
        <v>0</v>
      </c>
      <c r="I447" s="134"/>
      <c r="J447" s="136"/>
      <c r="K447" s="138"/>
      <c r="L447" s="96" t="s">
        <v>449</v>
      </c>
      <c r="M447" s="89">
        <v>0</v>
      </c>
      <c r="N447" s="89">
        <v>0</v>
      </c>
      <c r="O447" s="89">
        <f t="shared" si="98"/>
        <v>0</v>
      </c>
    </row>
    <row r="448" spans="1:15" x14ac:dyDescent="0.25">
      <c r="A448" s="134"/>
      <c r="B448" s="136"/>
      <c r="C448" s="138"/>
      <c r="D448" s="90"/>
      <c r="E448" s="89">
        <v>0</v>
      </c>
      <c r="F448" s="89">
        <v>0</v>
      </c>
      <c r="G448" s="89">
        <f t="shared" si="99"/>
        <v>0</v>
      </c>
      <c r="I448" s="134"/>
      <c r="J448" s="136"/>
      <c r="K448" s="138"/>
      <c r="L448" s="96" t="s">
        <v>450</v>
      </c>
      <c r="M448" s="89">
        <v>0</v>
      </c>
      <c r="N448" s="89">
        <v>0</v>
      </c>
      <c r="O448" s="89">
        <f t="shared" si="98"/>
        <v>0</v>
      </c>
    </row>
    <row r="449" spans="1:15" x14ac:dyDescent="0.25">
      <c r="A449" s="134"/>
      <c r="B449" s="136"/>
      <c r="C449" s="138"/>
      <c r="D449" s="90"/>
      <c r="E449" s="89">
        <v>0</v>
      </c>
      <c r="F449" s="89">
        <v>0</v>
      </c>
      <c r="G449" s="89">
        <f t="shared" si="99"/>
        <v>0</v>
      </c>
      <c r="I449" s="134"/>
      <c r="J449" s="136"/>
      <c r="K449" s="138"/>
      <c r="L449" s="96" t="s">
        <v>452</v>
      </c>
      <c r="M449" s="89">
        <v>0</v>
      </c>
      <c r="N449" s="89">
        <v>0</v>
      </c>
      <c r="O449" s="89">
        <f t="shared" si="98"/>
        <v>0</v>
      </c>
    </row>
    <row r="450" spans="1:15" x14ac:dyDescent="0.25">
      <c r="A450" s="135"/>
      <c r="B450" s="136"/>
      <c r="C450" s="139"/>
      <c r="D450" s="90"/>
      <c r="E450" s="89">
        <v>0</v>
      </c>
      <c r="F450" s="89">
        <v>0</v>
      </c>
      <c r="G450" s="89">
        <f t="shared" si="99"/>
        <v>0</v>
      </c>
      <c r="I450" s="135"/>
      <c r="J450" s="136"/>
      <c r="K450" s="139"/>
      <c r="L450" s="96" t="s">
        <v>453</v>
      </c>
      <c r="M450" s="89">
        <v>9.7916666666666666E-2</v>
      </c>
      <c r="N450" s="89">
        <v>0.12083333333333333</v>
      </c>
      <c r="O450" s="89">
        <f t="shared" si="98"/>
        <v>2.2916666666666669E-2</v>
      </c>
    </row>
    <row r="451" spans="1:15" ht="15.75" thickBot="1" x14ac:dyDescent="0.3">
      <c r="A451" s="91"/>
      <c r="B451" s="91"/>
      <c r="C451" s="91"/>
      <c r="D451" s="91"/>
      <c r="E451" s="91"/>
      <c r="F451" s="91"/>
      <c r="G451" s="92">
        <f>SUM(G443,G450)</f>
        <v>3.4722222222222265E-2</v>
      </c>
      <c r="I451" s="91"/>
      <c r="J451" s="91"/>
      <c r="K451" s="91"/>
      <c r="L451" s="97" t="s">
        <v>454</v>
      </c>
      <c r="M451" s="91"/>
      <c r="N451" s="91"/>
      <c r="O451" s="92"/>
    </row>
    <row r="452" spans="1:15" x14ac:dyDescent="0.25">
      <c r="A452" s="133">
        <f>A443+1</f>
        <v>46132</v>
      </c>
      <c r="B452" s="136"/>
      <c r="C452" s="137" t="s">
        <v>82</v>
      </c>
      <c r="D452" s="88"/>
      <c r="E452" s="89">
        <v>0</v>
      </c>
      <c r="F452" s="89">
        <v>0</v>
      </c>
      <c r="G452" s="89">
        <f>F452-E452</f>
        <v>0</v>
      </c>
      <c r="I452" s="133">
        <f>I443+1</f>
        <v>46132</v>
      </c>
      <c r="J452" s="136"/>
      <c r="K452" s="137" t="s">
        <v>83</v>
      </c>
      <c r="L452" s="95" t="s">
        <v>455</v>
      </c>
      <c r="M452" s="89">
        <v>0</v>
      </c>
      <c r="N452" s="89">
        <v>0</v>
      </c>
      <c r="O452" s="89">
        <f>N452-M452</f>
        <v>0</v>
      </c>
    </row>
    <row r="453" spans="1:15" x14ac:dyDescent="0.25">
      <c r="A453" s="134"/>
      <c r="B453" s="136"/>
      <c r="C453" s="138"/>
      <c r="D453" s="88"/>
      <c r="E453" s="89">
        <v>0</v>
      </c>
      <c r="F453" s="89">
        <v>0</v>
      </c>
      <c r="G453" s="89">
        <f t="shared" ref="G453:G459" si="100">F453-E453</f>
        <v>0</v>
      </c>
      <c r="I453" s="134"/>
      <c r="J453" s="136"/>
      <c r="K453" s="138"/>
      <c r="L453" s="95" t="s">
        <v>456</v>
      </c>
      <c r="M453" s="89">
        <v>0.14583333333333334</v>
      </c>
      <c r="N453" s="89">
        <v>0.16597222222222222</v>
      </c>
      <c r="O453" s="89">
        <f t="shared" ref="O453:O459" si="101">N453-M453</f>
        <v>2.0138888888888873E-2</v>
      </c>
    </row>
    <row r="454" spans="1:15" x14ac:dyDescent="0.25">
      <c r="A454" s="134"/>
      <c r="B454" s="136"/>
      <c r="C454" s="138"/>
      <c r="D454" s="90"/>
      <c r="E454" s="89">
        <v>0</v>
      </c>
      <c r="F454" s="89">
        <v>0</v>
      </c>
      <c r="G454" s="89">
        <f t="shared" si="100"/>
        <v>0</v>
      </c>
      <c r="I454" s="134"/>
      <c r="J454" s="136"/>
      <c r="K454" s="138"/>
      <c r="L454" s="96" t="s">
        <v>457</v>
      </c>
      <c r="M454" s="89">
        <v>0.21527777777777779</v>
      </c>
      <c r="N454" s="89">
        <v>0</v>
      </c>
      <c r="O454" s="89">
        <f t="shared" si="101"/>
        <v>-0.21527777777777779</v>
      </c>
    </row>
    <row r="455" spans="1:15" x14ac:dyDescent="0.25">
      <c r="A455" s="134"/>
      <c r="B455" s="136"/>
      <c r="C455" s="138"/>
      <c r="D455" s="90"/>
      <c r="E455" s="89">
        <v>0</v>
      </c>
      <c r="F455" s="89">
        <v>0</v>
      </c>
      <c r="G455" s="89">
        <f t="shared" si="100"/>
        <v>0</v>
      </c>
      <c r="I455" s="134"/>
      <c r="J455" s="136"/>
      <c r="K455" s="138"/>
      <c r="L455" s="96" t="s">
        <v>458</v>
      </c>
      <c r="M455" s="89">
        <v>0</v>
      </c>
      <c r="N455" s="89">
        <v>0</v>
      </c>
      <c r="O455" s="89">
        <f t="shared" si="101"/>
        <v>0</v>
      </c>
    </row>
    <row r="456" spans="1:15" x14ac:dyDescent="0.25">
      <c r="A456" s="134"/>
      <c r="B456" s="136"/>
      <c r="C456" s="138"/>
      <c r="D456" s="90"/>
      <c r="E456" s="89">
        <v>0</v>
      </c>
      <c r="F456" s="89">
        <v>0</v>
      </c>
      <c r="G456" s="89">
        <f t="shared" si="100"/>
        <v>0</v>
      </c>
      <c r="I456" s="134"/>
      <c r="J456" s="136"/>
      <c r="K456" s="138"/>
      <c r="L456" s="96"/>
      <c r="M456" s="89">
        <v>0</v>
      </c>
      <c r="N456" s="89">
        <v>0</v>
      </c>
      <c r="O456" s="89">
        <f t="shared" si="101"/>
        <v>0</v>
      </c>
    </row>
    <row r="457" spans="1:15" x14ac:dyDescent="0.25">
      <c r="A457" s="134"/>
      <c r="B457" s="136"/>
      <c r="C457" s="138"/>
      <c r="D457" s="90"/>
      <c r="E457" s="89">
        <v>0</v>
      </c>
      <c r="F457" s="89">
        <v>0</v>
      </c>
      <c r="G457" s="89">
        <f t="shared" si="100"/>
        <v>0</v>
      </c>
      <c r="I457" s="134"/>
      <c r="J457" s="136"/>
      <c r="K457" s="138"/>
      <c r="L457" s="96"/>
      <c r="M457" s="89">
        <v>0</v>
      </c>
      <c r="N457" s="89">
        <v>0</v>
      </c>
      <c r="O457" s="89">
        <f t="shared" si="101"/>
        <v>0</v>
      </c>
    </row>
    <row r="458" spans="1:15" x14ac:dyDescent="0.25">
      <c r="A458" s="134"/>
      <c r="B458" s="136"/>
      <c r="C458" s="138"/>
      <c r="D458" s="90"/>
      <c r="E458" s="89">
        <v>0</v>
      </c>
      <c r="F458" s="89">
        <v>0</v>
      </c>
      <c r="G458" s="89">
        <f t="shared" si="100"/>
        <v>0</v>
      </c>
      <c r="I458" s="134"/>
      <c r="J458" s="136"/>
      <c r="K458" s="138"/>
      <c r="L458" s="96"/>
      <c r="M458" s="89">
        <v>0</v>
      </c>
      <c r="N458" s="89">
        <v>0</v>
      </c>
      <c r="O458" s="89">
        <f t="shared" si="101"/>
        <v>0</v>
      </c>
    </row>
    <row r="459" spans="1:15" x14ac:dyDescent="0.25">
      <c r="A459" s="135"/>
      <c r="B459" s="136"/>
      <c r="C459" s="139"/>
      <c r="D459" s="90"/>
      <c r="E459" s="89">
        <v>0</v>
      </c>
      <c r="F459" s="89">
        <v>0</v>
      </c>
      <c r="G459" s="89">
        <f t="shared" si="100"/>
        <v>0</v>
      </c>
      <c r="I459" s="135"/>
      <c r="J459" s="136"/>
      <c r="K459" s="139"/>
      <c r="L459" s="96"/>
      <c r="M459" s="89">
        <v>0</v>
      </c>
      <c r="N459" s="89">
        <v>0</v>
      </c>
      <c r="O459" s="89">
        <f t="shared" si="101"/>
        <v>0</v>
      </c>
    </row>
    <row r="460" spans="1:15" ht="15.75" thickBot="1" x14ac:dyDescent="0.3">
      <c r="A460" s="91"/>
      <c r="B460" s="91"/>
      <c r="C460" s="91"/>
      <c r="D460" s="91"/>
      <c r="E460" s="91"/>
      <c r="F460" s="91"/>
      <c r="G460" s="92">
        <f>SUM(G452,G459)</f>
        <v>0</v>
      </c>
      <c r="I460" s="91"/>
      <c r="J460" s="91"/>
      <c r="K460" s="91"/>
      <c r="L460" s="97"/>
      <c r="M460" s="91"/>
      <c r="N460" s="91"/>
      <c r="O460" s="92">
        <f>SUM(O452,O459)</f>
        <v>0</v>
      </c>
    </row>
    <row r="461" spans="1:15" x14ac:dyDescent="0.25">
      <c r="A461" s="133">
        <f>A452+1</f>
        <v>46133</v>
      </c>
      <c r="B461" s="136"/>
      <c r="C461" s="137" t="s">
        <v>82</v>
      </c>
      <c r="D461" s="88"/>
      <c r="E461" s="89">
        <v>0</v>
      </c>
      <c r="F461" s="89">
        <v>0</v>
      </c>
      <c r="G461" s="89">
        <f>F461-E461</f>
        <v>0</v>
      </c>
      <c r="I461" s="133">
        <f>I452+1</f>
        <v>46133</v>
      </c>
      <c r="J461" s="136"/>
      <c r="K461" s="137" t="s">
        <v>83</v>
      </c>
      <c r="L461" s="95"/>
      <c r="M461" s="89">
        <v>0</v>
      </c>
      <c r="N461" s="89">
        <v>0</v>
      </c>
      <c r="O461" s="89">
        <f>N461-M461</f>
        <v>0</v>
      </c>
    </row>
    <row r="462" spans="1:15" x14ac:dyDescent="0.25">
      <c r="A462" s="134"/>
      <c r="B462" s="136"/>
      <c r="C462" s="138"/>
      <c r="D462" s="88"/>
      <c r="E462" s="89">
        <v>0</v>
      </c>
      <c r="F462" s="89">
        <v>0</v>
      </c>
      <c r="G462" s="89">
        <f t="shared" ref="G462:G468" si="102">F462-E462</f>
        <v>0</v>
      </c>
      <c r="I462" s="134"/>
      <c r="J462" s="136"/>
      <c r="K462" s="138"/>
      <c r="L462" s="95"/>
      <c r="M462" s="89">
        <v>0</v>
      </c>
      <c r="N462" s="89">
        <v>0</v>
      </c>
      <c r="O462" s="89">
        <f t="shared" ref="O462:O468" si="103">N462-M462</f>
        <v>0</v>
      </c>
    </row>
    <row r="463" spans="1:15" x14ac:dyDescent="0.25">
      <c r="A463" s="134"/>
      <c r="B463" s="136"/>
      <c r="C463" s="138"/>
      <c r="D463" s="90"/>
      <c r="E463" s="89">
        <v>0</v>
      </c>
      <c r="F463" s="89">
        <v>0</v>
      </c>
      <c r="G463" s="89">
        <f t="shared" si="102"/>
        <v>0</v>
      </c>
      <c r="I463" s="134"/>
      <c r="J463" s="136"/>
      <c r="K463" s="138"/>
      <c r="L463" s="96"/>
      <c r="M463" s="89">
        <v>0</v>
      </c>
      <c r="N463" s="89">
        <v>0</v>
      </c>
      <c r="O463" s="89">
        <f t="shared" si="103"/>
        <v>0</v>
      </c>
    </row>
    <row r="464" spans="1:15" x14ac:dyDescent="0.25">
      <c r="A464" s="134"/>
      <c r="B464" s="136"/>
      <c r="C464" s="138"/>
      <c r="D464" s="90"/>
      <c r="E464" s="89">
        <v>0</v>
      </c>
      <c r="F464" s="89">
        <v>0</v>
      </c>
      <c r="G464" s="89">
        <f t="shared" si="102"/>
        <v>0</v>
      </c>
      <c r="I464" s="134"/>
      <c r="J464" s="136"/>
      <c r="K464" s="138"/>
      <c r="L464" s="96"/>
      <c r="M464" s="89">
        <v>0</v>
      </c>
      <c r="N464" s="89">
        <v>0</v>
      </c>
      <c r="O464" s="89">
        <f t="shared" si="103"/>
        <v>0</v>
      </c>
    </row>
    <row r="465" spans="1:15" x14ac:dyDescent="0.25">
      <c r="A465" s="134"/>
      <c r="B465" s="136"/>
      <c r="C465" s="138"/>
      <c r="D465" s="90"/>
      <c r="E465" s="89">
        <v>0</v>
      </c>
      <c r="F465" s="89">
        <v>0</v>
      </c>
      <c r="G465" s="89">
        <f t="shared" si="102"/>
        <v>0</v>
      </c>
      <c r="I465" s="134"/>
      <c r="J465" s="136"/>
      <c r="K465" s="138"/>
      <c r="L465" s="96"/>
      <c r="M465" s="89">
        <v>0</v>
      </c>
      <c r="N465" s="89">
        <v>0</v>
      </c>
      <c r="O465" s="89">
        <f t="shared" si="103"/>
        <v>0</v>
      </c>
    </row>
    <row r="466" spans="1:15" x14ac:dyDescent="0.25">
      <c r="A466" s="134"/>
      <c r="B466" s="136"/>
      <c r="C466" s="138"/>
      <c r="D466" s="90"/>
      <c r="E466" s="89">
        <v>0</v>
      </c>
      <c r="F466" s="89">
        <v>0</v>
      </c>
      <c r="G466" s="89">
        <f t="shared" si="102"/>
        <v>0</v>
      </c>
      <c r="I466" s="134"/>
      <c r="J466" s="136"/>
      <c r="K466" s="138"/>
      <c r="L466" s="96"/>
      <c r="M466" s="89">
        <v>0</v>
      </c>
      <c r="N466" s="89">
        <v>0</v>
      </c>
      <c r="O466" s="89">
        <f t="shared" si="103"/>
        <v>0</v>
      </c>
    </row>
    <row r="467" spans="1:15" x14ac:dyDescent="0.25">
      <c r="A467" s="134"/>
      <c r="B467" s="136"/>
      <c r="C467" s="138"/>
      <c r="D467" s="90"/>
      <c r="E467" s="89">
        <v>0</v>
      </c>
      <c r="F467" s="89">
        <v>0</v>
      </c>
      <c r="G467" s="89">
        <f t="shared" si="102"/>
        <v>0</v>
      </c>
      <c r="I467" s="134"/>
      <c r="J467" s="136"/>
      <c r="K467" s="138"/>
      <c r="L467" s="96"/>
      <c r="M467" s="89">
        <v>0</v>
      </c>
      <c r="N467" s="89">
        <v>0</v>
      </c>
      <c r="O467" s="89">
        <f t="shared" si="103"/>
        <v>0</v>
      </c>
    </row>
    <row r="468" spans="1:15" x14ac:dyDescent="0.25">
      <c r="A468" s="135"/>
      <c r="B468" s="136"/>
      <c r="C468" s="139"/>
      <c r="D468" s="90"/>
      <c r="E468" s="89">
        <v>0</v>
      </c>
      <c r="F468" s="89">
        <v>0</v>
      </c>
      <c r="G468" s="89">
        <f t="shared" si="102"/>
        <v>0</v>
      </c>
      <c r="I468" s="135"/>
      <c r="J468" s="136"/>
      <c r="K468" s="139"/>
      <c r="L468" s="96"/>
      <c r="M468" s="89">
        <v>0</v>
      </c>
      <c r="N468" s="89">
        <v>0</v>
      </c>
      <c r="O468" s="89">
        <f t="shared" si="103"/>
        <v>0</v>
      </c>
    </row>
    <row r="469" spans="1:15" ht="15.75" thickBot="1" x14ac:dyDescent="0.3">
      <c r="A469" s="91"/>
      <c r="B469" s="91"/>
      <c r="C469" s="91"/>
      <c r="D469" s="91"/>
      <c r="E469" s="91"/>
      <c r="F469" s="91"/>
      <c r="G469" s="92">
        <f>SUM(G461,G468)</f>
        <v>0</v>
      </c>
      <c r="I469" s="91"/>
      <c r="J469" s="91"/>
      <c r="K469" s="91"/>
      <c r="L469" s="97"/>
      <c r="M469" s="91"/>
      <c r="N469" s="91"/>
      <c r="O469" s="92">
        <f>SUM(O461,O468)</f>
        <v>0</v>
      </c>
    </row>
    <row r="470" spans="1:15" x14ac:dyDescent="0.25">
      <c r="A470" s="133">
        <f>A461+1</f>
        <v>46134</v>
      </c>
      <c r="B470" s="136"/>
      <c r="C470" s="137" t="s">
        <v>82</v>
      </c>
      <c r="D470" s="88"/>
      <c r="E470" s="89">
        <v>0</v>
      </c>
      <c r="F470" s="89">
        <v>0</v>
      </c>
      <c r="G470" s="89">
        <f>F470-E470</f>
        <v>0</v>
      </c>
      <c r="I470" s="133">
        <f>I461+1</f>
        <v>46134</v>
      </c>
      <c r="J470" s="136"/>
      <c r="K470" s="137" t="s">
        <v>83</v>
      </c>
      <c r="L470" s="95"/>
      <c r="M470" s="89">
        <v>0</v>
      </c>
      <c r="N470" s="89">
        <v>0</v>
      </c>
      <c r="O470" s="89">
        <f>N470-M470</f>
        <v>0</v>
      </c>
    </row>
    <row r="471" spans="1:15" x14ac:dyDescent="0.25">
      <c r="A471" s="134"/>
      <c r="B471" s="136"/>
      <c r="C471" s="138"/>
      <c r="D471" s="88"/>
      <c r="E471" s="89">
        <v>0</v>
      </c>
      <c r="F471" s="89">
        <v>0</v>
      </c>
      <c r="G471" s="89">
        <f t="shared" ref="G471:G477" si="104">F471-E471</f>
        <v>0</v>
      </c>
      <c r="I471" s="134"/>
      <c r="J471" s="136"/>
      <c r="K471" s="138"/>
      <c r="L471" s="95"/>
      <c r="M471" s="89">
        <v>0</v>
      </c>
      <c r="N471" s="89">
        <v>0</v>
      </c>
      <c r="O471" s="89">
        <f t="shared" ref="O471:O477" si="105">N471-M471</f>
        <v>0</v>
      </c>
    </row>
    <row r="472" spans="1:15" x14ac:dyDescent="0.25">
      <c r="A472" s="134"/>
      <c r="B472" s="136"/>
      <c r="C472" s="138"/>
      <c r="D472" s="90"/>
      <c r="E472" s="89">
        <v>0</v>
      </c>
      <c r="F472" s="89">
        <v>0</v>
      </c>
      <c r="G472" s="89">
        <f t="shared" si="104"/>
        <v>0</v>
      </c>
      <c r="I472" s="134"/>
      <c r="J472" s="136"/>
      <c r="K472" s="138"/>
      <c r="L472" s="96"/>
      <c r="M472" s="89">
        <v>0</v>
      </c>
      <c r="N472" s="89">
        <v>0</v>
      </c>
      <c r="O472" s="89">
        <f t="shared" si="105"/>
        <v>0</v>
      </c>
    </row>
    <row r="473" spans="1:15" x14ac:dyDescent="0.25">
      <c r="A473" s="134"/>
      <c r="B473" s="136"/>
      <c r="C473" s="138"/>
      <c r="D473" s="90"/>
      <c r="E473" s="89">
        <v>0</v>
      </c>
      <c r="F473" s="89">
        <v>0</v>
      </c>
      <c r="G473" s="89">
        <f t="shared" si="104"/>
        <v>0</v>
      </c>
      <c r="I473" s="134"/>
      <c r="J473" s="136"/>
      <c r="K473" s="138"/>
      <c r="L473" s="96"/>
      <c r="M473" s="89">
        <v>0</v>
      </c>
      <c r="N473" s="89">
        <v>0</v>
      </c>
      <c r="O473" s="89">
        <f t="shared" si="105"/>
        <v>0</v>
      </c>
    </row>
    <row r="474" spans="1:15" x14ac:dyDescent="0.25">
      <c r="A474" s="134"/>
      <c r="B474" s="136"/>
      <c r="C474" s="138"/>
      <c r="D474" s="90"/>
      <c r="E474" s="89">
        <v>0</v>
      </c>
      <c r="F474" s="89">
        <v>0</v>
      </c>
      <c r="G474" s="89">
        <f t="shared" si="104"/>
        <v>0</v>
      </c>
      <c r="I474" s="134"/>
      <c r="J474" s="136"/>
      <c r="K474" s="138"/>
      <c r="L474" s="96"/>
      <c r="M474" s="89">
        <v>0</v>
      </c>
      <c r="N474" s="89">
        <v>0</v>
      </c>
      <c r="O474" s="89">
        <f t="shared" si="105"/>
        <v>0</v>
      </c>
    </row>
    <row r="475" spans="1:15" x14ac:dyDescent="0.25">
      <c r="A475" s="134"/>
      <c r="B475" s="136"/>
      <c r="C475" s="138"/>
      <c r="D475" s="90"/>
      <c r="E475" s="89">
        <v>0</v>
      </c>
      <c r="F475" s="89">
        <v>0</v>
      </c>
      <c r="G475" s="89">
        <f t="shared" si="104"/>
        <v>0</v>
      </c>
      <c r="I475" s="134"/>
      <c r="J475" s="136"/>
      <c r="K475" s="138"/>
      <c r="L475" s="96"/>
      <c r="M475" s="89">
        <v>0</v>
      </c>
      <c r="N475" s="89">
        <v>0</v>
      </c>
      <c r="O475" s="89">
        <f t="shared" si="105"/>
        <v>0</v>
      </c>
    </row>
    <row r="476" spans="1:15" x14ac:dyDescent="0.25">
      <c r="A476" s="134"/>
      <c r="B476" s="136"/>
      <c r="C476" s="138"/>
      <c r="D476" s="90"/>
      <c r="E476" s="89">
        <v>0</v>
      </c>
      <c r="F476" s="89">
        <v>0</v>
      </c>
      <c r="G476" s="89">
        <f t="shared" si="104"/>
        <v>0</v>
      </c>
      <c r="I476" s="134"/>
      <c r="J476" s="136"/>
      <c r="K476" s="138"/>
      <c r="L476" s="96"/>
      <c r="M476" s="89">
        <v>0</v>
      </c>
      <c r="N476" s="89">
        <v>0</v>
      </c>
      <c r="O476" s="89">
        <f t="shared" si="105"/>
        <v>0</v>
      </c>
    </row>
    <row r="477" spans="1:15" x14ac:dyDescent="0.25">
      <c r="A477" s="135"/>
      <c r="B477" s="136"/>
      <c r="C477" s="139"/>
      <c r="D477" s="90"/>
      <c r="E477" s="89">
        <v>0</v>
      </c>
      <c r="F477" s="89">
        <v>0</v>
      </c>
      <c r="G477" s="89">
        <f t="shared" si="104"/>
        <v>0</v>
      </c>
      <c r="I477" s="135"/>
      <c r="J477" s="136"/>
      <c r="K477" s="139"/>
      <c r="L477" s="96"/>
      <c r="M477" s="89">
        <v>0</v>
      </c>
      <c r="N477" s="89">
        <v>0</v>
      </c>
      <c r="O477" s="89">
        <f t="shared" si="105"/>
        <v>0</v>
      </c>
    </row>
    <row r="478" spans="1:15" ht="15.75" thickBot="1" x14ac:dyDescent="0.3">
      <c r="A478" s="91"/>
      <c r="B478" s="91"/>
      <c r="C478" s="91"/>
      <c r="D478" s="91"/>
      <c r="E478" s="91"/>
      <c r="F478" s="91"/>
      <c r="G478" s="92">
        <f>SUM(G470,G477)</f>
        <v>0</v>
      </c>
      <c r="I478" s="91"/>
      <c r="J478" s="91"/>
      <c r="K478" s="91"/>
      <c r="L478" s="97"/>
      <c r="M478" s="91"/>
      <c r="N478" s="91"/>
      <c r="O478" s="92">
        <f>SUM(O470,O477)</f>
        <v>0</v>
      </c>
    </row>
    <row r="479" spans="1:15" x14ac:dyDescent="0.25">
      <c r="A479" s="133">
        <f>A470+1</f>
        <v>46135</v>
      </c>
      <c r="B479" s="136"/>
      <c r="C479" s="137" t="s">
        <v>82</v>
      </c>
      <c r="D479" s="88"/>
      <c r="E479" s="89">
        <v>0</v>
      </c>
      <c r="F479" s="89">
        <v>0</v>
      </c>
      <c r="G479" s="89">
        <f>F479-E479</f>
        <v>0</v>
      </c>
      <c r="I479" s="133">
        <f>I470+1</f>
        <v>46135</v>
      </c>
      <c r="J479" s="136"/>
      <c r="K479" s="137" t="s">
        <v>83</v>
      </c>
      <c r="L479" s="95"/>
      <c r="M479" s="89">
        <v>0</v>
      </c>
      <c r="N479" s="89">
        <v>0</v>
      </c>
      <c r="O479" s="89">
        <f>N479-M479</f>
        <v>0</v>
      </c>
    </row>
    <row r="480" spans="1:15" x14ac:dyDescent="0.25">
      <c r="A480" s="134"/>
      <c r="B480" s="136"/>
      <c r="C480" s="138"/>
      <c r="D480" s="88"/>
      <c r="E480" s="89">
        <v>0</v>
      </c>
      <c r="F480" s="89">
        <v>0</v>
      </c>
      <c r="G480" s="89">
        <f t="shared" ref="G480:G486" si="106">F480-E480</f>
        <v>0</v>
      </c>
      <c r="I480" s="134"/>
      <c r="J480" s="136"/>
      <c r="K480" s="138"/>
      <c r="L480" s="95"/>
      <c r="M480" s="89">
        <v>0</v>
      </c>
      <c r="N480" s="89">
        <v>0</v>
      </c>
      <c r="O480" s="89">
        <f t="shared" ref="O480:O486" si="107">N480-M480</f>
        <v>0</v>
      </c>
    </row>
    <row r="481" spans="1:15" x14ac:dyDescent="0.25">
      <c r="A481" s="134"/>
      <c r="B481" s="136"/>
      <c r="C481" s="138"/>
      <c r="D481" s="90"/>
      <c r="E481" s="89">
        <v>0</v>
      </c>
      <c r="F481" s="89">
        <v>0</v>
      </c>
      <c r="G481" s="89">
        <f t="shared" si="106"/>
        <v>0</v>
      </c>
      <c r="I481" s="134"/>
      <c r="J481" s="136"/>
      <c r="K481" s="138"/>
      <c r="L481" s="96"/>
      <c r="M481" s="89">
        <v>0</v>
      </c>
      <c r="N481" s="89">
        <v>0</v>
      </c>
      <c r="O481" s="89">
        <f t="shared" si="107"/>
        <v>0</v>
      </c>
    </row>
    <row r="482" spans="1:15" x14ac:dyDescent="0.25">
      <c r="A482" s="134"/>
      <c r="B482" s="136"/>
      <c r="C482" s="138"/>
      <c r="D482" s="90"/>
      <c r="E482" s="89">
        <v>0</v>
      </c>
      <c r="F482" s="89">
        <v>0</v>
      </c>
      <c r="G482" s="89">
        <f t="shared" si="106"/>
        <v>0</v>
      </c>
      <c r="I482" s="134"/>
      <c r="J482" s="136"/>
      <c r="K482" s="138"/>
      <c r="L482" s="96"/>
      <c r="M482" s="89">
        <v>0</v>
      </c>
      <c r="N482" s="89">
        <v>0</v>
      </c>
      <c r="O482" s="89">
        <f t="shared" si="107"/>
        <v>0</v>
      </c>
    </row>
    <row r="483" spans="1:15" x14ac:dyDescent="0.25">
      <c r="A483" s="134"/>
      <c r="B483" s="136"/>
      <c r="C483" s="138"/>
      <c r="D483" s="90"/>
      <c r="E483" s="89">
        <v>0</v>
      </c>
      <c r="F483" s="89">
        <v>0</v>
      </c>
      <c r="G483" s="89">
        <f t="shared" si="106"/>
        <v>0</v>
      </c>
      <c r="I483" s="134"/>
      <c r="J483" s="136"/>
      <c r="K483" s="138"/>
      <c r="L483" s="96"/>
      <c r="M483" s="89">
        <v>0</v>
      </c>
      <c r="N483" s="89">
        <v>0</v>
      </c>
      <c r="O483" s="89">
        <f t="shared" si="107"/>
        <v>0</v>
      </c>
    </row>
    <row r="484" spans="1:15" x14ac:dyDescent="0.25">
      <c r="A484" s="134"/>
      <c r="B484" s="136"/>
      <c r="C484" s="138"/>
      <c r="D484" s="90"/>
      <c r="E484" s="89">
        <v>0</v>
      </c>
      <c r="F484" s="89">
        <v>0</v>
      </c>
      <c r="G484" s="89">
        <f t="shared" si="106"/>
        <v>0</v>
      </c>
      <c r="I484" s="134"/>
      <c r="J484" s="136"/>
      <c r="K484" s="138"/>
      <c r="L484" s="96"/>
      <c r="M484" s="89">
        <v>0</v>
      </c>
      <c r="N484" s="89">
        <v>0</v>
      </c>
      <c r="O484" s="89">
        <f t="shared" si="107"/>
        <v>0</v>
      </c>
    </row>
    <row r="485" spans="1:15" x14ac:dyDescent="0.25">
      <c r="A485" s="134"/>
      <c r="B485" s="136"/>
      <c r="C485" s="138"/>
      <c r="D485" s="90"/>
      <c r="E485" s="89">
        <v>0</v>
      </c>
      <c r="F485" s="89">
        <v>0</v>
      </c>
      <c r="G485" s="89">
        <f t="shared" si="106"/>
        <v>0</v>
      </c>
      <c r="I485" s="134"/>
      <c r="J485" s="136"/>
      <c r="K485" s="138"/>
      <c r="L485" s="96"/>
      <c r="M485" s="89">
        <v>0</v>
      </c>
      <c r="N485" s="89">
        <v>0</v>
      </c>
      <c r="O485" s="89">
        <f t="shared" si="107"/>
        <v>0</v>
      </c>
    </row>
    <row r="486" spans="1:15" x14ac:dyDescent="0.25">
      <c r="A486" s="135"/>
      <c r="B486" s="136"/>
      <c r="C486" s="139"/>
      <c r="D486" s="90"/>
      <c r="E486" s="89">
        <v>0</v>
      </c>
      <c r="F486" s="89">
        <v>0</v>
      </c>
      <c r="G486" s="89">
        <f t="shared" si="106"/>
        <v>0</v>
      </c>
      <c r="I486" s="135"/>
      <c r="J486" s="136"/>
      <c r="K486" s="139"/>
      <c r="L486" s="96"/>
      <c r="M486" s="89">
        <v>0</v>
      </c>
      <c r="N486" s="89">
        <v>0</v>
      </c>
      <c r="O486" s="89">
        <f t="shared" si="107"/>
        <v>0</v>
      </c>
    </row>
    <row r="487" spans="1:15" ht="15.75" thickBot="1" x14ac:dyDescent="0.3">
      <c r="A487" s="91"/>
      <c r="B487" s="91"/>
      <c r="C487" s="91"/>
      <c r="D487" s="91"/>
      <c r="E487" s="91"/>
      <c r="F487" s="91"/>
      <c r="G487" s="92">
        <f>SUM(G479,G486)</f>
        <v>0</v>
      </c>
      <c r="I487" s="91"/>
      <c r="J487" s="91"/>
      <c r="K487" s="91"/>
      <c r="L487" s="97"/>
      <c r="M487" s="91"/>
      <c r="N487" s="91"/>
      <c r="O487" s="92">
        <f>SUM(O479,O486)</f>
        <v>0</v>
      </c>
    </row>
    <row r="488" spans="1:15" x14ac:dyDescent="0.25">
      <c r="A488" s="133">
        <f>A479+1</f>
        <v>46136</v>
      </c>
      <c r="B488" s="136"/>
      <c r="C488" s="137" t="s">
        <v>82</v>
      </c>
      <c r="D488" s="88"/>
      <c r="E488" s="89">
        <v>0</v>
      </c>
      <c r="F488" s="89">
        <v>0</v>
      </c>
      <c r="G488" s="89">
        <f>F488-E488</f>
        <v>0</v>
      </c>
      <c r="I488" s="133">
        <f>I479+1</f>
        <v>46136</v>
      </c>
      <c r="J488" s="136"/>
      <c r="K488" s="137" t="s">
        <v>83</v>
      </c>
      <c r="L488" s="95"/>
      <c r="M488" s="89">
        <v>0</v>
      </c>
      <c r="N488" s="89">
        <v>0</v>
      </c>
      <c r="O488" s="89">
        <f>N488-M488</f>
        <v>0</v>
      </c>
    </row>
    <row r="489" spans="1:15" x14ac:dyDescent="0.25">
      <c r="A489" s="134"/>
      <c r="B489" s="136"/>
      <c r="C489" s="138"/>
      <c r="D489" s="88"/>
      <c r="E489" s="89">
        <v>0</v>
      </c>
      <c r="F489" s="89">
        <v>0</v>
      </c>
      <c r="G489" s="89">
        <f t="shared" ref="G489:G495" si="108">F489-E489</f>
        <v>0</v>
      </c>
      <c r="I489" s="134"/>
      <c r="J489" s="136"/>
      <c r="K489" s="138"/>
      <c r="L489" s="95"/>
      <c r="M489" s="89">
        <v>0</v>
      </c>
      <c r="N489" s="89">
        <v>0</v>
      </c>
      <c r="O489" s="89">
        <f t="shared" ref="O489:O495" si="109">N489-M489</f>
        <v>0</v>
      </c>
    </row>
    <row r="490" spans="1:15" x14ac:dyDescent="0.25">
      <c r="A490" s="134"/>
      <c r="B490" s="136"/>
      <c r="C490" s="138"/>
      <c r="D490" s="90"/>
      <c r="E490" s="89">
        <v>0</v>
      </c>
      <c r="F490" s="89">
        <v>0</v>
      </c>
      <c r="G490" s="89">
        <f t="shared" si="108"/>
        <v>0</v>
      </c>
      <c r="I490" s="134"/>
      <c r="J490" s="136"/>
      <c r="K490" s="138"/>
      <c r="L490" s="96"/>
      <c r="M490" s="89">
        <v>0</v>
      </c>
      <c r="N490" s="89">
        <v>0</v>
      </c>
      <c r="O490" s="89">
        <f t="shared" si="109"/>
        <v>0</v>
      </c>
    </row>
    <row r="491" spans="1:15" x14ac:dyDescent="0.25">
      <c r="A491" s="134"/>
      <c r="B491" s="136"/>
      <c r="C491" s="138"/>
      <c r="D491" s="90"/>
      <c r="E491" s="89">
        <v>0</v>
      </c>
      <c r="F491" s="89">
        <v>0</v>
      </c>
      <c r="G491" s="89">
        <f t="shared" si="108"/>
        <v>0</v>
      </c>
      <c r="I491" s="134"/>
      <c r="J491" s="136"/>
      <c r="K491" s="138"/>
      <c r="L491" s="96"/>
      <c r="M491" s="89">
        <v>0</v>
      </c>
      <c r="N491" s="89">
        <v>0</v>
      </c>
      <c r="O491" s="89">
        <f t="shared" si="109"/>
        <v>0</v>
      </c>
    </row>
    <row r="492" spans="1:15" x14ac:dyDescent="0.25">
      <c r="A492" s="134"/>
      <c r="B492" s="136"/>
      <c r="C492" s="138"/>
      <c r="D492" s="90"/>
      <c r="E492" s="89">
        <v>0</v>
      </c>
      <c r="F492" s="89">
        <v>0</v>
      </c>
      <c r="G492" s="89">
        <f t="shared" si="108"/>
        <v>0</v>
      </c>
      <c r="I492" s="134"/>
      <c r="J492" s="136"/>
      <c r="K492" s="138"/>
      <c r="L492" s="96"/>
      <c r="M492" s="89">
        <v>0</v>
      </c>
      <c r="N492" s="89">
        <v>0</v>
      </c>
      <c r="O492" s="89">
        <f t="shared" si="109"/>
        <v>0</v>
      </c>
    </row>
    <row r="493" spans="1:15" x14ac:dyDescent="0.25">
      <c r="A493" s="134"/>
      <c r="B493" s="136"/>
      <c r="C493" s="138"/>
      <c r="D493" s="90"/>
      <c r="E493" s="89">
        <v>0</v>
      </c>
      <c r="F493" s="89">
        <v>0</v>
      </c>
      <c r="G493" s="89">
        <f t="shared" si="108"/>
        <v>0</v>
      </c>
      <c r="I493" s="134"/>
      <c r="J493" s="136"/>
      <c r="K493" s="138"/>
      <c r="L493" s="96"/>
      <c r="M493" s="89">
        <v>0</v>
      </c>
      <c r="N493" s="89">
        <v>0</v>
      </c>
      <c r="O493" s="89">
        <f t="shared" si="109"/>
        <v>0</v>
      </c>
    </row>
    <row r="494" spans="1:15" x14ac:dyDescent="0.25">
      <c r="A494" s="134"/>
      <c r="B494" s="136"/>
      <c r="C494" s="138"/>
      <c r="D494" s="90"/>
      <c r="E494" s="89">
        <v>0</v>
      </c>
      <c r="F494" s="89">
        <v>0</v>
      </c>
      <c r="G494" s="89">
        <f t="shared" si="108"/>
        <v>0</v>
      </c>
      <c r="I494" s="134"/>
      <c r="J494" s="136"/>
      <c r="K494" s="138"/>
      <c r="L494" s="96"/>
      <c r="M494" s="89">
        <v>0</v>
      </c>
      <c r="N494" s="89">
        <v>0</v>
      </c>
      <c r="O494" s="89">
        <f t="shared" si="109"/>
        <v>0</v>
      </c>
    </row>
    <row r="495" spans="1:15" x14ac:dyDescent="0.25">
      <c r="A495" s="135"/>
      <c r="B495" s="136"/>
      <c r="C495" s="139"/>
      <c r="D495" s="90"/>
      <c r="E495" s="89">
        <v>0</v>
      </c>
      <c r="F495" s="89">
        <v>0</v>
      </c>
      <c r="G495" s="89">
        <f t="shared" si="108"/>
        <v>0</v>
      </c>
      <c r="I495" s="135"/>
      <c r="J495" s="136"/>
      <c r="K495" s="139"/>
      <c r="L495" s="96"/>
      <c r="M495" s="89">
        <v>0</v>
      </c>
      <c r="N495" s="89">
        <v>0</v>
      </c>
      <c r="O495" s="89">
        <f t="shared" si="109"/>
        <v>0</v>
      </c>
    </row>
    <row r="496" spans="1:15" ht="15.75" thickBot="1" x14ac:dyDescent="0.3">
      <c r="A496" s="91"/>
      <c r="B496" s="91"/>
      <c r="C496" s="91"/>
      <c r="D496" s="91"/>
      <c r="E496" s="91"/>
      <c r="F496" s="91"/>
      <c r="G496" s="92">
        <f>SUM(G488,G495)</f>
        <v>0</v>
      </c>
      <c r="I496" s="91"/>
      <c r="J496" s="91"/>
      <c r="K496" s="91"/>
      <c r="L496" s="97"/>
      <c r="M496" s="91"/>
      <c r="N496" s="91"/>
      <c r="O496" s="92">
        <f>SUM(O488,O495)</f>
        <v>0</v>
      </c>
    </row>
    <row r="497" spans="1:15" x14ac:dyDescent="0.25">
      <c r="A497" s="133">
        <f>A488+1</f>
        <v>46137</v>
      </c>
      <c r="B497" s="136"/>
      <c r="C497" s="137" t="s">
        <v>82</v>
      </c>
      <c r="D497" s="88"/>
      <c r="E497" s="89">
        <v>0</v>
      </c>
      <c r="F497" s="89">
        <v>0</v>
      </c>
      <c r="G497" s="89">
        <f>F497-E497</f>
        <v>0</v>
      </c>
      <c r="I497" s="133">
        <f>I488+1</f>
        <v>46137</v>
      </c>
      <c r="J497" s="136"/>
      <c r="K497" s="137" t="s">
        <v>83</v>
      </c>
      <c r="L497" s="95"/>
      <c r="M497" s="89">
        <v>0</v>
      </c>
      <c r="N497" s="89">
        <v>0</v>
      </c>
      <c r="O497" s="89">
        <f>N497-M497</f>
        <v>0</v>
      </c>
    </row>
    <row r="498" spans="1:15" x14ac:dyDescent="0.25">
      <c r="A498" s="134"/>
      <c r="B498" s="136"/>
      <c r="C498" s="138"/>
      <c r="D498" s="88"/>
      <c r="E498" s="89">
        <v>0</v>
      </c>
      <c r="F498" s="89">
        <v>0</v>
      </c>
      <c r="G498" s="89">
        <f t="shared" ref="G498:G504" si="110">F498-E498</f>
        <v>0</v>
      </c>
      <c r="I498" s="134"/>
      <c r="J498" s="136"/>
      <c r="K498" s="138"/>
      <c r="L498" s="95"/>
      <c r="M498" s="89">
        <v>0</v>
      </c>
      <c r="N498" s="89">
        <v>0</v>
      </c>
      <c r="O498" s="89">
        <f t="shared" ref="O498:O504" si="111">N498-M498</f>
        <v>0</v>
      </c>
    </row>
    <row r="499" spans="1:15" x14ac:dyDescent="0.25">
      <c r="A499" s="134"/>
      <c r="B499" s="136"/>
      <c r="C499" s="138"/>
      <c r="D499" s="90"/>
      <c r="E499" s="89">
        <v>0</v>
      </c>
      <c r="F499" s="89">
        <v>0</v>
      </c>
      <c r="G499" s="89">
        <f t="shared" si="110"/>
        <v>0</v>
      </c>
      <c r="I499" s="134"/>
      <c r="J499" s="136"/>
      <c r="K499" s="138"/>
      <c r="L499" s="96"/>
      <c r="M499" s="89">
        <v>0</v>
      </c>
      <c r="N499" s="89">
        <v>0</v>
      </c>
      <c r="O499" s="89">
        <f t="shared" si="111"/>
        <v>0</v>
      </c>
    </row>
    <row r="500" spans="1:15" x14ac:dyDescent="0.25">
      <c r="A500" s="134"/>
      <c r="B500" s="136"/>
      <c r="C500" s="138"/>
      <c r="D500" s="90"/>
      <c r="E500" s="89">
        <v>0</v>
      </c>
      <c r="F500" s="89">
        <v>0</v>
      </c>
      <c r="G500" s="89">
        <f t="shared" si="110"/>
        <v>0</v>
      </c>
      <c r="I500" s="134"/>
      <c r="J500" s="136"/>
      <c r="K500" s="138"/>
      <c r="L500" s="96"/>
      <c r="M500" s="89">
        <v>0</v>
      </c>
      <c r="N500" s="89">
        <v>0</v>
      </c>
      <c r="O500" s="89">
        <f t="shared" si="111"/>
        <v>0</v>
      </c>
    </row>
    <row r="501" spans="1:15" x14ac:dyDescent="0.25">
      <c r="A501" s="134"/>
      <c r="B501" s="136"/>
      <c r="C501" s="138"/>
      <c r="D501" s="90"/>
      <c r="E501" s="89">
        <v>0</v>
      </c>
      <c r="F501" s="89">
        <v>0</v>
      </c>
      <c r="G501" s="89">
        <f t="shared" si="110"/>
        <v>0</v>
      </c>
      <c r="I501" s="134"/>
      <c r="J501" s="136"/>
      <c r="K501" s="138"/>
      <c r="L501" s="96"/>
      <c r="M501" s="89">
        <v>0</v>
      </c>
      <c r="N501" s="89">
        <v>0</v>
      </c>
      <c r="O501" s="89">
        <f t="shared" si="111"/>
        <v>0</v>
      </c>
    </row>
    <row r="502" spans="1:15" x14ac:dyDescent="0.25">
      <c r="A502" s="134"/>
      <c r="B502" s="136"/>
      <c r="C502" s="138"/>
      <c r="D502" s="90"/>
      <c r="E502" s="89">
        <v>0</v>
      </c>
      <c r="F502" s="89">
        <v>0</v>
      </c>
      <c r="G502" s="89">
        <f t="shared" si="110"/>
        <v>0</v>
      </c>
      <c r="I502" s="134"/>
      <c r="J502" s="136"/>
      <c r="K502" s="138"/>
      <c r="L502" s="96"/>
      <c r="M502" s="89">
        <v>0</v>
      </c>
      <c r="N502" s="89">
        <v>0</v>
      </c>
      <c r="O502" s="89">
        <f t="shared" si="111"/>
        <v>0</v>
      </c>
    </row>
    <row r="503" spans="1:15" x14ac:dyDescent="0.25">
      <c r="A503" s="134"/>
      <c r="B503" s="136"/>
      <c r="C503" s="138"/>
      <c r="D503" s="90"/>
      <c r="E503" s="89">
        <v>0</v>
      </c>
      <c r="F503" s="89">
        <v>0</v>
      </c>
      <c r="G503" s="89">
        <f t="shared" si="110"/>
        <v>0</v>
      </c>
      <c r="I503" s="134"/>
      <c r="J503" s="136"/>
      <c r="K503" s="138"/>
      <c r="L503" s="96"/>
      <c r="M503" s="89">
        <v>0</v>
      </c>
      <c r="N503" s="89">
        <v>0</v>
      </c>
      <c r="O503" s="89">
        <f t="shared" si="111"/>
        <v>0</v>
      </c>
    </row>
    <row r="504" spans="1:15" x14ac:dyDescent="0.25">
      <c r="A504" s="135"/>
      <c r="B504" s="136"/>
      <c r="C504" s="139"/>
      <c r="D504" s="90"/>
      <c r="E504" s="89">
        <v>0</v>
      </c>
      <c r="F504" s="89">
        <v>0</v>
      </c>
      <c r="G504" s="89">
        <f t="shared" si="110"/>
        <v>0</v>
      </c>
      <c r="I504" s="135"/>
      <c r="J504" s="136"/>
      <c r="K504" s="139"/>
      <c r="L504" s="96"/>
      <c r="M504" s="89">
        <v>0</v>
      </c>
      <c r="N504" s="89">
        <v>0</v>
      </c>
      <c r="O504" s="89">
        <f t="shared" si="111"/>
        <v>0</v>
      </c>
    </row>
    <row r="505" spans="1:15" ht="15.75" thickBot="1" x14ac:dyDescent="0.3">
      <c r="A505" s="91"/>
      <c r="B505" s="91"/>
      <c r="C505" s="91"/>
      <c r="D505" s="91"/>
      <c r="E505" s="91"/>
      <c r="F505" s="91"/>
      <c r="G505" s="92">
        <f>SUM(G497,G504)</f>
        <v>0</v>
      </c>
      <c r="I505" s="91"/>
      <c r="J505" s="91"/>
      <c r="K505" s="91"/>
      <c r="L505" s="97"/>
      <c r="M505" s="91"/>
      <c r="N505" s="91"/>
      <c r="O505" s="92">
        <f>SUM(O497,O504)</f>
        <v>0</v>
      </c>
    </row>
    <row r="506" spans="1:15" x14ac:dyDescent="0.25">
      <c r="A506" s="133">
        <f>A497+1</f>
        <v>46138</v>
      </c>
      <c r="B506" s="136"/>
      <c r="C506" s="137" t="s">
        <v>82</v>
      </c>
      <c r="D506" s="88"/>
      <c r="E506" s="89">
        <v>0</v>
      </c>
      <c r="F506" s="89">
        <v>0</v>
      </c>
      <c r="G506" s="89">
        <f>F506-E506</f>
        <v>0</v>
      </c>
      <c r="I506" s="133">
        <f>I497+1</f>
        <v>46138</v>
      </c>
      <c r="J506" s="136"/>
      <c r="K506" s="137" t="s">
        <v>83</v>
      </c>
      <c r="L506" s="95"/>
      <c r="M506" s="89">
        <v>0</v>
      </c>
      <c r="N506" s="89">
        <v>0</v>
      </c>
      <c r="O506" s="89">
        <f>N506-M506</f>
        <v>0</v>
      </c>
    </row>
    <row r="507" spans="1:15" x14ac:dyDescent="0.25">
      <c r="A507" s="134"/>
      <c r="B507" s="136"/>
      <c r="C507" s="138"/>
      <c r="D507" s="88"/>
      <c r="E507" s="89">
        <v>0</v>
      </c>
      <c r="F507" s="89">
        <v>0</v>
      </c>
      <c r="G507" s="89">
        <f t="shared" ref="G507:G513" si="112">F507-E507</f>
        <v>0</v>
      </c>
      <c r="I507" s="134"/>
      <c r="J507" s="136"/>
      <c r="K507" s="138"/>
      <c r="L507" s="95"/>
      <c r="M507" s="89">
        <v>0</v>
      </c>
      <c r="N507" s="89">
        <v>0</v>
      </c>
      <c r="O507" s="89">
        <f t="shared" ref="O507:O513" si="113">N507-M507</f>
        <v>0</v>
      </c>
    </row>
    <row r="508" spans="1:15" x14ac:dyDescent="0.25">
      <c r="A508" s="134"/>
      <c r="B508" s="136"/>
      <c r="C508" s="138"/>
      <c r="D508" s="90"/>
      <c r="E508" s="89">
        <v>0</v>
      </c>
      <c r="F508" s="89">
        <v>0</v>
      </c>
      <c r="G508" s="89">
        <f t="shared" si="112"/>
        <v>0</v>
      </c>
      <c r="I508" s="134"/>
      <c r="J508" s="136"/>
      <c r="K508" s="138"/>
      <c r="L508" s="96"/>
      <c r="M508" s="89">
        <v>0</v>
      </c>
      <c r="N508" s="89">
        <v>0</v>
      </c>
      <c r="O508" s="89">
        <f t="shared" si="113"/>
        <v>0</v>
      </c>
    </row>
    <row r="509" spans="1:15" x14ac:dyDescent="0.25">
      <c r="A509" s="134"/>
      <c r="B509" s="136"/>
      <c r="C509" s="138"/>
      <c r="D509" s="90"/>
      <c r="E509" s="89">
        <v>0</v>
      </c>
      <c r="F509" s="89">
        <v>0</v>
      </c>
      <c r="G509" s="89">
        <f t="shared" si="112"/>
        <v>0</v>
      </c>
      <c r="I509" s="134"/>
      <c r="J509" s="136"/>
      <c r="K509" s="138"/>
      <c r="L509" s="96"/>
      <c r="M509" s="89">
        <v>0</v>
      </c>
      <c r="N509" s="89">
        <v>0</v>
      </c>
      <c r="O509" s="89">
        <f t="shared" si="113"/>
        <v>0</v>
      </c>
    </row>
    <row r="510" spans="1:15" x14ac:dyDescent="0.25">
      <c r="A510" s="134"/>
      <c r="B510" s="136"/>
      <c r="C510" s="138"/>
      <c r="D510" s="90"/>
      <c r="E510" s="89">
        <v>0</v>
      </c>
      <c r="F510" s="89">
        <v>0</v>
      </c>
      <c r="G510" s="89">
        <f t="shared" si="112"/>
        <v>0</v>
      </c>
      <c r="I510" s="134"/>
      <c r="J510" s="136"/>
      <c r="K510" s="138"/>
      <c r="L510" s="96"/>
      <c r="M510" s="89">
        <v>0</v>
      </c>
      <c r="N510" s="89">
        <v>0</v>
      </c>
      <c r="O510" s="89">
        <f t="shared" si="113"/>
        <v>0</v>
      </c>
    </row>
    <row r="511" spans="1:15" x14ac:dyDescent="0.25">
      <c r="A511" s="134"/>
      <c r="B511" s="136"/>
      <c r="C511" s="138"/>
      <c r="D511" s="90"/>
      <c r="E511" s="89">
        <v>0</v>
      </c>
      <c r="F511" s="89">
        <v>0</v>
      </c>
      <c r="G511" s="89">
        <f t="shared" si="112"/>
        <v>0</v>
      </c>
      <c r="I511" s="134"/>
      <c r="J511" s="136"/>
      <c r="K511" s="138"/>
      <c r="L511" s="96"/>
      <c r="M511" s="89">
        <v>0</v>
      </c>
      <c r="N511" s="89">
        <v>0</v>
      </c>
      <c r="O511" s="89">
        <f t="shared" si="113"/>
        <v>0</v>
      </c>
    </row>
    <row r="512" spans="1:15" x14ac:dyDescent="0.25">
      <c r="A512" s="134"/>
      <c r="B512" s="136"/>
      <c r="C512" s="138"/>
      <c r="D512" s="90"/>
      <c r="E512" s="89">
        <v>0</v>
      </c>
      <c r="F512" s="89">
        <v>0</v>
      </c>
      <c r="G512" s="89">
        <f t="shared" si="112"/>
        <v>0</v>
      </c>
      <c r="I512" s="134"/>
      <c r="J512" s="136"/>
      <c r="K512" s="138"/>
      <c r="L512" s="96"/>
      <c r="M512" s="89">
        <v>0</v>
      </c>
      <c r="N512" s="89">
        <v>0</v>
      </c>
      <c r="O512" s="89">
        <f t="shared" si="113"/>
        <v>0</v>
      </c>
    </row>
    <row r="513" spans="1:15" x14ac:dyDescent="0.25">
      <c r="A513" s="135"/>
      <c r="B513" s="136"/>
      <c r="C513" s="139"/>
      <c r="D513" s="90"/>
      <c r="E513" s="89">
        <v>0</v>
      </c>
      <c r="F513" s="89">
        <v>0</v>
      </c>
      <c r="G513" s="89">
        <f t="shared" si="112"/>
        <v>0</v>
      </c>
      <c r="I513" s="135"/>
      <c r="J513" s="136"/>
      <c r="K513" s="139"/>
      <c r="L513" s="96"/>
      <c r="M513" s="89">
        <v>0</v>
      </c>
      <c r="N513" s="89">
        <v>0</v>
      </c>
      <c r="O513" s="89">
        <f t="shared" si="113"/>
        <v>0</v>
      </c>
    </row>
    <row r="514" spans="1:15" ht="15.75" thickBot="1" x14ac:dyDescent="0.3">
      <c r="A514" s="91"/>
      <c r="B514" s="91"/>
      <c r="C514" s="91"/>
      <c r="D514" s="91"/>
      <c r="E514" s="91"/>
      <c r="F514" s="91"/>
      <c r="G514" s="92">
        <f>SUM(G506,G513)</f>
        <v>0</v>
      </c>
      <c r="I514" s="91"/>
      <c r="J514" s="91"/>
      <c r="K514" s="91"/>
      <c r="L514" s="97"/>
      <c r="M514" s="91"/>
      <c r="N514" s="91"/>
      <c r="O514" s="92">
        <f>SUM(O506,O513)</f>
        <v>0</v>
      </c>
    </row>
    <row r="515" spans="1:15" x14ac:dyDescent="0.25">
      <c r="A515" s="133">
        <f>A506+1</f>
        <v>46139</v>
      </c>
      <c r="B515" s="136"/>
      <c r="C515" s="137" t="s">
        <v>82</v>
      </c>
      <c r="D515" s="88"/>
      <c r="E515" s="89">
        <v>0</v>
      </c>
      <c r="F515" s="89">
        <v>0</v>
      </c>
      <c r="G515" s="89">
        <f>F515-E515</f>
        <v>0</v>
      </c>
      <c r="I515" s="133">
        <f>I506+1</f>
        <v>46139</v>
      </c>
      <c r="J515" s="136"/>
      <c r="K515" s="137" t="s">
        <v>83</v>
      </c>
      <c r="L515" s="95"/>
      <c r="M515" s="89">
        <v>0</v>
      </c>
      <c r="N515" s="89">
        <v>0</v>
      </c>
      <c r="O515" s="89">
        <f>N515-M515</f>
        <v>0</v>
      </c>
    </row>
    <row r="516" spans="1:15" x14ac:dyDescent="0.25">
      <c r="A516" s="134"/>
      <c r="B516" s="136"/>
      <c r="C516" s="138"/>
      <c r="D516" s="88"/>
      <c r="E516" s="89">
        <v>0</v>
      </c>
      <c r="F516" s="89">
        <v>0</v>
      </c>
      <c r="G516" s="89">
        <f t="shared" ref="G516:G522" si="114">F516-E516</f>
        <v>0</v>
      </c>
      <c r="I516" s="134"/>
      <c r="J516" s="136"/>
      <c r="K516" s="138"/>
      <c r="L516" s="95"/>
      <c r="M516" s="89">
        <v>0</v>
      </c>
      <c r="N516" s="89">
        <v>0</v>
      </c>
      <c r="O516" s="89">
        <f t="shared" ref="O516:O522" si="115">N516-M516</f>
        <v>0</v>
      </c>
    </row>
    <row r="517" spans="1:15" x14ac:dyDescent="0.25">
      <c r="A517" s="134"/>
      <c r="B517" s="136"/>
      <c r="C517" s="138"/>
      <c r="D517" s="90"/>
      <c r="E517" s="89">
        <v>0</v>
      </c>
      <c r="F517" s="89">
        <v>0</v>
      </c>
      <c r="G517" s="89">
        <f t="shared" si="114"/>
        <v>0</v>
      </c>
      <c r="I517" s="134"/>
      <c r="J517" s="136"/>
      <c r="K517" s="138"/>
      <c r="L517" s="96"/>
      <c r="M517" s="89">
        <v>0</v>
      </c>
      <c r="N517" s="89">
        <v>0</v>
      </c>
      <c r="O517" s="89">
        <f t="shared" si="115"/>
        <v>0</v>
      </c>
    </row>
    <row r="518" spans="1:15" x14ac:dyDescent="0.25">
      <c r="A518" s="134"/>
      <c r="B518" s="136"/>
      <c r="C518" s="138"/>
      <c r="D518" s="90"/>
      <c r="E518" s="89">
        <v>0</v>
      </c>
      <c r="F518" s="89">
        <v>0</v>
      </c>
      <c r="G518" s="89">
        <f t="shared" si="114"/>
        <v>0</v>
      </c>
      <c r="I518" s="134"/>
      <c r="J518" s="136"/>
      <c r="K518" s="138"/>
      <c r="L518" s="96"/>
      <c r="M518" s="89">
        <v>0</v>
      </c>
      <c r="N518" s="89">
        <v>0</v>
      </c>
      <c r="O518" s="89">
        <f t="shared" si="115"/>
        <v>0</v>
      </c>
    </row>
    <row r="519" spans="1:15" x14ac:dyDescent="0.25">
      <c r="A519" s="134"/>
      <c r="B519" s="136"/>
      <c r="C519" s="138"/>
      <c r="D519" s="90"/>
      <c r="E519" s="89">
        <v>0</v>
      </c>
      <c r="F519" s="89">
        <v>0</v>
      </c>
      <c r="G519" s="89">
        <f t="shared" si="114"/>
        <v>0</v>
      </c>
      <c r="I519" s="134"/>
      <c r="J519" s="136"/>
      <c r="K519" s="138"/>
      <c r="L519" s="96"/>
      <c r="M519" s="89">
        <v>0</v>
      </c>
      <c r="N519" s="89">
        <v>0</v>
      </c>
      <c r="O519" s="89">
        <f t="shared" si="115"/>
        <v>0</v>
      </c>
    </row>
    <row r="520" spans="1:15" x14ac:dyDescent="0.25">
      <c r="A520" s="134"/>
      <c r="B520" s="136"/>
      <c r="C520" s="138"/>
      <c r="D520" s="90"/>
      <c r="E520" s="89">
        <v>0</v>
      </c>
      <c r="F520" s="89">
        <v>0</v>
      </c>
      <c r="G520" s="89">
        <f t="shared" si="114"/>
        <v>0</v>
      </c>
      <c r="I520" s="134"/>
      <c r="J520" s="136"/>
      <c r="K520" s="138"/>
      <c r="L520" s="96"/>
      <c r="M520" s="89">
        <v>0</v>
      </c>
      <c r="N520" s="89">
        <v>0</v>
      </c>
      <c r="O520" s="89">
        <f t="shared" si="115"/>
        <v>0</v>
      </c>
    </row>
    <row r="521" spans="1:15" x14ac:dyDescent="0.25">
      <c r="A521" s="134"/>
      <c r="B521" s="136"/>
      <c r="C521" s="138"/>
      <c r="D521" s="90"/>
      <c r="E521" s="89">
        <v>0</v>
      </c>
      <c r="F521" s="89">
        <v>0</v>
      </c>
      <c r="G521" s="89">
        <f t="shared" si="114"/>
        <v>0</v>
      </c>
      <c r="I521" s="134"/>
      <c r="J521" s="136"/>
      <c r="K521" s="138"/>
      <c r="L521" s="96"/>
      <c r="M521" s="89">
        <v>0</v>
      </c>
      <c r="N521" s="89">
        <v>0</v>
      </c>
      <c r="O521" s="89">
        <f t="shared" si="115"/>
        <v>0</v>
      </c>
    </row>
    <row r="522" spans="1:15" x14ac:dyDescent="0.25">
      <c r="A522" s="135"/>
      <c r="B522" s="136"/>
      <c r="C522" s="139"/>
      <c r="D522" s="90"/>
      <c r="E522" s="89">
        <v>0</v>
      </c>
      <c r="F522" s="89">
        <v>0</v>
      </c>
      <c r="G522" s="89">
        <f t="shared" si="114"/>
        <v>0</v>
      </c>
      <c r="I522" s="135"/>
      <c r="J522" s="136"/>
      <c r="K522" s="139"/>
      <c r="L522" s="96"/>
      <c r="M522" s="89">
        <v>0</v>
      </c>
      <c r="N522" s="89">
        <v>0</v>
      </c>
      <c r="O522" s="89">
        <f t="shared" si="115"/>
        <v>0</v>
      </c>
    </row>
    <row r="523" spans="1:15" ht="15.75" thickBot="1" x14ac:dyDescent="0.3">
      <c r="A523" s="91"/>
      <c r="B523" s="91"/>
      <c r="C523" s="91"/>
      <c r="D523" s="91"/>
      <c r="E523" s="91"/>
      <c r="F523" s="91"/>
      <c r="G523" s="92">
        <f>SUM(G515,G522)</f>
        <v>0</v>
      </c>
      <c r="I523" s="91"/>
      <c r="J523" s="91"/>
      <c r="K523" s="91"/>
      <c r="L523" s="97"/>
      <c r="M523" s="91"/>
      <c r="N523" s="91"/>
      <c r="O523" s="92">
        <f>SUM(O515,O522)</f>
        <v>0</v>
      </c>
    </row>
    <row r="524" spans="1:15" x14ac:dyDescent="0.25">
      <c r="A524" s="133">
        <f>A515+1</f>
        <v>46140</v>
      </c>
      <c r="B524" s="136"/>
      <c r="C524" s="137" t="s">
        <v>82</v>
      </c>
      <c r="D524" s="88"/>
      <c r="E524" s="89">
        <v>0</v>
      </c>
      <c r="F524" s="89">
        <v>0</v>
      </c>
      <c r="G524" s="89">
        <f>F524-E524</f>
        <v>0</v>
      </c>
      <c r="I524" s="133">
        <f>I515+1</f>
        <v>46140</v>
      </c>
      <c r="J524" s="136"/>
      <c r="K524" s="137" t="s">
        <v>83</v>
      </c>
      <c r="L524" s="95"/>
      <c r="M524" s="89">
        <v>0</v>
      </c>
      <c r="N524" s="89">
        <v>0</v>
      </c>
      <c r="O524" s="89">
        <f>N524-M524</f>
        <v>0</v>
      </c>
    </row>
    <row r="525" spans="1:15" x14ac:dyDescent="0.25">
      <c r="A525" s="134"/>
      <c r="B525" s="136"/>
      <c r="C525" s="138"/>
      <c r="D525" s="88"/>
      <c r="E525" s="89">
        <v>0</v>
      </c>
      <c r="F525" s="89">
        <v>0</v>
      </c>
      <c r="G525" s="89">
        <f t="shared" ref="G525:G531" si="116">F525-E525</f>
        <v>0</v>
      </c>
      <c r="I525" s="134"/>
      <c r="J525" s="136"/>
      <c r="K525" s="138"/>
      <c r="L525" s="95"/>
      <c r="M525" s="89">
        <v>0</v>
      </c>
      <c r="N525" s="89">
        <v>0</v>
      </c>
      <c r="O525" s="89">
        <f t="shared" ref="O525:O531" si="117">N525-M525</f>
        <v>0</v>
      </c>
    </row>
    <row r="526" spans="1:15" x14ac:dyDescent="0.25">
      <c r="A526" s="134"/>
      <c r="B526" s="136"/>
      <c r="C526" s="138"/>
      <c r="D526" s="90"/>
      <c r="E526" s="89">
        <v>0</v>
      </c>
      <c r="F526" s="89">
        <v>0</v>
      </c>
      <c r="G526" s="89">
        <f t="shared" si="116"/>
        <v>0</v>
      </c>
      <c r="I526" s="134"/>
      <c r="J526" s="136"/>
      <c r="K526" s="138"/>
      <c r="L526" s="96"/>
      <c r="M526" s="89">
        <v>0</v>
      </c>
      <c r="N526" s="89">
        <v>0</v>
      </c>
      <c r="O526" s="89">
        <f t="shared" si="117"/>
        <v>0</v>
      </c>
    </row>
    <row r="527" spans="1:15" x14ac:dyDescent="0.25">
      <c r="A527" s="134"/>
      <c r="B527" s="136"/>
      <c r="C527" s="138"/>
      <c r="D527" s="90"/>
      <c r="E527" s="89">
        <v>0</v>
      </c>
      <c r="F527" s="89">
        <v>0</v>
      </c>
      <c r="G527" s="89">
        <f t="shared" si="116"/>
        <v>0</v>
      </c>
      <c r="I527" s="134"/>
      <c r="J527" s="136"/>
      <c r="K527" s="138"/>
      <c r="L527" s="96"/>
      <c r="M527" s="89">
        <v>0</v>
      </c>
      <c r="N527" s="89">
        <v>0</v>
      </c>
      <c r="O527" s="89">
        <f t="shared" si="117"/>
        <v>0</v>
      </c>
    </row>
    <row r="528" spans="1:15" x14ac:dyDescent="0.25">
      <c r="A528" s="134"/>
      <c r="B528" s="136"/>
      <c r="C528" s="138"/>
      <c r="D528" s="90"/>
      <c r="E528" s="89">
        <v>0</v>
      </c>
      <c r="F528" s="89">
        <v>0</v>
      </c>
      <c r="G528" s="89">
        <f t="shared" si="116"/>
        <v>0</v>
      </c>
      <c r="I528" s="134"/>
      <c r="J528" s="136"/>
      <c r="K528" s="138"/>
      <c r="L528" s="96"/>
      <c r="M528" s="89">
        <v>0</v>
      </c>
      <c r="N528" s="89">
        <v>0</v>
      </c>
      <c r="O528" s="89">
        <f t="shared" si="117"/>
        <v>0</v>
      </c>
    </row>
    <row r="529" spans="1:15" x14ac:dyDescent="0.25">
      <c r="A529" s="134"/>
      <c r="B529" s="136"/>
      <c r="C529" s="138"/>
      <c r="D529" s="90"/>
      <c r="E529" s="89">
        <v>0</v>
      </c>
      <c r="F529" s="89">
        <v>0</v>
      </c>
      <c r="G529" s="89">
        <f t="shared" si="116"/>
        <v>0</v>
      </c>
      <c r="I529" s="134"/>
      <c r="J529" s="136"/>
      <c r="K529" s="138"/>
      <c r="L529" s="96"/>
      <c r="M529" s="89">
        <v>0</v>
      </c>
      <c r="N529" s="89">
        <v>0</v>
      </c>
      <c r="O529" s="89">
        <f t="shared" si="117"/>
        <v>0</v>
      </c>
    </row>
    <row r="530" spans="1:15" x14ac:dyDescent="0.25">
      <c r="A530" s="134"/>
      <c r="B530" s="136"/>
      <c r="C530" s="138"/>
      <c r="D530" s="90"/>
      <c r="E530" s="89">
        <v>0</v>
      </c>
      <c r="F530" s="89">
        <v>0</v>
      </c>
      <c r="G530" s="89">
        <f t="shared" si="116"/>
        <v>0</v>
      </c>
      <c r="I530" s="134"/>
      <c r="J530" s="136"/>
      <c r="K530" s="138"/>
      <c r="L530" s="96"/>
      <c r="M530" s="89">
        <v>0</v>
      </c>
      <c r="N530" s="89">
        <v>0</v>
      </c>
      <c r="O530" s="89">
        <f t="shared" si="117"/>
        <v>0</v>
      </c>
    </row>
    <row r="531" spans="1:15" x14ac:dyDescent="0.25">
      <c r="A531" s="135"/>
      <c r="B531" s="136"/>
      <c r="C531" s="139"/>
      <c r="D531" s="90"/>
      <c r="E531" s="89">
        <v>0</v>
      </c>
      <c r="F531" s="89">
        <v>0</v>
      </c>
      <c r="G531" s="89">
        <f t="shared" si="116"/>
        <v>0</v>
      </c>
      <c r="I531" s="135"/>
      <c r="J531" s="136"/>
      <c r="K531" s="139"/>
      <c r="L531" s="96"/>
      <c r="M531" s="89">
        <v>0</v>
      </c>
      <c r="N531" s="89">
        <v>0</v>
      </c>
      <c r="O531" s="89">
        <f t="shared" si="117"/>
        <v>0</v>
      </c>
    </row>
    <row r="532" spans="1:15" ht="15.75" thickBot="1" x14ac:dyDescent="0.3">
      <c r="A532" s="91"/>
      <c r="B532" s="91"/>
      <c r="C532" s="91"/>
      <c r="D532" s="91"/>
      <c r="E532" s="91"/>
      <c r="F532" s="91"/>
      <c r="G532" s="92">
        <f>SUM(G524,G531)</f>
        <v>0</v>
      </c>
      <c r="I532" s="91"/>
      <c r="J532" s="91"/>
      <c r="K532" s="91"/>
      <c r="L532" s="97"/>
      <c r="M532" s="91"/>
      <c r="N532" s="91"/>
      <c r="O532" s="92">
        <f>SUM(O524,O531)</f>
        <v>0</v>
      </c>
    </row>
    <row r="533" spans="1:15" x14ac:dyDescent="0.25">
      <c r="A533" s="133">
        <f>A524+1</f>
        <v>46141</v>
      </c>
      <c r="B533" s="136"/>
      <c r="C533" s="137" t="s">
        <v>82</v>
      </c>
      <c r="D533" s="88"/>
      <c r="E533" s="89">
        <v>0</v>
      </c>
      <c r="F533" s="89">
        <v>0</v>
      </c>
      <c r="G533" s="89">
        <f>F533-E533</f>
        <v>0</v>
      </c>
      <c r="I533" s="133">
        <f>I524+1</f>
        <v>46141</v>
      </c>
      <c r="J533" s="136"/>
      <c r="K533" s="137" t="s">
        <v>83</v>
      </c>
      <c r="L533" s="95"/>
      <c r="M533" s="89">
        <v>0</v>
      </c>
      <c r="N533" s="89">
        <v>0</v>
      </c>
      <c r="O533" s="89">
        <f>N533-M533</f>
        <v>0</v>
      </c>
    </row>
    <row r="534" spans="1:15" x14ac:dyDescent="0.25">
      <c r="A534" s="134"/>
      <c r="B534" s="136"/>
      <c r="C534" s="138"/>
      <c r="D534" s="88"/>
      <c r="E534" s="89">
        <v>0</v>
      </c>
      <c r="F534" s="89">
        <v>0</v>
      </c>
      <c r="G534" s="89">
        <f t="shared" ref="G534:G540" si="118">F534-E534</f>
        <v>0</v>
      </c>
      <c r="I534" s="134"/>
      <c r="J534" s="136"/>
      <c r="K534" s="138"/>
      <c r="L534" s="95"/>
      <c r="M534" s="89">
        <v>0</v>
      </c>
      <c r="N534" s="89">
        <v>0</v>
      </c>
      <c r="O534" s="89">
        <f t="shared" ref="O534:O540" si="119">N534-M534</f>
        <v>0</v>
      </c>
    </row>
    <row r="535" spans="1:15" x14ac:dyDescent="0.25">
      <c r="A535" s="134"/>
      <c r="B535" s="136"/>
      <c r="C535" s="138"/>
      <c r="D535" s="90"/>
      <c r="E535" s="89">
        <v>0</v>
      </c>
      <c r="F535" s="89">
        <v>0</v>
      </c>
      <c r="G535" s="89">
        <f t="shared" si="118"/>
        <v>0</v>
      </c>
      <c r="I535" s="134"/>
      <c r="J535" s="136"/>
      <c r="K535" s="138"/>
      <c r="L535" s="96"/>
      <c r="M535" s="89">
        <v>0</v>
      </c>
      <c r="N535" s="89">
        <v>0</v>
      </c>
      <c r="O535" s="89">
        <f t="shared" si="119"/>
        <v>0</v>
      </c>
    </row>
    <row r="536" spans="1:15" x14ac:dyDescent="0.25">
      <c r="A536" s="134"/>
      <c r="B536" s="136"/>
      <c r="C536" s="138"/>
      <c r="D536" s="90"/>
      <c r="E536" s="89">
        <v>0</v>
      </c>
      <c r="F536" s="89">
        <v>0</v>
      </c>
      <c r="G536" s="89">
        <f t="shared" si="118"/>
        <v>0</v>
      </c>
      <c r="I536" s="134"/>
      <c r="J536" s="136"/>
      <c r="K536" s="138"/>
      <c r="L536" s="96"/>
      <c r="M536" s="89">
        <v>0</v>
      </c>
      <c r="N536" s="89">
        <v>0</v>
      </c>
      <c r="O536" s="89">
        <f t="shared" si="119"/>
        <v>0</v>
      </c>
    </row>
    <row r="537" spans="1:15" x14ac:dyDescent="0.25">
      <c r="A537" s="134"/>
      <c r="B537" s="136"/>
      <c r="C537" s="138"/>
      <c r="D537" s="90"/>
      <c r="E537" s="89">
        <v>0</v>
      </c>
      <c r="F537" s="89">
        <v>0</v>
      </c>
      <c r="G537" s="89">
        <f t="shared" si="118"/>
        <v>0</v>
      </c>
      <c r="I537" s="134"/>
      <c r="J537" s="136"/>
      <c r="K537" s="138"/>
      <c r="L537" s="96"/>
      <c r="M537" s="89">
        <v>0</v>
      </c>
      <c r="N537" s="89">
        <v>0</v>
      </c>
      <c r="O537" s="89">
        <f t="shared" si="119"/>
        <v>0</v>
      </c>
    </row>
    <row r="538" spans="1:15" x14ac:dyDescent="0.25">
      <c r="A538" s="134"/>
      <c r="B538" s="136"/>
      <c r="C538" s="138"/>
      <c r="D538" s="90"/>
      <c r="E538" s="89">
        <v>0</v>
      </c>
      <c r="F538" s="89">
        <v>0</v>
      </c>
      <c r="G538" s="89">
        <f t="shared" si="118"/>
        <v>0</v>
      </c>
      <c r="I538" s="134"/>
      <c r="J538" s="136"/>
      <c r="K538" s="138"/>
      <c r="L538" s="96"/>
      <c r="M538" s="89">
        <v>0</v>
      </c>
      <c r="N538" s="89">
        <v>0</v>
      </c>
      <c r="O538" s="89">
        <f t="shared" si="119"/>
        <v>0</v>
      </c>
    </row>
    <row r="539" spans="1:15" x14ac:dyDescent="0.25">
      <c r="A539" s="134"/>
      <c r="B539" s="136"/>
      <c r="C539" s="138"/>
      <c r="D539" s="90"/>
      <c r="E539" s="89">
        <v>0</v>
      </c>
      <c r="F539" s="89">
        <v>0</v>
      </c>
      <c r="G539" s="89">
        <f t="shared" si="118"/>
        <v>0</v>
      </c>
      <c r="I539" s="134"/>
      <c r="J539" s="136"/>
      <c r="K539" s="138"/>
      <c r="L539" s="96"/>
      <c r="M539" s="89">
        <v>0</v>
      </c>
      <c r="N539" s="89">
        <v>0</v>
      </c>
      <c r="O539" s="89">
        <f t="shared" si="119"/>
        <v>0</v>
      </c>
    </row>
    <row r="540" spans="1:15" x14ac:dyDescent="0.25">
      <c r="A540" s="135"/>
      <c r="B540" s="136"/>
      <c r="C540" s="139"/>
      <c r="D540" s="90"/>
      <c r="E540" s="89">
        <v>0</v>
      </c>
      <c r="F540" s="89">
        <v>0</v>
      </c>
      <c r="G540" s="89">
        <f t="shared" si="118"/>
        <v>0</v>
      </c>
      <c r="I540" s="135"/>
      <c r="J540" s="136"/>
      <c r="K540" s="139"/>
      <c r="L540" s="96"/>
      <c r="M540" s="89">
        <v>0</v>
      </c>
      <c r="N540" s="89">
        <v>0</v>
      </c>
      <c r="O540" s="89">
        <f t="shared" si="119"/>
        <v>0</v>
      </c>
    </row>
    <row r="541" spans="1:15" ht="15.75" thickBot="1" x14ac:dyDescent="0.3">
      <c r="A541" s="91"/>
      <c r="B541" s="91"/>
      <c r="C541" s="91"/>
      <c r="D541" s="91"/>
      <c r="E541" s="91"/>
      <c r="F541" s="91"/>
      <c r="G541" s="92">
        <f>SUM(G533,G540)</f>
        <v>0</v>
      </c>
      <c r="I541" s="91"/>
      <c r="J541" s="91"/>
      <c r="K541" s="91"/>
      <c r="L541" s="97"/>
      <c r="M541" s="91"/>
      <c r="N541" s="91"/>
      <c r="O541" s="92">
        <f>SUM(O533,O540)</f>
        <v>0</v>
      </c>
    </row>
    <row r="542" spans="1:15" x14ac:dyDescent="0.25">
      <c r="A542" s="133">
        <f>A533+1</f>
        <v>46142</v>
      </c>
      <c r="B542" s="136"/>
      <c r="C542" s="137" t="s">
        <v>82</v>
      </c>
      <c r="D542" s="88"/>
      <c r="E542" s="89">
        <v>0</v>
      </c>
      <c r="F542" s="89">
        <v>0</v>
      </c>
      <c r="G542" s="89">
        <f>F542-E542</f>
        <v>0</v>
      </c>
      <c r="I542" s="133">
        <f>I533+1</f>
        <v>46142</v>
      </c>
      <c r="J542" s="136"/>
      <c r="K542" s="137" t="s">
        <v>83</v>
      </c>
      <c r="L542" s="95"/>
      <c r="M542" s="89">
        <v>0</v>
      </c>
      <c r="N542" s="89">
        <v>0</v>
      </c>
      <c r="O542" s="89">
        <f>N542-M542</f>
        <v>0</v>
      </c>
    </row>
    <row r="543" spans="1:15" x14ac:dyDescent="0.25">
      <c r="A543" s="134"/>
      <c r="B543" s="136"/>
      <c r="C543" s="138"/>
      <c r="D543" s="88"/>
      <c r="E543" s="89">
        <v>0</v>
      </c>
      <c r="F543" s="89">
        <v>0</v>
      </c>
      <c r="G543" s="89">
        <f t="shared" ref="G543:G549" si="120">F543-E543</f>
        <v>0</v>
      </c>
      <c r="I543" s="134"/>
      <c r="J543" s="136"/>
      <c r="K543" s="138"/>
      <c r="L543" s="95"/>
      <c r="M543" s="89">
        <v>0</v>
      </c>
      <c r="N543" s="89">
        <v>0</v>
      </c>
      <c r="O543" s="89">
        <f t="shared" ref="O543:O549" si="121">N543-M543</f>
        <v>0</v>
      </c>
    </row>
    <row r="544" spans="1:15" x14ac:dyDescent="0.25">
      <c r="A544" s="134"/>
      <c r="B544" s="136"/>
      <c r="C544" s="138"/>
      <c r="D544" s="90"/>
      <c r="E544" s="89">
        <v>0</v>
      </c>
      <c r="F544" s="89">
        <v>0</v>
      </c>
      <c r="G544" s="89">
        <f t="shared" si="120"/>
        <v>0</v>
      </c>
      <c r="I544" s="134"/>
      <c r="J544" s="136"/>
      <c r="K544" s="138"/>
      <c r="L544" s="96"/>
      <c r="M544" s="89">
        <v>0</v>
      </c>
      <c r="N544" s="89">
        <v>0</v>
      </c>
      <c r="O544" s="89">
        <f t="shared" si="121"/>
        <v>0</v>
      </c>
    </row>
    <row r="545" spans="1:15" x14ac:dyDescent="0.25">
      <c r="A545" s="134"/>
      <c r="B545" s="136"/>
      <c r="C545" s="138"/>
      <c r="D545" s="90"/>
      <c r="E545" s="89">
        <v>0</v>
      </c>
      <c r="F545" s="89">
        <v>0</v>
      </c>
      <c r="G545" s="89">
        <f t="shared" si="120"/>
        <v>0</v>
      </c>
      <c r="I545" s="134"/>
      <c r="J545" s="136"/>
      <c r="K545" s="138"/>
      <c r="L545" s="96"/>
      <c r="M545" s="89">
        <v>0</v>
      </c>
      <c r="N545" s="89">
        <v>0</v>
      </c>
      <c r="O545" s="89">
        <f t="shared" si="121"/>
        <v>0</v>
      </c>
    </row>
    <row r="546" spans="1:15" x14ac:dyDescent="0.25">
      <c r="A546" s="134"/>
      <c r="B546" s="136"/>
      <c r="C546" s="138"/>
      <c r="D546" s="90"/>
      <c r="E546" s="89">
        <v>0</v>
      </c>
      <c r="F546" s="89">
        <v>0</v>
      </c>
      <c r="G546" s="89">
        <f t="shared" si="120"/>
        <v>0</v>
      </c>
      <c r="I546" s="134"/>
      <c r="J546" s="136"/>
      <c r="K546" s="138"/>
      <c r="L546" s="96"/>
      <c r="M546" s="89">
        <v>0</v>
      </c>
      <c r="N546" s="89">
        <v>0</v>
      </c>
      <c r="O546" s="89">
        <f t="shared" si="121"/>
        <v>0</v>
      </c>
    </row>
    <row r="547" spans="1:15" x14ac:dyDescent="0.25">
      <c r="A547" s="134"/>
      <c r="B547" s="136"/>
      <c r="C547" s="138"/>
      <c r="D547" s="90"/>
      <c r="E547" s="89">
        <v>0</v>
      </c>
      <c r="F547" s="89">
        <v>0</v>
      </c>
      <c r="G547" s="89">
        <f t="shared" si="120"/>
        <v>0</v>
      </c>
      <c r="I547" s="134"/>
      <c r="J547" s="136"/>
      <c r="K547" s="138"/>
      <c r="L547" s="96"/>
      <c r="M547" s="89">
        <v>0</v>
      </c>
      <c r="N547" s="89">
        <v>0</v>
      </c>
      <c r="O547" s="89">
        <f t="shared" si="121"/>
        <v>0</v>
      </c>
    </row>
    <row r="548" spans="1:15" x14ac:dyDescent="0.25">
      <c r="A548" s="134"/>
      <c r="B548" s="136"/>
      <c r="C548" s="138"/>
      <c r="D548" s="90"/>
      <c r="E548" s="89">
        <v>0</v>
      </c>
      <c r="F548" s="89">
        <v>0</v>
      </c>
      <c r="G548" s="89">
        <f t="shared" si="120"/>
        <v>0</v>
      </c>
      <c r="I548" s="134"/>
      <c r="J548" s="136"/>
      <c r="K548" s="138"/>
      <c r="L548" s="96"/>
      <c r="M548" s="89">
        <v>0</v>
      </c>
      <c r="N548" s="89">
        <v>0</v>
      </c>
      <c r="O548" s="89">
        <f t="shared" si="121"/>
        <v>0</v>
      </c>
    </row>
    <row r="549" spans="1:15" x14ac:dyDescent="0.25">
      <c r="A549" s="135"/>
      <c r="B549" s="136"/>
      <c r="C549" s="139"/>
      <c r="D549" s="90"/>
      <c r="E549" s="89">
        <v>0</v>
      </c>
      <c r="F549" s="89">
        <v>0</v>
      </c>
      <c r="G549" s="89">
        <f t="shared" si="120"/>
        <v>0</v>
      </c>
      <c r="I549" s="135"/>
      <c r="J549" s="136"/>
      <c r="K549" s="139"/>
      <c r="L549" s="96"/>
      <c r="M549" s="89">
        <v>0</v>
      </c>
      <c r="N549" s="89">
        <v>0</v>
      </c>
      <c r="O549" s="89">
        <f t="shared" si="121"/>
        <v>0</v>
      </c>
    </row>
    <row r="550" spans="1:15" ht="15.75" thickBot="1" x14ac:dyDescent="0.3">
      <c r="A550" s="91"/>
      <c r="B550" s="91"/>
      <c r="C550" s="91"/>
      <c r="D550" s="91"/>
      <c r="E550" s="91"/>
      <c r="F550" s="91"/>
      <c r="G550" s="92">
        <f>SUM(G542,G549)</f>
        <v>0</v>
      </c>
      <c r="I550" s="91"/>
      <c r="J550" s="91"/>
      <c r="K550" s="91"/>
      <c r="L550" s="97"/>
      <c r="M550" s="91"/>
      <c r="N550" s="91"/>
      <c r="O550" s="92">
        <f>SUM(O542,O549)</f>
        <v>0</v>
      </c>
    </row>
    <row r="551" spans="1:15" x14ac:dyDescent="0.25">
      <c r="A551" s="133">
        <f>A542+1</f>
        <v>46143</v>
      </c>
      <c r="B551" s="136"/>
      <c r="C551" s="137" t="s">
        <v>82</v>
      </c>
      <c r="D551" s="88"/>
      <c r="E551" s="89">
        <v>0</v>
      </c>
      <c r="F551" s="89">
        <v>0</v>
      </c>
      <c r="G551" s="89">
        <f>F551-E551</f>
        <v>0</v>
      </c>
      <c r="I551" s="133">
        <f>I542+1</f>
        <v>46143</v>
      </c>
      <c r="J551" s="136"/>
      <c r="K551" s="137" t="s">
        <v>83</v>
      </c>
      <c r="L551" s="95"/>
      <c r="M551" s="89">
        <v>0</v>
      </c>
      <c r="N551" s="89">
        <v>0</v>
      </c>
      <c r="O551" s="89">
        <f>N551-M551</f>
        <v>0</v>
      </c>
    </row>
    <row r="552" spans="1:15" x14ac:dyDescent="0.25">
      <c r="A552" s="134"/>
      <c r="B552" s="136"/>
      <c r="C552" s="138"/>
      <c r="D552" s="88"/>
      <c r="E552" s="89">
        <v>0</v>
      </c>
      <c r="F552" s="89">
        <v>0</v>
      </c>
      <c r="G552" s="89">
        <f t="shared" ref="G552:G558" si="122">F552-E552</f>
        <v>0</v>
      </c>
      <c r="I552" s="134"/>
      <c r="J552" s="136"/>
      <c r="K552" s="138"/>
      <c r="L552" s="95"/>
      <c r="M552" s="89">
        <v>0</v>
      </c>
      <c r="N552" s="89">
        <v>0</v>
      </c>
      <c r="O552" s="89">
        <f t="shared" ref="O552:O558" si="123">N552-M552</f>
        <v>0</v>
      </c>
    </row>
    <row r="553" spans="1:15" x14ac:dyDescent="0.25">
      <c r="A553" s="134"/>
      <c r="B553" s="136"/>
      <c r="C553" s="138"/>
      <c r="D553" s="90"/>
      <c r="E553" s="89">
        <v>0</v>
      </c>
      <c r="F553" s="89">
        <v>0</v>
      </c>
      <c r="G553" s="89">
        <f t="shared" si="122"/>
        <v>0</v>
      </c>
      <c r="I553" s="134"/>
      <c r="J553" s="136"/>
      <c r="K553" s="138"/>
      <c r="L553" s="96"/>
      <c r="M553" s="89">
        <v>0</v>
      </c>
      <c r="N553" s="89">
        <v>0</v>
      </c>
      <c r="O553" s="89">
        <f t="shared" si="123"/>
        <v>0</v>
      </c>
    </row>
    <row r="554" spans="1:15" x14ac:dyDescent="0.25">
      <c r="A554" s="134"/>
      <c r="B554" s="136"/>
      <c r="C554" s="138"/>
      <c r="D554" s="90"/>
      <c r="E554" s="89">
        <v>0</v>
      </c>
      <c r="F554" s="89">
        <v>0</v>
      </c>
      <c r="G554" s="89">
        <f t="shared" si="122"/>
        <v>0</v>
      </c>
      <c r="I554" s="134"/>
      <c r="J554" s="136"/>
      <c r="K554" s="138"/>
      <c r="L554" s="96"/>
      <c r="M554" s="89">
        <v>0</v>
      </c>
      <c r="N554" s="89">
        <v>0</v>
      </c>
      <c r="O554" s="89">
        <f t="shared" si="123"/>
        <v>0</v>
      </c>
    </row>
    <row r="555" spans="1:15" x14ac:dyDescent="0.25">
      <c r="A555" s="134"/>
      <c r="B555" s="136"/>
      <c r="C555" s="138"/>
      <c r="D555" s="90"/>
      <c r="E555" s="89">
        <v>0</v>
      </c>
      <c r="F555" s="89">
        <v>0</v>
      </c>
      <c r="G555" s="89">
        <f t="shared" si="122"/>
        <v>0</v>
      </c>
      <c r="I555" s="134"/>
      <c r="J555" s="136"/>
      <c r="K555" s="138"/>
      <c r="L555" s="96"/>
      <c r="M555" s="89">
        <v>0</v>
      </c>
      <c r="N555" s="89">
        <v>0</v>
      </c>
      <c r="O555" s="89">
        <f t="shared" si="123"/>
        <v>0</v>
      </c>
    </row>
    <row r="556" spans="1:15" x14ac:dyDescent="0.25">
      <c r="A556" s="134"/>
      <c r="B556" s="136"/>
      <c r="C556" s="138"/>
      <c r="D556" s="90"/>
      <c r="E556" s="89">
        <v>0</v>
      </c>
      <c r="F556" s="89">
        <v>0</v>
      </c>
      <c r="G556" s="89">
        <f t="shared" si="122"/>
        <v>0</v>
      </c>
      <c r="I556" s="134"/>
      <c r="J556" s="136"/>
      <c r="K556" s="138"/>
      <c r="L556" s="96"/>
      <c r="M556" s="89">
        <v>0</v>
      </c>
      <c r="N556" s="89">
        <v>0</v>
      </c>
      <c r="O556" s="89">
        <f t="shared" si="123"/>
        <v>0</v>
      </c>
    </row>
    <row r="557" spans="1:15" x14ac:dyDescent="0.25">
      <c r="A557" s="134"/>
      <c r="B557" s="136"/>
      <c r="C557" s="138"/>
      <c r="D557" s="90"/>
      <c r="E557" s="89">
        <v>0</v>
      </c>
      <c r="F557" s="89">
        <v>0</v>
      </c>
      <c r="G557" s="89">
        <f t="shared" si="122"/>
        <v>0</v>
      </c>
      <c r="I557" s="134"/>
      <c r="J557" s="136"/>
      <c r="K557" s="138"/>
      <c r="L557" s="96"/>
      <c r="M557" s="89">
        <v>0</v>
      </c>
      <c r="N557" s="89">
        <v>0</v>
      </c>
      <c r="O557" s="89">
        <f t="shared" si="123"/>
        <v>0</v>
      </c>
    </row>
    <row r="558" spans="1:15" x14ac:dyDescent="0.25">
      <c r="A558" s="135"/>
      <c r="B558" s="136"/>
      <c r="C558" s="139"/>
      <c r="D558" s="90"/>
      <c r="E558" s="89">
        <v>0</v>
      </c>
      <c r="F558" s="89">
        <v>0</v>
      </c>
      <c r="G558" s="89">
        <f t="shared" si="122"/>
        <v>0</v>
      </c>
      <c r="I558" s="135"/>
      <c r="J558" s="136"/>
      <c r="K558" s="139"/>
      <c r="L558" s="96"/>
      <c r="M558" s="89">
        <v>0</v>
      </c>
      <c r="N558" s="89">
        <v>0</v>
      </c>
      <c r="O558" s="89">
        <f t="shared" si="123"/>
        <v>0</v>
      </c>
    </row>
    <row r="559" spans="1:15" ht="15.75" thickBot="1" x14ac:dyDescent="0.3">
      <c r="A559" s="91"/>
      <c r="B559" s="91"/>
      <c r="C559" s="91"/>
      <c r="D559" s="91"/>
      <c r="E559" s="91"/>
      <c r="F559" s="91"/>
      <c r="G559" s="92">
        <f>SUM(G551,G558)</f>
        <v>0</v>
      </c>
      <c r="I559" s="91"/>
      <c r="J559" s="91"/>
      <c r="K559" s="91"/>
      <c r="L559" s="97"/>
      <c r="M559" s="91"/>
      <c r="N559" s="91"/>
      <c r="O559" s="92">
        <f>SUM(O551,O558)</f>
        <v>0</v>
      </c>
    </row>
    <row r="560" spans="1:15" x14ac:dyDescent="0.25">
      <c r="A560" s="133">
        <f>A551+1</f>
        <v>46144</v>
      </c>
      <c r="B560" s="136"/>
      <c r="C560" s="137" t="s">
        <v>82</v>
      </c>
      <c r="D560" s="88"/>
      <c r="E560" s="89">
        <v>0</v>
      </c>
      <c r="F560" s="89">
        <v>0</v>
      </c>
      <c r="G560" s="89">
        <f>F560-E560</f>
        <v>0</v>
      </c>
      <c r="I560" s="133">
        <f>I551+1</f>
        <v>46144</v>
      </c>
      <c r="J560" s="136"/>
      <c r="K560" s="137" t="s">
        <v>83</v>
      </c>
      <c r="L560" s="95"/>
      <c r="M560" s="89">
        <v>0</v>
      </c>
      <c r="N560" s="89">
        <v>0</v>
      </c>
      <c r="O560" s="89">
        <f>N560-M560</f>
        <v>0</v>
      </c>
    </row>
    <row r="561" spans="1:15" x14ac:dyDescent="0.25">
      <c r="A561" s="134"/>
      <c r="B561" s="136"/>
      <c r="C561" s="138"/>
      <c r="D561" s="88"/>
      <c r="E561" s="89">
        <v>0</v>
      </c>
      <c r="F561" s="89">
        <v>0</v>
      </c>
      <c r="G561" s="89">
        <f t="shared" ref="G561:G567" si="124">F561-E561</f>
        <v>0</v>
      </c>
      <c r="I561" s="134"/>
      <c r="J561" s="136"/>
      <c r="K561" s="138"/>
      <c r="L561" s="95"/>
      <c r="M561" s="89">
        <v>0</v>
      </c>
      <c r="N561" s="89">
        <v>0</v>
      </c>
      <c r="O561" s="89">
        <f t="shared" ref="O561:O567" si="125">N561-M561</f>
        <v>0</v>
      </c>
    </row>
    <row r="562" spans="1:15" x14ac:dyDescent="0.25">
      <c r="A562" s="134"/>
      <c r="B562" s="136"/>
      <c r="C562" s="138"/>
      <c r="D562" s="90"/>
      <c r="E562" s="89">
        <v>0</v>
      </c>
      <c r="F562" s="89">
        <v>0</v>
      </c>
      <c r="G562" s="89">
        <f t="shared" si="124"/>
        <v>0</v>
      </c>
      <c r="I562" s="134"/>
      <c r="J562" s="136"/>
      <c r="K562" s="138"/>
      <c r="L562" s="96"/>
      <c r="M562" s="89">
        <v>0</v>
      </c>
      <c r="N562" s="89">
        <v>0</v>
      </c>
      <c r="O562" s="89">
        <f t="shared" si="125"/>
        <v>0</v>
      </c>
    </row>
    <row r="563" spans="1:15" x14ac:dyDescent="0.25">
      <c r="A563" s="134"/>
      <c r="B563" s="136"/>
      <c r="C563" s="138"/>
      <c r="D563" s="90"/>
      <c r="E563" s="89">
        <v>0</v>
      </c>
      <c r="F563" s="89">
        <v>0</v>
      </c>
      <c r="G563" s="89">
        <f t="shared" si="124"/>
        <v>0</v>
      </c>
      <c r="I563" s="134"/>
      <c r="J563" s="136"/>
      <c r="K563" s="138"/>
      <c r="L563" s="96"/>
      <c r="M563" s="89">
        <v>0</v>
      </c>
      <c r="N563" s="89">
        <v>0</v>
      </c>
      <c r="O563" s="89">
        <f t="shared" si="125"/>
        <v>0</v>
      </c>
    </row>
    <row r="564" spans="1:15" x14ac:dyDescent="0.25">
      <c r="A564" s="134"/>
      <c r="B564" s="136"/>
      <c r="C564" s="138"/>
      <c r="D564" s="90"/>
      <c r="E564" s="89">
        <v>0</v>
      </c>
      <c r="F564" s="89">
        <v>0</v>
      </c>
      <c r="G564" s="89">
        <f t="shared" si="124"/>
        <v>0</v>
      </c>
      <c r="I564" s="134"/>
      <c r="J564" s="136"/>
      <c r="K564" s="138"/>
      <c r="L564" s="96"/>
      <c r="M564" s="89">
        <v>0</v>
      </c>
      <c r="N564" s="89">
        <v>0</v>
      </c>
      <c r="O564" s="89">
        <f t="shared" si="125"/>
        <v>0</v>
      </c>
    </row>
    <row r="565" spans="1:15" x14ac:dyDescent="0.25">
      <c r="A565" s="134"/>
      <c r="B565" s="136"/>
      <c r="C565" s="138"/>
      <c r="D565" s="90"/>
      <c r="E565" s="89">
        <v>0</v>
      </c>
      <c r="F565" s="89">
        <v>0</v>
      </c>
      <c r="G565" s="89">
        <f t="shared" si="124"/>
        <v>0</v>
      </c>
      <c r="I565" s="134"/>
      <c r="J565" s="136"/>
      <c r="K565" s="138"/>
      <c r="L565" s="96"/>
      <c r="M565" s="89">
        <v>0</v>
      </c>
      <c r="N565" s="89">
        <v>0</v>
      </c>
      <c r="O565" s="89">
        <f t="shared" si="125"/>
        <v>0</v>
      </c>
    </row>
    <row r="566" spans="1:15" x14ac:dyDescent="0.25">
      <c r="A566" s="134"/>
      <c r="B566" s="136"/>
      <c r="C566" s="138"/>
      <c r="D566" s="90"/>
      <c r="E566" s="89">
        <v>0</v>
      </c>
      <c r="F566" s="89">
        <v>0</v>
      </c>
      <c r="G566" s="89">
        <f t="shared" si="124"/>
        <v>0</v>
      </c>
      <c r="I566" s="134"/>
      <c r="J566" s="136"/>
      <c r="K566" s="138"/>
      <c r="L566" s="96"/>
      <c r="M566" s="89">
        <v>0</v>
      </c>
      <c r="N566" s="89">
        <v>0</v>
      </c>
      <c r="O566" s="89">
        <f t="shared" si="125"/>
        <v>0</v>
      </c>
    </row>
    <row r="567" spans="1:15" x14ac:dyDescent="0.25">
      <c r="A567" s="135"/>
      <c r="B567" s="136"/>
      <c r="C567" s="139"/>
      <c r="D567" s="90"/>
      <c r="E567" s="89">
        <v>0</v>
      </c>
      <c r="F567" s="89">
        <v>0</v>
      </c>
      <c r="G567" s="89">
        <f t="shared" si="124"/>
        <v>0</v>
      </c>
      <c r="I567" s="135"/>
      <c r="J567" s="136"/>
      <c r="K567" s="139"/>
      <c r="L567" s="96"/>
      <c r="M567" s="89">
        <v>0</v>
      </c>
      <c r="N567" s="89">
        <v>0</v>
      </c>
      <c r="O567" s="89">
        <f t="shared" si="125"/>
        <v>0</v>
      </c>
    </row>
    <row r="568" spans="1:15" ht="15.75" thickBot="1" x14ac:dyDescent="0.3">
      <c r="A568" s="91"/>
      <c r="B568" s="91"/>
      <c r="C568" s="91"/>
      <c r="D568" s="91"/>
      <c r="E568" s="91"/>
      <c r="F568" s="91"/>
      <c r="G568" s="92">
        <f>SUM(G560,G567)</f>
        <v>0</v>
      </c>
      <c r="I568" s="91"/>
      <c r="J568" s="91"/>
      <c r="K568" s="91"/>
      <c r="L568" s="97"/>
      <c r="M568" s="91"/>
      <c r="N568" s="91"/>
      <c r="O568" s="92">
        <f>SUM(O560,O567)</f>
        <v>0</v>
      </c>
    </row>
    <row r="569" spans="1:15" x14ac:dyDescent="0.25">
      <c r="A569" s="133">
        <f>A560+1</f>
        <v>46145</v>
      </c>
      <c r="B569" s="136"/>
      <c r="C569" s="137" t="s">
        <v>82</v>
      </c>
      <c r="D569" s="88"/>
      <c r="E569" s="89">
        <v>0</v>
      </c>
      <c r="F569" s="89">
        <v>0</v>
      </c>
      <c r="G569" s="89">
        <f>F569-E569</f>
        <v>0</v>
      </c>
      <c r="I569" s="133">
        <f>I560+1</f>
        <v>46145</v>
      </c>
      <c r="J569" s="136"/>
      <c r="K569" s="137" t="s">
        <v>83</v>
      </c>
      <c r="L569" s="95"/>
      <c r="M569" s="89">
        <v>0</v>
      </c>
      <c r="N569" s="89">
        <v>0</v>
      </c>
      <c r="O569" s="89">
        <f>N569-M569</f>
        <v>0</v>
      </c>
    </row>
    <row r="570" spans="1:15" x14ac:dyDescent="0.25">
      <c r="A570" s="134"/>
      <c r="B570" s="136"/>
      <c r="C570" s="138"/>
      <c r="D570" s="88"/>
      <c r="E570" s="89">
        <v>0</v>
      </c>
      <c r="F570" s="89">
        <v>0</v>
      </c>
      <c r="G570" s="89">
        <f t="shared" ref="G570:G576" si="126">F570-E570</f>
        <v>0</v>
      </c>
      <c r="I570" s="134"/>
      <c r="J570" s="136"/>
      <c r="K570" s="138"/>
      <c r="L570" s="95"/>
      <c r="M570" s="89">
        <v>0</v>
      </c>
      <c r="N570" s="89">
        <v>0</v>
      </c>
      <c r="O570" s="89">
        <f t="shared" ref="O570:O576" si="127">N570-M570</f>
        <v>0</v>
      </c>
    </row>
    <row r="571" spans="1:15" x14ac:dyDescent="0.25">
      <c r="A571" s="134"/>
      <c r="B571" s="136"/>
      <c r="C571" s="138"/>
      <c r="D571" s="90"/>
      <c r="E571" s="89">
        <v>0</v>
      </c>
      <c r="F571" s="89">
        <v>0</v>
      </c>
      <c r="G571" s="89">
        <f t="shared" si="126"/>
        <v>0</v>
      </c>
      <c r="I571" s="134"/>
      <c r="J571" s="136"/>
      <c r="K571" s="138"/>
      <c r="L571" s="96"/>
      <c r="M571" s="89">
        <v>0</v>
      </c>
      <c r="N571" s="89">
        <v>0</v>
      </c>
      <c r="O571" s="89">
        <f t="shared" si="127"/>
        <v>0</v>
      </c>
    </row>
    <row r="572" spans="1:15" x14ac:dyDescent="0.25">
      <c r="A572" s="134"/>
      <c r="B572" s="136"/>
      <c r="C572" s="138"/>
      <c r="D572" s="90"/>
      <c r="E572" s="89">
        <v>0</v>
      </c>
      <c r="F572" s="89">
        <v>0</v>
      </c>
      <c r="G572" s="89">
        <f t="shared" si="126"/>
        <v>0</v>
      </c>
      <c r="I572" s="134"/>
      <c r="J572" s="136"/>
      <c r="K572" s="138"/>
      <c r="L572" s="96"/>
      <c r="M572" s="89">
        <v>0</v>
      </c>
      <c r="N572" s="89">
        <v>0</v>
      </c>
      <c r="O572" s="89">
        <f t="shared" si="127"/>
        <v>0</v>
      </c>
    </row>
    <row r="573" spans="1:15" x14ac:dyDescent="0.25">
      <c r="A573" s="134"/>
      <c r="B573" s="136"/>
      <c r="C573" s="138"/>
      <c r="D573" s="90"/>
      <c r="E573" s="89">
        <v>0</v>
      </c>
      <c r="F573" s="89">
        <v>0</v>
      </c>
      <c r="G573" s="89">
        <f t="shared" si="126"/>
        <v>0</v>
      </c>
      <c r="I573" s="134"/>
      <c r="J573" s="136"/>
      <c r="K573" s="138"/>
      <c r="L573" s="96"/>
      <c r="M573" s="89">
        <v>0</v>
      </c>
      <c r="N573" s="89">
        <v>0</v>
      </c>
      <c r="O573" s="89">
        <f t="shared" si="127"/>
        <v>0</v>
      </c>
    </row>
    <row r="574" spans="1:15" x14ac:dyDescent="0.25">
      <c r="A574" s="134"/>
      <c r="B574" s="136"/>
      <c r="C574" s="138"/>
      <c r="D574" s="90"/>
      <c r="E574" s="89">
        <v>0</v>
      </c>
      <c r="F574" s="89">
        <v>0</v>
      </c>
      <c r="G574" s="89">
        <f t="shared" si="126"/>
        <v>0</v>
      </c>
      <c r="I574" s="134"/>
      <c r="J574" s="136"/>
      <c r="K574" s="138"/>
      <c r="L574" s="96"/>
      <c r="M574" s="89">
        <v>0</v>
      </c>
      <c r="N574" s="89">
        <v>0</v>
      </c>
      <c r="O574" s="89">
        <f t="shared" si="127"/>
        <v>0</v>
      </c>
    </row>
    <row r="575" spans="1:15" x14ac:dyDescent="0.25">
      <c r="A575" s="134"/>
      <c r="B575" s="136"/>
      <c r="C575" s="138"/>
      <c r="D575" s="90"/>
      <c r="E575" s="89">
        <v>0</v>
      </c>
      <c r="F575" s="89">
        <v>0</v>
      </c>
      <c r="G575" s="89">
        <f t="shared" si="126"/>
        <v>0</v>
      </c>
      <c r="I575" s="134"/>
      <c r="J575" s="136"/>
      <c r="K575" s="138"/>
      <c r="L575" s="96"/>
      <c r="M575" s="89">
        <v>0</v>
      </c>
      <c r="N575" s="89">
        <v>0</v>
      </c>
      <c r="O575" s="89">
        <f t="shared" si="127"/>
        <v>0</v>
      </c>
    </row>
    <row r="576" spans="1:15" x14ac:dyDescent="0.25">
      <c r="A576" s="135"/>
      <c r="B576" s="136"/>
      <c r="C576" s="139"/>
      <c r="D576" s="90"/>
      <c r="E576" s="89">
        <v>0</v>
      </c>
      <c r="F576" s="89">
        <v>0</v>
      </c>
      <c r="G576" s="89">
        <f t="shared" si="126"/>
        <v>0</v>
      </c>
      <c r="I576" s="135"/>
      <c r="J576" s="136"/>
      <c r="K576" s="139"/>
      <c r="L576" s="96"/>
      <c r="M576" s="89">
        <v>0</v>
      </c>
      <c r="N576" s="89">
        <v>0</v>
      </c>
      <c r="O576" s="89">
        <f t="shared" si="127"/>
        <v>0</v>
      </c>
    </row>
    <row r="577" spans="1:15" ht="15.75" thickBot="1" x14ac:dyDescent="0.3">
      <c r="A577" s="91"/>
      <c r="B577" s="91"/>
      <c r="C577" s="91"/>
      <c r="D577" s="91"/>
      <c r="E577" s="91"/>
      <c r="F577" s="91"/>
      <c r="G577" s="92">
        <f>SUM(G569,G576)</f>
        <v>0</v>
      </c>
      <c r="I577" s="91"/>
      <c r="J577" s="91"/>
      <c r="K577" s="91"/>
      <c r="L577" s="97"/>
      <c r="M577" s="91"/>
      <c r="N577" s="91"/>
      <c r="O577" s="92">
        <f>SUM(O569,O576)</f>
        <v>0</v>
      </c>
    </row>
    <row r="578" spans="1:15" x14ac:dyDescent="0.25">
      <c r="A578" s="133">
        <f>A569+1</f>
        <v>46146</v>
      </c>
      <c r="B578" s="136"/>
      <c r="C578" s="137" t="s">
        <v>82</v>
      </c>
      <c r="D578" s="88"/>
      <c r="E578" s="89">
        <v>0</v>
      </c>
      <c r="F578" s="89">
        <v>0</v>
      </c>
      <c r="G578" s="89">
        <f>F578-E578</f>
        <v>0</v>
      </c>
      <c r="I578" s="133">
        <f>I569+1</f>
        <v>46146</v>
      </c>
      <c r="J578" s="136"/>
      <c r="K578" s="137" t="s">
        <v>83</v>
      </c>
      <c r="L578" s="95"/>
      <c r="M578" s="89">
        <v>0</v>
      </c>
      <c r="N578" s="89">
        <v>0</v>
      </c>
      <c r="O578" s="89">
        <f>N578-M578</f>
        <v>0</v>
      </c>
    </row>
    <row r="579" spans="1:15" x14ac:dyDescent="0.25">
      <c r="A579" s="134"/>
      <c r="B579" s="136"/>
      <c r="C579" s="138"/>
      <c r="D579" s="88"/>
      <c r="E579" s="89">
        <v>0</v>
      </c>
      <c r="F579" s="89">
        <v>0</v>
      </c>
      <c r="G579" s="89">
        <f t="shared" ref="G579:G585" si="128">F579-E579</f>
        <v>0</v>
      </c>
      <c r="I579" s="134"/>
      <c r="J579" s="136"/>
      <c r="K579" s="138"/>
      <c r="L579" s="95"/>
      <c r="M579" s="89">
        <v>0</v>
      </c>
      <c r="N579" s="89">
        <v>0</v>
      </c>
      <c r="O579" s="89">
        <f t="shared" ref="O579:O585" si="129">N579-M579</f>
        <v>0</v>
      </c>
    </row>
    <row r="580" spans="1:15" x14ac:dyDescent="0.25">
      <c r="A580" s="134"/>
      <c r="B580" s="136"/>
      <c r="C580" s="138"/>
      <c r="D580" s="90"/>
      <c r="E580" s="89">
        <v>0</v>
      </c>
      <c r="F580" s="89">
        <v>0</v>
      </c>
      <c r="G580" s="89">
        <f t="shared" si="128"/>
        <v>0</v>
      </c>
      <c r="I580" s="134"/>
      <c r="J580" s="136"/>
      <c r="K580" s="138"/>
      <c r="L580" s="96"/>
      <c r="M580" s="89">
        <v>0</v>
      </c>
      <c r="N580" s="89">
        <v>0</v>
      </c>
      <c r="O580" s="89">
        <f t="shared" si="129"/>
        <v>0</v>
      </c>
    </row>
    <row r="581" spans="1:15" x14ac:dyDescent="0.25">
      <c r="A581" s="134"/>
      <c r="B581" s="136"/>
      <c r="C581" s="138"/>
      <c r="D581" s="90"/>
      <c r="E581" s="89">
        <v>0</v>
      </c>
      <c r="F581" s="89">
        <v>0</v>
      </c>
      <c r="G581" s="89">
        <f t="shared" si="128"/>
        <v>0</v>
      </c>
      <c r="I581" s="134"/>
      <c r="J581" s="136"/>
      <c r="K581" s="138"/>
      <c r="L581" s="96"/>
      <c r="M581" s="89">
        <v>0</v>
      </c>
      <c r="N581" s="89">
        <v>0</v>
      </c>
      <c r="O581" s="89">
        <f t="shared" si="129"/>
        <v>0</v>
      </c>
    </row>
    <row r="582" spans="1:15" x14ac:dyDescent="0.25">
      <c r="A582" s="134"/>
      <c r="B582" s="136"/>
      <c r="C582" s="138"/>
      <c r="D582" s="90"/>
      <c r="E582" s="89">
        <v>0</v>
      </c>
      <c r="F582" s="89">
        <v>0</v>
      </c>
      <c r="G582" s="89">
        <f t="shared" si="128"/>
        <v>0</v>
      </c>
      <c r="I582" s="134"/>
      <c r="J582" s="136"/>
      <c r="K582" s="138"/>
      <c r="L582" s="96"/>
      <c r="M582" s="89">
        <v>0</v>
      </c>
      <c r="N582" s="89">
        <v>0</v>
      </c>
      <c r="O582" s="89">
        <f t="shared" si="129"/>
        <v>0</v>
      </c>
    </row>
    <row r="583" spans="1:15" x14ac:dyDescent="0.25">
      <c r="A583" s="134"/>
      <c r="B583" s="136"/>
      <c r="C583" s="138"/>
      <c r="D583" s="90"/>
      <c r="E583" s="89">
        <v>0</v>
      </c>
      <c r="F583" s="89">
        <v>0</v>
      </c>
      <c r="G583" s="89">
        <f t="shared" si="128"/>
        <v>0</v>
      </c>
      <c r="I583" s="134"/>
      <c r="J583" s="136"/>
      <c r="K583" s="138"/>
      <c r="L583" s="96"/>
      <c r="M583" s="89">
        <v>0</v>
      </c>
      <c r="N583" s="89">
        <v>0</v>
      </c>
      <c r="O583" s="89">
        <f t="shared" si="129"/>
        <v>0</v>
      </c>
    </row>
    <row r="584" spans="1:15" x14ac:dyDescent="0.25">
      <c r="A584" s="134"/>
      <c r="B584" s="136"/>
      <c r="C584" s="138"/>
      <c r="D584" s="90"/>
      <c r="E584" s="89">
        <v>0</v>
      </c>
      <c r="F584" s="89">
        <v>0</v>
      </c>
      <c r="G584" s="89">
        <f t="shared" si="128"/>
        <v>0</v>
      </c>
      <c r="I584" s="134"/>
      <c r="J584" s="136"/>
      <c r="K584" s="138"/>
      <c r="L584" s="96"/>
      <c r="M584" s="89">
        <v>0</v>
      </c>
      <c r="N584" s="89">
        <v>0</v>
      </c>
      <c r="O584" s="89">
        <f t="shared" si="129"/>
        <v>0</v>
      </c>
    </row>
    <row r="585" spans="1:15" x14ac:dyDescent="0.25">
      <c r="A585" s="135"/>
      <c r="B585" s="136"/>
      <c r="C585" s="139"/>
      <c r="D585" s="90"/>
      <c r="E585" s="89">
        <v>0</v>
      </c>
      <c r="F585" s="89">
        <v>0</v>
      </c>
      <c r="G585" s="89">
        <f t="shared" si="128"/>
        <v>0</v>
      </c>
      <c r="I585" s="135"/>
      <c r="J585" s="136"/>
      <c r="K585" s="139"/>
      <c r="L585" s="96"/>
      <c r="M585" s="89">
        <v>0</v>
      </c>
      <c r="N585" s="89">
        <v>0</v>
      </c>
      <c r="O585" s="89">
        <f t="shared" si="129"/>
        <v>0</v>
      </c>
    </row>
    <row r="586" spans="1:15" ht="15.75" thickBot="1" x14ac:dyDescent="0.3">
      <c r="A586" s="91"/>
      <c r="B586" s="91"/>
      <c r="C586" s="91"/>
      <c r="D586" s="91"/>
      <c r="E586" s="91"/>
      <c r="F586" s="91"/>
      <c r="G586" s="92">
        <f>SUM(G578,G585)</f>
        <v>0</v>
      </c>
      <c r="I586" s="91"/>
      <c r="J586" s="91"/>
      <c r="K586" s="91"/>
      <c r="L586" s="97"/>
      <c r="M586" s="91"/>
      <c r="N586" s="91"/>
      <c r="O586" s="92">
        <f>SUM(O578,O585)</f>
        <v>0</v>
      </c>
    </row>
    <row r="587" spans="1:15" x14ac:dyDescent="0.25">
      <c r="A587" s="133">
        <f>A578+1</f>
        <v>46147</v>
      </c>
      <c r="B587" s="136"/>
      <c r="C587" s="137" t="s">
        <v>82</v>
      </c>
      <c r="D587" s="88"/>
      <c r="E587" s="89">
        <v>0</v>
      </c>
      <c r="F587" s="89">
        <v>0</v>
      </c>
      <c r="G587" s="89">
        <f>F587-E587</f>
        <v>0</v>
      </c>
      <c r="I587" s="133">
        <f>I578+1</f>
        <v>46147</v>
      </c>
      <c r="J587" s="136"/>
      <c r="K587" s="137" t="s">
        <v>83</v>
      </c>
      <c r="L587" s="95"/>
      <c r="M587" s="89">
        <v>0</v>
      </c>
      <c r="N587" s="89">
        <v>0</v>
      </c>
      <c r="O587" s="89">
        <f>N587-M587</f>
        <v>0</v>
      </c>
    </row>
    <row r="588" spans="1:15" x14ac:dyDescent="0.25">
      <c r="A588" s="134"/>
      <c r="B588" s="136"/>
      <c r="C588" s="138"/>
      <c r="D588" s="88"/>
      <c r="E588" s="89">
        <v>0</v>
      </c>
      <c r="F588" s="89">
        <v>0</v>
      </c>
      <c r="G588" s="89">
        <f t="shared" ref="G588:G594" si="130">F588-E588</f>
        <v>0</v>
      </c>
      <c r="I588" s="134"/>
      <c r="J588" s="136"/>
      <c r="K588" s="138"/>
      <c r="L588" s="95"/>
      <c r="M588" s="89">
        <v>0</v>
      </c>
      <c r="N588" s="89">
        <v>0</v>
      </c>
      <c r="O588" s="89">
        <f t="shared" ref="O588:O594" si="131">N588-M588</f>
        <v>0</v>
      </c>
    </row>
    <row r="589" spans="1:15" x14ac:dyDescent="0.25">
      <c r="A589" s="134"/>
      <c r="B589" s="136"/>
      <c r="C589" s="138"/>
      <c r="D589" s="90"/>
      <c r="E589" s="89">
        <v>0</v>
      </c>
      <c r="F589" s="89">
        <v>0</v>
      </c>
      <c r="G589" s="89">
        <f t="shared" si="130"/>
        <v>0</v>
      </c>
      <c r="I589" s="134"/>
      <c r="J589" s="136"/>
      <c r="K589" s="138"/>
      <c r="L589" s="96"/>
      <c r="M589" s="89">
        <v>0</v>
      </c>
      <c r="N589" s="89">
        <v>0</v>
      </c>
      <c r="O589" s="89">
        <f t="shared" si="131"/>
        <v>0</v>
      </c>
    </row>
    <row r="590" spans="1:15" x14ac:dyDescent="0.25">
      <c r="A590" s="134"/>
      <c r="B590" s="136"/>
      <c r="C590" s="138"/>
      <c r="D590" s="90"/>
      <c r="E590" s="89">
        <v>0</v>
      </c>
      <c r="F590" s="89">
        <v>0</v>
      </c>
      <c r="G590" s="89">
        <f t="shared" si="130"/>
        <v>0</v>
      </c>
      <c r="I590" s="134"/>
      <c r="J590" s="136"/>
      <c r="K590" s="138"/>
      <c r="L590" s="96"/>
      <c r="M590" s="89">
        <v>0</v>
      </c>
      <c r="N590" s="89">
        <v>0</v>
      </c>
      <c r="O590" s="89">
        <f t="shared" si="131"/>
        <v>0</v>
      </c>
    </row>
    <row r="591" spans="1:15" x14ac:dyDescent="0.25">
      <c r="A591" s="134"/>
      <c r="B591" s="136"/>
      <c r="C591" s="138"/>
      <c r="D591" s="90"/>
      <c r="E591" s="89">
        <v>0</v>
      </c>
      <c r="F591" s="89">
        <v>0</v>
      </c>
      <c r="G591" s="89">
        <f t="shared" si="130"/>
        <v>0</v>
      </c>
      <c r="I591" s="134"/>
      <c r="J591" s="136"/>
      <c r="K591" s="138"/>
      <c r="L591" s="96"/>
      <c r="M591" s="89">
        <v>0</v>
      </c>
      <c r="N591" s="89">
        <v>0</v>
      </c>
      <c r="O591" s="89">
        <f t="shared" si="131"/>
        <v>0</v>
      </c>
    </row>
    <row r="592" spans="1:15" x14ac:dyDescent="0.25">
      <c r="A592" s="134"/>
      <c r="B592" s="136"/>
      <c r="C592" s="138"/>
      <c r="D592" s="90"/>
      <c r="E592" s="89">
        <v>0</v>
      </c>
      <c r="F592" s="89">
        <v>0</v>
      </c>
      <c r="G592" s="89">
        <f t="shared" si="130"/>
        <v>0</v>
      </c>
      <c r="I592" s="134"/>
      <c r="J592" s="136"/>
      <c r="K592" s="138"/>
      <c r="L592" s="96"/>
      <c r="M592" s="89">
        <v>0</v>
      </c>
      <c r="N592" s="89">
        <v>0</v>
      </c>
      <c r="O592" s="89">
        <f t="shared" si="131"/>
        <v>0</v>
      </c>
    </row>
    <row r="593" spans="1:15" x14ac:dyDescent="0.25">
      <c r="A593" s="134"/>
      <c r="B593" s="136"/>
      <c r="C593" s="138"/>
      <c r="D593" s="90"/>
      <c r="E593" s="89">
        <v>0</v>
      </c>
      <c r="F593" s="89">
        <v>0</v>
      </c>
      <c r="G593" s="89">
        <f t="shared" si="130"/>
        <v>0</v>
      </c>
      <c r="I593" s="134"/>
      <c r="J593" s="136"/>
      <c r="K593" s="138"/>
      <c r="L593" s="96"/>
      <c r="M593" s="89">
        <v>0</v>
      </c>
      <c r="N593" s="89">
        <v>0</v>
      </c>
      <c r="O593" s="89">
        <f t="shared" si="131"/>
        <v>0</v>
      </c>
    </row>
    <row r="594" spans="1:15" x14ac:dyDescent="0.25">
      <c r="A594" s="135"/>
      <c r="B594" s="136"/>
      <c r="C594" s="139"/>
      <c r="D594" s="90"/>
      <c r="E594" s="89">
        <v>0</v>
      </c>
      <c r="F594" s="89">
        <v>0</v>
      </c>
      <c r="G594" s="89">
        <f t="shared" si="130"/>
        <v>0</v>
      </c>
      <c r="I594" s="135"/>
      <c r="J594" s="136"/>
      <c r="K594" s="139"/>
      <c r="L594" s="96"/>
      <c r="M594" s="89">
        <v>0</v>
      </c>
      <c r="N594" s="89">
        <v>0</v>
      </c>
      <c r="O594" s="89">
        <f t="shared" si="131"/>
        <v>0</v>
      </c>
    </row>
    <row r="595" spans="1:15" ht="15.75" thickBot="1" x14ac:dyDescent="0.3">
      <c r="A595" s="91"/>
      <c r="B595" s="91"/>
      <c r="C595" s="91"/>
      <c r="D595" s="91"/>
      <c r="E595" s="91"/>
      <c r="F595" s="91"/>
      <c r="G595" s="92">
        <f>SUM(G587,G594)</f>
        <v>0</v>
      </c>
      <c r="I595" s="91"/>
      <c r="J595" s="91"/>
      <c r="K595" s="91"/>
      <c r="L595" s="97"/>
      <c r="M595" s="91"/>
      <c r="N595" s="91"/>
      <c r="O595" s="92">
        <f>SUM(O587,O594)</f>
        <v>0</v>
      </c>
    </row>
    <row r="596" spans="1:15" x14ac:dyDescent="0.25">
      <c r="A596" s="133">
        <f>A587+1</f>
        <v>46148</v>
      </c>
      <c r="B596" s="136"/>
      <c r="C596" s="137" t="s">
        <v>82</v>
      </c>
      <c r="D596" s="88"/>
      <c r="E596" s="89">
        <v>0</v>
      </c>
      <c r="F596" s="89">
        <v>0</v>
      </c>
      <c r="G596" s="89">
        <f>F596-E596</f>
        <v>0</v>
      </c>
      <c r="I596" s="133">
        <f>I587+1</f>
        <v>46148</v>
      </c>
      <c r="J596" s="136"/>
      <c r="K596" s="137" t="s">
        <v>83</v>
      </c>
      <c r="L596" s="95"/>
      <c r="M596" s="89">
        <v>0</v>
      </c>
      <c r="N596" s="89">
        <v>0</v>
      </c>
      <c r="O596" s="89">
        <f>N596-M596</f>
        <v>0</v>
      </c>
    </row>
    <row r="597" spans="1:15" x14ac:dyDescent="0.25">
      <c r="A597" s="134"/>
      <c r="B597" s="136"/>
      <c r="C597" s="138"/>
      <c r="D597" s="88"/>
      <c r="E597" s="89">
        <v>0</v>
      </c>
      <c r="F597" s="89">
        <v>0</v>
      </c>
      <c r="G597" s="89">
        <f t="shared" ref="G597:G603" si="132">F597-E597</f>
        <v>0</v>
      </c>
      <c r="I597" s="134"/>
      <c r="J597" s="136"/>
      <c r="K597" s="138"/>
      <c r="L597" s="95"/>
      <c r="M597" s="89">
        <v>0</v>
      </c>
      <c r="N597" s="89">
        <v>0</v>
      </c>
      <c r="O597" s="89">
        <f t="shared" ref="O597:O603" si="133">N597-M597</f>
        <v>0</v>
      </c>
    </row>
    <row r="598" spans="1:15" x14ac:dyDescent="0.25">
      <c r="A598" s="134"/>
      <c r="B598" s="136"/>
      <c r="C598" s="138"/>
      <c r="D598" s="90"/>
      <c r="E598" s="89">
        <v>0</v>
      </c>
      <c r="F598" s="89">
        <v>0</v>
      </c>
      <c r="G598" s="89">
        <f t="shared" si="132"/>
        <v>0</v>
      </c>
      <c r="I598" s="134"/>
      <c r="J598" s="136"/>
      <c r="K598" s="138"/>
      <c r="L598" s="96"/>
      <c r="M598" s="89">
        <v>0</v>
      </c>
      <c r="N598" s="89">
        <v>0</v>
      </c>
      <c r="O598" s="89">
        <f t="shared" si="133"/>
        <v>0</v>
      </c>
    </row>
    <row r="599" spans="1:15" x14ac:dyDescent="0.25">
      <c r="A599" s="134"/>
      <c r="B599" s="136"/>
      <c r="C599" s="138"/>
      <c r="D599" s="90"/>
      <c r="E599" s="89">
        <v>0</v>
      </c>
      <c r="F599" s="89">
        <v>0</v>
      </c>
      <c r="G599" s="89">
        <f t="shared" si="132"/>
        <v>0</v>
      </c>
      <c r="I599" s="134"/>
      <c r="J599" s="136"/>
      <c r="K599" s="138"/>
      <c r="L599" s="96"/>
      <c r="M599" s="89">
        <v>0</v>
      </c>
      <c r="N599" s="89">
        <v>0</v>
      </c>
      <c r="O599" s="89">
        <f t="shared" si="133"/>
        <v>0</v>
      </c>
    </row>
    <row r="600" spans="1:15" x14ac:dyDescent="0.25">
      <c r="A600" s="134"/>
      <c r="B600" s="136"/>
      <c r="C600" s="138"/>
      <c r="D600" s="90"/>
      <c r="E600" s="89">
        <v>0</v>
      </c>
      <c r="F600" s="89">
        <v>0</v>
      </c>
      <c r="G600" s="89">
        <f t="shared" si="132"/>
        <v>0</v>
      </c>
      <c r="I600" s="134"/>
      <c r="J600" s="136"/>
      <c r="K600" s="138"/>
      <c r="L600" s="96"/>
      <c r="M600" s="89">
        <v>0</v>
      </c>
      <c r="N600" s="89">
        <v>0</v>
      </c>
      <c r="O600" s="89">
        <f t="shared" si="133"/>
        <v>0</v>
      </c>
    </row>
    <row r="601" spans="1:15" x14ac:dyDescent="0.25">
      <c r="A601" s="134"/>
      <c r="B601" s="136"/>
      <c r="C601" s="138"/>
      <c r="D601" s="90"/>
      <c r="E601" s="89">
        <v>0</v>
      </c>
      <c r="F601" s="89">
        <v>0</v>
      </c>
      <c r="G601" s="89">
        <f t="shared" si="132"/>
        <v>0</v>
      </c>
      <c r="I601" s="134"/>
      <c r="J601" s="136"/>
      <c r="K601" s="138"/>
      <c r="L601" s="96"/>
      <c r="M601" s="89">
        <v>0</v>
      </c>
      <c r="N601" s="89">
        <v>0</v>
      </c>
      <c r="O601" s="89">
        <f t="shared" si="133"/>
        <v>0</v>
      </c>
    </row>
    <row r="602" spans="1:15" x14ac:dyDescent="0.25">
      <c r="A602" s="134"/>
      <c r="B602" s="136"/>
      <c r="C602" s="138"/>
      <c r="D602" s="90"/>
      <c r="E602" s="89">
        <v>0</v>
      </c>
      <c r="F602" s="89">
        <v>0</v>
      </c>
      <c r="G602" s="89">
        <f t="shared" si="132"/>
        <v>0</v>
      </c>
      <c r="I602" s="134"/>
      <c r="J602" s="136"/>
      <c r="K602" s="138"/>
      <c r="L602" s="96"/>
      <c r="M602" s="89">
        <v>0</v>
      </c>
      <c r="N602" s="89">
        <v>0</v>
      </c>
      <c r="O602" s="89">
        <f t="shared" si="133"/>
        <v>0</v>
      </c>
    </row>
    <row r="603" spans="1:15" x14ac:dyDescent="0.25">
      <c r="A603" s="135"/>
      <c r="B603" s="136"/>
      <c r="C603" s="139"/>
      <c r="D603" s="90"/>
      <c r="E603" s="89">
        <v>0</v>
      </c>
      <c r="F603" s="89">
        <v>0</v>
      </c>
      <c r="G603" s="89">
        <f t="shared" si="132"/>
        <v>0</v>
      </c>
      <c r="I603" s="135"/>
      <c r="J603" s="136"/>
      <c r="K603" s="139"/>
      <c r="L603" s="96"/>
      <c r="M603" s="89">
        <v>0</v>
      </c>
      <c r="N603" s="89">
        <v>0</v>
      </c>
      <c r="O603" s="89">
        <f t="shared" si="133"/>
        <v>0</v>
      </c>
    </row>
    <row r="604" spans="1:15" ht="15.75" thickBot="1" x14ac:dyDescent="0.3">
      <c r="A604" s="91"/>
      <c r="B604" s="91"/>
      <c r="C604" s="91"/>
      <c r="D604" s="91"/>
      <c r="E604" s="91"/>
      <c r="F604" s="91"/>
      <c r="G604" s="92">
        <f>SUM(G596,G603)</f>
        <v>0</v>
      </c>
      <c r="I604" s="91"/>
      <c r="J604" s="91"/>
      <c r="K604" s="91"/>
      <c r="L604" s="97"/>
      <c r="M604" s="91"/>
      <c r="N604" s="91"/>
      <c r="O604" s="92">
        <f>SUM(O596,O603)</f>
        <v>0</v>
      </c>
    </row>
    <row r="605" spans="1:15" x14ac:dyDescent="0.25">
      <c r="A605" s="133">
        <f>A596+1</f>
        <v>46149</v>
      </c>
      <c r="B605" s="136"/>
      <c r="C605" s="137" t="s">
        <v>82</v>
      </c>
      <c r="D605" s="88"/>
      <c r="E605" s="89">
        <v>0</v>
      </c>
      <c r="F605" s="89">
        <v>0</v>
      </c>
      <c r="G605" s="89">
        <f>F605-E605</f>
        <v>0</v>
      </c>
      <c r="I605" s="133">
        <f>I596+1</f>
        <v>46149</v>
      </c>
      <c r="J605" s="136"/>
      <c r="K605" s="137" t="s">
        <v>83</v>
      </c>
      <c r="L605" s="95"/>
      <c r="M605" s="89">
        <v>0</v>
      </c>
      <c r="N605" s="89">
        <v>0</v>
      </c>
      <c r="O605" s="89">
        <f>N605-M605</f>
        <v>0</v>
      </c>
    </row>
    <row r="606" spans="1:15" x14ac:dyDescent="0.25">
      <c r="A606" s="134"/>
      <c r="B606" s="136"/>
      <c r="C606" s="138"/>
      <c r="D606" s="88"/>
      <c r="E606" s="89">
        <v>0</v>
      </c>
      <c r="F606" s="89">
        <v>0</v>
      </c>
      <c r="G606" s="89">
        <f t="shared" ref="G606:G612" si="134">F606-E606</f>
        <v>0</v>
      </c>
      <c r="I606" s="134"/>
      <c r="J606" s="136"/>
      <c r="K606" s="138"/>
      <c r="L606" s="95"/>
      <c r="M606" s="89">
        <v>0</v>
      </c>
      <c r="N606" s="89">
        <v>0</v>
      </c>
      <c r="O606" s="89">
        <f t="shared" ref="O606:O612" si="135">N606-M606</f>
        <v>0</v>
      </c>
    </row>
    <row r="607" spans="1:15" x14ac:dyDescent="0.25">
      <c r="A607" s="134"/>
      <c r="B607" s="136"/>
      <c r="C607" s="138"/>
      <c r="D607" s="90"/>
      <c r="E607" s="89">
        <v>0</v>
      </c>
      <c r="F607" s="89">
        <v>0</v>
      </c>
      <c r="G607" s="89">
        <f t="shared" si="134"/>
        <v>0</v>
      </c>
      <c r="I607" s="134"/>
      <c r="J607" s="136"/>
      <c r="K607" s="138"/>
      <c r="L607" s="96"/>
      <c r="M607" s="89">
        <v>0</v>
      </c>
      <c r="N607" s="89">
        <v>0</v>
      </c>
      <c r="O607" s="89">
        <f t="shared" si="135"/>
        <v>0</v>
      </c>
    </row>
    <row r="608" spans="1:15" x14ac:dyDescent="0.25">
      <c r="A608" s="134"/>
      <c r="B608" s="136"/>
      <c r="C608" s="138"/>
      <c r="D608" s="90"/>
      <c r="E608" s="89">
        <v>0</v>
      </c>
      <c r="F608" s="89">
        <v>0</v>
      </c>
      <c r="G608" s="89">
        <f t="shared" si="134"/>
        <v>0</v>
      </c>
      <c r="I608" s="134"/>
      <c r="J608" s="136"/>
      <c r="K608" s="138"/>
      <c r="L608" s="96"/>
      <c r="M608" s="89">
        <v>0</v>
      </c>
      <c r="N608" s="89">
        <v>0</v>
      </c>
      <c r="O608" s="89">
        <f t="shared" si="135"/>
        <v>0</v>
      </c>
    </row>
    <row r="609" spans="1:15" x14ac:dyDescent="0.25">
      <c r="A609" s="134"/>
      <c r="B609" s="136"/>
      <c r="C609" s="138"/>
      <c r="D609" s="90"/>
      <c r="E609" s="89">
        <v>0</v>
      </c>
      <c r="F609" s="89">
        <v>0</v>
      </c>
      <c r="G609" s="89">
        <f t="shared" si="134"/>
        <v>0</v>
      </c>
      <c r="I609" s="134"/>
      <c r="J609" s="136"/>
      <c r="K609" s="138"/>
      <c r="L609" s="96"/>
      <c r="M609" s="89">
        <v>0</v>
      </c>
      <c r="N609" s="89">
        <v>0</v>
      </c>
      <c r="O609" s="89">
        <f t="shared" si="135"/>
        <v>0</v>
      </c>
    </row>
    <row r="610" spans="1:15" x14ac:dyDescent="0.25">
      <c r="A610" s="134"/>
      <c r="B610" s="136"/>
      <c r="C610" s="138"/>
      <c r="D610" s="90"/>
      <c r="E610" s="89">
        <v>0</v>
      </c>
      <c r="F610" s="89">
        <v>0</v>
      </c>
      <c r="G610" s="89">
        <f t="shared" si="134"/>
        <v>0</v>
      </c>
      <c r="I610" s="134"/>
      <c r="J610" s="136"/>
      <c r="K610" s="138"/>
      <c r="L610" s="96"/>
      <c r="M610" s="89">
        <v>0</v>
      </c>
      <c r="N610" s="89">
        <v>0</v>
      </c>
      <c r="O610" s="89">
        <f t="shared" si="135"/>
        <v>0</v>
      </c>
    </row>
    <row r="611" spans="1:15" x14ac:dyDescent="0.25">
      <c r="A611" s="134"/>
      <c r="B611" s="136"/>
      <c r="C611" s="138"/>
      <c r="D611" s="90"/>
      <c r="E611" s="89">
        <v>0</v>
      </c>
      <c r="F611" s="89">
        <v>0</v>
      </c>
      <c r="G611" s="89">
        <f t="shared" si="134"/>
        <v>0</v>
      </c>
      <c r="I611" s="134"/>
      <c r="J611" s="136"/>
      <c r="K611" s="138"/>
      <c r="L611" s="96"/>
      <c r="M611" s="89">
        <v>0</v>
      </c>
      <c r="N611" s="89">
        <v>0</v>
      </c>
      <c r="O611" s="89">
        <f t="shared" si="135"/>
        <v>0</v>
      </c>
    </row>
    <row r="612" spans="1:15" x14ac:dyDescent="0.25">
      <c r="A612" s="135"/>
      <c r="B612" s="136"/>
      <c r="C612" s="139"/>
      <c r="D612" s="90"/>
      <c r="E612" s="89">
        <v>0</v>
      </c>
      <c r="F612" s="89">
        <v>0</v>
      </c>
      <c r="G612" s="89">
        <f t="shared" si="134"/>
        <v>0</v>
      </c>
      <c r="I612" s="135"/>
      <c r="J612" s="136"/>
      <c r="K612" s="139"/>
      <c r="L612" s="96"/>
      <c r="M612" s="89">
        <v>0</v>
      </c>
      <c r="N612" s="89">
        <v>0</v>
      </c>
      <c r="O612" s="89">
        <f t="shared" si="135"/>
        <v>0</v>
      </c>
    </row>
    <row r="613" spans="1:15" ht="15.75" thickBot="1" x14ac:dyDescent="0.3">
      <c r="A613" s="91"/>
      <c r="B613" s="91"/>
      <c r="C613" s="91"/>
      <c r="D613" s="91"/>
      <c r="E613" s="91"/>
      <c r="F613" s="91"/>
      <c r="G613" s="92">
        <f>SUM(G605,G612)</f>
        <v>0</v>
      </c>
      <c r="I613" s="91"/>
      <c r="J613" s="91"/>
      <c r="K613" s="91"/>
      <c r="L613" s="97"/>
      <c r="M613" s="91"/>
      <c r="N613" s="91"/>
      <c r="O613" s="92">
        <f>SUM(O605,O612)</f>
        <v>0</v>
      </c>
    </row>
    <row r="614" spans="1:15" x14ac:dyDescent="0.25">
      <c r="A614" s="133">
        <f>A605+1</f>
        <v>46150</v>
      </c>
      <c r="B614" s="136"/>
      <c r="C614" s="137" t="s">
        <v>82</v>
      </c>
      <c r="D614" s="88"/>
      <c r="E614" s="89">
        <v>0</v>
      </c>
      <c r="F614" s="89">
        <v>0</v>
      </c>
      <c r="G614" s="89">
        <f>F614-E614</f>
        <v>0</v>
      </c>
      <c r="I614" s="133">
        <f>I605+1</f>
        <v>46150</v>
      </c>
      <c r="J614" s="136"/>
      <c r="K614" s="137" t="s">
        <v>83</v>
      </c>
      <c r="L614" s="95"/>
      <c r="M614" s="89">
        <v>0</v>
      </c>
      <c r="N614" s="89">
        <v>0</v>
      </c>
      <c r="O614" s="89">
        <f>N614-M614</f>
        <v>0</v>
      </c>
    </row>
    <row r="615" spans="1:15" x14ac:dyDescent="0.25">
      <c r="A615" s="134"/>
      <c r="B615" s="136"/>
      <c r="C615" s="138"/>
      <c r="D615" s="88"/>
      <c r="E615" s="89">
        <v>0</v>
      </c>
      <c r="F615" s="89">
        <v>0</v>
      </c>
      <c r="G615" s="89">
        <f t="shared" ref="G615:G621" si="136">F615-E615</f>
        <v>0</v>
      </c>
      <c r="I615" s="134"/>
      <c r="J615" s="136"/>
      <c r="K615" s="138"/>
      <c r="L615" s="95"/>
      <c r="M615" s="89">
        <v>0</v>
      </c>
      <c r="N615" s="89">
        <v>0</v>
      </c>
      <c r="O615" s="89">
        <f t="shared" ref="O615:O621" si="137">N615-M615</f>
        <v>0</v>
      </c>
    </row>
    <row r="616" spans="1:15" x14ac:dyDescent="0.25">
      <c r="A616" s="134"/>
      <c r="B616" s="136"/>
      <c r="C616" s="138"/>
      <c r="D616" s="90"/>
      <c r="E616" s="89">
        <v>0</v>
      </c>
      <c r="F616" s="89">
        <v>0</v>
      </c>
      <c r="G616" s="89">
        <f t="shared" si="136"/>
        <v>0</v>
      </c>
      <c r="I616" s="134"/>
      <c r="J616" s="136"/>
      <c r="K616" s="138"/>
      <c r="L616" s="96"/>
      <c r="M616" s="89">
        <v>0</v>
      </c>
      <c r="N616" s="89">
        <v>0</v>
      </c>
      <c r="O616" s="89">
        <f t="shared" si="137"/>
        <v>0</v>
      </c>
    </row>
    <row r="617" spans="1:15" x14ac:dyDescent="0.25">
      <c r="A617" s="134"/>
      <c r="B617" s="136"/>
      <c r="C617" s="138"/>
      <c r="D617" s="90"/>
      <c r="E617" s="89">
        <v>0</v>
      </c>
      <c r="F617" s="89">
        <v>0</v>
      </c>
      <c r="G617" s="89">
        <f t="shared" si="136"/>
        <v>0</v>
      </c>
      <c r="I617" s="134"/>
      <c r="J617" s="136"/>
      <c r="K617" s="138"/>
      <c r="L617" s="96"/>
      <c r="M617" s="89">
        <v>0</v>
      </c>
      <c r="N617" s="89">
        <v>0</v>
      </c>
      <c r="O617" s="89">
        <f t="shared" si="137"/>
        <v>0</v>
      </c>
    </row>
    <row r="618" spans="1:15" x14ac:dyDescent="0.25">
      <c r="A618" s="134"/>
      <c r="B618" s="136"/>
      <c r="C618" s="138"/>
      <c r="D618" s="90"/>
      <c r="E618" s="89">
        <v>0</v>
      </c>
      <c r="F618" s="89">
        <v>0</v>
      </c>
      <c r="G618" s="89">
        <f t="shared" si="136"/>
        <v>0</v>
      </c>
      <c r="I618" s="134"/>
      <c r="J618" s="136"/>
      <c r="K618" s="138"/>
      <c r="L618" s="96"/>
      <c r="M618" s="89">
        <v>0</v>
      </c>
      <c r="N618" s="89">
        <v>0</v>
      </c>
      <c r="O618" s="89">
        <f t="shared" si="137"/>
        <v>0</v>
      </c>
    </row>
    <row r="619" spans="1:15" x14ac:dyDescent="0.25">
      <c r="A619" s="134"/>
      <c r="B619" s="136"/>
      <c r="C619" s="138"/>
      <c r="D619" s="90"/>
      <c r="E619" s="89">
        <v>0</v>
      </c>
      <c r="F619" s="89">
        <v>0</v>
      </c>
      <c r="G619" s="89">
        <f t="shared" si="136"/>
        <v>0</v>
      </c>
      <c r="I619" s="134"/>
      <c r="J619" s="136"/>
      <c r="K619" s="138"/>
      <c r="L619" s="96"/>
      <c r="M619" s="89">
        <v>0</v>
      </c>
      <c r="N619" s="89">
        <v>0</v>
      </c>
      <c r="O619" s="89">
        <f t="shared" si="137"/>
        <v>0</v>
      </c>
    </row>
    <row r="620" spans="1:15" x14ac:dyDescent="0.25">
      <c r="A620" s="134"/>
      <c r="B620" s="136"/>
      <c r="C620" s="138"/>
      <c r="D620" s="90"/>
      <c r="E620" s="89">
        <v>0</v>
      </c>
      <c r="F620" s="89">
        <v>0</v>
      </c>
      <c r="G620" s="89">
        <f t="shared" si="136"/>
        <v>0</v>
      </c>
      <c r="I620" s="134"/>
      <c r="J620" s="136"/>
      <c r="K620" s="138"/>
      <c r="L620" s="96"/>
      <c r="M620" s="89">
        <v>0</v>
      </c>
      <c r="N620" s="89">
        <v>0</v>
      </c>
      <c r="O620" s="89">
        <f t="shared" si="137"/>
        <v>0</v>
      </c>
    </row>
    <row r="621" spans="1:15" x14ac:dyDescent="0.25">
      <c r="A621" s="135"/>
      <c r="B621" s="136"/>
      <c r="C621" s="139"/>
      <c r="D621" s="90"/>
      <c r="E621" s="89">
        <v>0</v>
      </c>
      <c r="F621" s="89">
        <v>0</v>
      </c>
      <c r="G621" s="89">
        <f t="shared" si="136"/>
        <v>0</v>
      </c>
      <c r="I621" s="135"/>
      <c r="J621" s="136"/>
      <c r="K621" s="139"/>
      <c r="L621" s="96"/>
      <c r="M621" s="89">
        <v>0</v>
      </c>
      <c r="N621" s="89">
        <v>0</v>
      </c>
      <c r="O621" s="89">
        <f t="shared" si="137"/>
        <v>0</v>
      </c>
    </row>
    <row r="622" spans="1:15" ht="15.75" thickBot="1" x14ac:dyDescent="0.3">
      <c r="A622" s="91"/>
      <c r="B622" s="91"/>
      <c r="C622" s="91"/>
      <c r="D622" s="91"/>
      <c r="E622" s="91"/>
      <c r="F622" s="91"/>
      <c r="G622" s="92">
        <f>SUM(G614,G621)</f>
        <v>0</v>
      </c>
      <c r="I622" s="91"/>
      <c r="J622" s="91"/>
      <c r="K622" s="91"/>
      <c r="L622" s="97"/>
      <c r="M622" s="91"/>
      <c r="N622" s="91"/>
      <c r="O622" s="92">
        <f>SUM(O614,O621)</f>
        <v>0</v>
      </c>
    </row>
    <row r="623" spans="1:15" x14ac:dyDescent="0.25">
      <c r="A623" s="133">
        <f>A614+1</f>
        <v>46151</v>
      </c>
      <c r="B623" s="136"/>
      <c r="C623" s="137" t="s">
        <v>82</v>
      </c>
      <c r="D623" s="88"/>
      <c r="E623" s="89">
        <v>0</v>
      </c>
      <c r="F623" s="89">
        <v>0</v>
      </c>
      <c r="G623" s="89">
        <f>F623-E623</f>
        <v>0</v>
      </c>
      <c r="I623" s="133">
        <f>I614+1</f>
        <v>46151</v>
      </c>
      <c r="J623" s="136"/>
      <c r="K623" s="137" t="s">
        <v>83</v>
      </c>
      <c r="L623" s="95"/>
      <c r="M623" s="89">
        <v>0</v>
      </c>
      <c r="N623" s="89">
        <v>0</v>
      </c>
      <c r="O623" s="89">
        <f>N623-M623</f>
        <v>0</v>
      </c>
    </row>
    <row r="624" spans="1:15" x14ac:dyDescent="0.25">
      <c r="A624" s="134"/>
      <c r="B624" s="136"/>
      <c r="C624" s="138"/>
      <c r="D624" s="88"/>
      <c r="E624" s="89">
        <v>0</v>
      </c>
      <c r="F624" s="89">
        <v>0</v>
      </c>
      <c r="G624" s="89">
        <f t="shared" ref="G624:G630" si="138">F624-E624</f>
        <v>0</v>
      </c>
      <c r="I624" s="134"/>
      <c r="J624" s="136"/>
      <c r="K624" s="138"/>
      <c r="L624" s="95"/>
      <c r="M624" s="89">
        <v>0</v>
      </c>
      <c r="N624" s="89">
        <v>0</v>
      </c>
      <c r="O624" s="89">
        <f t="shared" ref="O624:O630" si="139">N624-M624</f>
        <v>0</v>
      </c>
    </row>
    <row r="625" spans="1:15" x14ac:dyDescent="0.25">
      <c r="A625" s="134"/>
      <c r="B625" s="136"/>
      <c r="C625" s="138"/>
      <c r="D625" s="90"/>
      <c r="E625" s="89">
        <v>0</v>
      </c>
      <c r="F625" s="89">
        <v>0</v>
      </c>
      <c r="G625" s="89">
        <f t="shared" si="138"/>
        <v>0</v>
      </c>
      <c r="I625" s="134"/>
      <c r="J625" s="136"/>
      <c r="K625" s="138"/>
      <c r="L625" s="96"/>
      <c r="M625" s="89">
        <v>0</v>
      </c>
      <c r="N625" s="89">
        <v>0</v>
      </c>
      <c r="O625" s="89">
        <f t="shared" si="139"/>
        <v>0</v>
      </c>
    </row>
    <row r="626" spans="1:15" x14ac:dyDescent="0.25">
      <c r="A626" s="134"/>
      <c r="B626" s="136"/>
      <c r="C626" s="138"/>
      <c r="D626" s="90"/>
      <c r="E626" s="89">
        <v>0</v>
      </c>
      <c r="F626" s="89">
        <v>0</v>
      </c>
      <c r="G626" s="89">
        <f t="shared" si="138"/>
        <v>0</v>
      </c>
      <c r="I626" s="134"/>
      <c r="J626" s="136"/>
      <c r="K626" s="138"/>
      <c r="L626" s="96"/>
      <c r="M626" s="89">
        <v>0</v>
      </c>
      <c r="N626" s="89">
        <v>0</v>
      </c>
      <c r="O626" s="89">
        <f t="shared" si="139"/>
        <v>0</v>
      </c>
    </row>
    <row r="627" spans="1:15" x14ac:dyDescent="0.25">
      <c r="A627" s="134"/>
      <c r="B627" s="136"/>
      <c r="C627" s="138"/>
      <c r="D627" s="90"/>
      <c r="E627" s="89">
        <v>0</v>
      </c>
      <c r="F627" s="89">
        <v>0</v>
      </c>
      <c r="G627" s="89">
        <f t="shared" si="138"/>
        <v>0</v>
      </c>
      <c r="I627" s="134"/>
      <c r="J627" s="136"/>
      <c r="K627" s="138"/>
      <c r="L627" s="96"/>
      <c r="M627" s="89">
        <v>0</v>
      </c>
      <c r="N627" s="89">
        <v>0</v>
      </c>
      <c r="O627" s="89">
        <f t="shared" si="139"/>
        <v>0</v>
      </c>
    </row>
    <row r="628" spans="1:15" x14ac:dyDescent="0.25">
      <c r="A628" s="134"/>
      <c r="B628" s="136"/>
      <c r="C628" s="138"/>
      <c r="D628" s="90"/>
      <c r="E628" s="89">
        <v>0</v>
      </c>
      <c r="F628" s="89">
        <v>0</v>
      </c>
      <c r="G628" s="89">
        <f t="shared" si="138"/>
        <v>0</v>
      </c>
      <c r="I628" s="134"/>
      <c r="J628" s="136"/>
      <c r="K628" s="138"/>
      <c r="L628" s="96"/>
      <c r="M628" s="89">
        <v>0</v>
      </c>
      <c r="N628" s="89">
        <v>0</v>
      </c>
      <c r="O628" s="89">
        <f t="shared" si="139"/>
        <v>0</v>
      </c>
    </row>
    <row r="629" spans="1:15" x14ac:dyDescent="0.25">
      <c r="A629" s="134"/>
      <c r="B629" s="136"/>
      <c r="C629" s="138"/>
      <c r="D629" s="90"/>
      <c r="E629" s="89">
        <v>0</v>
      </c>
      <c r="F629" s="89">
        <v>0</v>
      </c>
      <c r="G629" s="89">
        <f t="shared" si="138"/>
        <v>0</v>
      </c>
      <c r="I629" s="134"/>
      <c r="J629" s="136"/>
      <c r="K629" s="138"/>
      <c r="L629" s="96"/>
      <c r="M629" s="89">
        <v>0</v>
      </c>
      <c r="N629" s="89">
        <v>0</v>
      </c>
      <c r="O629" s="89">
        <f t="shared" si="139"/>
        <v>0</v>
      </c>
    </row>
    <row r="630" spans="1:15" x14ac:dyDescent="0.25">
      <c r="A630" s="135"/>
      <c r="B630" s="136"/>
      <c r="C630" s="139"/>
      <c r="D630" s="90"/>
      <c r="E630" s="89">
        <v>0</v>
      </c>
      <c r="F630" s="89">
        <v>0</v>
      </c>
      <c r="G630" s="89">
        <f t="shared" si="138"/>
        <v>0</v>
      </c>
      <c r="I630" s="135"/>
      <c r="J630" s="136"/>
      <c r="K630" s="139"/>
      <c r="L630" s="96"/>
      <c r="M630" s="89">
        <v>0</v>
      </c>
      <c r="N630" s="89">
        <v>0</v>
      </c>
      <c r="O630" s="89">
        <f t="shared" si="139"/>
        <v>0</v>
      </c>
    </row>
    <row r="631" spans="1:15" ht="15.75" thickBot="1" x14ac:dyDescent="0.3">
      <c r="A631" s="91"/>
      <c r="B631" s="91"/>
      <c r="C631" s="91"/>
      <c r="D631" s="91"/>
      <c r="E631" s="91"/>
      <c r="F631" s="91"/>
      <c r="G631" s="92">
        <f>SUM(G623,G630)</f>
        <v>0</v>
      </c>
      <c r="I631" s="91"/>
      <c r="J631" s="91"/>
      <c r="K631" s="91"/>
      <c r="L631" s="97"/>
      <c r="M631" s="91"/>
      <c r="N631" s="91"/>
      <c r="O631" s="92">
        <f>SUM(O623,O630)</f>
        <v>0</v>
      </c>
    </row>
    <row r="632" spans="1:15" x14ac:dyDescent="0.25">
      <c r="A632" s="133">
        <f>A623+1</f>
        <v>46152</v>
      </c>
      <c r="B632" s="136"/>
      <c r="C632" s="137" t="s">
        <v>82</v>
      </c>
      <c r="D632" s="88"/>
      <c r="E632" s="89">
        <v>0</v>
      </c>
      <c r="F632" s="89">
        <v>0</v>
      </c>
      <c r="G632" s="89">
        <f>F632-E632</f>
        <v>0</v>
      </c>
      <c r="I632" s="133">
        <f>I623+1</f>
        <v>46152</v>
      </c>
      <c r="J632" s="136"/>
      <c r="K632" s="137" t="s">
        <v>83</v>
      </c>
      <c r="L632" s="95"/>
      <c r="M632" s="89">
        <v>0</v>
      </c>
      <c r="N632" s="89">
        <v>0</v>
      </c>
      <c r="O632" s="89">
        <f>N632-M632</f>
        <v>0</v>
      </c>
    </row>
    <row r="633" spans="1:15" x14ac:dyDescent="0.25">
      <c r="A633" s="134"/>
      <c r="B633" s="136"/>
      <c r="C633" s="138"/>
      <c r="D633" s="88"/>
      <c r="E633" s="89">
        <v>0</v>
      </c>
      <c r="F633" s="89">
        <v>0</v>
      </c>
      <c r="G633" s="89">
        <f t="shared" ref="G633:G639" si="140">F633-E633</f>
        <v>0</v>
      </c>
      <c r="I633" s="134"/>
      <c r="J633" s="136"/>
      <c r="K633" s="138"/>
      <c r="L633" s="95"/>
      <c r="M633" s="89">
        <v>0</v>
      </c>
      <c r="N633" s="89">
        <v>0</v>
      </c>
      <c r="O633" s="89">
        <f t="shared" ref="O633:O639" si="141">N633-M633</f>
        <v>0</v>
      </c>
    </row>
    <row r="634" spans="1:15" x14ac:dyDescent="0.25">
      <c r="A634" s="134"/>
      <c r="B634" s="136"/>
      <c r="C634" s="138"/>
      <c r="D634" s="90"/>
      <c r="E634" s="89">
        <v>0</v>
      </c>
      <c r="F634" s="89">
        <v>0</v>
      </c>
      <c r="G634" s="89">
        <f t="shared" si="140"/>
        <v>0</v>
      </c>
      <c r="I634" s="134"/>
      <c r="J634" s="136"/>
      <c r="K634" s="138"/>
      <c r="L634" s="96"/>
      <c r="M634" s="89">
        <v>0</v>
      </c>
      <c r="N634" s="89">
        <v>0</v>
      </c>
      <c r="O634" s="89">
        <f t="shared" si="141"/>
        <v>0</v>
      </c>
    </row>
    <row r="635" spans="1:15" x14ac:dyDescent="0.25">
      <c r="A635" s="134"/>
      <c r="B635" s="136"/>
      <c r="C635" s="138"/>
      <c r="D635" s="90"/>
      <c r="E635" s="89">
        <v>0</v>
      </c>
      <c r="F635" s="89">
        <v>0</v>
      </c>
      <c r="G635" s="89">
        <f t="shared" si="140"/>
        <v>0</v>
      </c>
      <c r="I635" s="134"/>
      <c r="J635" s="136"/>
      <c r="K635" s="138"/>
      <c r="L635" s="96"/>
      <c r="M635" s="89">
        <v>0</v>
      </c>
      <c r="N635" s="89">
        <v>0</v>
      </c>
      <c r="O635" s="89">
        <f t="shared" si="141"/>
        <v>0</v>
      </c>
    </row>
    <row r="636" spans="1:15" x14ac:dyDescent="0.25">
      <c r="A636" s="134"/>
      <c r="B636" s="136"/>
      <c r="C636" s="138"/>
      <c r="D636" s="90"/>
      <c r="E636" s="89">
        <v>0</v>
      </c>
      <c r="F636" s="89">
        <v>0</v>
      </c>
      <c r="G636" s="89">
        <f t="shared" si="140"/>
        <v>0</v>
      </c>
      <c r="I636" s="134"/>
      <c r="J636" s="136"/>
      <c r="K636" s="138"/>
      <c r="L636" s="96"/>
      <c r="M636" s="89">
        <v>0</v>
      </c>
      <c r="N636" s="89">
        <v>0</v>
      </c>
      <c r="O636" s="89">
        <f t="shared" si="141"/>
        <v>0</v>
      </c>
    </row>
    <row r="637" spans="1:15" x14ac:dyDescent="0.25">
      <c r="A637" s="134"/>
      <c r="B637" s="136"/>
      <c r="C637" s="138"/>
      <c r="D637" s="90"/>
      <c r="E637" s="89">
        <v>0</v>
      </c>
      <c r="F637" s="89">
        <v>0</v>
      </c>
      <c r="G637" s="89">
        <f t="shared" si="140"/>
        <v>0</v>
      </c>
      <c r="I637" s="134"/>
      <c r="J637" s="136"/>
      <c r="K637" s="138"/>
      <c r="L637" s="96"/>
      <c r="M637" s="89">
        <v>0</v>
      </c>
      <c r="N637" s="89">
        <v>0</v>
      </c>
      <c r="O637" s="89">
        <f t="shared" si="141"/>
        <v>0</v>
      </c>
    </row>
    <row r="638" spans="1:15" x14ac:dyDescent="0.25">
      <c r="A638" s="134"/>
      <c r="B638" s="136"/>
      <c r="C638" s="138"/>
      <c r="D638" s="90"/>
      <c r="E638" s="89">
        <v>0</v>
      </c>
      <c r="F638" s="89">
        <v>0</v>
      </c>
      <c r="G638" s="89">
        <f t="shared" si="140"/>
        <v>0</v>
      </c>
      <c r="I638" s="134"/>
      <c r="J638" s="136"/>
      <c r="K638" s="138"/>
      <c r="L638" s="96"/>
      <c r="M638" s="89">
        <v>0</v>
      </c>
      <c r="N638" s="89">
        <v>0</v>
      </c>
      <c r="O638" s="89">
        <f t="shared" si="141"/>
        <v>0</v>
      </c>
    </row>
    <row r="639" spans="1:15" x14ac:dyDescent="0.25">
      <c r="A639" s="135"/>
      <c r="B639" s="136"/>
      <c r="C639" s="139"/>
      <c r="D639" s="90"/>
      <c r="E639" s="89">
        <v>0</v>
      </c>
      <c r="F639" s="89">
        <v>0</v>
      </c>
      <c r="G639" s="89">
        <f t="shared" si="140"/>
        <v>0</v>
      </c>
      <c r="I639" s="135"/>
      <c r="J639" s="136"/>
      <c r="K639" s="139"/>
      <c r="L639" s="96"/>
      <c r="M639" s="89">
        <v>0</v>
      </c>
      <c r="N639" s="89">
        <v>0</v>
      </c>
      <c r="O639" s="89">
        <f t="shared" si="141"/>
        <v>0</v>
      </c>
    </row>
    <row r="640" spans="1:15" ht="15.75" thickBot="1" x14ac:dyDescent="0.3">
      <c r="A640" s="91"/>
      <c r="B640" s="91"/>
      <c r="C640" s="91"/>
      <c r="D640" s="91"/>
      <c r="E640" s="91"/>
      <c r="F640" s="91"/>
      <c r="G640" s="92">
        <f>SUM(G632,G639)</f>
        <v>0</v>
      </c>
      <c r="I640" s="91"/>
      <c r="J640" s="91"/>
      <c r="K640" s="91"/>
      <c r="L640" s="97"/>
      <c r="M640" s="91"/>
      <c r="N640" s="91"/>
      <c r="O640" s="92">
        <f>SUM(O632,O639)</f>
        <v>0</v>
      </c>
    </row>
    <row r="641" spans="1:15" x14ac:dyDescent="0.25">
      <c r="A641" s="133">
        <f>A632+1</f>
        <v>46153</v>
      </c>
      <c r="B641" s="136"/>
      <c r="C641" s="137" t="s">
        <v>82</v>
      </c>
      <c r="D641" s="88"/>
      <c r="E641" s="89">
        <v>0</v>
      </c>
      <c r="F641" s="89">
        <v>0</v>
      </c>
      <c r="G641" s="89">
        <f>F641-E641</f>
        <v>0</v>
      </c>
      <c r="I641" s="133">
        <f>I632+1</f>
        <v>46153</v>
      </c>
      <c r="J641" s="136"/>
      <c r="K641" s="137" t="s">
        <v>83</v>
      </c>
      <c r="L641" s="95"/>
      <c r="M641" s="89">
        <v>0</v>
      </c>
      <c r="N641" s="89">
        <v>0</v>
      </c>
      <c r="O641" s="89">
        <f>N641-M641</f>
        <v>0</v>
      </c>
    </row>
    <row r="642" spans="1:15" x14ac:dyDescent="0.25">
      <c r="A642" s="134"/>
      <c r="B642" s="136"/>
      <c r="C642" s="138"/>
      <c r="D642" s="88"/>
      <c r="E642" s="89">
        <v>0</v>
      </c>
      <c r="F642" s="89">
        <v>0</v>
      </c>
      <c r="G642" s="89">
        <f t="shared" ref="G642:G648" si="142">F642-E642</f>
        <v>0</v>
      </c>
      <c r="I642" s="134"/>
      <c r="J642" s="136"/>
      <c r="K642" s="138"/>
      <c r="L642" s="95"/>
      <c r="M642" s="89">
        <v>0</v>
      </c>
      <c r="N642" s="89">
        <v>0</v>
      </c>
      <c r="O642" s="89">
        <f t="shared" ref="O642:O648" si="143">N642-M642</f>
        <v>0</v>
      </c>
    </row>
    <row r="643" spans="1:15" x14ac:dyDescent="0.25">
      <c r="A643" s="134"/>
      <c r="B643" s="136"/>
      <c r="C643" s="138"/>
      <c r="D643" s="90"/>
      <c r="E643" s="89">
        <v>0</v>
      </c>
      <c r="F643" s="89">
        <v>0</v>
      </c>
      <c r="G643" s="89">
        <f t="shared" si="142"/>
        <v>0</v>
      </c>
      <c r="I643" s="134"/>
      <c r="J643" s="136"/>
      <c r="K643" s="138"/>
      <c r="L643" s="96"/>
      <c r="M643" s="89">
        <v>0</v>
      </c>
      <c r="N643" s="89">
        <v>0</v>
      </c>
      <c r="O643" s="89">
        <f t="shared" si="143"/>
        <v>0</v>
      </c>
    </row>
    <row r="644" spans="1:15" x14ac:dyDescent="0.25">
      <c r="A644" s="134"/>
      <c r="B644" s="136"/>
      <c r="C644" s="138"/>
      <c r="D644" s="90"/>
      <c r="E644" s="89">
        <v>0</v>
      </c>
      <c r="F644" s="89">
        <v>0</v>
      </c>
      <c r="G644" s="89">
        <f t="shared" si="142"/>
        <v>0</v>
      </c>
      <c r="I644" s="134"/>
      <c r="J644" s="136"/>
      <c r="K644" s="138"/>
      <c r="L644" s="96"/>
      <c r="M644" s="89">
        <v>0</v>
      </c>
      <c r="N644" s="89">
        <v>0</v>
      </c>
      <c r="O644" s="89">
        <f t="shared" si="143"/>
        <v>0</v>
      </c>
    </row>
    <row r="645" spans="1:15" x14ac:dyDescent="0.25">
      <c r="A645" s="134"/>
      <c r="B645" s="136"/>
      <c r="C645" s="138"/>
      <c r="D645" s="90"/>
      <c r="E645" s="89">
        <v>0</v>
      </c>
      <c r="F645" s="89">
        <v>0</v>
      </c>
      <c r="G645" s="89">
        <f t="shared" si="142"/>
        <v>0</v>
      </c>
      <c r="I645" s="134"/>
      <c r="J645" s="136"/>
      <c r="K645" s="138"/>
      <c r="L645" s="96"/>
      <c r="M645" s="89">
        <v>0</v>
      </c>
      <c r="N645" s="89">
        <v>0</v>
      </c>
      <c r="O645" s="89">
        <f t="shared" si="143"/>
        <v>0</v>
      </c>
    </row>
    <row r="646" spans="1:15" x14ac:dyDescent="0.25">
      <c r="A646" s="134"/>
      <c r="B646" s="136"/>
      <c r="C646" s="138"/>
      <c r="D646" s="90"/>
      <c r="E646" s="89">
        <v>0</v>
      </c>
      <c r="F646" s="89">
        <v>0</v>
      </c>
      <c r="G646" s="89">
        <f t="shared" si="142"/>
        <v>0</v>
      </c>
      <c r="I646" s="134"/>
      <c r="J646" s="136"/>
      <c r="K646" s="138"/>
      <c r="L646" s="96"/>
      <c r="M646" s="89">
        <v>0</v>
      </c>
      <c r="N646" s="89">
        <v>0</v>
      </c>
      <c r="O646" s="89">
        <f t="shared" si="143"/>
        <v>0</v>
      </c>
    </row>
    <row r="647" spans="1:15" x14ac:dyDescent="0.25">
      <c r="A647" s="134"/>
      <c r="B647" s="136"/>
      <c r="C647" s="138"/>
      <c r="D647" s="90"/>
      <c r="E647" s="89">
        <v>0</v>
      </c>
      <c r="F647" s="89">
        <v>0</v>
      </c>
      <c r="G647" s="89">
        <f t="shared" si="142"/>
        <v>0</v>
      </c>
      <c r="I647" s="134"/>
      <c r="J647" s="136"/>
      <c r="K647" s="138"/>
      <c r="L647" s="96"/>
      <c r="M647" s="89">
        <v>0</v>
      </c>
      <c r="N647" s="89">
        <v>0</v>
      </c>
      <c r="O647" s="89">
        <f t="shared" si="143"/>
        <v>0</v>
      </c>
    </row>
    <row r="648" spans="1:15" x14ac:dyDescent="0.25">
      <c r="A648" s="135"/>
      <c r="B648" s="136"/>
      <c r="C648" s="139"/>
      <c r="D648" s="90"/>
      <c r="E648" s="89">
        <v>0</v>
      </c>
      <c r="F648" s="89">
        <v>0</v>
      </c>
      <c r="G648" s="89">
        <f t="shared" si="142"/>
        <v>0</v>
      </c>
      <c r="I648" s="135"/>
      <c r="J648" s="136"/>
      <c r="K648" s="139"/>
      <c r="L648" s="96"/>
      <c r="M648" s="89">
        <v>0</v>
      </c>
      <c r="N648" s="89">
        <v>0</v>
      </c>
      <c r="O648" s="89">
        <f t="shared" si="143"/>
        <v>0</v>
      </c>
    </row>
    <row r="649" spans="1:15" ht="15.75" thickBot="1" x14ac:dyDescent="0.3">
      <c r="A649" s="91"/>
      <c r="B649" s="91"/>
      <c r="C649" s="91"/>
      <c r="D649" s="91"/>
      <c r="E649" s="91"/>
      <c r="F649" s="91"/>
      <c r="G649" s="92">
        <f>SUM(G641,G648)</f>
        <v>0</v>
      </c>
      <c r="I649" s="91"/>
      <c r="J649" s="91"/>
      <c r="K649" s="91"/>
      <c r="L649" s="97"/>
      <c r="M649" s="91"/>
      <c r="N649" s="91"/>
      <c r="O649" s="92">
        <f>SUM(O641,O648)</f>
        <v>0</v>
      </c>
    </row>
    <row r="650" spans="1:15" x14ac:dyDescent="0.25">
      <c r="A650" s="133">
        <f>A641+1</f>
        <v>46154</v>
      </c>
      <c r="B650" s="136"/>
      <c r="C650" s="137" t="s">
        <v>82</v>
      </c>
      <c r="D650" s="88"/>
      <c r="E650" s="89">
        <v>0</v>
      </c>
      <c r="F650" s="89">
        <v>0</v>
      </c>
      <c r="G650" s="89">
        <f>F650-E650</f>
        <v>0</v>
      </c>
      <c r="I650" s="133">
        <f>I641+1</f>
        <v>46154</v>
      </c>
      <c r="J650" s="136"/>
      <c r="K650" s="137" t="s">
        <v>83</v>
      </c>
      <c r="L650" s="95"/>
      <c r="M650" s="89">
        <v>0</v>
      </c>
      <c r="N650" s="89">
        <v>0</v>
      </c>
      <c r="O650" s="89">
        <f>N650-M650</f>
        <v>0</v>
      </c>
    </row>
    <row r="651" spans="1:15" x14ac:dyDescent="0.25">
      <c r="A651" s="134"/>
      <c r="B651" s="136"/>
      <c r="C651" s="138"/>
      <c r="D651" s="88"/>
      <c r="E651" s="89">
        <v>0</v>
      </c>
      <c r="F651" s="89">
        <v>0</v>
      </c>
      <c r="G651" s="89">
        <f t="shared" ref="G651:G657" si="144">F651-E651</f>
        <v>0</v>
      </c>
      <c r="I651" s="134"/>
      <c r="J651" s="136"/>
      <c r="K651" s="138"/>
      <c r="L651" s="95"/>
      <c r="M651" s="89">
        <v>0</v>
      </c>
      <c r="N651" s="89">
        <v>0</v>
      </c>
      <c r="O651" s="89">
        <f t="shared" ref="O651:O657" si="145">N651-M651</f>
        <v>0</v>
      </c>
    </row>
    <row r="652" spans="1:15" x14ac:dyDescent="0.25">
      <c r="A652" s="134"/>
      <c r="B652" s="136"/>
      <c r="C652" s="138"/>
      <c r="D652" s="90"/>
      <c r="E652" s="89">
        <v>0</v>
      </c>
      <c r="F652" s="89">
        <v>0</v>
      </c>
      <c r="G652" s="89">
        <f t="shared" si="144"/>
        <v>0</v>
      </c>
      <c r="I652" s="134"/>
      <c r="J652" s="136"/>
      <c r="K652" s="138"/>
      <c r="L652" s="96"/>
      <c r="M652" s="89">
        <v>0</v>
      </c>
      <c r="N652" s="89">
        <v>0</v>
      </c>
      <c r="O652" s="89">
        <f t="shared" si="145"/>
        <v>0</v>
      </c>
    </row>
    <row r="653" spans="1:15" x14ac:dyDescent="0.25">
      <c r="A653" s="134"/>
      <c r="B653" s="136"/>
      <c r="C653" s="138"/>
      <c r="D653" s="90"/>
      <c r="E653" s="89">
        <v>0</v>
      </c>
      <c r="F653" s="89">
        <v>0</v>
      </c>
      <c r="G653" s="89">
        <f t="shared" si="144"/>
        <v>0</v>
      </c>
      <c r="I653" s="134"/>
      <c r="J653" s="136"/>
      <c r="K653" s="138"/>
      <c r="L653" s="96"/>
      <c r="M653" s="89">
        <v>0</v>
      </c>
      <c r="N653" s="89">
        <v>0</v>
      </c>
      <c r="O653" s="89">
        <f t="shared" si="145"/>
        <v>0</v>
      </c>
    </row>
    <row r="654" spans="1:15" x14ac:dyDescent="0.25">
      <c r="A654" s="134"/>
      <c r="B654" s="136"/>
      <c r="C654" s="138"/>
      <c r="D654" s="90"/>
      <c r="E654" s="89">
        <v>0</v>
      </c>
      <c r="F654" s="89">
        <v>0</v>
      </c>
      <c r="G654" s="89">
        <f t="shared" si="144"/>
        <v>0</v>
      </c>
      <c r="I654" s="134"/>
      <c r="J654" s="136"/>
      <c r="K654" s="138"/>
      <c r="L654" s="96"/>
      <c r="M654" s="89">
        <v>0</v>
      </c>
      <c r="N654" s="89">
        <v>0</v>
      </c>
      <c r="O654" s="89">
        <f t="shared" si="145"/>
        <v>0</v>
      </c>
    </row>
    <row r="655" spans="1:15" x14ac:dyDescent="0.25">
      <c r="A655" s="134"/>
      <c r="B655" s="136"/>
      <c r="C655" s="138"/>
      <c r="D655" s="90"/>
      <c r="E655" s="89">
        <v>0</v>
      </c>
      <c r="F655" s="89">
        <v>0</v>
      </c>
      <c r="G655" s="89">
        <f t="shared" si="144"/>
        <v>0</v>
      </c>
      <c r="I655" s="134"/>
      <c r="J655" s="136"/>
      <c r="K655" s="138"/>
      <c r="L655" s="96"/>
      <c r="M655" s="89">
        <v>0</v>
      </c>
      <c r="N655" s="89">
        <v>0</v>
      </c>
      <c r="O655" s="89">
        <f t="shared" si="145"/>
        <v>0</v>
      </c>
    </row>
    <row r="656" spans="1:15" x14ac:dyDescent="0.25">
      <c r="A656" s="134"/>
      <c r="B656" s="136"/>
      <c r="C656" s="138"/>
      <c r="D656" s="90"/>
      <c r="E656" s="89">
        <v>0</v>
      </c>
      <c r="F656" s="89">
        <v>0</v>
      </c>
      <c r="G656" s="89">
        <f t="shared" si="144"/>
        <v>0</v>
      </c>
      <c r="I656" s="134"/>
      <c r="J656" s="136"/>
      <c r="K656" s="138"/>
      <c r="L656" s="96"/>
      <c r="M656" s="89">
        <v>0</v>
      </c>
      <c r="N656" s="89">
        <v>0</v>
      </c>
      <c r="O656" s="89">
        <f t="shared" si="145"/>
        <v>0</v>
      </c>
    </row>
    <row r="657" spans="1:15" x14ac:dyDescent="0.25">
      <c r="A657" s="135"/>
      <c r="B657" s="136"/>
      <c r="C657" s="139"/>
      <c r="D657" s="90"/>
      <c r="E657" s="89">
        <v>0</v>
      </c>
      <c r="F657" s="89">
        <v>0</v>
      </c>
      <c r="G657" s="89">
        <f t="shared" si="144"/>
        <v>0</v>
      </c>
      <c r="I657" s="135"/>
      <c r="J657" s="136"/>
      <c r="K657" s="139"/>
      <c r="L657" s="96"/>
      <c r="M657" s="89">
        <v>0</v>
      </c>
      <c r="N657" s="89">
        <v>0</v>
      </c>
      <c r="O657" s="89">
        <f t="shared" si="145"/>
        <v>0</v>
      </c>
    </row>
    <row r="658" spans="1:15" ht="15.75" thickBot="1" x14ac:dyDescent="0.3">
      <c r="A658" s="91"/>
      <c r="B658" s="91"/>
      <c r="C658" s="91"/>
      <c r="D658" s="91"/>
      <c r="E658" s="91"/>
      <c r="F658" s="91"/>
      <c r="G658" s="92">
        <f>SUM(G650,G657)</f>
        <v>0</v>
      </c>
      <c r="I658" s="91"/>
      <c r="J658" s="91"/>
      <c r="K658" s="91"/>
      <c r="L658" s="97"/>
      <c r="M658" s="91"/>
      <c r="N658" s="91"/>
      <c r="O658" s="92">
        <f>SUM(O650,O657)</f>
        <v>0</v>
      </c>
    </row>
    <row r="659" spans="1:15" ht="60" x14ac:dyDescent="0.25">
      <c r="A659" s="133">
        <f>A650+1</f>
        <v>46155</v>
      </c>
      <c r="B659" s="136" t="s">
        <v>75</v>
      </c>
      <c r="C659" s="137" t="s">
        <v>82</v>
      </c>
      <c r="D659" s="88" t="s">
        <v>459</v>
      </c>
      <c r="E659" s="89">
        <v>0.66111111111111109</v>
      </c>
      <c r="F659" s="89"/>
      <c r="G659" s="89">
        <f>F659-E659</f>
        <v>-0.66111111111111109</v>
      </c>
      <c r="I659" s="133">
        <f>I650+1</f>
        <v>46155</v>
      </c>
      <c r="J659" s="136" t="s">
        <v>113</v>
      </c>
      <c r="K659" s="137" t="s">
        <v>83</v>
      </c>
      <c r="L659" s="95" t="s">
        <v>468</v>
      </c>
      <c r="M659" s="89">
        <v>0</v>
      </c>
      <c r="N659" s="89">
        <v>0</v>
      </c>
      <c r="O659" s="89">
        <f>N659-M659</f>
        <v>0</v>
      </c>
    </row>
    <row r="660" spans="1:15" x14ac:dyDescent="0.25">
      <c r="A660" s="134"/>
      <c r="B660" s="136"/>
      <c r="C660" s="138"/>
      <c r="D660" s="88" t="s">
        <v>460</v>
      </c>
      <c r="E660" s="89">
        <v>0</v>
      </c>
      <c r="F660" s="89">
        <v>0</v>
      </c>
      <c r="G660" s="89">
        <f t="shared" ref="G660:G666" si="146">F660-E660</f>
        <v>0</v>
      </c>
      <c r="I660" s="134"/>
      <c r="J660" s="136"/>
      <c r="K660" s="138"/>
      <c r="L660" s="95" t="s">
        <v>464</v>
      </c>
      <c r="M660" s="89">
        <v>0.12777777777777777</v>
      </c>
      <c r="N660" s="89">
        <v>0.1361111111111111</v>
      </c>
      <c r="O660" s="89">
        <f t="shared" ref="O660:O666" si="147">N660-M660</f>
        <v>8.3333333333333315E-3</v>
      </c>
    </row>
    <row r="661" spans="1:15" x14ac:dyDescent="0.25">
      <c r="A661" s="134"/>
      <c r="B661" s="136"/>
      <c r="C661" s="138"/>
      <c r="D661" s="90" t="s">
        <v>462</v>
      </c>
      <c r="E661" s="89">
        <v>0.6875</v>
      </c>
      <c r="F661" s="89">
        <v>0.72569444444444442</v>
      </c>
      <c r="G661" s="89">
        <f t="shared" si="146"/>
        <v>3.819444444444442E-2</v>
      </c>
      <c r="I661" s="134"/>
      <c r="J661" s="136"/>
      <c r="K661" s="138"/>
      <c r="L661" s="96" t="s">
        <v>464</v>
      </c>
      <c r="M661" s="89">
        <v>0.14861111111111111</v>
      </c>
      <c r="N661" s="89">
        <v>0.15833333333333333</v>
      </c>
      <c r="O661" s="89">
        <f t="shared" si="147"/>
        <v>9.7222222222222154E-3</v>
      </c>
    </row>
    <row r="662" spans="1:15" x14ac:dyDescent="0.25">
      <c r="A662" s="134"/>
      <c r="B662" s="136"/>
      <c r="C662" s="138"/>
      <c r="D662" s="90"/>
      <c r="E662" s="89">
        <v>0</v>
      </c>
      <c r="F662" s="89">
        <v>0</v>
      </c>
      <c r="G662" s="89">
        <f t="shared" si="146"/>
        <v>0</v>
      </c>
      <c r="I662" s="134"/>
      <c r="J662" s="136"/>
      <c r="K662" s="138"/>
      <c r="L662" s="96" t="s">
        <v>465</v>
      </c>
      <c r="M662" s="89">
        <v>0</v>
      </c>
      <c r="N662" s="89">
        <v>0</v>
      </c>
      <c r="O662" s="89">
        <f t="shared" si="147"/>
        <v>0</v>
      </c>
    </row>
    <row r="663" spans="1:15" x14ac:dyDescent="0.25">
      <c r="A663" s="134"/>
      <c r="B663" s="136"/>
      <c r="C663" s="138"/>
      <c r="D663" s="90"/>
      <c r="E663" s="89">
        <v>0</v>
      </c>
      <c r="F663" s="89">
        <v>0</v>
      </c>
      <c r="G663" s="89">
        <f t="shared" si="146"/>
        <v>0</v>
      </c>
      <c r="I663" s="134"/>
      <c r="J663" s="136"/>
      <c r="K663" s="138"/>
      <c r="L663" s="96" t="s">
        <v>466</v>
      </c>
      <c r="M663" s="89">
        <v>0</v>
      </c>
      <c r="N663" s="89">
        <v>0</v>
      </c>
      <c r="O663" s="89">
        <f t="shared" si="147"/>
        <v>0</v>
      </c>
    </row>
    <row r="664" spans="1:15" x14ac:dyDescent="0.25">
      <c r="A664" s="134"/>
      <c r="B664" s="136"/>
      <c r="C664" s="138"/>
      <c r="D664" s="90"/>
      <c r="E664" s="89">
        <v>0</v>
      </c>
      <c r="F664" s="89">
        <v>0</v>
      </c>
      <c r="G664" s="89">
        <f t="shared" si="146"/>
        <v>0</v>
      </c>
      <c r="I664" s="134"/>
      <c r="J664" s="136"/>
      <c r="K664" s="138"/>
      <c r="L664" s="96" t="s">
        <v>467</v>
      </c>
      <c r="M664" s="89">
        <v>0</v>
      </c>
      <c r="N664" s="89">
        <v>0</v>
      </c>
      <c r="O664" s="89">
        <f t="shared" si="147"/>
        <v>0</v>
      </c>
    </row>
    <row r="665" spans="1:15" x14ac:dyDescent="0.25">
      <c r="A665" s="134"/>
      <c r="B665" s="136"/>
      <c r="C665" s="138"/>
      <c r="D665" s="90"/>
      <c r="E665" s="89">
        <v>0</v>
      </c>
      <c r="F665" s="89">
        <v>0</v>
      </c>
      <c r="G665" s="89">
        <f t="shared" si="146"/>
        <v>0</v>
      </c>
      <c r="I665" s="134"/>
      <c r="J665" s="136"/>
      <c r="K665" s="138"/>
      <c r="L665" s="96"/>
      <c r="M665" s="89">
        <v>0</v>
      </c>
      <c r="N665" s="89">
        <v>0</v>
      </c>
      <c r="O665" s="89">
        <f t="shared" si="147"/>
        <v>0</v>
      </c>
    </row>
    <row r="666" spans="1:15" x14ac:dyDescent="0.25">
      <c r="A666" s="135"/>
      <c r="B666" s="136"/>
      <c r="C666" s="139"/>
      <c r="D666" s="90"/>
      <c r="E666" s="89">
        <v>0</v>
      </c>
      <c r="F666" s="89">
        <v>0</v>
      </c>
      <c r="G666" s="89">
        <f t="shared" si="146"/>
        <v>0</v>
      </c>
      <c r="I666" s="135"/>
      <c r="J666" s="136"/>
      <c r="K666" s="139"/>
      <c r="L666" s="96"/>
      <c r="M666" s="89">
        <v>0</v>
      </c>
      <c r="N666" s="89">
        <v>0</v>
      </c>
      <c r="O666" s="89">
        <f t="shared" si="147"/>
        <v>0</v>
      </c>
    </row>
    <row r="667" spans="1:15" ht="15.75" thickBot="1" x14ac:dyDescent="0.3">
      <c r="A667" s="91"/>
      <c r="B667" s="91"/>
      <c r="C667" s="91"/>
      <c r="D667" s="91"/>
      <c r="E667" s="91"/>
      <c r="F667" s="91"/>
      <c r="G667" s="92">
        <f>SUM(G659,G666)</f>
        <v>-0.66111111111111109</v>
      </c>
      <c r="I667" s="91"/>
      <c r="J667" s="91"/>
      <c r="K667" s="91"/>
      <c r="L667" s="97"/>
      <c r="M667" s="91"/>
      <c r="N667" s="91"/>
      <c r="O667" s="92">
        <f>SUM(O659,O666)</f>
        <v>0</v>
      </c>
    </row>
    <row r="668" spans="1:15" ht="30" x14ac:dyDescent="0.25">
      <c r="A668" s="133">
        <f>A659+1</f>
        <v>46156</v>
      </c>
      <c r="B668" s="136" t="s">
        <v>77</v>
      </c>
      <c r="C668" s="137" t="s">
        <v>82</v>
      </c>
      <c r="D668" s="88" t="s">
        <v>470</v>
      </c>
      <c r="E668" s="89">
        <v>0.40833333333333333</v>
      </c>
      <c r="F668" s="89">
        <v>0.51875000000000004</v>
      </c>
      <c r="G668" s="89">
        <f>F668-E668</f>
        <v>0.11041666666666672</v>
      </c>
      <c r="I668" s="133">
        <f>I659+1</f>
        <v>46156</v>
      </c>
      <c r="J668" s="136" t="s">
        <v>75</v>
      </c>
      <c r="K668" s="137" t="s">
        <v>83</v>
      </c>
      <c r="L668" s="95" t="s">
        <v>474</v>
      </c>
      <c r="M668" s="89">
        <v>0</v>
      </c>
      <c r="N668" s="89">
        <v>0</v>
      </c>
      <c r="O668" s="89">
        <f>N668-M668</f>
        <v>0</v>
      </c>
    </row>
    <row r="669" spans="1:15" ht="30" x14ac:dyDescent="0.25">
      <c r="A669" s="134"/>
      <c r="B669" s="136"/>
      <c r="C669" s="138"/>
      <c r="D669" s="88" t="s">
        <v>471</v>
      </c>
      <c r="E669" s="89">
        <v>0</v>
      </c>
      <c r="F669" s="89">
        <v>0</v>
      </c>
      <c r="G669" s="89">
        <f t="shared" ref="G669:G675" si="148">F669-E669</f>
        <v>0</v>
      </c>
      <c r="I669" s="134"/>
      <c r="J669" s="136"/>
      <c r="K669" s="138"/>
      <c r="L669" s="95" t="s">
        <v>239</v>
      </c>
      <c r="M669" s="89">
        <v>0.84722222222222221</v>
      </c>
      <c r="N669" s="89">
        <v>0</v>
      </c>
      <c r="O669" s="89">
        <f t="shared" ref="O669:O675" si="149">N669-M669</f>
        <v>-0.84722222222222221</v>
      </c>
    </row>
    <row r="670" spans="1:15" x14ac:dyDescent="0.25">
      <c r="A670" s="134"/>
      <c r="B670" s="136"/>
      <c r="C670" s="138"/>
      <c r="D670" s="90" t="s">
        <v>472</v>
      </c>
      <c r="E670" s="89">
        <v>0</v>
      </c>
      <c r="F670" s="89">
        <v>0</v>
      </c>
      <c r="G670" s="89">
        <f t="shared" si="148"/>
        <v>0</v>
      </c>
      <c r="I670" s="134"/>
      <c r="J670" s="136"/>
      <c r="K670" s="138"/>
      <c r="L670" s="96" t="s">
        <v>475</v>
      </c>
      <c r="M670" s="89">
        <v>0.92013888888888884</v>
      </c>
      <c r="N670" s="89">
        <v>1.0277777777777777</v>
      </c>
      <c r="O670" s="89">
        <f t="shared" si="149"/>
        <v>0.10763888888888884</v>
      </c>
    </row>
    <row r="671" spans="1:15" x14ac:dyDescent="0.25">
      <c r="A671" s="134"/>
      <c r="B671" s="136"/>
      <c r="C671" s="138"/>
      <c r="D671" s="90" t="s">
        <v>473</v>
      </c>
      <c r="E671" s="89">
        <v>0.73263888888888884</v>
      </c>
      <c r="F671" s="89">
        <v>0.77777777777777779</v>
      </c>
      <c r="G671" s="89">
        <f t="shared" si="148"/>
        <v>4.5138888888888951E-2</v>
      </c>
      <c r="I671" s="134"/>
      <c r="J671" s="136"/>
      <c r="K671" s="138"/>
      <c r="L671" s="96" t="s">
        <v>476</v>
      </c>
      <c r="M671" s="89">
        <v>0</v>
      </c>
      <c r="N671" s="89">
        <v>0</v>
      </c>
      <c r="O671" s="89">
        <f t="shared" si="149"/>
        <v>0</v>
      </c>
    </row>
    <row r="672" spans="1:15" x14ac:dyDescent="0.25">
      <c r="A672" s="134"/>
      <c r="B672" s="136"/>
      <c r="C672" s="138"/>
      <c r="D672" s="90"/>
      <c r="E672" s="89">
        <v>0</v>
      </c>
      <c r="F672" s="89">
        <v>0</v>
      </c>
      <c r="G672" s="89">
        <f t="shared" si="148"/>
        <v>0</v>
      </c>
      <c r="I672" s="134"/>
      <c r="J672" s="136"/>
      <c r="K672" s="138"/>
      <c r="L672" s="96" t="s">
        <v>477</v>
      </c>
      <c r="M672" s="89">
        <v>0</v>
      </c>
      <c r="N672" s="89">
        <v>0</v>
      </c>
      <c r="O672" s="89">
        <f t="shared" si="149"/>
        <v>0</v>
      </c>
    </row>
    <row r="673" spans="1:15" x14ac:dyDescent="0.25">
      <c r="A673" s="134"/>
      <c r="B673" s="136"/>
      <c r="C673" s="138"/>
      <c r="D673" s="90"/>
      <c r="E673" s="89">
        <v>0</v>
      </c>
      <c r="F673" s="89">
        <v>0</v>
      </c>
      <c r="G673" s="89">
        <f t="shared" si="148"/>
        <v>0</v>
      </c>
      <c r="I673" s="134"/>
      <c r="J673" s="136"/>
      <c r="K673" s="138"/>
      <c r="L673" s="96" t="s">
        <v>478</v>
      </c>
      <c r="M673" s="89">
        <v>0.21527777777777779</v>
      </c>
      <c r="N673" s="89">
        <v>0.22916666666666666</v>
      </c>
      <c r="O673" s="89">
        <f t="shared" si="149"/>
        <v>1.3888888888888867E-2</v>
      </c>
    </row>
    <row r="674" spans="1:15" x14ac:dyDescent="0.25">
      <c r="A674" s="134"/>
      <c r="B674" s="136"/>
      <c r="C674" s="138"/>
      <c r="D674" s="90"/>
      <c r="E674" s="89">
        <v>0</v>
      </c>
      <c r="F674" s="89">
        <v>0</v>
      </c>
      <c r="G674" s="89">
        <f t="shared" si="148"/>
        <v>0</v>
      </c>
      <c r="I674" s="134"/>
      <c r="J674" s="136"/>
      <c r="K674" s="138"/>
      <c r="L674" s="96"/>
      <c r="M674" s="89">
        <v>0</v>
      </c>
      <c r="N674" s="89">
        <v>0</v>
      </c>
      <c r="O674" s="89">
        <f t="shared" si="149"/>
        <v>0</v>
      </c>
    </row>
    <row r="675" spans="1:15" x14ac:dyDescent="0.25">
      <c r="A675" s="135"/>
      <c r="B675" s="136"/>
      <c r="C675" s="139"/>
      <c r="D675" s="90"/>
      <c r="E675" s="89">
        <v>0</v>
      </c>
      <c r="F675" s="89">
        <v>0</v>
      </c>
      <c r="G675" s="89">
        <f t="shared" si="148"/>
        <v>0</v>
      </c>
      <c r="I675" s="135"/>
      <c r="J675" s="136"/>
      <c r="K675" s="139"/>
      <c r="L675" s="96"/>
      <c r="M675" s="89">
        <v>0</v>
      </c>
      <c r="N675" s="89">
        <v>0</v>
      </c>
      <c r="O675" s="89">
        <f t="shared" si="149"/>
        <v>0</v>
      </c>
    </row>
    <row r="676" spans="1:15" ht="15.75" thickBot="1" x14ac:dyDescent="0.3">
      <c r="A676" s="91"/>
      <c r="B676" s="91"/>
      <c r="C676" s="91"/>
      <c r="D676" s="91"/>
      <c r="E676" s="91"/>
      <c r="F676" s="91"/>
      <c r="G676" s="92">
        <f>SUM(G668,G675)</f>
        <v>0.11041666666666672</v>
      </c>
      <c r="I676" s="91"/>
      <c r="J676" s="91"/>
      <c r="K676" s="91"/>
      <c r="L676" s="97"/>
      <c r="M676" s="91"/>
      <c r="N676" s="91"/>
      <c r="O676" s="92">
        <f>SUM(O668,O675)</f>
        <v>0</v>
      </c>
    </row>
    <row r="677" spans="1:15" ht="100.15" customHeight="1" x14ac:dyDescent="0.25">
      <c r="A677" s="133">
        <f>A668+1</f>
        <v>46157</v>
      </c>
      <c r="B677" s="136" t="s">
        <v>114</v>
      </c>
      <c r="C677" s="137" t="s">
        <v>82</v>
      </c>
      <c r="D677" s="88" t="s">
        <v>481</v>
      </c>
      <c r="E677" s="89">
        <v>0.5756944444444444</v>
      </c>
      <c r="F677" s="89">
        <v>0.78263888888888888</v>
      </c>
      <c r="G677" s="89">
        <f>F677-E677</f>
        <v>0.20694444444444449</v>
      </c>
      <c r="I677" s="133">
        <f>I668+1</f>
        <v>46157</v>
      </c>
      <c r="J677" s="136" t="s">
        <v>113</v>
      </c>
      <c r="K677" s="137" t="s">
        <v>83</v>
      </c>
      <c r="L677" s="95"/>
      <c r="M677" s="89">
        <v>0</v>
      </c>
      <c r="N677" s="89">
        <v>0</v>
      </c>
      <c r="O677" s="89">
        <f>N677-M677</f>
        <v>0</v>
      </c>
    </row>
    <row r="678" spans="1:15" x14ac:dyDescent="0.25">
      <c r="A678" s="134"/>
      <c r="B678" s="136"/>
      <c r="C678" s="138"/>
      <c r="D678" s="88"/>
      <c r="E678" s="89">
        <v>0</v>
      </c>
      <c r="F678" s="89">
        <v>0</v>
      </c>
      <c r="G678" s="89">
        <f t="shared" ref="G678:G684" si="150">F678-E678</f>
        <v>0</v>
      </c>
      <c r="I678" s="134"/>
      <c r="J678" s="136"/>
      <c r="K678" s="138"/>
      <c r="L678" s="95" t="s">
        <v>483</v>
      </c>
      <c r="M678" s="89">
        <v>0.79166666666666663</v>
      </c>
      <c r="N678" s="89">
        <v>0.80208333333333337</v>
      </c>
      <c r="O678" s="89">
        <f t="shared" ref="O678:O684" si="151">N678-M678</f>
        <v>1.0416666666666741E-2</v>
      </c>
    </row>
    <row r="679" spans="1:15" x14ac:dyDescent="0.25">
      <c r="A679" s="134"/>
      <c r="B679" s="136"/>
      <c r="C679" s="138"/>
      <c r="D679" s="90"/>
      <c r="E679" s="89">
        <v>0</v>
      </c>
      <c r="F679" s="89">
        <v>0</v>
      </c>
      <c r="G679" s="89">
        <f t="shared" si="150"/>
        <v>0</v>
      </c>
      <c r="I679" s="134"/>
      <c r="J679" s="136"/>
      <c r="K679" s="138"/>
      <c r="L679" s="96" t="s">
        <v>484</v>
      </c>
      <c r="M679" s="89">
        <v>0</v>
      </c>
      <c r="N679" s="89">
        <v>0</v>
      </c>
      <c r="O679" s="89">
        <f t="shared" si="151"/>
        <v>0</v>
      </c>
    </row>
    <row r="680" spans="1:15" x14ac:dyDescent="0.25">
      <c r="A680" s="134"/>
      <c r="B680" s="136"/>
      <c r="C680" s="138"/>
      <c r="D680" s="90"/>
      <c r="E680" s="89">
        <v>0</v>
      </c>
      <c r="F680" s="89">
        <v>0</v>
      </c>
      <c r="G680" s="89">
        <f t="shared" si="150"/>
        <v>0</v>
      </c>
      <c r="I680" s="134"/>
      <c r="J680" s="136"/>
      <c r="K680" s="138"/>
      <c r="L680" s="96" t="s">
        <v>485</v>
      </c>
      <c r="M680" s="89">
        <v>2.7083333333333334E-2</v>
      </c>
      <c r="N680" s="89">
        <v>4.791666666666667E-2</v>
      </c>
      <c r="O680" s="89">
        <f t="shared" si="151"/>
        <v>2.0833333333333336E-2</v>
      </c>
    </row>
    <row r="681" spans="1:15" x14ac:dyDescent="0.25">
      <c r="A681" s="134"/>
      <c r="B681" s="136"/>
      <c r="C681" s="138"/>
      <c r="D681" s="90"/>
      <c r="E681" s="89">
        <v>0</v>
      </c>
      <c r="F681" s="89">
        <v>0</v>
      </c>
      <c r="G681" s="89">
        <f t="shared" si="150"/>
        <v>0</v>
      </c>
      <c r="I681" s="134"/>
      <c r="J681" s="136"/>
      <c r="K681" s="138"/>
      <c r="L681" s="96"/>
      <c r="M681" s="89">
        <v>0</v>
      </c>
      <c r="N681" s="89">
        <v>0</v>
      </c>
      <c r="O681" s="89">
        <f t="shared" si="151"/>
        <v>0</v>
      </c>
    </row>
    <row r="682" spans="1:15" x14ac:dyDescent="0.25">
      <c r="A682" s="134"/>
      <c r="B682" s="136"/>
      <c r="C682" s="138"/>
      <c r="D682" s="90"/>
      <c r="E682" s="89">
        <v>0</v>
      </c>
      <c r="F682" s="89">
        <v>0</v>
      </c>
      <c r="G682" s="89">
        <f t="shared" si="150"/>
        <v>0</v>
      </c>
      <c r="I682" s="134"/>
      <c r="J682" s="136"/>
      <c r="K682" s="138"/>
      <c r="L682" s="96"/>
      <c r="M682" s="89">
        <v>0</v>
      </c>
      <c r="N682" s="89">
        <v>0</v>
      </c>
      <c r="O682" s="89">
        <f t="shared" si="151"/>
        <v>0</v>
      </c>
    </row>
    <row r="683" spans="1:15" x14ac:dyDescent="0.25">
      <c r="A683" s="134"/>
      <c r="B683" s="136"/>
      <c r="C683" s="138"/>
      <c r="D683" s="90"/>
      <c r="E683" s="89">
        <v>0</v>
      </c>
      <c r="F683" s="89">
        <v>0</v>
      </c>
      <c r="G683" s="89">
        <f t="shared" si="150"/>
        <v>0</v>
      </c>
      <c r="I683" s="134"/>
      <c r="J683" s="136"/>
      <c r="K683" s="138"/>
      <c r="L683" s="96"/>
      <c r="M683" s="89">
        <v>0</v>
      </c>
      <c r="N683" s="89">
        <v>0</v>
      </c>
      <c r="O683" s="89">
        <f t="shared" si="151"/>
        <v>0</v>
      </c>
    </row>
    <row r="684" spans="1:15" x14ac:dyDescent="0.25">
      <c r="A684" s="135"/>
      <c r="B684" s="136"/>
      <c r="C684" s="139"/>
      <c r="D684" s="90"/>
      <c r="E684" s="89">
        <v>0</v>
      </c>
      <c r="F684" s="89">
        <v>0</v>
      </c>
      <c r="G684" s="89">
        <f t="shared" si="150"/>
        <v>0</v>
      </c>
      <c r="I684" s="135"/>
      <c r="J684" s="136"/>
      <c r="K684" s="139"/>
      <c r="L684" s="96"/>
      <c r="M684" s="89">
        <v>0</v>
      </c>
      <c r="N684" s="89">
        <v>0</v>
      </c>
      <c r="O684" s="89">
        <f t="shared" si="151"/>
        <v>0</v>
      </c>
    </row>
    <row r="685" spans="1:15" ht="15.75" thickBot="1" x14ac:dyDescent="0.3">
      <c r="A685" s="91"/>
      <c r="B685" s="91"/>
      <c r="C685" s="91"/>
      <c r="D685" s="91"/>
      <c r="E685" s="91"/>
      <c r="F685" s="91"/>
      <c r="G685" s="92">
        <f>SUM(G677,G684)</f>
        <v>0.20694444444444449</v>
      </c>
      <c r="I685" s="91"/>
      <c r="J685" s="91"/>
      <c r="K685" s="91"/>
      <c r="L685" s="97"/>
      <c r="M685" s="91"/>
      <c r="N685" s="91"/>
      <c r="O685" s="92">
        <f>SUM(O677,O684)</f>
        <v>0</v>
      </c>
    </row>
    <row r="686" spans="1:15" ht="30" x14ac:dyDescent="0.25">
      <c r="A686" s="133">
        <f>A677+1</f>
        <v>46158</v>
      </c>
      <c r="B686" s="136" t="s">
        <v>113</v>
      </c>
      <c r="C686" s="137" t="s">
        <v>82</v>
      </c>
      <c r="D686" s="88" t="s">
        <v>487</v>
      </c>
      <c r="E686" s="89">
        <v>0</v>
      </c>
      <c r="F686" s="89">
        <v>0</v>
      </c>
      <c r="G686" s="89">
        <f>F686-E686</f>
        <v>0</v>
      </c>
      <c r="I686" s="133">
        <f>I677+1</f>
        <v>46158</v>
      </c>
      <c r="J686" s="136" t="s">
        <v>114</v>
      </c>
      <c r="K686" s="137" t="s">
        <v>83</v>
      </c>
      <c r="L686" s="95" t="s">
        <v>492</v>
      </c>
      <c r="M686" s="89">
        <v>0</v>
      </c>
      <c r="N686" s="89">
        <v>0</v>
      </c>
      <c r="O686" s="89">
        <f>N686-M686</f>
        <v>0</v>
      </c>
    </row>
    <row r="687" spans="1:15" ht="30" x14ac:dyDescent="0.25">
      <c r="A687" s="134"/>
      <c r="B687" s="136"/>
      <c r="C687" s="138"/>
      <c r="D687" s="88" t="s">
        <v>488</v>
      </c>
      <c r="E687" s="89">
        <v>0.56944444444444442</v>
      </c>
      <c r="F687" s="89">
        <v>0.59027777777777779</v>
      </c>
      <c r="G687" s="89">
        <f t="shared" ref="G687:G693" si="152">F687-E687</f>
        <v>2.083333333333337E-2</v>
      </c>
      <c r="I687" s="134"/>
      <c r="J687" s="136"/>
      <c r="K687" s="138"/>
      <c r="L687" s="95"/>
      <c r="M687" s="89">
        <v>0</v>
      </c>
      <c r="N687" s="89">
        <v>0</v>
      </c>
      <c r="O687" s="89">
        <f t="shared" ref="O687:O693" si="153">N687-M687</f>
        <v>0</v>
      </c>
    </row>
    <row r="688" spans="1:15" x14ac:dyDescent="0.25">
      <c r="A688" s="134"/>
      <c r="B688" s="136"/>
      <c r="C688" s="138"/>
      <c r="D688" s="90" t="s">
        <v>489</v>
      </c>
      <c r="E688" s="89">
        <v>0.74305555555555558</v>
      </c>
      <c r="F688" s="89">
        <v>0.7631944444444444</v>
      </c>
      <c r="G688" s="89">
        <f t="shared" si="152"/>
        <v>2.0138888888888817E-2</v>
      </c>
      <c r="I688" s="134"/>
      <c r="J688" s="136"/>
      <c r="K688" s="138"/>
      <c r="L688" s="96"/>
      <c r="M688" s="89">
        <v>0</v>
      </c>
      <c r="N688" s="89">
        <v>0</v>
      </c>
      <c r="O688" s="89">
        <f t="shared" si="153"/>
        <v>0</v>
      </c>
    </row>
    <row r="689" spans="1:15" x14ac:dyDescent="0.25">
      <c r="A689" s="134"/>
      <c r="B689" s="136"/>
      <c r="C689" s="138"/>
      <c r="D689" s="90" t="s">
        <v>490</v>
      </c>
      <c r="E689" s="89">
        <v>0.76944444444444449</v>
      </c>
      <c r="F689" s="89">
        <v>0.77222222222222225</v>
      </c>
      <c r="G689" s="89">
        <f t="shared" si="152"/>
        <v>2.7777777777777679E-3</v>
      </c>
      <c r="I689" s="134"/>
      <c r="J689" s="136"/>
      <c r="K689" s="138"/>
      <c r="L689" s="96"/>
      <c r="M689" s="89">
        <v>0</v>
      </c>
      <c r="N689" s="89">
        <v>0</v>
      </c>
      <c r="O689" s="89">
        <f t="shared" si="153"/>
        <v>0</v>
      </c>
    </row>
    <row r="690" spans="1:15" x14ac:dyDescent="0.25">
      <c r="A690" s="134"/>
      <c r="B690" s="136"/>
      <c r="C690" s="138"/>
      <c r="D690" s="90"/>
      <c r="E690" s="89">
        <v>0</v>
      </c>
      <c r="F690" s="89">
        <v>0</v>
      </c>
      <c r="G690" s="89">
        <f t="shared" si="152"/>
        <v>0</v>
      </c>
      <c r="I690" s="134"/>
      <c r="J690" s="136"/>
      <c r="K690" s="138"/>
      <c r="L690" s="96"/>
      <c r="M690" s="89">
        <v>0</v>
      </c>
      <c r="N690" s="89">
        <v>0</v>
      </c>
      <c r="O690" s="89">
        <f t="shared" si="153"/>
        <v>0</v>
      </c>
    </row>
    <row r="691" spans="1:15" x14ac:dyDescent="0.25">
      <c r="A691" s="134"/>
      <c r="B691" s="136"/>
      <c r="C691" s="138"/>
      <c r="D691" s="90"/>
      <c r="E691" s="89">
        <v>0</v>
      </c>
      <c r="F691" s="89">
        <v>0</v>
      </c>
      <c r="G691" s="89">
        <f t="shared" si="152"/>
        <v>0</v>
      </c>
      <c r="I691" s="134"/>
      <c r="J691" s="136"/>
      <c r="K691" s="138"/>
      <c r="L691" s="96"/>
      <c r="M691" s="89">
        <v>0</v>
      </c>
      <c r="N691" s="89">
        <v>0</v>
      </c>
      <c r="O691" s="89">
        <f t="shared" si="153"/>
        <v>0</v>
      </c>
    </row>
    <row r="692" spans="1:15" x14ac:dyDescent="0.25">
      <c r="A692" s="134"/>
      <c r="B692" s="136"/>
      <c r="C692" s="138"/>
      <c r="D692" s="90"/>
      <c r="E692" s="89">
        <v>0</v>
      </c>
      <c r="F692" s="89">
        <v>0</v>
      </c>
      <c r="G692" s="89">
        <f t="shared" si="152"/>
        <v>0</v>
      </c>
      <c r="I692" s="134"/>
      <c r="J692" s="136"/>
      <c r="K692" s="138"/>
      <c r="L692" s="96"/>
      <c r="M692" s="89">
        <v>0</v>
      </c>
      <c r="N692" s="89">
        <v>0</v>
      </c>
      <c r="O692" s="89">
        <f t="shared" si="153"/>
        <v>0</v>
      </c>
    </row>
    <row r="693" spans="1:15" x14ac:dyDescent="0.25">
      <c r="A693" s="135"/>
      <c r="B693" s="136"/>
      <c r="C693" s="139"/>
      <c r="D693" s="90"/>
      <c r="E693" s="89">
        <v>0</v>
      </c>
      <c r="F693" s="89">
        <v>0</v>
      </c>
      <c r="G693" s="89">
        <f t="shared" si="152"/>
        <v>0</v>
      </c>
      <c r="I693" s="135"/>
      <c r="J693" s="136"/>
      <c r="K693" s="139"/>
      <c r="L693" s="96"/>
      <c r="M693" s="89">
        <v>0</v>
      </c>
      <c r="N693" s="89">
        <v>0</v>
      </c>
      <c r="O693" s="89">
        <f t="shared" si="153"/>
        <v>0</v>
      </c>
    </row>
    <row r="694" spans="1:15" ht="15.75" thickBot="1" x14ac:dyDescent="0.3">
      <c r="A694" s="91"/>
      <c r="B694" s="91"/>
      <c r="C694" s="91"/>
      <c r="D694" s="91"/>
      <c r="E694" s="91"/>
      <c r="F694" s="91"/>
      <c r="G694" s="92">
        <f>SUM(G686,G693)</f>
        <v>0</v>
      </c>
      <c r="I694" s="91"/>
      <c r="J694" s="91"/>
      <c r="K694" s="91"/>
      <c r="L694" s="97"/>
      <c r="M694" s="91"/>
      <c r="N694" s="91"/>
      <c r="O694" s="92">
        <f>SUM(O686,O693)</f>
        <v>0</v>
      </c>
    </row>
    <row r="695" spans="1:15" x14ac:dyDescent="0.25">
      <c r="A695" s="133">
        <f>A686+1</f>
        <v>46159</v>
      </c>
      <c r="B695" s="136" t="s">
        <v>75</v>
      </c>
      <c r="C695" s="137" t="s">
        <v>82</v>
      </c>
      <c r="D695" s="88" t="s">
        <v>494</v>
      </c>
      <c r="E695" s="89">
        <v>0.4548611111111111</v>
      </c>
      <c r="F695" s="89">
        <v>0.46180555555555558</v>
      </c>
      <c r="G695" s="89">
        <f>F695-E695</f>
        <v>6.9444444444444753E-3</v>
      </c>
      <c r="I695" s="133">
        <f>I686+1</f>
        <v>46159</v>
      </c>
      <c r="J695" s="136" t="s">
        <v>113</v>
      </c>
      <c r="K695" s="137" t="s">
        <v>83</v>
      </c>
      <c r="L695" s="95" t="s">
        <v>497</v>
      </c>
      <c r="M695" s="89">
        <v>0.92013888888888884</v>
      </c>
      <c r="N695" s="89">
        <v>0.93055555555555558</v>
      </c>
      <c r="O695" s="89">
        <f>N695-M695</f>
        <v>1.0416666666666741E-2</v>
      </c>
    </row>
    <row r="696" spans="1:15" ht="30" x14ac:dyDescent="0.25">
      <c r="A696" s="134"/>
      <c r="B696" s="136"/>
      <c r="C696" s="138"/>
      <c r="D696" s="88" t="s">
        <v>495</v>
      </c>
      <c r="E696" s="89">
        <v>0.67986111111111114</v>
      </c>
      <c r="F696" s="89">
        <v>0.68680555555555556</v>
      </c>
      <c r="G696" s="89">
        <f t="shared" ref="G696:G702" si="154">F696-E696</f>
        <v>6.9444444444444198E-3</v>
      </c>
      <c r="I696" s="134"/>
      <c r="J696" s="136"/>
      <c r="K696" s="138"/>
      <c r="L696" s="95" t="s">
        <v>498</v>
      </c>
      <c r="M696" s="89">
        <v>0</v>
      </c>
      <c r="N696" s="89">
        <v>0</v>
      </c>
      <c r="O696" s="89">
        <f t="shared" ref="O696:O702" si="155">N696-M696</f>
        <v>0</v>
      </c>
    </row>
    <row r="697" spans="1:15" x14ac:dyDescent="0.25">
      <c r="A697" s="134"/>
      <c r="B697" s="136"/>
      <c r="C697" s="138"/>
      <c r="D697" s="90"/>
      <c r="E697" s="89">
        <v>0</v>
      </c>
      <c r="F697" s="89">
        <v>0</v>
      </c>
      <c r="G697" s="89">
        <f t="shared" si="154"/>
        <v>0</v>
      </c>
      <c r="I697" s="134"/>
      <c r="J697" s="136"/>
      <c r="K697" s="138"/>
      <c r="L697" s="96" t="s">
        <v>499</v>
      </c>
      <c r="M697" s="89">
        <v>0</v>
      </c>
      <c r="N697" s="89">
        <v>0</v>
      </c>
      <c r="O697" s="89">
        <f t="shared" si="155"/>
        <v>0</v>
      </c>
    </row>
    <row r="698" spans="1:15" x14ac:dyDescent="0.25">
      <c r="A698" s="134"/>
      <c r="B698" s="136"/>
      <c r="C698" s="138"/>
      <c r="D698" s="90"/>
      <c r="E698" s="89">
        <v>0</v>
      </c>
      <c r="F698" s="89">
        <v>0</v>
      </c>
      <c r="G698" s="89">
        <f t="shared" si="154"/>
        <v>0</v>
      </c>
      <c r="I698" s="134"/>
      <c r="J698" s="136"/>
      <c r="K698" s="138"/>
      <c r="L698" s="96" t="s">
        <v>500</v>
      </c>
      <c r="M698" s="89">
        <v>0</v>
      </c>
      <c r="N698" s="89">
        <v>0</v>
      </c>
      <c r="O698" s="89">
        <f t="shared" si="155"/>
        <v>0</v>
      </c>
    </row>
    <row r="699" spans="1:15" x14ac:dyDescent="0.25">
      <c r="A699" s="134"/>
      <c r="B699" s="136"/>
      <c r="C699" s="138"/>
      <c r="D699" s="90"/>
      <c r="E699" s="89">
        <v>0</v>
      </c>
      <c r="F699" s="89">
        <v>0</v>
      </c>
      <c r="G699" s="89">
        <f t="shared" si="154"/>
        <v>0</v>
      </c>
      <c r="I699" s="134"/>
      <c r="J699" s="136"/>
      <c r="K699" s="138"/>
      <c r="L699" s="96" t="s">
        <v>501</v>
      </c>
      <c r="M699" s="89">
        <v>0</v>
      </c>
      <c r="N699" s="89">
        <v>0</v>
      </c>
      <c r="O699" s="89">
        <f t="shared" si="155"/>
        <v>0</v>
      </c>
    </row>
    <row r="700" spans="1:15" x14ac:dyDescent="0.25">
      <c r="A700" s="134"/>
      <c r="B700" s="136"/>
      <c r="C700" s="138"/>
      <c r="D700" s="90"/>
      <c r="E700" s="89">
        <v>0</v>
      </c>
      <c r="F700" s="89">
        <v>0</v>
      </c>
      <c r="G700" s="89">
        <f t="shared" si="154"/>
        <v>0</v>
      </c>
      <c r="I700" s="134"/>
      <c r="J700" s="136"/>
      <c r="K700" s="138"/>
      <c r="L700" s="96"/>
      <c r="M700" s="89">
        <v>0</v>
      </c>
      <c r="N700" s="89">
        <v>0</v>
      </c>
      <c r="O700" s="89">
        <f t="shared" si="155"/>
        <v>0</v>
      </c>
    </row>
    <row r="701" spans="1:15" x14ac:dyDescent="0.25">
      <c r="A701" s="134"/>
      <c r="B701" s="136"/>
      <c r="C701" s="138"/>
      <c r="D701" s="90"/>
      <c r="E701" s="89">
        <v>0</v>
      </c>
      <c r="F701" s="89">
        <v>0</v>
      </c>
      <c r="G701" s="89">
        <f t="shared" si="154"/>
        <v>0</v>
      </c>
      <c r="I701" s="134"/>
      <c r="J701" s="136"/>
      <c r="K701" s="138"/>
      <c r="L701" s="96"/>
      <c r="M701" s="89">
        <v>0</v>
      </c>
      <c r="N701" s="89">
        <v>0</v>
      </c>
      <c r="O701" s="89">
        <f t="shared" si="155"/>
        <v>0</v>
      </c>
    </row>
    <row r="702" spans="1:15" x14ac:dyDescent="0.25">
      <c r="A702" s="135"/>
      <c r="B702" s="136"/>
      <c r="C702" s="139"/>
      <c r="D702" s="90"/>
      <c r="E702" s="89">
        <v>0</v>
      </c>
      <c r="F702" s="89">
        <v>0</v>
      </c>
      <c r="G702" s="89">
        <f t="shared" si="154"/>
        <v>0</v>
      </c>
      <c r="I702" s="135"/>
      <c r="J702" s="136"/>
      <c r="K702" s="139"/>
      <c r="L702" s="96"/>
      <c r="M702" s="89">
        <v>0</v>
      </c>
      <c r="N702" s="89">
        <v>0</v>
      </c>
      <c r="O702" s="89">
        <f t="shared" si="155"/>
        <v>0</v>
      </c>
    </row>
    <row r="703" spans="1:15" ht="15.75" thickBot="1" x14ac:dyDescent="0.3">
      <c r="A703" s="91"/>
      <c r="B703" s="91"/>
      <c r="C703" s="91"/>
      <c r="D703" s="91"/>
      <c r="E703" s="91"/>
      <c r="F703" s="91"/>
      <c r="G703" s="92">
        <f>SUM(G695,G702)</f>
        <v>6.9444444444444753E-3</v>
      </c>
      <c r="I703" s="91"/>
      <c r="J703" s="91"/>
      <c r="K703" s="91"/>
      <c r="L703" s="97"/>
      <c r="M703" s="91"/>
      <c r="N703" s="91"/>
      <c r="O703" s="92">
        <f>SUM(O695,O702)</f>
        <v>1.0416666666666741E-2</v>
      </c>
    </row>
    <row r="704" spans="1:15" x14ac:dyDescent="0.25">
      <c r="A704" s="133">
        <f>A695+1</f>
        <v>46160</v>
      </c>
      <c r="B704" s="136"/>
      <c r="C704" s="137" t="s">
        <v>82</v>
      </c>
      <c r="D704" s="88"/>
      <c r="E704" s="89">
        <v>0</v>
      </c>
      <c r="F704" s="89">
        <v>0</v>
      </c>
      <c r="G704" s="89">
        <f>F704-E704</f>
        <v>0</v>
      </c>
      <c r="I704" s="133">
        <f>I695+1</f>
        <v>46160</v>
      </c>
      <c r="J704" s="136" t="s">
        <v>75</v>
      </c>
      <c r="K704" s="137" t="s">
        <v>83</v>
      </c>
      <c r="L704" s="95" t="s">
        <v>505</v>
      </c>
      <c r="M704" s="89">
        <v>0.82847222222222228</v>
      </c>
      <c r="N704" s="89">
        <v>0.83472222222222225</v>
      </c>
      <c r="O704" s="89">
        <f>N704-M704</f>
        <v>6.2499999999999778E-3</v>
      </c>
    </row>
    <row r="705" spans="1:15" x14ac:dyDescent="0.25">
      <c r="A705" s="134"/>
      <c r="B705" s="136"/>
      <c r="C705" s="138"/>
      <c r="D705" s="88"/>
      <c r="E705" s="89">
        <v>0</v>
      </c>
      <c r="F705" s="89">
        <v>0</v>
      </c>
      <c r="G705" s="89">
        <f t="shared" ref="G705:G711" si="156">F705-E705</f>
        <v>0</v>
      </c>
      <c r="I705" s="134"/>
      <c r="J705" s="136"/>
      <c r="K705" s="138"/>
      <c r="L705" s="95" t="s">
        <v>506</v>
      </c>
      <c r="M705" s="89">
        <v>0</v>
      </c>
      <c r="N705" s="89">
        <v>0</v>
      </c>
      <c r="O705" s="89">
        <f t="shared" ref="O705:O711" si="157">N705-M705</f>
        <v>0</v>
      </c>
    </row>
    <row r="706" spans="1:15" x14ac:dyDescent="0.25">
      <c r="A706" s="134"/>
      <c r="B706" s="136"/>
      <c r="C706" s="138"/>
      <c r="D706" s="90"/>
      <c r="E706" s="89">
        <v>0</v>
      </c>
      <c r="F706" s="89">
        <v>0</v>
      </c>
      <c r="G706" s="89">
        <f t="shared" si="156"/>
        <v>0</v>
      </c>
      <c r="I706" s="134"/>
      <c r="J706" s="136"/>
      <c r="K706" s="138"/>
      <c r="L706" s="96"/>
      <c r="M706" s="89">
        <v>0</v>
      </c>
      <c r="N706" s="89">
        <v>0</v>
      </c>
      <c r="O706" s="89">
        <f t="shared" si="157"/>
        <v>0</v>
      </c>
    </row>
    <row r="707" spans="1:15" x14ac:dyDescent="0.25">
      <c r="A707" s="134"/>
      <c r="B707" s="136"/>
      <c r="C707" s="138"/>
      <c r="D707" s="90"/>
      <c r="E707" s="89">
        <v>0</v>
      </c>
      <c r="F707" s="89">
        <v>0</v>
      </c>
      <c r="G707" s="89">
        <f t="shared" si="156"/>
        <v>0</v>
      </c>
      <c r="I707" s="134"/>
      <c r="J707" s="136"/>
      <c r="K707" s="138"/>
      <c r="L707" s="96"/>
      <c r="M707" s="89">
        <v>0</v>
      </c>
      <c r="N707" s="89">
        <v>0</v>
      </c>
      <c r="O707" s="89">
        <f t="shared" si="157"/>
        <v>0</v>
      </c>
    </row>
    <row r="708" spans="1:15" x14ac:dyDescent="0.25">
      <c r="A708" s="134"/>
      <c r="B708" s="136"/>
      <c r="C708" s="138"/>
      <c r="D708" s="90"/>
      <c r="E708" s="89">
        <v>0</v>
      </c>
      <c r="F708" s="89">
        <v>0</v>
      </c>
      <c r="G708" s="89">
        <f t="shared" si="156"/>
        <v>0</v>
      </c>
      <c r="I708" s="134"/>
      <c r="J708" s="136"/>
      <c r="K708" s="138"/>
      <c r="L708" s="96"/>
      <c r="M708" s="89">
        <v>0</v>
      </c>
      <c r="N708" s="89">
        <v>0</v>
      </c>
      <c r="O708" s="89">
        <f t="shared" si="157"/>
        <v>0</v>
      </c>
    </row>
    <row r="709" spans="1:15" x14ac:dyDescent="0.25">
      <c r="A709" s="134"/>
      <c r="B709" s="136"/>
      <c r="C709" s="138"/>
      <c r="D709" s="90"/>
      <c r="E709" s="89">
        <v>0</v>
      </c>
      <c r="F709" s="89">
        <v>0</v>
      </c>
      <c r="G709" s="89">
        <f t="shared" si="156"/>
        <v>0</v>
      </c>
      <c r="I709" s="134"/>
      <c r="J709" s="136"/>
      <c r="K709" s="138"/>
      <c r="L709" s="96"/>
      <c r="M709" s="89">
        <v>0</v>
      </c>
      <c r="N709" s="89">
        <v>0</v>
      </c>
      <c r="O709" s="89">
        <f t="shared" si="157"/>
        <v>0</v>
      </c>
    </row>
    <row r="710" spans="1:15" x14ac:dyDescent="0.25">
      <c r="A710" s="134"/>
      <c r="B710" s="136"/>
      <c r="C710" s="138"/>
      <c r="D710" s="90"/>
      <c r="E710" s="89">
        <v>0</v>
      </c>
      <c r="F710" s="89">
        <v>0</v>
      </c>
      <c r="G710" s="89">
        <f t="shared" si="156"/>
        <v>0</v>
      </c>
      <c r="I710" s="134"/>
      <c r="J710" s="136"/>
      <c r="K710" s="138"/>
      <c r="L710" s="96"/>
      <c r="M710" s="89">
        <v>0</v>
      </c>
      <c r="N710" s="89">
        <v>0</v>
      </c>
      <c r="O710" s="89">
        <f t="shared" si="157"/>
        <v>0</v>
      </c>
    </row>
    <row r="711" spans="1:15" x14ac:dyDescent="0.25">
      <c r="A711" s="135"/>
      <c r="B711" s="136"/>
      <c r="C711" s="139"/>
      <c r="D711" s="90"/>
      <c r="E711" s="89">
        <v>0</v>
      </c>
      <c r="F711" s="89">
        <v>0</v>
      </c>
      <c r="G711" s="89">
        <f t="shared" si="156"/>
        <v>0</v>
      </c>
      <c r="I711" s="135"/>
      <c r="J711" s="136"/>
      <c r="K711" s="139"/>
      <c r="L711" s="96"/>
      <c r="M711" s="89">
        <v>0</v>
      </c>
      <c r="N711" s="89">
        <v>0</v>
      </c>
      <c r="O711" s="89">
        <f t="shared" si="157"/>
        <v>0</v>
      </c>
    </row>
    <row r="712" spans="1:15" ht="15.75" thickBot="1" x14ac:dyDescent="0.3">
      <c r="A712" s="91"/>
      <c r="B712" s="91"/>
      <c r="C712" s="91"/>
      <c r="D712" s="91"/>
      <c r="E712" s="91"/>
      <c r="F712" s="91"/>
      <c r="G712" s="92">
        <f>SUM(G704,G711)</f>
        <v>0</v>
      </c>
      <c r="I712" s="91"/>
      <c r="J712" s="91"/>
      <c r="K712" s="91"/>
      <c r="L712" s="97"/>
      <c r="M712" s="91"/>
      <c r="N712" s="91"/>
      <c r="O712" s="92">
        <f>SUM(O704,O711)</f>
        <v>6.2499999999999778E-3</v>
      </c>
    </row>
    <row r="713" spans="1:15" ht="135" x14ac:dyDescent="0.25">
      <c r="A713" s="133">
        <f>A704+1</f>
        <v>46161</v>
      </c>
      <c r="B713" s="136" t="s">
        <v>114</v>
      </c>
      <c r="C713" s="137" t="s">
        <v>82</v>
      </c>
      <c r="D713" s="88" t="s">
        <v>507</v>
      </c>
      <c r="E713" s="89">
        <v>0.41111111111111109</v>
      </c>
      <c r="F713" s="89">
        <v>0.73124999999999996</v>
      </c>
      <c r="G713" s="89">
        <f>F713-E713</f>
        <v>0.32013888888888886</v>
      </c>
      <c r="I713" s="133">
        <f>I704+1</f>
        <v>46161</v>
      </c>
      <c r="J713" s="136" t="s">
        <v>77</v>
      </c>
      <c r="K713" s="137" t="s">
        <v>83</v>
      </c>
      <c r="L713" s="95"/>
      <c r="M713" s="89">
        <v>0</v>
      </c>
      <c r="N713" s="89">
        <v>0</v>
      </c>
      <c r="O713" s="89">
        <f>N713-M713</f>
        <v>0</v>
      </c>
    </row>
    <row r="714" spans="1:15" x14ac:dyDescent="0.25">
      <c r="A714" s="134"/>
      <c r="B714" s="136"/>
      <c r="C714" s="138"/>
      <c r="D714" s="88"/>
      <c r="E714" s="89">
        <v>0</v>
      </c>
      <c r="F714" s="89">
        <v>0</v>
      </c>
      <c r="G714" s="89">
        <f t="shared" ref="G714:G720" si="158">F714-E714</f>
        <v>0</v>
      </c>
      <c r="I714" s="134"/>
      <c r="J714" s="136"/>
      <c r="K714" s="138"/>
      <c r="L714" s="95" t="s">
        <v>508</v>
      </c>
      <c r="M714" s="89">
        <v>0</v>
      </c>
      <c r="N714" s="89">
        <v>0</v>
      </c>
      <c r="O714" s="89">
        <f t="shared" ref="O714:O720" si="159">N714-M714</f>
        <v>0</v>
      </c>
    </row>
    <row r="715" spans="1:15" x14ac:dyDescent="0.25">
      <c r="A715" s="134"/>
      <c r="B715" s="136"/>
      <c r="C715" s="138"/>
      <c r="D715" s="90"/>
      <c r="E715" s="89">
        <v>0</v>
      </c>
      <c r="F715" s="89">
        <v>0</v>
      </c>
      <c r="G715" s="89">
        <f t="shared" si="158"/>
        <v>0</v>
      </c>
      <c r="I715" s="134"/>
      <c r="J715" s="136"/>
      <c r="K715" s="138"/>
      <c r="L715" s="96" t="s">
        <v>509</v>
      </c>
      <c r="M715" s="89">
        <v>0</v>
      </c>
      <c r="N715" s="89">
        <v>0</v>
      </c>
      <c r="O715" s="89">
        <f t="shared" si="159"/>
        <v>0</v>
      </c>
    </row>
    <row r="716" spans="1:15" x14ac:dyDescent="0.25">
      <c r="A716" s="134"/>
      <c r="B716" s="136"/>
      <c r="C716" s="138"/>
      <c r="D716" s="90"/>
      <c r="E716" s="89">
        <v>0</v>
      </c>
      <c r="F716" s="89">
        <v>0</v>
      </c>
      <c r="G716" s="89">
        <f t="shared" si="158"/>
        <v>0</v>
      </c>
      <c r="I716" s="134"/>
      <c r="J716" s="136"/>
      <c r="K716" s="138"/>
      <c r="L716" s="96" t="s">
        <v>510</v>
      </c>
      <c r="M716" s="89">
        <v>0</v>
      </c>
      <c r="N716" s="89">
        <v>0</v>
      </c>
      <c r="O716" s="89">
        <f t="shared" si="159"/>
        <v>0</v>
      </c>
    </row>
    <row r="717" spans="1:15" x14ac:dyDescent="0.25">
      <c r="A717" s="134"/>
      <c r="B717" s="136"/>
      <c r="C717" s="138"/>
      <c r="D717" s="90"/>
      <c r="E717" s="89">
        <v>0</v>
      </c>
      <c r="F717" s="89">
        <v>0</v>
      </c>
      <c r="G717" s="89">
        <f t="shared" si="158"/>
        <v>0</v>
      </c>
      <c r="I717" s="134"/>
      <c r="J717" s="136"/>
      <c r="K717" s="138"/>
      <c r="L717" s="96" t="s">
        <v>511</v>
      </c>
      <c r="M717" s="89">
        <v>0</v>
      </c>
      <c r="N717" s="89">
        <v>0</v>
      </c>
      <c r="O717" s="89">
        <f t="shared" si="159"/>
        <v>0</v>
      </c>
    </row>
    <row r="718" spans="1:15" x14ac:dyDescent="0.25">
      <c r="A718" s="134"/>
      <c r="B718" s="136"/>
      <c r="C718" s="138"/>
      <c r="D718" s="90"/>
      <c r="E718" s="89">
        <v>0</v>
      </c>
      <c r="F718" s="89">
        <v>0</v>
      </c>
      <c r="G718" s="89">
        <f t="shared" si="158"/>
        <v>0</v>
      </c>
      <c r="I718" s="134"/>
      <c r="J718" s="136"/>
      <c r="K718" s="138"/>
      <c r="L718" s="96" t="s">
        <v>512</v>
      </c>
      <c r="M718" s="89">
        <v>0</v>
      </c>
      <c r="N718" s="89">
        <v>0</v>
      </c>
      <c r="O718" s="89">
        <f t="shared" si="159"/>
        <v>0</v>
      </c>
    </row>
    <row r="719" spans="1:15" x14ac:dyDescent="0.25">
      <c r="A719" s="134"/>
      <c r="B719" s="136"/>
      <c r="C719" s="138"/>
      <c r="D719" s="90"/>
      <c r="E719" s="89">
        <v>0</v>
      </c>
      <c r="F719" s="89">
        <v>0</v>
      </c>
      <c r="G719" s="89">
        <f t="shared" si="158"/>
        <v>0</v>
      </c>
      <c r="I719" s="134"/>
      <c r="J719" s="136"/>
      <c r="K719" s="138"/>
      <c r="L719" s="96" t="s">
        <v>513</v>
      </c>
      <c r="M719" s="89">
        <v>0.24861111111111112</v>
      </c>
      <c r="N719" s="89">
        <v>0.26597222222222222</v>
      </c>
      <c r="O719" s="89">
        <f t="shared" si="159"/>
        <v>1.7361111111111105E-2</v>
      </c>
    </row>
    <row r="720" spans="1:15" x14ac:dyDescent="0.25">
      <c r="A720" s="135"/>
      <c r="B720" s="136"/>
      <c r="C720" s="139"/>
      <c r="D720" s="90"/>
      <c r="E720" s="89">
        <v>0</v>
      </c>
      <c r="F720" s="89">
        <v>0</v>
      </c>
      <c r="G720" s="89">
        <f t="shared" si="158"/>
        <v>0</v>
      </c>
      <c r="I720" s="135"/>
      <c r="J720" s="136"/>
      <c r="K720" s="139"/>
      <c r="L720" s="96"/>
      <c r="M720" s="89">
        <v>0</v>
      </c>
      <c r="N720" s="89">
        <v>0</v>
      </c>
      <c r="O720" s="89">
        <f t="shared" si="159"/>
        <v>0</v>
      </c>
    </row>
    <row r="721" spans="1:15" ht="15.75" thickBot="1" x14ac:dyDescent="0.3">
      <c r="A721" s="91"/>
      <c r="B721" s="91"/>
      <c r="C721" s="91"/>
      <c r="D721" s="91"/>
      <c r="E721" s="91"/>
      <c r="F721" s="91"/>
      <c r="G721" s="92">
        <f>SUM(G713,G720)</f>
        <v>0.32013888888888886</v>
      </c>
      <c r="I721" s="91"/>
      <c r="J721" s="91"/>
      <c r="K721" s="91"/>
      <c r="L721" s="97"/>
      <c r="M721" s="91"/>
      <c r="N721" s="91"/>
      <c r="O721" s="92">
        <f>SUM(O713,O720)</f>
        <v>0</v>
      </c>
    </row>
    <row r="722" spans="1:15" ht="30" x14ac:dyDescent="0.25">
      <c r="A722" s="133">
        <f>A713+1</f>
        <v>46162</v>
      </c>
      <c r="B722" s="136" t="s">
        <v>113</v>
      </c>
      <c r="C722" s="137" t="s">
        <v>82</v>
      </c>
      <c r="D722" s="88" t="s">
        <v>514</v>
      </c>
      <c r="E722" s="89">
        <v>0.35347222222222224</v>
      </c>
      <c r="F722" s="89">
        <v>0.61736111111111114</v>
      </c>
      <c r="G722" s="89">
        <f>F722-E722</f>
        <v>0.2638888888888889</v>
      </c>
      <c r="I722" s="133">
        <f>I713+1</f>
        <v>46162</v>
      </c>
      <c r="J722" s="136" t="s">
        <v>114</v>
      </c>
      <c r="K722" s="137" t="s">
        <v>83</v>
      </c>
      <c r="L722" s="95" t="s">
        <v>523</v>
      </c>
      <c r="M722" s="89">
        <v>0</v>
      </c>
      <c r="N722" s="89">
        <v>0</v>
      </c>
      <c r="O722" s="89">
        <f>N722-M722</f>
        <v>0</v>
      </c>
    </row>
    <row r="723" spans="1:15" ht="45" x14ac:dyDescent="0.25">
      <c r="A723" s="134"/>
      <c r="B723" s="136"/>
      <c r="C723" s="138"/>
      <c r="D723" s="88" t="s">
        <v>515</v>
      </c>
      <c r="E723" s="89">
        <v>0</v>
      </c>
      <c r="F723" s="89">
        <v>0</v>
      </c>
      <c r="G723" s="89">
        <f t="shared" ref="G723:G729" si="160">F723-E723</f>
        <v>0</v>
      </c>
      <c r="I723" s="134"/>
      <c r="J723" s="136"/>
      <c r="K723" s="138"/>
      <c r="L723" s="95"/>
      <c r="M723" s="89">
        <v>0</v>
      </c>
      <c r="N723" s="89">
        <v>0</v>
      </c>
      <c r="O723" s="89">
        <f t="shared" ref="O723:O729" si="161">N723-M723</f>
        <v>0</v>
      </c>
    </row>
    <row r="724" spans="1:15" x14ac:dyDescent="0.25">
      <c r="A724" s="134"/>
      <c r="B724" s="136"/>
      <c r="C724" s="138"/>
      <c r="D724" s="90" t="s">
        <v>516</v>
      </c>
      <c r="E724" s="89">
        <v>0</v>
      </c>
      <c r="F724" s="89">
        <v>0</v>
      </c>
      <c r="G724" s="89">
        <f t="shared" si="160"/>
        <v>0</v>
      </c>
      <c r="I724" s="134"/>
      <c r="J724" s="136"/>
      <c r="K724" s="138"/>
      <c r="L724" s="96"/>
      <c r="M724" s="89">
        <v>0</v>
      </c>
      <c r="N724" s="89">
        <v>0</v>
      </c>
      <c r="O724" s="89">
        <f t="shared" si="161"/>
        <v>0</v>
      </c>
    </row>
    <row r="725" spans="1:15" x14ac:dyDescent="0.25">
      <c r="A725" s="134"/>
      <c r="B725" s="136"/>
      <c r="C725" s="138"/>
      <c r="D725" s="90" t="s">
        <v>517</v>
      </c>
      <c r="E725" s="89">
        <v>0</v>
      </c>
      <c r="F725" s="89">
        <v>0</v>
      </c>
      <c r="G725" s="89">
        <f t="shared" si="160"/>
        <v>0</v>
      </c>
      <c r="I725" s="134"/>
      <c r="J725" s="136"/>
      <c r="K725" s="138"/>
      <c r="L725" s="96"/>
      <c r="M725" s="89">
        <v>0</v>
      </c>
      <c r="N725" s="89">
        <v>0</v>
      </c>
      <c r="O725" s="89">
        <f t="shared" si="161"/>
        <v>0</v>
      </c>
    </row>
    <row r="726" spans="1:15" x14ac:dyDescent="0.25">
      <c r="A726" s="134"/>
      <c r="B726" s="136"/>
      <c r="C726" s="138"/>
      <c r="D726" s="90" t="s">
        <v>518</v>
      </c>
      <c r="E726" s="89">
        <v>0.70763888888888893</v>
      </c>
      <c r="F726" s="89">
        <v>0.75902777777777775</v>
      </c>
      <c r="G726" s="89">
        <f t="shared" si="160"/>
        <v>5.1388888888888817E-2</v>
      </c>
      <c r="I726" s="134"/>
      <c r="J726" s="136"/>
      <c r="K726" s="138"/>
      <c r="L726" s="96"/>
      <c r="M726" s="89">
        <v>0</v>
      </c>
      <c r="N726" s="89">
        <v>0</v>
      </c>
      <c r="O726" s="89">
        <f t="shared" si="161"/>
        <v>0</v>
      </c>
    </row>
    <row r="727" spans="1:15" x14ac:dyDescent="0.25">
      <c r="A727" s="134"/>
      <c r="B727" s="136"/>
      <c r="C727" s="138"/>
      <c r="D727" s="90" t="s">
        <v>519</v>
      </c>
      <c r="E727" s="89">
        <v>0</v>
      </c>
      <c r="F727" s="89">
        <v>0</v>
      </c>
      <c r="G727" s="89">
        <f t="shared" si="160"/>
        <v>0</v>
      </c>
      <c r="I727" s="134"/>
      <c r="J727" s="136"/>
      <c r="K727" s="138"/>
      <c r="L727" s="96"/>
      <c r="M727" s="89">
        <v>0</v>
      </c>
      <c r="N727" s="89">
        <v>0</v>
      </c>
      <c r="O727" s="89">
        <f t="shared" si="161"/>
        <v>0</v>
      </c>
    </row>
    <row r="728" spans="1:15" x14ac:dyDescent="0.25">
      <c r="A728" s="134"/>
      <c r="B728" s="136"/>
      <c r="C728" s="138"/>
      <c r="D728" s="90"/>
      <c r="E728" s="89">
        <v>0</v>
      </c>
      <c r="F728" s="89">
        <v>0</v>
      </c>
      <c r="G728" s="89">
        <f t="shared" si="160"/>
        <v>0</v>
      </c>
      <c r="I728" s="134"/>
      <c r="J728" s="136"/>
      <c r="K728" s="138"/>
      <c r="L728" s="96"/>
      <c r="M728" s="89">
        <v>0</v>
      </c>
      <c r="N728" s="89">
        <v>0</v>
      </c>
      <c r="O728" s="89">
        <f t="shared" si="161"/>
        <v>0</v>
      </c>
    </row>
    <row r="729" spans="1:15" x14ac:dyDescent="0.25">
      <c r="A729" s="135"/>
      <c r="B729" s="136"/>
      <c r="C729" s="139"/>
      <c r="D729" s="90"/>
      <c r="E729" s="89">
        <v>0</v>
      </c>
      <c r="F729" s="89">
        <v>0</v>
      </c>
      <c r="G729" s="89">
        <f t="shared" si="160"/>
        <v>0</v>
      </c>
      <c r="I729" s="135"/>
      <c r="J729" s="136"/>
      <c r="K729" s="139"/>
      <c r="L729" s="96"/>
      <c r="M729" s="89">
        <v>0</v>
      </c>
      <c r="N729" s="89">
        <v>0</v>
      </c>
      <c r="O729" s="89">
        <f t="shared" si="161"/>
        <v>0</v>
      </c>
    </row>
    <row r="730" spans="1:15" ht="15.75" thickBot="1" x14ac:dyDescent="0.3">
      <c r="A730" s="91"/>
      <c r="B730" s="91"/>
      <c r="C730" s="91"/>
      <c r="D730" s="91"/>
      <c r="E730" s="91"/>
      <c r="F730" s="91"/>
      <c r="G730" s="92">
        <f>SUM(G722,G729)</f>
        <v>0.2638888888888889</v>
      </c>
      <c r="I730" s="91"/>
      <c r="J730" s="91"/>
      <c r="K730" s="91"/>
      <c r="L730" s="97"/>
      <c r="M730" s="91"/>
      <c r="N730" s="91"/>
      <c r="O730" s="92">
        <f>SUM(O722,O729)</f>
        <v>0</v>
      </c>
    </row>
    <row r="731" spans="1:15" x14ac:dyDescent="0.25">
      <c r="A731" s="133">
        <f>A722+1</f>
        <v>46163</v>
      </c>
      <c r="B731" s="136" t="s">
        <v>75</v>
      </c>
      <c r="C731" s="137" t="s">
        <v>82</v>
      </c>
      <c r="D731" s="88"/>
      <c r="E731" s="89">
        <v>0</v>
      </c>
      <c r="F731" s="89">
        <v>0</v>
      </c>
      <c r="G731" s="89">
        <f>F731-E731</f>
        <v>0</v>
      </c>
      <c r="I731" s="133">
        <f>I722+1</f>
        <v>46163</v>
      </c>
      <c r="J731" s="136" t="s">
        <v>113</v>
      </c>
      <c r="K731" s="137" t="s">
        <v>83</v>
      </c>
      <c r="L731" s="95" t="s">
        <v>526</v>
      </c>
      <c r="M731" s="89">
        <v>3.2638888888888891E-2</v>
      </c>
      <c r="N731" s="89">
        <v>5.347222222222222E-2</v>
      </c>
      <c r="O731" s="89">
        <f>N731-M731</f>
        <v>2.0833333333333329E-2</v>
      </c>
    </row>
    <row r="732" spans="1:15" x14ac:dyDescent="0.25">
      <c r="A732" s="134"/>
      <c r="B732" s="136"/>
      <c r="C732" s="138"/>
      <c r="D732" s="88"/>
      <c r="E732" s="89">
        <v>0</v>
      </c>
      <c r="F732" s="89">
        <v>0</v>
      </c>
      <c r="G732" s="89">
        <f t="shared" ref="G732:G738" si="162">F732-E732</f>
        <v>0</v>
      </c>
      <c r="I732" s="134"/>
      <c r="J732" s="136"/>
      <c r="K732" s="138"/>
      <c r="L732" s="95" t="s">
        <v>527</v>
      </c>
      <c r="M732" s="89">
        <v>0</v>
      </c>
      <c r="N732" s="89">
        <v>0</v>
      </c>
      <c r="O732" s="89">
        <f t="shared" ref="O732:O738" si="163">N732-M732</f>
        <v>0</v>
      </c>
    </row>
    <row r="733" spans="1:15" x14ac:dyDescent="0.25">
      <c r="A733" s="134"/>
      <c r="B733" s="136"/>
      <c r="C733" s="138"/>
      <c r="D733" s="90"/>
      <c r="E733" s="89">
        <v>0</v>
      </c>
      <c r="F733" s="89">
        <v>0</v>
      </c>
      <c r="G733" s="89">
        <f t="shared" si="162"/>
        <v>0</v>
      </c>
      <c r="I733" s="134"/>
      <c r="J733" s="136"/>
      <c r="K733" s="138"/>
      <c r="L733" s="96"/>
      <c r="M733" s="89">
        <v>0</v>
      </c>
      <c r="N733" s="89">
        <v>0</v>
      </c>
      <c r="O733" s="89">
        <f t="shared" si="163"/>
        <v>0</v>
      </c>
    </row>
    <row r="734" spans="1:15" x14ac:dyDescent="0.25">
      <c r="A734" s="134"/>
      <c r="B734" s="136"/>
      <c r="C734" s="138"/>
      <c r="D734" s="90"/>
      <c r="E734" s="89">
        <v>0</v>
      </c>
      <c r="F734" s="89">
        <v>0</v>
      </c>
      <c r="G734" s="89">
        <f t="shared" si="162"/>
        <v>0</v>
      </c>
      <c r="I734" s="134"/>
      <c r="J734" s="136"/>
      <c r="K734" s="138"/>
      <c r="L734" s="96"/>
      <c r="M734" s="89">
        <v>0</v>
      </c>
      <c r="N734" s="89">
        <v>0</v>
      </c>
      <c r="O734" s="89">
        <f t="shared" si="163"/>
        <v>0</v>
      </c>
    </row>
    <row r="735" spans="1:15" x14ac:dyDescent="0.25">
      <c r="A735" s="134"/>
      <c r="B735" s="136"/>
      <c r="C735" s="138"/>
      <c r="D735" s="90"/>
      <c r="E735" s="89">
        <v>0</v>
      </c>
      <c r="F735" s="89">
        <v>0</v>
      </c>
      <c r="G735" s="89">
        <f t="shared" si="162"/>
        <v>0</v>
      </c>
      <c r="I735" s="134"/>
      <c r="J735" s="136"/>
      <c r="K735" s="138"/>
      <c r="L735" s="96"/>
      <c r="M735" s="89">
        <v>0</v>
      </c>
      <c r="N735" s="89">
        <v>0</v>
      </c>
      <c r="O735" s="89">
        <f t="shared" si="163"/>
        <v>0</v>
      </c>
    </row>
    <row r="736" spans="1:15" x14ac:dyDescent="0.25">
      <c r="A736" s="134"/>
      <c r="B736" s="136"/>
      <c r="C736" s="138"/>
      <c r="D736" s="90"/>
      <c r="E736" s="89">
        <v>0</v>
      </c>
      <c r="F736" s="89">
        <v>0</v>
      </c>
      <c r="G736" s="89">
        <f t="shared" si="162"/>
        <v>0</v>
      </c>
      <c r="I736" s="134"/>
      <c r="J736" s="136"/>
      <c r="K736" s="138"/>
      <c r="L736" s="96"/>
      <c r="M736" s="89">
        <v>0</v>
      </c>
      <c r="N736" s="89">
        <v>0</v>
      </c>
      <c r="O736" s="89">
        <f t="shared" si="163"/>
        <v>0</v>
      </c>
    </row>
    <row r="737" spans="1:15" x14ac:dyDescent="0.25">
      <c r="A737" s="134"/>
      <c r="B737" s="136"/>
      <c r="C737" s="138"/>
      <c r="D737" s="90"/>
      <c r="E737" s="89">
        <v>0</v>
      </c>
      <c r="F737" s="89">
        <v>0</v>
      </c>
      <c r="G737" s="89">
        <f t="shared" si="162"/>
        <v>0</v>
      </c>
      <c r="I737" s="134"/>
      <c r="J737" s="136"/>
      <c r="K737" s="138"/>
      <c r="L737" s="96"/>
      <c r="M737" s="89">
        <v>0</v>
      </c>
      <c r="N737" s="89">
        <v>0</v>
      </c>
      <c r="O737" s="89">
        <f t="shared" si="163"/>
        <v>0</v>
      </c>
    </row>
    <row r="738" spans="1:15" x14ac:dyDescent="0.25">
      <c r="A738" s="135"/>
      <c r="B738" s="136"/>
      <c r="C738" s="139"/>
      <c r="D738" s="90"/>
      <c r="E738" s="89">
        <v>0</v>
      </c>
      <c r="F738" s="89">
        <v>0</v>
      </c>
      <c r="G738" s="89">
        <f t="shared" si="162"/>
        <v>0</v>
      </c>
      <c r="I738" s="135"/>
      <c r="J738" s="136"/>
      <c r="K738" s="139"/>
      <c r="L738" s="96"/>
      <c r="M738" s="89">
        <v>0</v>
      </c>
      <c r="N738" s="89">
        <v>0</v>
      </c>
      <c r="O738" s="89">
        <f t="shared" si="163"/>
        <v>0</v>
      </c>
    </row>
    <row r="739" spans="1:15" ht="15.75" thickBot="1" x14ac:dyDescent="0.3">
      <c r="A739" s="91"/>
      <c r="B739" s="91"/>
      <c r="C739" s="91"/>
      <c r="D739" s="91"/>
      <c r="E739" s="91"/>
      <c r="F739" s="91"/>
      <c r="G739" s="92">
        <f>SUM(G731,G738)</f>
        <v>0</v>
      </c>
      <c r="I739" s="91"/>
      <c r="J739" s="91"/>
      <c r="K739" s="91"/>
      <c r="L739" s="97"/>
      <c r="M739" s="91"/>
      <c r="N739" s="91"/>
      <c r="O739" s="92">
        <f>SUM(O731,O738)</f>
        <v>2.0833333333333329E-2</v>
      </c>
    </row>
    <row r="740" spans="1:15" x14ac:dyDescent="0.25">
      <c r="A740" s="133">
        <f>A731+1</f>
        <v>46164</v>
      </c>
      <c r="B740" s="136"/>
      <c r="C740" s="137" t="s">
        <v>82</v>
      </c>
      <c r="D740" s="88"/>
      <c r="E740" s="89">
        <v>0</v>
      </c>
      <c r="F740" s="89">
        <v>0</v>
      </c>
      <c r="G740" s="89">
        <f>F740-E740</f>
        <v>0</v>
      </c>
      <c r="I740" s="133">
        <f>I731+1</f>
        <v>46164</v>
      </c>
      <c r="J740" s="136" t="s">
        <v>113</v>
      </c>
      <c r="K740" s="137" t="s">
        <v>83</v>
      </c>
      <c r="L740" s="95" t="s">
        <v>530</v>
      </c>
      <c r="M740" s="89">
        <v>0</v>
      </c>
      <c r="N740" s="89">
        <v>0</v>
      </c>
      <c r="O740" s="89">
        <f>N740-M740</f>
        <v>0</v>
      </c>
    </row>
    <row r="741" spans="1:15" x14ac:dyDescent="0.25">
      <c r="A741" s="134"/>
      <c r="B741" s="136"/>
      <c r="C741" s="138"/>
      <c r="D741" s="88"/>
      <c r="E741" s="89">
        <v>0</v>
      </c>
      <c r="F741" s="89">
        <v>0</v>
      </c>
      <c r="G741" s="89">
        <f t="shared" ref="G741:G747" si="164">F741-E741</f>
        <v>0</v>
      </c>
      <c r="I741" s="134"/>
      <c r="J741" s="136"/>
      <c r="K741" s="138"/>
      <c r="L741" s="95" t="s">
        <v>536</v>
      </c>
      <c r="M741" s="89">
        <v>3.8194444444444448E-2</v>
      </c>
      <c r="N741" s="89">
        <v>4.7222222222222221E-2</v>
      </c>
      <c r="O741" s="89">
        <f t="shared" ref="O741:O747" si="165">N741-M741</f>
        <v>9.0277777777777735E-3</v>
      </c>
    </row>
    <row r="742" spans="1:15" x14ac:dyDescent="0.25">
      <c r="A742" s="134"/>
      <c r="B742" s="136"/>
      <c r="C742" s="138"/>
      <c r="D742" s="90"/>
      <c r="E742" s="89">
        <v>0</v>
      </c>
      <c r="F742" s="89">
        <v>0</v>
      </c>
      <c r="G742" s="89">
        <f t="shared" si="164"/>
        <v>0</v>
      </c>
      <c r="I742" s="134"/>
      <c r="J742" s="136"/>
      <c r="K742" s="138"/>
      <c r="L742" s="96" t="s">
        <v>531</v>
      </c>
      <c r="M742" s="89">
        <v>0.125</v>
      </c>
      <c r="N742" s="89">
        <v>0.14305555555555555</v>
      </c>
      <c r="O742" s="89">
        <f t="shared" si="165"/>
        <v>1.8055555555555547E-2</v>
      </c>
    </row>
    <row r="743" spans="1:15" x14ac:dyDescent="0.25">
      <c r="A743" s="134"/>
      <c r="B743" s="136"/>
      <c r="C743" s="138"/>
      <c r="D743" s="90"/>
      <c r="E743" s="89">
        <v>0</v>
      </c>
      <c r="F743" s="89">
        <v>0</v>
      </c>
      <c r="G743" s="89">
        <f t="shared" si="164"/>
        <v>0</v>
      </c>
      <c r="I743" s="134"/>
      <c r="J743" s="136"/>
      <c r="K743" s="138"/>
      <c r="L743" s="96"/>
      <c r="M743" s="89">
        <v>0</v>
      </c>
      <c r="N743" s="89">
        <v>0</v>
      </c>
      <c r="O743" s="89">
        <f t="shared" si="165"/>
        <v>0</v>
      </c>
    </row>
    <row r="744" spans="1:15" x14ac:dyDescent="0.25">
      <c r="A744" s="134"/>
      <c r="B744" s="136"/>
      <c r="C744" s="138"/>
      <c r="D744" s="90"/>
      <c r="E744" s="89">
        <v>0</v>
      </c>
      <c r="F744" s="89">
        <v>0</v>
      </c>
      <c r="G744" s="89">
        <f t="shared" si="164"/>
        <v>0</v>
      </c>
      <c r="I744" s="134"/>
      <c r="J744" s="136"/>
      <c r="K744" s="138"/>
      <c r="L744" s="96" t="s">
        <v>532</v>
      </c>
      <c r="M744" s="89">
        <v>0</v>
      </c>
      <c r="N744" s="89">
        <v>0</v>
      </c>
      <c r="O744" s="89">
        <f t="shared" si="165"/>
        <v>0</v>
      </c>
    </row>
    <row r="745" spans="1:15" x14ac:dyDescent="0.25">
      <c r="A745" s="134"/>
      <c r="B745" s="136"/>
      <c r="C745" s="138"/>
      <c r="D745" s="90"/>
      <c r="E745" s="89">
        <v>0</v>
      </c>
      <c r="F745" s="89">
        <v>0</v>
      </c>
      <c r="G745" s="89">
        <f t="shared" si="164"/>
        <v>0</v>
      </c>
      <c r="I745" s="134"/>
      <c r="J745" s="136"/>
      <c r="K745" s="138"/>
      <c r="L745" s="96" t="s">
        <v>533</v>
      </c>
      <c r="M745" s="89">
        <v>0</v>
      </c>
      <c r="N745" s="89">
        <v>0</v>
      </c>
      <c r="O745" s="89">
        <f t="shared" si="165"/>
        <v>0</v>
      </c>
    </row>
    <row r="746" spans="1:15" x14ac:dyDescent="0.25">
      <c r="A746" s="134"/>
      <c r="B746" s="136"/>
      <c r="C746" s="138"/>
      <c r="D746" s="90"/>
      <c r="E746" s="89">
        <v>0</v>
      </c>
      <c r="F746" s="89">
        <v>0</v>
      </c>
      <c r="G746" s="89">
        <f t="shared" si="164"/>
        <v>0</v>
      </c>
      <c r="I746" s="134"/>
      <c r="J746" s="136"/>
      <c r="K746" s="138"/>
      <c r="L746" s="96" t="s">
        <v>534</v>
      </c>
      <c r="M746" s="89">
        <v>0</v>
      </c>
      <c r="N746" s="89">
        <v>0</v>
      </c>
      <c r="O746" s="89">
        <f t="shared" si="165"/>
        <v>0</v>
      </c>
    </row>
    <row r="747" spans="1:15" x14ac:dyDescent="0.25">
      <c r="A747" s="135"/>
      <c r="B747" s="136"/>
      <c r="C747" s="139"/>
      <c r="D747" s="90"/>
      <c r="E747" s="89">
        <v>0</v>
      </c>
      <c r="F747" s="89">
        <v>0</v>
      </c>
      <c r="G747" s="89">
        <f t="shared" si="164"/>
        <v>0</v>
      </c>
      <c r="I747" s="135"/>
      <c r="J747" s="136"/>
      <c r="K747" s="139"/>
      <c r="L747" s="96" t="s">
        <v>535</v>
      </c>
      <c r="M747" s="89">
        <v>0</v>
      </c>
      <c r="N747" s="89">
        <v>0</v>
      </c>
      <c r="O747" s="89">
        <f t="shared" si="165"/>
        <v>0</v>
      </c>
    </row>
    <row r="748" spans="1:15" ht="15.75" thickBot="1" x14ac:dyDescent="0.3">
      <c r="A748" s="91"/>
      <c r="B748" s="91"/>
      <c r="C748" s="91"/>
      <c r="D748" s="91"/>
      <c r="E748" s="91"/>
      <c r="F748" s="91"/>
      <c r="G748" s="92">
        <f>SUM(G740,G747)</f>
        <v>0</v>
      </c>
      <c r="I748" s="91"/>
      <c r="J748" s="91"/>
      <c r="K748" s="91"/>
      <c r="M748" s="91"/>
      <c r="N748" s="91"/>
      <c r="O748" s="92">
        <f>SUM(O740,O747)</f>
        <v>0</v>
      </c>
    </row>
    <row r="749" spans="1:15" x14ac:dyDescent="0.25">
      <c r="A749" s="133">
        <f>A740+1</f>
        <v>46165</v>
      </c>
      <c r="B749" s="136" t="s">
        <v>114</v>
      </c>
      <c r="C749" s="137" t="s">
        <v>82</v>
      </c>
      <c r="D749" s="88"/>
      <c r="E749" s="89">
        <v>0</v>
      </c>
      <c r="F749" s="89">
        <v>0</v>
      </c>
      <c r="G749" s="89">
        <f>F749-E749</f>
        <v>0</v>
      </c>
      <c r="I749" s="133">
        <f>I740+1</f>
        <v>46165</v>
      </c>
      <c r="J749" s="136" t="s">
        <v>77</v>
      </c>
      <c r="K749" s="137" t="s">
        <v>83</v>
      </c>
      <c r="L749" s="97"/>
      <c r="M749" s="89">
        <v>0</v>
      </c>
      <c r="N749" s="89">
        <v>0</v>
      </c>
      <c r="O749" s="89">
        <f>N749-M749</f>
        <v>0</v>
      </c>
    </row>
    <row r="750" spans="1:15" x14ac:dyDescent="0.25">
      <c r="A750" s="134"/>
      <c r="B750" s="136"/>
      <c r="C750" s="138"/>
      <c r="D750" s="88"/>
      <c r="E750" s="89">
        <v>0</v>
      </c>
      <c r="F750" s="89">
        <v>0</v>
      </c>
      <c r="G750" s="89">
        <f t="shared" ref="G750:G756" si="166">F750-E750</f>
        <v>0</v>
      </c>
      <c r="I750" s="134"/>
      <c r="J750" s="136"/>
      <c r="K750" s="138"/>
      <c r="L750" s="98" t="s">
        <v>539</v>
      </c>
      <c r="M750" s="89">
        <v>0.80555555555555558</v>
      </c>
      <c r="N750" s="89">
        <v>0.82291666666666663</v>
      </c>
      <c r="O750" s="89">
        <f t="shared" ref="O750:O756" si="167">N750-M750</f>
        <v>1.7361111111111049E-2</v>
      </c>
    </row>
    <row r="751" spans="1:15" x14ac:dyDescent="0.25">
      <c r="A751" s="134"/>
      <c r="B751" s="136"/>
      <c r="C751" s="138"/>
      <c r="D751" s="90"/>
      <c r="E751" s="89">
        <v>0</v>
      </c>
      <c r="F751" s="89">
        <v>0</v>
      </c>
      <c r="G751" s="89">
        <f t="shared" si="166"/>
        <v>0</v>
      </c>
      <c r="I751" s="134"/>
      <c r="J751" s="136"/>
      <c r="K751" s="138"/>
      <c r="L751" s="95" t="s">
        <v>540</v>
      </c>
      <c r="M751" s="89">
        <v>0.86805555555555558</v>
      </c>
      <c r="N751" s="89">
        <v>0.88194444444444442</v>
      </c>
      <c r="O751" s="89">
        <f t="shared" si="167"/>
        <v>1.388888888888884E-2</v>
      </c>
    </row>
    <row r="752" spans="1:15" x14ac:dyDescent="0.25">
      <c r="A752" s="134"/>
      <c r="B752" s="136"/>
      <c r="C752" s="138"/>
      <c r="D752" s="90"/>
      <c r="E752" s="89">
        <v>0</v>
      </c>
      <c r="F752" s="89">
        <v>0</v>
      </c>
      <c r="G752" s="89">
        <f t="shared" si="166"/>
        <v>0</v>
      </c>
      <c r="I752" s="134"/>
      <c r="J752" s="136"/>
      <c r="K752" s="138"/>
      <c r="L752" s="96" t="s">
        <v>541</v>
      </c>
      <c r="M752" s="89">
        <v>0</v>
      </c>
      <c r="N752" s="89">
        <v>0</v>
      </c>
      <c r="O752" s="89">
        <f t="shared" si="167"/>
        <v>0</v>
      </c>
    </row>
    <row r="753" spans="1:15" x14ac:dyDescent="0.25">
      <c r="A753" s="134"/>
      <c r="B753" s="136"/>
      <c r="C753" s="138"/>
      <c r="D753" s="90"/>
      <c r="E753" s="89">
        <v>0</v>
      </c>
      <c r="F753" s="89">
        <v>0</v>
      </c>
      <c r="G753" s="89">
        <f t="shared" si="166"/>
        <v>0</v>
      </c>
      <c r="I753" s="134"/>
      <c r="J753" s="136"/>
      <c r="K753" s="138"/>
      <c r="L753" s="96" t="s">
        <v>542</v>
      </c>
      <c r="M753" s="89">
        <v>0</v>
      </c>
      <c r="N753" s="89">
        <v>0</v>
      </c>
      <c r="O753" s="89">
        <f t="shared" si="167"/>
        <v>0</v>
      </c>
    </row>
    <row r="754" spans="1:15" x14ac:dyDescent="0.25">
      <c r="A754" s="134"/>
      <c r="B754" s="136"/>
      <c r="C754" s="138"/>
      <c r="D754" s="90"/>
      <c r="E754" s="89">
        <v>0</v>
      </c>
      <c r="F754" s="89">
        <v>0</v>
      </c>
      <c r="G754" s="89">
        <f t="shared" si="166"/>
        <v>0</v>
      </c>
      <c r="I754" s="134"/>
      <c r="J754" s="136"/>
      <c r="K754" s="138"/>
      <c r="L754" s="96" t="s">
        <v>544</v>
      </c>
      <c r="M754" s="89">
        <v>0</v>
      </c>
      <c r="N754" s="89">
        <v>0</v>
      </c>
      <c r="O754" s="89">
        <f t="shared" si="167"/>
        <v>0</v>
      </c>
    </row>
    <row r="755" spans="1:15" x14ac:dyDescent="0.25">
      <c r="A755" s="134"/>
      <c r="B755" s="136"/>
      <c r="C755" s="138"/>
      <c r="D755" s="90"/>
      <c r="E755" s="89">
        <v>0</v>
      </c>
      <c r="F755" s="89">
        <v>0</v>
      </c>
      <c r="G755" s="89">
        <f t="shared" si="166"/>
        <v>0</v>
      </c>
      <c r="I755" s="134"/>
      <c r="J755" s="136"/>
      <c r="K755" s="138"/>
      <c r="L755" s="96" t="s">
        <v>543</v>
      </c>
      <c r="M755" s="89">
        <v>0.99652777777777779</v>
      </c>
      <c r="N755" s="89">
        <v>1.0208333333333333</v>
      </c>
      <c r="O755" s="89">
        <f t="shared" si="167"/>
        <v>2.4305555555555469E-2</v>
      </c>
    </row>
    <row r="756" spans="1:15" x14ac:dyDescent="0.25">
      <c r="A756" s="135"/>
      <c r="B756" s="136"/>
      <c r="C756" s="139"/>
      <c r="D756" s="90"/>
      <c r="E756" s="89">
        <v>0</v>
      </c>
      <c r="F756" s="89">
        <v>0</v>
      </c>
      <c r="G756" s="89">
        <f t="shared" si="166"/>
        <v>0</v>
      </c>
      <c r="I756" s="135"/>
      <c r="J756" s="136"/>
      <c r="K756" s="139"/>
      <c r="L756" s="96"/>
      <c r="M756" s="89">
        <v>0</v>
      </c>
      <c r="N756" s="89">
        <v>0</v>
      </c>
      <c r="O756" s="89">
        <f t="shared" si="167"/>
        <v>0</v>
      </c>
    </row>
    <row r="757" spans="1:15" ht="15.75" thickBot="1" x14ac:dyDescent="0.3">
      <c r="A757" s="91"/>
      <c r="B757" s="91"/>
      <c r="C757" s="91"/>
      <c r="D757" s="91"/>
      <c r="E757" s="91"/>
      <c r="F757" s="91"/>
      <c r="G757" s="92">
        <f>SUM(G749,G756)</f>
        <v>0</v>
      </c>
      <c r="I757" s="91"/>
      <c r="J757" s="91"/>
      <c r="K757" s="91"/>
      <c r="L757" s="97"/>
      <c r="M757" s="91"/>
      <c r="N757" s="91"/>
      <c r="O757" s="92">
        <f>SUM(O749,O756)</f>
        <v>0</v>
      </c>
    </row>
    <row r="758" spans="1:15" ht="60.6" customHeight="1" x14ac:dyDescent="0.25">
      <c r="A758" s="133">
        <f>A749+1</f>
        <v>46166</v>
      </c>
      <c r="B758" s="136" t="s">
        <v>113</v>
      </c>
      <c r="C758" s="137" t="s">
        <v>82</v>
      </c>
      <c r="D758" s="88" t="s">
        <v>546</v>
      </c>
      <c r="E758" s="89">
        <v>0.51249999999999996</v>
      </c>
      <c r="F758" s="89">
        <v>0.53333333333333333</v>
      </c>
      <c r="G758" s="89">
        <f>F758-E758</f>
        <v>2.083333333333337E-2</v>
      </c>
      <c r="I758" s="133">
        <f>I749+1</f>
        <v>46166</v>
      </c>
      <c r="J758" s="136" t="s">
        <v>114</v>
      </c>
      <c r="K758" s="137" t="s">
        <v>83</v>
      </c>
      <c r="L758" s="95" t="s">
        <v>548</v>
      </c>
      <c r="M758" s="89">
        <v>3.9583333333333331E-2</v>
      </c>
      <c r="N758" s="89">
        <v>4.6527777777777779E-2</v>
      </c>
      <c r="O758" s="89">
        <f>N758-M758</f>
        <v>6.9444444444444475E-3</v>
      </c>
    </row>
    <row r="759" spans="1:15" x14ac:dyDescent="0.25">
      <c r="A759" s="134"/>
      <c r="B759" s="136"/>
      <c r="C759" s="138"/>
      <c r="D759" s="88"/>
      <c r="E759" s="89">
        <v>0</v>
      </c>
      <c r="F759" s="89">
        <v>0</v>
      </c>
      <c r="G759" s="89">
        <f t="shared" ref="G759:G765" si="168">F759-E759</f>
        <v>0</v>
      </c>
      <c r="I759" s="134"/>
      <c r="J759" s="136"/>
      <c r="K759" s="138"/>
      <c r="L759" s="95"/>
      <c r="M759" s="89">
        <v>0</v>
      </c>
      <c r="N759" s="89">
        <v>0</v>
      </c>
      <c r="O759" s="89">
        <f t="shared" ref="O759:O765" si="169">N759-M759</f>
        <v>0</v>
      </c>
    </row>
    <row r="760" spans="1:15" x14ac:dyDescent="0.25">
      <c r="A760" s="134"/>
      <c r="B760" s="136"/>
      <c r="C760" s="138"/>
      <c r="D760" s="90"/>
      <c r="E760" s="89">
        <v>0</v>
      </c>
      <c r="F760" s="89">
        <v>0</v>
      </c>
      <c r="G760" s="89">
        <f t="shared" si="168"/>
        <v>0</v>
      </c>
      <c r="I760" s="134"/>
      <c r="J760" s="136"/>
      <c r="K760" s="138"/>
      <c r="L760" s="96"/>
      <c r="M760" s="89">
        <v>0</v>
      </c>
      <c r="N760" s="89">
        <v>0</v>
      </c>
      <c r="O760" s="89">
        <f t="shared" si="169"/>
        <v>0</v>
      </c>
    </row>
    <row r="761" spans="1:15" x14ac:dyDescent="0.25">
      <c r="A761" s="134"/>
      <c r="B761" s="136"/>
      <c r="C761" s="138"/>
      <c r="D761" s="90"/>
      <c r="E761" s="89">
        <v>0</v>
      </c>
      <c r="F761" s="89">
        <v>0</v>
      </c>
      <c r="G761" s="89">
        <f t="shared" si="168"/>
        <v>0</v>
      </c>
      <c r="I761" s="134"/>
      <c r="J761" s="136"/>
      <c r="K761" s="138"/>
      <c r="L761" s="96"/>
      <c r="M761" s="89">
        <v>0</v>
      </c>
      <c r="N761" s="89">
        <v>0</v>
      </c>
      <c r="O761" s="89">
        <f t="shared" si="169"/>
        <v>0</v>
      </c>
    </row>
    <row r="762" spans="1:15" x14ac:dyDescent="0.25">
      <c r="A762" s="134"/>
      <c r="B762" s="136"/>
      <c r="C762" s="138"/>
      <c r="D762" s="90"/>
      <c r="E762" s="89">
        <v>0</v>
      </c>
      <c r="F762" s="89">
        <v>0</v>
      </c>
      <c r="G762" s="89">
        <f t="shared" si="168"/>
        <v>0</v>
      </c>
      <c r="I762" s="134"/>
      <c r="J762" s="136"/>
      <c r="K762" s="138"/>
      <c r="L762" s="96"/>
      <c r="M762" s="89">
        <v>0</v>
      </c>
      <c r="N762" s="89">
        <v>0</v>
      </c>
      <c r="O762" s="89">
        <f t="shared" si="169"/>
        <v>0</v>
      </c>
    </row>
    <row r="763" spans="1:15" x14ac:dyDescent="0.25">
      <c r="A763" s="134"/>
      <c r="B763" s="136"/>
      <c r="C763" s="138"/>
      <c r="D763" s="90"/>
      <c r="E763" s="89">
        <v>0</v>
      </c>
      <c r="F763" s="89">
        <v>0</v>
      </c>
      <c r="G763" s="89">
        <f t="shared" si="168"/>
        <v>0</v>
      </c>
      <c r="I763" s="134"/>
      <c r="J763" s="136"/>
      <c r="K763" s="138"/>
      <c r="L763" s="96"/>
      <c r="M763" s="89">
        <v>0</v>
      </c>
      <c r="N763" s="89">
        <v>0</v>
      </c>
      <c r="O763" s="89">
        <f t="shared" si="169"/>
        <v>0</v>
      </c>
    </row>
    <row r="764" spans="1:15" x14ac:dyDescent="0.25">
      <c r="A764" s="134"/>
      <c r="B764" s="136"/>
      <c r="C764" s="138"/>
      <c r="D764" s="90"/>
      <c r="E764" s="89">
        <v>0</v>
      </c>
      <c r="F764" s="89">
        <v>0</v>
      </c>
      <c r="G764" s="89">
        <f t="shared" si="168"/>
        <v>0</v>
      </c>
      <c r="I764" s="134"/>
      <c r="J764" s="136"/>
      <c r="K764" s="138"/>
      <c r="L764" s="96"/>
      <c r="M764" s="89">
        <v>0</v>
      </c>
      <c r="N764" s="89">
        <v>0</v>
      </c>
      <c r="O764" s="89">
        <f t="shared" si="169"/>
        <v>0</v>
      </c>
    </row>
    <row r="765" spans="1:15" x14ac:dyDescent="0.25">
      <c r="A765" s="135"/>
      <c r="B765" s="136"/>
      <c r="C765" s="139"/>
      <c r="D765" s="90"/>
      <c r="E765" s="89">
        <v>0</v>
      </c>
      <c r="F765" s="89">
        <v>0</v>
      </c>
      <c r="G765" s="89">
        <f t="shared" si="168"/>
        <v>0</v>
      </c>
      <c r="I765" s="135"/>
      <c r="J765" s="136"/>
      <c r="K765" s="139"/>
      <c r="L765" s="96"/>
      <c r="M765" s="89">
        <v>0</v>
      </c>
      <c r="N765" s="89">
        <v>0</v>
      </c>
      <c r="O765" s="89">
        <f t="shared" si="169"/>
        <v>0</v>
      </c>
    </row>
    <row r="766" spans="1:15" ht="15.75" thickBot="1" x14ac:dyDescent="0.3">
      <c r="A766" s="91"/>
      <c r="B766" s="91"/>
      <c r="C766" s="91"/>
      <c r="D766" s="91"/>
      <c r="E766" s="91"/>
      <c r="F766" s="91"/>
      <c r="G766" s="92">
        <f>SUM(G758,G765)</f>
        <v>2.083333333333337E-2</v>
      </c>
      <c r="I766" s="91"/>
      <c r="J766" s="91"/>
      <c r="K766" s="91"/>
      <c r="L766" s="97"/>
      <c r="M766" s="91"/>
      <c r="N766" s="91"/>
      <c r="O766" s="92">
        <f>SUM(O758,O765)</f>
        <v>6.9444444444444475E-3</v>
      </c>
    </row>
    <row r="767" spans="1:15" ht="28.9" customHeight="1" x14ac:dyDescent="0.25">
      <c r="A767" s="133">
        <f>A758+1</f>
        <v>46167</v>
      </c>
      <c r="B767" s="136" t="s">
        <v>75</v>
      </c>
      <c r="C767" s="137" t="s">
        <v>82</v>
      </c>
      <c r="D767" s="113" t="s">
        <v>549</v>
      </c>
      <c r="E767" s="89">
        <v>0.42708333333333331</v>
      </c>
      <c r="F767" s="89">
        <v>0.59930555555555554</v>
      </c>
      <c r="G767" s="89">
        <f>F767-E767</f>
        <v>0.17222222222222222</v>
      </c>
      <c r="I767" s="133">
        <f>I758+1</f>
        <v>46167</v>
      </c>
      <c r="J767" s="136" t="s">
        <v>114</v>
      </c>
      <c r="K767" s="137" t="s">
        <v>83</v>
      </c>
      <c r="L767" s="95" t="s">
        <v>556</v>
      </c>
      <c r="M767" s="89">
        <v>0</v>
      </c>
      <c r="N767" s="89">
        <v>0</v>
      </c>
      <c r="O767" s="89">
        <f>N767-M767</f>
        <v>0</v>
      </c>
    </row>
    <row r="768" spans="1:15" ht="27" customHeight="1" x14ac:dyDescent="0.25">
      <c r="A768" s="134"/>
      <c r="B768" s="136"/>
      <c r="C768" s="138"/>
      <c r="D768" s="88" t="s">
        <v>550</v>
      </c>
      <c r="E768" s="89">
        <v>0</v>
      </c>
      <c r="F768" s="89">
        <v>0</v>
      </c>
      <c r="G768" s="89">
        <f t="shared" ref="G768:G774" si="170">F768-E768</f>
        <v>0</v>
      </c>
      <c r="I768" s="134"/>
      <c r="J768" s="136"/>
      <c r="K768" s="138"/>
      <c r="L768" s="95" t="s">
        <v>558</v>
      </c>
      <c r="M768" s="89">
        <v>0</v>
      </c>
      <c r="N768" s="89">
        <v>0</v>
      </c>
      <c r="O768" s="89">
        <f t="shared" ref="O768:O774" si="171">N768-M768</f>
        <v>0</v>
      </c>
    </row>
    <row r="769" spans="1:15" ht="28.9" customHeight="1" x14ac:dyDescent="0.25">
      <c r="A769" s="134"/>
      <c r="B769" s="136"/>
      <c r="C769" s="138"/>
      <c r="D769" s="90" t="s">
        <v>551</v>
      </c>
      <c r="E769" s="89">
        <v>0</v>
      </c>
      <c r="F769" s="89">
        <v>0</v>
      </c>
      <c r="G769" s="89">
        <f t="shared" si="170"/>
        <v>0</v>
      </c>
      <c r="I769" s="134"/>
      <c r="J769" s="136"/>
      <c r="K769" s="138"/>
      <c r="L769" s="93" t="s">
        <v>559</v>
      </c>
      <c r="M769" s="89">
        <v>0.23402777777777778</v>
      </c>
      <c r="N769" s="89">
        <v>0.25694444444444442</v>
      </c>
      <c r="O769" s="89">
        <f t="shared" si="171"/>
        <v>2.2916666666666641E-2</v>
      </c>
    </row>
    <row r="770" spans="1:15" x14ac:dyDescent="0.25">
      <c r="A770" s="134"/>
      <c r="B770" s="136"/>
      <c r="C770" s="138"/>
      <c r="D770" s="90" t="s">
        <v>552</v>
      </c>
      <c r="E770" s="89">
        <v>0</v>
      </c>
      <c r="F770" s="89">
        <v>0</v>
      </c>
      <c r="G770" s="89">
        <f t="shared" si="170"/>
        <v>0</v>
      </c>
      <c r="I770" s="134"/>
      <c r="J770" s="136"/>
      <c r="K770" s="138"/>
      <c r="L770" s="96" t="s">
        <v>560</v>
      </c>
      <c r="M770" s="89">
        <v>0</v>
      </c>
      <c r="N770" s="89">
        <v>0</v>
      </c>
      <c r="O770" s="89">
        <f t="shared" si="171"/>
        <v>0</v>
      </c>
    </row>
    <row r="771" spans="1:15" x14ac:dyDescent="0.25">
      <c r="A771" s="134"/>
      <c r="B771" s="136"/>
      <c r="C771" s="138"/>
      <c r="D771" s="90" t="s">
        <v>553</v>
      </c>
      <c r="E771" s="89">
        <v>0</v>
      </c>
      <c r="F771" s="89">
        <v>0</v>
      </c>
      <c r="G771" s="89">
        <f t="shared" si="170"/>
        <v>0</v>
      </c>
      <c r="I771" s="134"/>
      <c r="J771" s="136"/>
      <c r="K771" s="138"/>
      <c r="L771" s="96" t="s">
        <v>562</v>
      </c>
      <c r="M771" s="89">
        <v>0</v>
      </c>
      <c r="N771" s="89">
        <v>0</v>
      </c>
      <c r="O771" s="89">
        <f t="shared" si="171"/>
        <v>0</v>
      </c>
    </row>
    <row r="772" spans="1:15" x14ac:dyDescent="0.25">
      <c r="A772" s="134"/>
      <c r="B772" s="136"/>
      <c r="C772" s="138"/>
      <c r="D772" s="90" t="s">
        <v>554</v>
      </c>
      <c r="E772" s="89">
        <v>0</v>
      </c>
      <c r="F772" s="89">
        <v>0</v>
      </c>
      <c r="G772" s="89">
        <f t="shared" si="170"/>
        <v>0</v>
      </c>
      <c r="I772" s="134"/>
      <c r="J772" s="136"/>
      <c r="K772" s="138"/>
      <c r="L772" s="96" t="s">
        <v>561</v>
      </c>
      <c r="M772" s="89">
        <v>0</v>
      </c>
      <c r="N772" s="89">
        <v>0</v>
      </c>
      <c r="O772" s="89">
        <f t="shared" si="171"/>
        <v>0</v>
      </c>
    </row>
    <row r="773" spans="1:15" x14ac:dyDescent="0.25">
      <c r="A773" s="134"/>
      <c r="B773" s="136"/>
      <c r="C773" s="138"/>
      <c r="D773" s="90"/>
      <c r="E773" s="89">
        <v>0</v>
      </c>
      <c r="F773" s="89">
        <v>0</v>
      </c>
      <c r="G773" s="89">
        <f t="shared" si="170"/>
        <v>0</v>
      </c>
      <c r="I773" s="134"/>
      <c r="J773" s="136"/>
      <c r="K773" s="138"/>
      <c r="L773" s="96" t="s">
        <v>563</v>
      </c>
      <c r="M773" s="89">
        <v>0</v>
      </c>
      <c r="N773" s="89">
        <v>0</v>
      </c>
      <c r="O773" s="89">
        <f t="shared" si="171"/>
        <v>0</v>
      </c>
    </row>
    <row r="774" spans="1:15" x14ac:dyDescent="0.25">
      <c r="A774" s="135"/>
      <c r="B774" s="136"/>
      <c r="C774" s="139"/>
      <c r="D774" s="90"/>
      <c r="E774" s="89">
        <v>0</v>
      </c>
      <c r="F774" s="89">
        <v>0</v>
      </c>
      <c r="G774" s="89">
        <f t="shared" si="170"/>
        <v>0</v>
      </c>
      <c r="I774" s="135"/>
      <c r="J774" s="136"/>
      <c r="K774" s="139"/>
      <c r="L774" s="96"/>
      <c r="M774" s="89">
        <v>0</v>
      </c>
      <c r="N774" s="89">
        <v>0</v>
      </c>
      <c r="O774" s="89">
        <f t="shared" si="171"/>
        <v>0</v>
      </c>
    </row>
    <row r="775" spans="1:15" ht="15.75" thickBot="1" x14ac:dyDescent="0.3">
      <c r="A775" s="91"/>
      <c r="B775" s="91"/>
      <c r="C775" s="91"/>
      <c r="D775" s="91"/>
      <c r="E775" s="91"/>
      <c r="F775" s="91"/>
      <c r="G775" s="92">
        <f>SUM(G767,G774)</f>
        <v>0.17222222222222222</v>
      </c>
      <c r="I775" s="91"/>
      <c r="J775" s="91"/>
      <c r="K775" s="91"/>
      <c r="L775" s="97"/>
      <c r="M775" s="91"/>
      <c r="N775" s="91"/>
      <c r="O775" s="92">
        <f>SUM(O767,O774)</f>
        <v>0</v>
      </c>
    </row>
    <row r="776" spans="1:15" x14ac:dyDescent="0.25">
      <c r="A776" s="133">
        <f>A767+1</f>
        <v>46168</v>
      </c>
      <c r="B776" s="136" t="s">
        <v>77</v>
      </c>
      <c r="C776" s="137" t="s">
        <v>82</v>
      </c>
      <c r="D776" s="88" t="s">
        <v>565</v>
      </c>
      <c r="E776" s="89">
        <v>0.49791666666666667</v>
      </c>
      <c r="F776" s="89">
        <v>0.51388888888888884</v>
      </c>
      <c r="G776" s="89">
        <f>F776-E776</f>
        <v>1.5972222222222165E-2</v>
      </c>
      <c r="I776" s="133">
        <f>I767+1</f>
        <v>46168</v>
      </c>
      <c r="J776" s="136" t="s">
        <v>75</v>
      </c>
      <c r="K776" s="137" t="s">
        <v>83</v>
      </c>
      <c r="L776" s="95" t="s">
        <v>570</v>
      </c>
      <c r="M776" s="89">
        <v>0.80694444444444446</v>
      </c>
      <c r="N776" s="89">
        <v>0</v>
      </c>
      <c r="O776" s="89">
        <f>N776-M776</f>
        <v>-0.80694444444444446</v>
      </c>
    </row>
    <row r="777" spans="1:15" ht="30" x14ac:dyDescent="0.25">
      <c r="A777" s="134"/>
      <c r="B777" s="136"/>
      <c r="C777" s="138"/>
      <c r="D777" s="88" t="s">
        <v>566</v>
      </c>
      <c r="E777" s="89">
        <v>0</v>
      </c>
      <c r="F777" s="89">
        <v>0</v>
      </c>
      <c r="G777" s="89">
        <f t="shared" ref="G777:G783" si="172">F777-E777</f>
        <v>0</v>
      </c>
      <c r="I777" s="134"/>
      <c r="J777" s="136"/>
      <c r="K777" s="138"/>
      <c r="L777" s="95" t="s">
        <v>571</v>
      </c>
      <c r="M777" s="89">
        <v>0.94374999999999998</v>
      </c>
      <c r="N777" s="89">
        <v>0.94930555555555551</v>
      </c>
      <c r="O777" s="89">
        <f t="shared" ref="O777:O783" si="173">N777-M777</f>
        <v>5.5555555555555358E-3</v>
      </c>
    </row>
    <row r="778" spans="1:15" x14ac:dyDescent="0.25">
      <c r="A778" s="134"/>
      <c r="B778" s="136"/>
      <c r="C778" s="138"/>
      <c r="D778" s="90" t="s">
        <v>567</v>
      </c>
      <c r="E778" s="89">
        <v>0.53749999999999998</v>
      </c>
      <c r="F778" s="89">
        <v>0.60416666666666663</v>
      </c>
      <c r="G778" s="89">
        <f t="shared" si="172"/>
        <v>6.6666666666666652E-2</v>
      </c>
      <c r="I778" s="134"/>
      <c r="J778" s="136"/>
      <c r="K778" s="138"/>
      <c r="L778" s="96"/>
      <c r="M778" s="89">
        <v>0</v>
      </c>
      <c r="N778" s="89">
        <v>0</v>
      </c>
      <c r="O778" s="89">
        <f t="shared" si="173"/>
        <v>0</v>
      </c>
    </row>
    <row r="779" spans="1:15" x14ac:dyDescent="0.25">
      <c r="A779" s="134"/>
      <c r="B779" s="136"/>
      <c r="C779" s="138"/>
      <c r="D779" s="90" t="s">
        <v>568</v>
      </c>
      <c r="E779" s="89">
        <v>0.77777777777777779</v>
      </c>
      <c r="F779" s="89">
        <v>0.79166666666666663</v>
      </c>
      <c r="G779" s="89">
        <f t="shared" si="172"/>
        <v>1.388888888888884E-2</v>
      </c>
      <c r="I779" s="134"/>
      <c r="J779" s="136"/>
      <c r="K779" s="138"/>
      <c r="L779" s="96"/>
      <c r="M779" s="89">
        <v>0</v>
      </c>
      <c r="N779" s="89">
        <v>0</v>
      </c>
      <c r="O779" s="89">
        <f t="shared" si="173"/>
        <v>0</v>
      </c>
    </row>
    <row r="780" spans="1:15" x14ac:dyDescent="0.25">
      <c r="A780" s="134"/>
      <c r="B780" s="136"/>
      <c r="C780" s="138"/>
      <c r="D780" s="90"/>
      <c r="E780" s="89">
        <v>0</v>
      </c>
      <c r="F780" s="89">
        <v>0</v>
      </c>
      <c r="G780" s="89">
        <f t="shared" si="172"/>
        <v>0</v>
      </c>
      <c r="I780" s="134"/>
      <c r="J780" s="136"/>
      <c r="K780" s="138"/>
      <c r="L780" s="96"/>
      <c r="M780" s="89">
        <v>0</v>
      </c>
      <c r="N780" s="89">
        <v>0</v>
      </c>
      <c r="O780" s="89">
        <f t="shared" si="173"/>
        <v>0</v>
      </c>
    </row>
    <row r="781" spans="1:15" x14ac:dyDescent="0.25">
      <c r="A781" s="134"/>
      <c r="B781" s="136"/>
      <c r="C781" s="138"/>
      <c r="D781" s="90"/>
      <c r="E781" s="89">
        <v>0</v>
      </c>
      <c r="F781" s="89">
        <v>0</v>
      </c>
      <c r="G781" s="89">
        <f t="shared" si="172"/>
        <v>0</v>
      </c>
      <c r="I781" s="134"/>
      <c r="J781" s="136"/>
      <c r="K781" s="138"/>
      <c r="L781" s="96"/>
      <c r="M781" s="89">
        <v>0</v>
      </c>
      <c r="N781" s="89">
        <v>0</v>
      </c>
      <c r="O781" s="89">
        <f t="shared" si="173"/>
        <v>0</v>
      </c>
    </row>
    <row r="782" spans="1:15" x14ac:dyDescent="0.25">
      <c r="A782" s="134"/>
      <c r="B782" s="136"/>
      <c r="C782" s="138"/>
      <c r="D782" s="90"/>
      <c r="E782" s="89">
        <v>0</v>
      </c>
      <c r="F782" s="89">
        <v>0</v>
      </c>
      <c r="G782" s="89">
        <f t="shared" si="172"/>
        <v>0</v>
      </c>
      <c r="I782" s="134"/>
      <c r="J782" s="136"/>
      <c r="K782" s="138"/>
      <c r="L782" s="96"/>
      <c r="M782" s="89">
        <v>0</v>
      </c>
      <c r="N782" s="89">
        <v>0</v>
      </c>
      <c r="O782" s="89">
        <f t="shared" si="173"/>
        <v>0</v>
      </c>
    </row>
    <row r="783" spans="1:15" x14ac:dyDescent="0.25">
      <c r="A783" s="135"/>
      <c r="B783" s="136"/>
      <c r="C783" s="139"/>
      <c r="D783" s="90"/>
      <c r="E783" s="89">
        <v>0</v>
      </c>
      <c r="F783" s="89">
        <v>0</v>
      </c>
      <c r="G783" s="89">
        <f t="shared" si="172"/>
        <v>0</v>
      </c>
      <c r="I783" s="135"/>
      <c r="J783" s="136"/>
      <c r="K783" s="139"/>
      <c r="L783" s="96"/>
      <c r="M783" s="89">
        <v>0</v>
      </c>
      <c r="N783" s="89">
        <v>0</v>
      </c>
      <c r="O783" s="89">
        <f t="shared" si="173"/>
        <v>0</v>
      </c>
    </row>
    <row r="784" spans="1:15" ht="15.75" thickBot="1" x14ac:dyDescent="0.3">
      <c r="A784" s="91"/>
      <c r="B784" s="91"/>
      <c r="C784" s="91"/>
      <c r="D784" s="91"/>
      <c r="E784" s="91"/>
      <c r="F784" s="91"/>
      <c r="G784" s="92">
        <f>SUM(G776,G783)</f>
        <v>1.5972222222222165E-2</v>
      </c>
      <c r="I784" s="91"/>
      <c r="J784" s="91"/>
      <c r="K784" s="91"/>
      <c r="L784" s="97"/>
      <c r="M784" s="91"/>
      <c r="N784" s="91"/>
      <c r="O784" s="92">
        <f>SUM(O776,O783)</f>
        <v>-0.80694444444444446</v>
      </c>
    </row>
    <row r="785" spans="1:15" x14ac:dyDescent="0.25">
      <c r="A785" s="133">
        <f>A776+1</f>
        <v>46169</v>
      </c>
      <c r="B785" s="136" t="s">
        <v>114</v>
      </c>
      <c r="C785" s="137" t="s">
        <v>82</v>
      </c>
      <c r="D785" s="88" t="s">
        <v>573</v>
      </c>
      <c r="E785" s="89">
        <v>0.3923611111111111</v>
      </c>
      <c r="F785" s="89">
        <v>0.4</v>
      </c>
      <c r="G785" s="89">
        <f>F785-E785</f>
        <v>7.6388888888889173E-3</v>
      </c>
      <c r="I785" s="133">
        <f>I776+1</f>
        <v>46169</v>
      </c>
      <c r="J785" s="136" t="s">
        <v>77</v>
      </c>
      <c r="K785" s="137" t="s">
        <v>83</v>
      </c>
      <c r="L785" s="95" t="s">
        <v>575</v>
      </c>
      <c r="M785" s="89">
        <v>0.85416666666666663</v>
      </c>
      <c r="N785" s="89">
        <v>0.9375</v>
      </c>
      <c r="O785" s="89">
        <f>N785-M785</f>
        <v>8.333333333333337E-2</v>
      </c>
    </row>
    <row r="786" spans="1:15" ht="75" x14ac:dyDescent="0.25">
      <c r="A786" s="134"/>
      <c r="B786" s="136"/>
      <c r="C786" s="138"/>
      <c r="D786" s="88" t="s">
        <v>574</v>
      </c>
      <c r="E786" s="89">
        <v>0.47569444444444442</v>
      </c>
      <c r="F786" s="89">
        <v>0.66527777777777775</v>
      </c>
      <c r="G786" s="89">
        <f t="shared" ref="G786:G792" si="174">F786-E786</f>
        <v>0.18958333333333333</v>
      </c>
      <c r="I786" s="134"/>
      <c r="J786" s="136"/>
      <c r="K786" s="138"/>
      <c r="L786" s="95" t="s">
        <v>576</v>
      </c>
      <c r="M786" s="89">
        <v>0.9375</v>
      </c>
      <c r="N786" s="89">
        <v>0.96527777777777779</v>
      </c>
      <c r="O786" s="89">
        <f t="shared" ref="O786:O792" si="175">N786-M786</f>
        <v>2.777777777777779E-2</v>
      </c>
    </row>
    <row r="787" spans="1:15" x14ac:dyDescent="0.25">
      <c r="A787" s="134"/>
      <c r="B787" s="136"/>
      <c r="C787" s="138"/>
      <c r="D787" s="90"/>
      <c r="E787" s="89">
        <v>0</v>
      </c>
      <c r="F787" s="89">
        <v>0</v>
      </c>
      <c r="G787" s="89">
        <f t="shared" si="174"/>
        <v>0</v>
      </c>
      <c r="I787" s="134"/>
      <c r="J787" s="136"/>
      <c r="K787" s="138"/>
      <c r="L787" s="96"/>
      <c r="M787" s="89">
        <v>0</v>
      </c>
      <c r="N787" s="89">
        <v>0</v>
      </c>
      <c r="O787" s="89">
        <f t="shared" si="175"/>
        <v>0</v>
      </c>
    </row>
    <row r="788" spans="1:15" x14ac:dyDescent="0.25">
      <c r="A788" s="134"/>
      <c r="B788" s="136"/>
      <c r="C788" s="138"/>
      <c r="D788" s="90"/>
      <c r="E788" s="89">
        <v>0</v>
      </c>
      <c r="F788" s="89">
        <v>0</v>
      </c>
      <c r="G788" s="89">
        <f t="shared" si="174"/>
        <v>0</v>
      </c>
      <c r="I788" s="134"/>
      <c r="J788" s="136"/>
      <c r="K788" s="138"/>
      <c r="L788" s="96"/>
      <c r="M788" s="89">
        <v>0</v>
      </c>
      <c r="N788" s="89">
        <v>0</v>
      </c>
      <c r="O788" s="89">
        <f t="shared" si="175"/>
        <v>0</v>
      </c>
    </row>
    <row r="789" spans="1:15" x14ac:dyDescent="0.25">
      <c r="A789" s="134"/>
      <c r="B789" s="136"/>
      <c r="C789" s="138"/>
      <c r="D789" s="90"/>
      <c r="E789" s="89">
        <v>0</v>
      </c>
      <c r="F789" s="89">
        <v>0</v>
      </c>
      <c r="G789" s="89">
        <f t="shared" si="174"/>
        <v>0</v>
      </c>
      <c r="I789" s="134"/>
      <c r="J789" s="136"/>
      <c r="K789" s="138"/>
      <c r="L789" s="96"/>
      <c r="M789" s="89">
        <v>0</v>
      </c>
      <c r="N789" s="89">
        <v>0</v>
      </c>
      <c r="O789" s="89">
        <f t="shared" si="175"/>
        <v>0</v>
      </c>
    </row>
    <row r="790" spans="1:15" x14ac:dyDescent="0.25">
      <c r="A790" s="134"/>
      <c r="B790" s="136"/>
      <c r="C790" s="138"/>
      <c r="D790" s="90"/>
      <c r="E790" s="89">
        <v>0</v>
      </c>
      <c r="F790" s="89">
        <v>0</v>
      </c>
      <c r="G790" s="89">
        <f t="shared" si="174"/>
        <v>0</v>
      </c>
      <c r="I790" s="134"/>
      <c r="J790" s="136"/>
      <c r="K790" s="138"/>
      <c r="L790" s="96"/>
      <c r="M790" s="89">
        <v>0</v>
      </c>
      <c r="N790" s="89">
        <v>0</v>
      </c>
      <c r="O790" s="89">
        <f t="shared" si="175"/>
        <v>0</v>
      </c>
    </row>
    <row r="791" spans="1:15" x14ac:dyDescent="0.25">
      <c r="A791" s="134"/>
      <c r="B791" s="136"/>
      <c r="C791" s="138"/>
      <c r="D791" s="90"/>
      <c r="E791" s="89">
        <v>0</v>
      </c>
      <c r="F791" s="89">
        <v>0</v>
      </c>
      <c r="G791" s="89">
        <f t="shared" si="174"/>
        <v>0</v>
      </c>
      <c r="I791" s="134"/>
      <c r="J791" s="136"/>
      <c r="K791" s="138"/>
      <c r="L791" s="96"/>
      <c r="M791" s="89">
        <v>0</v>
      </c>
      <c r="N791" s="89">
        <v>0</v>
      </c>
      <c r="O791" s="89">
        <f t="shared" si="175"/>
        <v>0</v>
      </c>
    </row>
    <row r="792" spans="1:15" x14ac:dyDescent="0.25">
      <c r="A792" s="135"/>
      <c r="B792" s="136"/>
      <c r="C792" s="139"/>
      <c r="D792" s="90"/>
      <c r="E792" s="89">
        <v>0</v>
      </c>
      <c r="F792" s="89">
        <v>0</v>
      </c>
      <c r="G792" s="89">
        <f t="shared" si="174"/>
        <v>0</v>
      </c>
      <c r="I792" s="135"/>
      <c r="J792" s="136"/>
      <c r="K792" s="139"/>
      <c r="L792" s="96"/>
      <c r="M792" s="89">
        <v>0</v>
      </c>
      <c r="N792" s="89">
        <v>0</v>
      </c>
      <c r="O792" s="89">
        <f t="shared" si="175"/>
        <v>0</v>
      </c>
    </row>
    <row r="793" spans="1:15" ht="15.75" thickBot="1" x14ac:dyDescent="0.3">
      <c r="A793" s="91"/>
      <c r="B793" s="91"/>
      <c r="C793" s="91"/>
      <c r="D793" s="91"/>
      <c r="E793" s="91"/>
      <c r="F793" s="91"/>
      <c r="G793" s="92">
        <f>SUM(G785,G792)</f>
        <v>7.6388888888889173E-3</v>
      </c>
      <c r="I793" s="91"/>
      <c r="J793" s="91"/>
      <c r="K793" s="91"/>
      <c r="L793" s="97"/>
      <c r="M793" s="91"/>
      <c r="N793" s="91"/>
      <c r="O793" s="92">
        <f>SUM(O785,O792)</f>
        <v>8.333333333333337E-2</v>
      </c>
    </row>
    <row r="794" spans="1:15" ht="28.15" customHeight="1" x14ac:dyDescent="0.25">
      <c r="A794" s="133">
        <f>A785+1</f>
        <v>46170</v>
      </c>
      <c r="B794" s="136"/>
      <c r="C794" s="137" t="s">
        <v>82</v>
      </c>
      <c r="D794" s="88" t="s">
        <v>579</v>
      </c>
      <c r="E794" s="89">
        <v>0</v>
      </c>
      <c r="F794" s="89">
        <v>0</v>
      </c>
      <c r="G794" s="89">
        <f>F794-E794</f>
        <v>0</v>
      </c>
      <c r="I794" s="133">
        <f>I785+1</f>
        <v>46170</v>
      </c>
      <c r="J794" s="136" t="s">
        <v>114</v>
      </c>
      <c r="K794" s="137" t="s">
        <v>83</v>
      </c>
      <c r="L794" s="95" t="s">
        <v>585</v>
      </c>
      <c r="M794" s="89">
        <v>8.1250000000000003E-2</v>
      </c>
      <c r="N794" s="89">
        <v>9.0972222222222218E-2</v>
      </c>
      <c r="O794" s="89">
        <f>N794-M794</f>
        <v>9.7222222222222154E-3</v>
      </c>
    </row>
    <row r="795" spans="1:15" ht="16.899999999999999" customHeight="1" x14ac:dyDescent="0.25">
      <c r="A795" s="134"/>
      <c r="B795" s="136"/>
      <c r="C795" s="138"/>
      <c r="D795" s="88" t="s">
        <v>580</v>
      </c>
      <c r="E795" s="89">
        <v>0</v>
      </c>
      <c r="F795" s="89">
        <v>0</v>
      </c>
      <c r="G795" s="89">
        <f t="shared" ref="G795:G801" si="176">F795-E795</f>
        <v>0</v>
      </c>
      <c r="I795" s="134"/>
      <c r="J795" s="136"/>
      <c r="K795" s="138"/>
      <c r="L795" s="95"/>
      <c r="M795" s="89">
        <v>0</v>
      </c>
      <c r="N795" s="89">
        <v>0</v>
      </c>
      <c r="O795" s="89">
        <f t="shared" ref="O795:O801" si="177">N795-M795</f>
        <v>0</v>
      </c>
    </row>
    <row r="796" spans="1:15" x14ac:dyDescent="0.25">
      <c r="A796" s="134"/>
      <c r="B796" s="136"/>
      <c r="C796" s="138"/>
      <c r="D796" s="90" t="s">
        <v>581</v>
      </c>
      <c r="E796" s="89">
        <v>0</v>
      </c>
      <c r="F796" s="89">
        <v>0</v>
      </c>
      <c r="G796" s="89">
        <f t="shared" si="176"/>
        <v>0</v>
      </c>
      <c r="I796" s="134"/>
      <c r="J796" s="136"/>
      <c r="K796" s="138"/>
      <c r="L796" s="96"/>
      <c r="M796" s="89">
        <v>0</v>
      </c>
      <c r="N796" s="89">
        <v>0</v>
      </c>
      <c r="O796" s="89">
        <f t="shared" si="177"/>
        <v>0</v>
      </c>
    </row>
    <row r="797" spans="1:15" x14ac:dyDescent="0.25">
      <c r="A797" s="134"/>
      <c r="B797" s="136"/>
      <c r="C797" s="138"/>
      <c r="D797" s="90"/>
      <c r="E797" s="89">
        <v>0</v>
      </c>
      <c r="F797" s="89">
        <v>0</v>
      </c>
      <c r="G797" s="89">
        <f t="shared" si="176"/>
        <v>0</v>
      </c>
      <c r="I797" s="134"/>
      <c r="J797" s="136"/>
      <c r="K797" s="138"/>
      <c r="L797" s="96"/>
      <c r="M797" s="89">
        <v>0</v>
      </c>
      <c r="N797" s="89">
        <v>0</v>
      </c>
      <c r="O797" s="89">
        <f t="shared" si="177"/>
        <v>0</v>
      </c>
    </row>
    <row r="798" spans="1:15" x14ac:dyDescent="0.25">
      <c r="A798" s="134"/>
      <c r="B798" s="136"/>
      <c r="C798" s="138"/>
      <c r="D798" s="90"/>
      <c r="E798" s="89">
        <v>0</v>
      </c>
      <c r="F798" s="89">
        <v>0</v>
      </c>
      <c r="G798" s="89">
        <f t="shared" si="176"/>
        <v>0</v>
      </c>
      <c r="I798" s="134"/>
      <c r="J798" s="136"/>
      <c r="K798" s="138"/>
      <c r="L798" s="96"/>
      <c r="M798" s="89">
        <v>0</v>
      </c>
      <c r="N798" s="89">
        <v>0</v>
      </c>
      <c r="O798" s="89">
        <f t="shared" si="177"/>
        <v>0</v>
      </c>
    </row>
    <row r="799" spans="1:15" x14ac:dyDescent="0.25">
      <c r="A799" s="134"/>
      <c r="B799" s="136"/>
      <c r="C799" s="138"/>
      <c r="D799" s="90"/>
      <c r="E799" s="89">
        <v>0</v>
      </c>
      <c r="F799" s="89">
        <v>0</v>
      </c>
      <c r="G799" s="89">
        <f t="shared" si="176"/>
        <v>0</v>
      </c>
      <c r="I799" s="134"/>
      <c r="J799" s="136"/>
      <c r="K799" s="138"/>
      <c r="L799" s="96"/>
      <c r="M799" s="89">
        <v>0</v>
      </c>
      <c r="N799" s="89">
        <v>0</v>
      </c>
      <c r="O799" s="89">
        <f t="shared" si="177"/>
        <v>0</v>
      </c>
    </row>
    <row r="800" spans="1:15" x14ac:dyDescent="0.25">
      <c r="A800" s="134"/>
      <c r="B800" s="136"/>
      <c r="C800" s="138"/>
      <c r="D800" s="90"/>
      <c r="E800" s="89">
        <v>0</v>
      </c>
      <c r="F800" s="89">
        <v>0</v>
      </c>
      <c r="G800" s="89">
        <f t="shared" si="176"/>
        <v>0</v>
      </c>
      <c r="I800" s="134"/>
      <c r="J800" s="136"/>
      <c r="K800" s="138"/>
      <c r="L800" s="96"/>
      <c r="M800" s="89">
        <v>0</v>
      </c>
      <c r="N800" s="89">
        <v>0</v>
      </c>
      <c r="O800" s="89">
        <f t="shared" si="177"/>
        <v>0</v>
      </c>
    </row>
    <row r="801" spans="1:15" x14ac:dyDescent="0.25">
      <c r="A801" s="135"/>
      <c r="B801" s="136"/>
      <c r="C801" s="139"/>
      <c r="D801" s="90"/>
      <c r="E801" s="89">
        <v>0</v>
      </c>
      <c r="F801" s="89">
        <v>0</v>
      </c>
      <c r="G801" s="89">
        <f t="shared" si="176"/>
        <v>0</v>
      </c>
      <c r="I801" s="135"/>
      <c r="J801" s="136"/>
      <c r="K801" s="139"/>
      <c r="L801" s="96"/>
      <c r="M801" s="89">
        <v>0</v>
      </c>
      <c r="N801" s="89">
        <v>0</v>
      </c>
      <c r="O801" s="89">
        <f t="shared" si="177"/>
        <v>0</v>
      </c>
    </row>
    <row r="802" spans="1:15" ht="15.75" thickBot="1" x14ac:dyDescent="0.3">
      <c r="A802" s="91"/>
      <c r="B802" s="91"/>
      <c r="C802" s="91"/>
      <c r="D802" s="91"/>
      <c r="E802" s="91"/>
      <c r="F802" s="91"/>
      <c r="G802" s="92">
        <f>SUM(G794,G801)</f>
        <v>0</v>
      </c>
      <c r="I802" s="91"/>
      <c r="J802" s="91"/>
      <c r="K802" s="91"/>
      <c r="L802" s="97"/>
      <c r="M802" s="91"/>
      <c r="N802" s="91"/>
      <c r="O802" s="92">
        <f>SUM(O794,O801)</f>
        <v>9.7222222222222154E-3</v>
      </c>
    </row>
    <row r="803" spans="1:15" x14ac:dyDescent="0.25">
      <c r="A803" s="133">
        <f>A794+1</f>
        <v>46171</v>
      </c>
      <c r="B803" s="136" t="s">
        <v>75</v>
      </c>
      <c r="C803" s="137" t="s">
        <v>82</v>
      </c>
      <c r="D803" s="88" t="s">
        <v>587</v>
      </c>
      <c r="E803" s="89">
        <v>0.39583333333333331</v>
      </c>
      <c r="F803" s="89">
        <v>0.49305555555555558</v>
      </c>
      <c r="G803" s="89">
        <f>F803-E803</f>
        <v>9.7222222222222265E-2</v>
      </c>
      <c r="I803" s="133">
        <f>I794+1</f>
        <v>46171</v>
      </c>
      <c r="J803" s="136" t="s">
        <v>113</v>
      </c>
      <c r="K803" s="137" t="s">
        <v>83</v>
      </c>
      <c r="L803" s="95" t="s">
        <v>590</v>
      </c>
      <c r="M803" s="89">
        <v>0.90208333333333335</v>
      </c>
      <c r="N803" s="89">
        <v>0.96805555555555556</v>
      </c>
      <c r="O803" s="89">
        <f>N803-M803</f>
        <v>6.597222222222221E-2</v>
      </c>
    </row>
    <row r="804" spans="1:15" ht="45" x14ac:dyDescent="0.25">
      <c r="A804" s="134"/>
      <c r="B804" s="136"/>
      <c r="C804" s="138"/>
      <c r="D804" s="88" t="s">
        <v>588</v>
      </c>
      <c r="E804" s="89">
        <v>0</v>
      </c>
      <c r="F804" s="89">
        <v>0</v>
      </c>
      <c r="G804" s="89">
        <f t="shared" ref="G804:G810" si="178">F804-E804</f>
        <v>0</v>
      </c>
      <c r="I804" s="134"/>
      <c r="J804" s="136"/>
      <c r="K804" s="138"/>
      <c r="L804" s="95" t="s">
        <v>591</v>
      </c>
      <c r="M804" s="89">
        <v>0</v>
      </c>
      <c r="N804" s="89">
        <v>0</v>
      </c>
      <c r="O804" s="89">
        <f t="shared" ref="O804:O810" si="179">N804-M804</f>
        <v>0</v>
      </c>
    </row>
    <row r="805" spans="1:15" x14ac:dyDescent="0.25">
      <c r="A805" s="134"/>
      <c r="B805" s="136"/>
      <c r="C805" s="138"/>
      <c r="D805" s="90" t="s">
        <v>589</v>
      </c>
      <c r="E805" s="89">
        <v>0</v>
      </c>
      <c r="F805" s="89">
        <v>0</v>
      </c>
      <c r="G805" s="89">
        <f t="shared" si="178"/>
        <v>0</v>
      </c>
      <c r="I805" s="134"/>
      <c r="J805" s="136"/>
      <c r="K805" s="138"/>
      <c r="L805" s="96"/>
      <c r="M805" s="89">
        <v>0</v>
      </c>
      <c r="N805" s="89">
        <v>0</v>
      </c>
      <c r="O805" s="89">
        <f t="shared" si="179"/>
        <v>0</v>
      </c>
    </row>
    <row r="806" spans="1:15" x14ac:dyDescent="0.25">
      <c r="A806" s="134"/>
      <c r="B806" s="136"/>
      <c r="C806" s="138"/>
      <c r="D806" s="90"/>
      <c r="E806" s="89">
        <v>0</v>
      </c>
      <c r="F806" s="89">
        <v>0</v>
      </c>
      <c r="G806" s="89">
        <f t="shared" si="178"/>
        <v>0</v>
      </c>
      <c r="I806" s="134"/>
      <c r="J806" s="136"/>
      <c r="K806" s="138"/>
      <c r="L806" s="96"/>
      <c r="M806" s="89">
        <v>0</v>
      </c>
      <c r="N806" s="89">
        <v>0</v>
      </c>
      <c r="O806" s="89">
        <f t="shared" si="179"/>
        <v>0</v>
      </c>
    </row>
    <row r="807" spans="1:15" x14ac:dyDescent="0.25">
      <c r="A807" s="134"/>
      <c r="B807" s="136"/>
      <c r="C807" s="138"/>
      <c r="D807" s="90"/>
      <c r="E807" s="89">
        <v>0</v>
      </c>
      <c r="F807" s="89">
        <v>0</v>
      </c>
      <c r="G807" s="89">
        <f t="shared" si="178"/>
        <v>0</v>
      </c>
      <c r="I807" s="134"/>
      <c r="J807" s="136"/>
      <c r="K807" s="138"/>
      <c r="L807" s="96"/>
      <c r="M807" s="89">
        <v>0</v>
      </c>
      <c r="N807" s="89">
        <v>0</v>
      </c>
      <c r="O807" s="89">
        <f t="shared" si="179"/>
        <v>0</v>
      </c>
    </row>
    <row r="808" spans="1:15" x14ac:dyDescent="0.25">
      <c r="A808" s="134"/>
      <c r="B808" s="136"/>
      <c r="C808" s="138"/>
      <c r="D808" s="90"/>
      <c r="E808" s="89">
        <v>0</v>
      </c>
      <c r="F808" s="89">
        <v>0</v>
      </c>
      <c r="G808" s="89">
        <f t="shared" si="178"/>
        <v>0</v>
      </c>
      <c r="I808" s="134"/>
      <c r="J808" s="136"/>
      <c r="K808" s="138"/>
      <c r="L808" s="96"/>
      <c r="M808" s="89">
        <v>0</v>
      </c>
      <c r="N808" s="89">
        <v>0</v>
      </c>
      <c r="O808" s="89">
        <f t="shared" si="179"/>
        <v>0</v>
      </c>
    </row>
    <row r="809" spans="1:15" x14ac:dyDescent="0.25">
      <c r="A809" s="134"/>
      <c r="B809" s="136"/>
      <c r="C809" s="138"/>
      <c r="D809" s="90"/>
      <c r="E809" s="89">
        <v>0</v>
      </c>
      <c r="F809" s="89">
        <v>0</v>
      </c>
      <c r="G809" s="89">
        <f t="shared" si="178"/>
        <v>0</v>
      </c>
      <c r="I809" s="134"/>
      <c r="J809" s="136"/>
      <c r="K809" s="138"/>
      <c r="L809" s="96"/>
      <c r="M809" s="89">
        <v>0</v>
      </c>
      <c r="N809" s="89">
        <v>0</v>
      </c>
      <c r="O809" s="89">
        <f t="shared" si="179"/>
        <v>0</v>
      </c>
    </row>
    <row r="810" spans="1:15" x14ac:dyDescent="0.25">
      <c r="A810" s="135"/>
      <c r="B810" s="136"/>
      <c r="C810" s="139"/>
      <c r="D810" s="90"/>
      <c r="E810" s="89">
        <v>0</v>
      </c>
      <c r="F810" s="89">
        <v>0</v>
      </c>
      <c r="G810" s="89">
        <f t="shared" si="178"/>
        <v>0</v>
      </c>
      <c r="I810" s="135"/>
      <c r="J810" s="136"/>
      <c r="K810" s="139"/>
      <c r="L810" s="96"/>
      <c r="M810" s="89">
        <v>0</v>
      </c>
      <c r="N810" s="89">
        <v>0</v>
      </c>
      <c r="O810" s="89">
        <f t="shared" si="179"/>
        <v>0</v>
      </c>
    </row>
    <row r="811" spans="1:15" ht="15.75" thickBot="1" x14ac:dyDescent="0.3">
      <c r="A811" s="91"/>
      <c r="B811" s="91"/>
      <c r="C811" s="91"/>
      <c r="D811" s="91"/>
      <c r="E811" s="91"/>
      <c r="F811" s="91"/>
      <c r="G811" s="92">
        <f>SUM(G803,G810)</f>
        <v>9.7222222222222265E-2</v>
      </c>
      <c r="I811" s="91"/>
      <c r="J811" s="91"/>
      <c r="K811" s="91"/>
      <c r="L811" s="97"/>
      <c r="M811" s="91"/>
      <c r="N811" s="91"/>
      <c r="O811" s="92">
        <f>SUM(O803,O810)</f>
        <v>6.597222222222221E-2</v>
      </c>
    </row>
    <row r="812" spans="1:15" ht="30" x14ac:dyDescent="0.25">
      <c r="A812" s="133">
        <f>A803+1</f>
        <v>46172</v>
      </c>
      <c r="B812" s="136" t="s">
        <v>77</v>
      </c>
      <c r="C812" s="137" t="s">
        <v>82</v>
      </c>
      <c r="D812" s="88" t="s">
        <v>592</v>
      </c>
      <c r="E812" s="89">
        <v>0</v>
      </c>
      <c r="F812" s="89">
        <v>0</v>
      </c>
      <c r="G812" s="89">
        <f>F812-E812</f>
        <v>0</v>
      </c>
      <c r="I812" s="133">
        <f>I803+1</f>
        <v>46172</v>
      </c>
      <c r="J812" s="136" t="s">
        <v>75</v>
      </c>
      <c r="K812" s="137" t="s">
        <v>83</v>
      </c>
      <c r="L812" s="95" t="s">
        <v>595</v>
      </c>
      <c r="M812" s="89">
        <v>0.8125</v>
      </c>
      <c r="N812" s="89">
        <v>0.82638888888888884</v>
      </c>
      <c r="O812" s="89">
        <f>N812-M812</f>
        <v>1.388888888888884E-2</v>
      </c>
    </row>
    <row r="813" spans="1:15" x14ac:dyDescent="0.25">
      <c r="A813" s="134"/>
      <c r="B813" s="136"/>
      <c r="C813" s="138"/>
      <c r="D813" s="88" t="s">
        <v>593</v>
      </c>
      <c r="E813" s="89">
        <v>0.34722222222222221</v>
      </c>
      <c r="F813" s="89">
        <v>0.3611111111111111</v>
      </c>
      <c r="G813" s="89">
        <f t="shared" ref="G813:G819" si="180">F813-E813</f>
        <v>1.3888888888888895E-2</v>
      </c>
      <c r="I813" s="134"/>
      <c r="J813" s="136"/>
      <c r="K813" s="138"/>
      <c r="L813" s="95"/>
      <c r="M813" s="89">
        <v>0</v>
      </c>
      <c r="N813" s="89">
        <v>0</v>
      </c>
      <c r="O813" s="89">
        <f t="shared" ref="O813:O819" si="181">N813-M813</f>
        <v>0</v>
      </c>
    </row>
    <row r="814" spans="1:15" x14ac:dyDescent="0.25">
      <c r="A814" s="134"/>
      <c r="B814" s="136"/>
      <c r="C814" s="138"/>
      <c r="D814" s="90"/>
      <c r="E814" s="89">
        <v>0</v>
      </c>
      <c r="F814" s="89">
        <v>0</v>
      </c>
      <c r="G814" s="89">
        <f t="shared" si="180"/>
        <v>0</v>
      </c>
      <c r="I814" s="134"/>
      <c r="J814" s="136"/>
      <c r="K814" s="138"/>
      <c r="L814" s="96"/>
      <c r="M814" s="89">
        <v>0</v>
      </c>
      <c r="N814" s="89">
        <v>0</v>
      </c>
      <c r="O814" s="89">
        <f t="shared" si="181"/>
        <v>0</v>
      </c>
    </row>
    <row r="815" spans="1:15" x14ac:dyDescent="0.25">
      <c r="A815" s="134"/>
      <c r="B815" s="136"/>
      <c r="C815" s="138"/>
      <c r="D815" s="90"/>
      <c r="E815" s="89">
        <v>0</v>
      </c>
      <c r="F815" s="89">
        <v>0</v>
      </c>
      <c r="G815" s="89">
        <f t="shared" si="180"/>
        <v>0</v>
      </c>
      <c r="I815" s="134"/>
      <c r="J815" s="136"/>
      <c r="K815" s="138"/>
      <c r="L815" s="96"/>
      <c r="M815" s="89">
        <v>0</v>
      </c>
      <c r="N815" s="89">
        <v>0</v>
      </c>
      <c r="O815" s="89">
        <f t="shared" si="181"/>
        <v>0</v>
      </c>
    </row>
    <row r="816" spans="1:15" x14ac:dyDescent="0.25">
      <c r="A816" s="134"/>
      <c r="B816" s="136"/>
      <c r="C816" s="138"/>
      <c r="D816" s="90"/>
      <c r="E816" s="89">
        <v>0</v>
      </c>
      <c r="F816" s="89">
        <v>0</v>
      </c>
      <c r="G816" s="89">
        <f t="shared" si="180"/>
        <v>0</v>
      </c>
      <c r="I816" s="134"/>
      <c r="J816" s="136"/>
      <c r="K816" s="138"/>
      <c r="L816" s="96"/>
      <c r="M816" s="89">
        <v>0</v>
      </c>
      <c r="N816" s="89">
        <v>0</v>
      </c>
      <c r="O816" s="89">
        <f t="shared" si="181"/>
        <v>0</v>
      </c>
    </row>
    <row r="817" spans="1:15" x14ac:dyDescent="0.25">
      <c r="A817" s="134"/>
      <c r="B817" s="136"/>
      <c r="C817" s="138"/>
      <c r="D817" s="90"/>
      <c r="E817" s="89">
        <v>0</v>
      </c>
      <c r="F817" s="89">
        <v>0</v>
      </c>
      <c r="G817" s="89">
        <f t="shared" si="180"/>
        <v>0</v>
      </c>
      <c r="I817" s="134"/>
      <c r="J817" s="136"/>
      <c r="K817" s="138"/>
      <c r="L817" s="96"/>
      <c r="M817" s="89">
        <v>0</v>
      </c>
      <c r="N817" s="89">
        <v>0</v>
      </c>
      <c r="O817" s="89">
        <f t="shared" si="181"/>
        <v>0</v>
      </c>
    </row>
    <row r="818" spans="1:15" x14ac:dyDescent="0.25">
      <c r="A818" s="134"/>
      <c r="B818" s="136"/>
      <c r="C818" s="138"/>
      <c r="D818" s="90"/>
      <c r="E818" s="89">
        <v>0</v>
      </c>
      <c r="F818" s="89">
        <v>0</v>
      </c>
      <c r="G818" s="89">
        <f t="shared" si="180"/>
        <v>0</v>
      </c>
      <c r="I818" s="134"/>
      <c r="J818" s="136"/>
      <c r="K818" s="138"/>
      <c r="L818" s="96"/>
      <c r="M818" s="89">
        <v>0</v>
      </c>
      <c r="N818" s="89">
        <v>0</v>
      </c>
      <c r="O818" s="89">
        <f t="shared" si="181"/>
        <v>0</v>
      </c>
    </row>
    <row r="819" spans="1:15" x14ac:dyDescent="0.25">
      <c r="A819" s="135"/>
      <c r="B819" s="136"/>
      <c r="C819" s="139"/>
      <c r="D819" s="90"/>
      <c r="E819" s="89">
        <v>0</v>
      </c>
      <c r="F819" s="89">
        <v>0</v>
      </c>
      <c r="G819" s="89">
        <f t="shared" si="180"/>
        <v>0</v>
      </c>
      <c r="I819" s="135"/>
      <c r="J819" s="136"/>
      <c r="K819" s="139"/>
      <c r="L819" s="96"/>
      <c r="M819" s="89">
        <v>0</v>
      </c>
      <c r="N819" s="89">
        <v>0</v>
      </c>
      <c r="O819" s="89">
        <f t="shared" si="181"/>
        <v>0</v>
      </c>
    </row>
    <row r="820" spans="1:15" ht="15.75" thickBot="1" x14ac:dyDescent="0.3">
      <c r="A820" s="91"/>
      <c r="B820" s="91"/>
      <c r="C820" s="91"/>
      <c r="D820" s="91"/>
      <c r="E820" s="91"/>
      <c r="F820" s="91"/>
      <c r="G820" s="92">
        <f>SUM(G812,G819)</f>
        <v>0</v>
      </c>
      <c r="I820" s="91"/>
      <c r="J820" s="91"/>
      <c r="K820" s="91"/>
      <c r="L820" s="97"/>
      <c r="M820" s="91"/>
      <c r="N820" s="91"/>
      <c r="O820" s="92">
        <f>SUM(O812,O819)</f>
        <v>1.388888888888884E-2</v>
      </c>
    </row>
    <row r="821" spans="1:15" ht="30" x14ac:dyDescent="0.25">
      <c r="A821" s="133">
        <f>A812+1</f>
        <v>46173</v>
      </c>
      <c r="B821" s="136" t="s">
        <v>114</v>
      </c>
      <c r="C821" s="137" t="s">
        <v>82</v>
      </c>
      <c r="D821" s="88" t="s">
        <v>597</v>
      </c>
      <c r="E821" s="89">
        <v>0.35972222222222222</v>
      </c>
      <c r="F821" s="89">
        <v>0.36388888888888887</v>
      </c>
      <c r="G821" s="89">
        <f>F821-E821</f>
        <v>4.1666666666666519E-3</v>
      </c>
      <c r="I821" s="133">
        <f>I812+1</f>
        <v>46173</v>
      </c>
      <c r="J821" s="136" t="s">
        <v>77</v>
      </c>
      <c r="K821" s="137" t="s">
        <v>83</v>
      </c>
      <c r="L821" s="95" t="s">
        <v>602</v>
      </c>
      <c r="M821" s="89">
        <v>0.79166666666666663</v>
      </c>
      <c r="N821" s="89">
        <v>0.83333333333333337</v>
      </c>
      <c r="O821" s="89">
        <f>N821-M821</f>
        <v>4.1666666666666741E-2</v>
      </c>
    </row>
    <row r="822" spans="1:15" ht="30" x14ac:dyDescent="0.25">
      <c r="A822" s="134"/>
      <c r="B822" s="136"/>
      <c r="C822" s="138"/>
      <c r="D822" s="88" t="s">
        <v>598</v>
      </c>
      <c r="E822" s="89">
        <v>0</v>
      </c>
      <c r="F822" s="89">
        <v>0</v>
      </c>
      <c r="G822" s="89">
        <f t="shared" ref="G822:G828" si="182">F822-E822</f>
        <v>0</v>
      </c>
      <c r="I822" s="134"/>
      <c r="J822" s="136"/>
      <c r="K822" s="138"/>
      <c r="L822" s="95" t="s">
        <v>603</v>
      </c>
      <c r="M822" s="89">
        <v>0.83333333333333337</v>
      </c>
      <c r="N822" s="89">
        <v>0.86597222222222225</v>
      </c>
      <c r="O822" s="89">
        <f t="shared" ref="O822:O828" si="183">N822-M822</f>
        <v>3.2638888888888884E-2</v>
      </c>
    </row>
    <row r="823" spans="1:15" x14ac:dyDescent="0.25">
      <c r="A823" s="134"/>
      <c r="B823" s="136"/>
      <c r="C823" s="138"/>
      <c r="D823" s="90" t="s">
        <v>599</v>
      </c>
      <c r="E823" s="89">
        <v>0.41736111111111113</v>
      </c>
      <c r="F823" s="89">
        <v>0.42569444444444443</v>
      </c>
      <c r="G823" s="89">
        <f t="shared" si="182"/>
        <v>8.3333333333333037E-3</v>
      </c>
      <c r="I823" s="134"/>
      <c r="J823" s="136"/>
      <c r="K823" s="138"/>
      <c r="L823" s="96" t="s">
        <v>604</v>
      </c>
      <c r="M823" s="89">
        <v>0</v>
      </c>
      <c r="N823" s="89">
        <v>0</v>
      </c>
      <c r="O823" s="89">
        <f t="shared" si="183"/>
        <v>0</v>
      </c>
    </row>
    <row r="824" spans="1:15" ht="30" x14ac:dyDescent="0.25">
      <c r="A824" s="134"/>
      <c r="B824" s="136"/>
      <c r="C824" s="138"/>
      <c r="D824" s="93" t="s">
        <v>600</v>
      </c>
      <c r="E824" s="89">
        <v>0</v>
      </c>
      <c r="F824" s="89">
        <v>0</v>
      </c>
      <c r="G824" s="89">
        <f t="shared" si="182"/>
        <v>0</v>
      </c>
      <c r="I824" s="134"/>
      <c r="J824" s="136"/>
      <c r="K824" s="138"/>
      <c r="L824" s="96"/>
      <c r="M824" s="89">
        <v>0</v>
      </c>
      <c r="N824" s="89">
        <v>0</v>
      </c>
      <c r="O824" s="89">
        <f t="shared" si="183"/>
        <v>0</v>
      </c>
    </row>
    <row r="825" spans="1:15" x14ac:dyDescent="0.25">
      <c r="A825" s="134"/>
      <c r="B825" s="136"/>
      <c r="C825" s="138"/>
      <c r="D825" s="90"/>
      <c r="E825" s="89">
        <v>0</v>
      </c>
      <c r="F825" s="89">
        <v>0</v>
      </c>
      <c r="G825" s="89">
        <f t="shared" si="182"/>
        <v>0</v>
      </c>
      <c r="I825" s="134"/>
      <c r="J825" s="136"/>
      <c r="K825" s="138"/>
      <c r="L825" s="96" t="s">
        <v>605</v>
      </c>
      <c r="M825" s="89">
        <v>0</v>
      </c>
      <c r="N825" s="89">
        <v>0</v>
      </c>
      <c r="O825" s="89">
        <f t="shared" si="183"/>
        <v>0</v>
      </c>
    </row>
    <row r="826" spans="1:15" x14ac:dyDescent="0.25">
      <c r="A826" s="134"/>
      <c r="B826" s="136"/>
      <c r="C826" s="138"/>
      <c r="D826" s="90"/>
      <c r="E826" s="89">
        <v>0</v>
      </c>
      <c r="F826" s="89">
        <v>0</v>
      </c>
      <c r="G826" s="89">
        <f t="shared" si="182"/>
        <v>0</v>
      </c>
      <c r="I826" s="134"/>
      <c r="J826" s="136"/>
      <c r="K826" s="138"/>
      <c r="L826" s="96" t="s">
        <v>606</v>
      </c>
      <c r="M826" s="89">
        <v>0.13472222222222222</v>
      </c>
      <c r="N826" s="89">
        <v>0.15625</v>
      </c>
      <c r="O826" s="89">
        <f t="shared" si="183"/>
        <v>2.1527777777777785E-2</v>
      </c>
    </row>
    <row r="827" spans="1:15" x14ac:dyDescent="0.25">
      <c r="A827" s="134"/>
      <c r="B827" s="136"/>
      <c r="C827" s="138"/>
      <c r="D827" s="90"/>
      <c r="E827" s="89">
        <v>0</v>
      </c>
      <c r="F827" s="89">
        <v>0</v>
      </c>
      <c r="G827" s="89">
        <f t="shared" si="182"/>
        <v>0</v>
      </c>
      <c r="I827" s="134"/>
      <c r="J827" s="136"/>
      <c r="K827" s="138"/>
      <c r="L827" s="96"/>
      <c r="M827" s="89">
        <v>0</v>
      </c>
      <c r="N827" s="89">
        <v>0</v>
      </c>
      <c r="O827" s="89">
        <f t="shared" si="183"/>
        <v>0</v>
      </c>
    </row>
    <row r="828" spans="1:15" x14ac:dyDescent="0.25">
      <c r="A828" s="135"/>
      <c r="B828" s="136"/>
      <c r="C828" s="139"/>
      <c r="D828" s="90"/>
      <c r="E828" s="89">
        <v>0</v>
      </c>
      <c r="F828" s="89">
        <v>0</v>
      </c>
      <c r="G828" s="89">
        <f t="shared" si="182"/>
        <v>0</v>
      </c>
      <c r="I828" s="135"/>
      <c r="J828" s="136"/>
      <c r="K828" s="139"/>
      <c r="L828" s="96"/>
      <c r="M828" s="89">
        <v>0</v>
      </c>
      <c r="N828" s="89">
        <v>0</v>
      </c>
      <c r="O828" s="89">
        <f t="shared" si="183"/>
        <v>0</v>
      </c>
    </row>
    <row r="829" spans="1:15" ht="15.75" thickBot="1" x14ac:dyDescent="0.3">
      <c r="A829" s="91"/>
      <c r="B829" s="91"/>
      <c r="C829" s="91"/>
      <c r="D829" s="91"/>
      <c r="E829" s="91"/>
      <c r="F829" s="91"/>
      <c r="G829" s="92">
        <f>SUM(G821,G828)</f>
        <v>4.1666666666666519E-3</v>
      </c>
      <c r="I829" s="91"/>
      <c r="J829" s="91"/>
      <c r="K829" s="91"/>
      <c r="L829" s="97"/>
      <c r="M829" s="91"/>
      <c r="N829" s="91"/>
      <c r="O829" s="92">
        <f>SUM(O821,O828)</f>
        <v>4.1666666666666741E-2</v>
      </c>
    </row>
    <row r="830" spans="1:15" ht="90" x14ac:dyDescent="0.25">
      <c r="A830" s="133">
        <f>A821+1</f>
        <v>46174</v>
      </c>
      <c r="B830" s="136" t="s">
        <v>113</v>
      </c>
      <c r="C830" s="137" t="s">
        <v>82</v>
      </c>
      <c r="D830" s="88" t="s">
        <v>608</v>
      </c>
      <c r="E830" s="89">
        <v>0</v>
      </c>
      <c r="F830" s="89">
        <v>0</v>
      </c>
      <c r="G830" s="89">
        <f>F830-E830</f>
        <v>0</v>
      </c>
      <c r="I830" s="133">
        <f>I821+1</f>
        <v>46174</v>
      </c>
      <c r="J830" s="136"/>
      <c r="K830" s="137" t="s">
        <v>83</v>
      </c>
      <c r="L830" s="95"/>
      <c r="M830" s="89">
        <v>0</v>
      </c>
      <c r="N830" s="89">
        <v>0</v>
      </c>
      <c r="O830" s="89">
        <f>N830-M830</f>
        <v>0</v>
      </c>
    </row>
    <row r="831" spans="1:15" x14ac:dyDescent="0.25">
      <c r="A831" s="134"/>
      <c r="B831" s="136"/>
      <c r="C831" s="138"/>
      <c r="D831" s="88"/>
      <c r="E831" s="89">
        <v>0</v>
      </c>
      <c r="F831" s="89">
        <v>0</v>
      </c>
      <c r="G831" s="89">
        <f t="shared" ref="G831:G837" si="184">F831-E831</f>
        <v>0</v>
      </c>
      <c r="I831" s="134"/>
      <c r="J831" s="136"/>
      <c r="K831" s="138"/>
      <c r="L831" s="95"/>
      <c r="M831" s="89">
        <v>0</v>
      </c>
      <c r="N831" s="89">
        <v>0</v>
      </c>
      <c r="O831" s="89">
        <f t="shared" ref="O831:O837" si="185">N831-M831</f>
        <v>0</v>
      </c>
    </row>
    <row r="832" spans="1:15" x14ac:dyDescent="0.25">
      <c r="A832" s="134"/>
      <c r="B832" s="136"/>
      <c r="C832" s="138"/>
      <c r="D832" s="90"/>
      <c r="E832" s="89">
        <v>0</v>
      </c>
      <c r="F832" s="89">
        <v>0</v>
      </c>
      <c r="G832" s="89">
        <f t="shared" si="184"/>
        <v>0</v>
      </c>
      <c r="I832" s="134"/>
      <c r="J832" s="136"/>
      <c r="K832" s="138"/>
      <c r="L832" s="96"/>
      <c r="M832" s="89">
        <v>0</v>
      </c>
      <c r="N832" s="89">
        <v>0</v>
      </c>
      <c r="O832" s="89">
        <f t="shared" si="185"/>
        <v>0</v>
      </c>
    </row>
    <row r="833" spans="1:15" x14ac:dyDescent="0.25">
      <c r="A833" s="134"/>
      <c r="B833" s="136"/>
      <c r="C833" s="138"/>
      <c r="D833" s="90"/>
      <c r="E833" s="89">
        <v>0</v>
      </c>
      <c r="F833" s="89">
        <v>0</v>
      </c>
      <c r="G833" s="89">
        <f t="shared" si="184"/>
        <v>0</v>
      </c>
      <c r="I833" s="134"/>
      <c r="J833" s="136"/>
      <c r="K833" s="138"/>
      <c r="L833" s="96"/>
      <c r="M833" s="89">
        <v>0</v>
      </c>
      <c r="N833" s="89">
        <v>0</v>
      </c>
      <c r="O833" s="89">
        <f t="shared" si="185"/>
        <v>0</v>
      </c>
    </row>
    <row r="834" spans="1:15" x14ac:dyDescent="0.25">
      <c r="A834" s="134"/>
      <c r="B834" s="136"/>
      <c r="C834" s="138"/>
      <c r="D834" s="90"/>
      <c r="E834" s="89">
        <v>0</v>
      </c>
      <c r="F834" s="89">
        <v>0</v>
      </c>
      <c r="G834" s="89">
        <f t="shared" si="184"/>
        <v>0</v>
      </c>
      <c r="I834" s="134"/>
      <c r="J834" s="136"/>
      <c r="K834" s="138"/>
      <c r="L834" s="96"/>
      <c r="M834" s="89">
        <v>0</v>
      </c>
      <c r="N834" s="89">
        <v>0</v>
      </c>
      <c r="O834" s="89">
        <f t="shared" si="185"/>
        <v>0</v>
      </c>
    </row>
    <row r="835" spans="1:15" x14ac:dyDescent="0.25">
      <c r="A835" s="134"/>
      <c r="B835" s="136"/>
      <c r="C835" s="138"/>
      <c r="D835" s="90"/>
      <c r="E835" s="89">
        <v>0</v>
      </c>
      <c r="F835" s="89">
        <v>0</v>
      </c>
      <c r="G835" s="89">
        <f t="shared" si="184"/>
        <v>0</v>
      </c>
      <c r="I835" s="134"/>
      <c r="J835" s="136"/>
      <c r="K835" s="138"/>
      <c r="L835" s="96"/>
      <c r="M835" s="89">
        <v>0</v>
      </c>
      <c r="N835" s="89">
        <v>0</v>
      </c>
      <c r="O835" s="89">
        <f t="shared" si="185"/>
        <v>0</v>
      </c>
    </row>
    <row r="836" spans="1:15" x14ac:dyDescent="0.25">
      <c r="A836" s="134"/>
      <c r="B836" s="136"/>
      <c r="C836" s="138"/>
      <c r="D836" s="90"/>
      <c r="E836" s="89">
        <v>0</v>
      </c>
      <c r="F836" s="89">
        <v>0</v>
      </c>
      <c r="G836" s="89">
        <f t="shared" si="184"/>
        <v>0</v>
      </c>
      <c r="I836" s="134"/>
      <c r="J836" s="136"/>
      <c r="K836" s="138"/>
      <c r="L836" s="96"/>
      <c r="M836" s="89">
        <v>0</v>
      </c>
      <c r="N836" s="89">
        <v>0</v>
      </c>
      <c r="O836" s="89">
        <f t="shared" si="185"/>
        <v>0</v>
      </c>
    </row>
    <row r="837" spans="1:15" x14ac:dyDescent="0.25">
      <c r="A837" s="135"/>
      <c r="B837" s="136"/>
      <c r="C837" s="139"/>
      <c r="D837" s="90"/>
      <c r="E837" s="89">
        <v>0</v>
      </c>
      <c r="F837" s="89">
        <v>0</v>
      </c>
      <c r="G837" s="89">
        <f t="shared" si="184"/>
        <v>0</v>
      </c>
      <c r="I837" s="135"/>
      <c r="J837" s="136"/>
      <c r="K837" s="139"/>
      <c r="L837" s="96"/>
      <c r="M837" s="89">
        <v>0</v>
      </c>
      <c r="N837" s="89">
        <v>0</v>
      </c>
      <c r="O837" s="89">
        <f t="shared" si="185"/>
        <v>0</v>
      </c>
    </row>
    <row r="838" spans="1:15" ht="15.75" thickBot="1" x14ac:dyDescent="0.3">
      <c r="A838" s="91"/>
      <c r="B838" s="91"/>
      <c r="C838" s="91"/>
      <c r="D838" s="91"/>
      <c r="E838" s="91"/>
      <c r="F838" s="91"/>
      <c r="G838" s="92">
        <f>SUM(G830,G837)</f>
        <v>0</v>
      </c>
      <c r="I838" s="91"/>
      <c r="J838" s="91"/>
      <c r="K838" s="91"/>
      <c r="L838" s="97"/>
      <c r="M838" s="91"/>
      <c r="N838" s="91"/>
      <c r="O838" s="92">
        <f>SUM(O830,O837)</f>
        <v>0</v>
      </c>
    </row>
    <row r="839" spans="1:15" ht="90" x14ac:dyDescent="0.25">
      <c r="A839" s="133">
        <v>46175</v>
      </c>
      <c r="B839" s="136" t="s">
        <v>75</v>
      </c>
      <c r="C839" s="137" t="s">
        <v>82</v>
      </c>
      <c r="D839" s="88" t="s">
        <v>611</v>
      </c>
      <c r="E839" s="89">
        <v>0.33333333333333331</v>
      </c>
      <c r="F839" s="89">
        <v>0.5</v>
      </c>
      <c r="G839" s="89">
        <f>F839-E839</f>
        <v>0.16666666666666669</v>
      </c>
      <c r="I839" s="133">
        <f>I830+1</f>
        <v>46175</v>
      </c>
      <c r="J839" s="136" t="s">
        <v>113</v>
      </c>
      <c r="K839" s="137" t="s">
        <v>83</v>
      </c>
      <c r="L839" s="95" t="s">
        <v>619</v>
      </c>
      <c r="M839" s="89">
        <v>0</v>
      </c>
      <c r="N839" s="89">
        <v>0</v>
      </c>
      <c r="O839" s="89">
        <f>N839-M839</f>
        <v>0</v>
      </c>
    </row>
    <row r="840" spans="1:15" ht="30" x14ac:dyDescent="0.25">
      <c r="A840" s="134"/>
      <c r="B840" s="136"/>
      <c r="C840" s="138"/>
      <c r="D840" s="88" t="s">
        <v>612</v>
      </c>
      <c r="E840" s="89">
        <v>0.5</v>
      </c>
      <c r="F840" s="89">
        <v>0.5625</v>
      </c>
      <c r="G840" s="89">
        <f t="shared" ref="G840:G849" si="186">F840-E840</f>
        <v>6.25E-2</v>
      </c>
      <c r="I840" s="134"/>
      <c r="J840" s="136"/>
      <c r="K840" s="138"/>
      <c r="L840" s="95"/>
      <c r="M840" s="89">
        <v>0</v>
      </c>
      <c r="N840" s="89">
        <v>0</v>
      </c>
      <c r="O840" s="89">
        <f t="shared" ref="O840:O849" si="187">N840-M840</f>
        <v>0</v>
      </c>
    </row>
    <row r="841" spans="1:15" x14ac:dyDescent="0.25">
      <c r="A841" s="134"/>
      <c r="B841" s="136"/>
      <c r="C841" s="138"/>
      <c r="D841" s="114" t="s">
        <v>613</v>
      </c>
      <c r="E841" s="89">
        <v>0.5625</v>
      </c>
      <c r="F841" s="89">
        <v>0.625</v>
      </c>
      <c r="G841" s="89">
        <f t="shared" si="186"/>
        <v>6.25E-2</v>
      </c>
      <c r="I841" s="134"/>
      <c r="J841" s="136"/>
      <c r="K841" s="138"/>
      <c r="L841" s="106"/>
      <c r="M841" s="89">
        <v>0</v>
      </c>
      <c r="N841" s="89">
        <v>0</v>
      </c>
      <c r="O841" s="89">
        <f t="shared" si="187"/>
        <v>0</v>
      </c>
    </row>
    <row r="842" spans="1:15" ht="30" x14ac:dyDescent="0.25">
      <c r="A842" s="134"/>
      <c r="B842" s="136"/>
      <c r="C842" s="138"/>
      <c r="D842" s="114" t="s">
        <v>615</v>
      </c>
      <c r="E842" s="89">
        <v>0.625</v>
      </c>
      <c r="F842" s="89">
        <v>0.6875</v>
      </c>
      <c r="G842" s="89">
        <f t="shared" si="186"/>
        <v>6.25E-2</v>
      </c>
      <c r="I842" s="134"/>
      <c r="J842" s="136"/>
      <c r="K842" s="138"/>
      <c r="L842" s="106"/>
      <c r="M842" s="89">
        <v>0</v>
      </c>
      <c r="N842" s="89">
        <v>0</v>
      </c>
      <c r="O842" s="89">
        <f t="shared" si="187"/>
        <v>0</v>
      </c>
    </row>
    <row r="843" spans="1:15" x14ac:dyDescent="0.25">
      <c r="A843" s="134"/>
      <c r="B843" s="136"/>
      <c r="C843" s="138"/>
      <c r="D843" s="114" t="s">
        <v>614</v>
      </c>
      <c r="E843" s="89">
        <v>0.625</v>
      </c>
      <c r="F843" s="89">
        <v>0.6875</v>
      </c>
      <c r="G843" s="89">
        <v>0</v>
      </c>
      <c r="I843" s="134"/>
      <c r="J843" s="136"/>
      <c r="K843" s="138"/>
      <c r="L843" s="106"/>
      <c r="M843" s="89">
        <v>0</v>
      </c>
      <c r="N843" s="89">
        <v>0</v>
      </c>
      <c r="O843" s="89">
        <f t="shared" si="187"/>
        <v>0</v>
      </c>
    </row>
    <row r="844" spans="1:15" ht="30" x14ac:dyDescent="0.25">
      <c r="A844" s="134"/>
      <c r="B844" s="136"/>
      <c r="C844" s="138"/>
      <c r="D844" s="114" t="s">
        <v>618</v>
      </c>
      <c r="E844" s="89">
        <v>0.70833333333333337</v>
      </c>
      <c r="F844" s="89">
        <v>0.72569444444444442</v>
      </c>
      <c r="G844" s="89">
        <f t="shared" si="186"/>
        <v>1.7361111111111049E-2</v>
      </c>
      <c r="I844" s="134"/>
      <c r="J844" s="136"/>
      <c r="K844" s="138"/>
      <c r="L844" s="106"/>
      <c r="M844" s="89">
        <v>0</v>
      </c>
      <c r="N844" s="89">
        <v>0</v>
      </c>
      <c r="O844" s="89">
        <f t="shared" si="187"/>
        <v>0</v>
      </c>
    </row>
    <row r="845" spans="1:15" x14ac:dyDescent="0.25">
      <c r="A845" s="134"/>
      <c r="B845" s="136"/>
      <c r="C845" s="138"/>
      <c r="D845" s="114"/>
      <c r="E845" s="89">
        <v>0</v>
      </c>
      <c r="F845" s="89">
        <v>0</v>
      </c>
      <c r="G845" s="89">
        <f t="shared" si="186"/>
        <v>0</v>
      </c>
      <c r="I845" s="134"/>
      <c r="J845" s="136"/>
      <c r="K845" s="138"/>
      <c r="L845" s="106"/>
      <c r="M845" s="89">
        <v>0</v>
      </c>
      <c r="N845" s="89">
        <v>0</v>
      </c>
      <c r="O845" s="89">
        <v>0</v>
      </c>
    </row>
    <row r="846" spans="1:15" x14ac:dyDescent="0.25">
      <c r="A846" s="134"/>
      <c r="B846" s="136"/>
      <c r="C846" s="138"/>
      <c r="D846" s="114"/>
      <c r="E846" s="89">
        <v>0</v>
      </c>
      <c r="F846" s="89">
        <v>0</v>
      </c>
      <c r="G846" s="89">
        <f t="shared" si="186"/>
        <v>0</v>
      </c>
      <c r="I846" s="134"/>
      <c r="J846" s="136"/>
      <c r="K846" s="138"/>
      <c r="L846" s="106"/>
      <c r="M846" s="89">
        <v>0</v>
      </c>
      <c r="N846" s="89">
        <v>0</v>
      </c>
      <c r="O846" s="89">
        <f t="shared" si="187"/>
        <v>0</v>
      </c>
    </row>
    <row r="847" spans="1:15" x14ac:dyDescent="0.25">
      <c r="A847" s="134"/>
      <c r="B847" s="136"/>
      <c r="C847" s="138"/>
      <c r="D847" s="114"/>
      <c r="E847" s="89">
        <v>0</v>
      </c>
      <c r="F847" s="89">
        <v>0</v>
      </c>
      <c r="G847" s="89">
        <f t="shared" si="186"/>
        <v>0</v>
      </c>
      <c r="I847" s="134"/>
      <c r="J847" s="136"/>
      <c r="K847" s="138"/>
      <c r="L847" s="106"/>
      <c r="M847" s="89">
        <v>0</v>
      </c>
      <c r="N847" s="89">
        <v>0</v>
      </c>
      <c r="O847" s="89">
        <f t="shared" si="187"/>
        <v>0</v>
      </c>
    </row>
    <row r="848" spans="1:15" x14ac:dyDescent="0.25">
      <c r="A848" s="134"/>
      <c r="B848" s="136"/>
      <c r="C848" s="138"/>
      <c r="D848" s="114"/>
      <c r="E848" s="89">
        <v>0</v>
      </c>
      <c r="F848" s="89">
        <v>0</v>
      </c>
      <c r="G848" s="89">
        <f t="shared" si="186"/>
        <v>0</v>
      </c>
      <c r="I848" s="134"/>
      <c r="J848" s="136"/>
      <c r="K848" s="138"/>
      <c r="L848" s="106"/>
      <c r="M848" s="89">
        <v>0</v>
      </c>
      <c r="N848" s="89">
        <v>0</v>
      </c>
      <c r="O848" s="89">
        <f t="shared" si="187"/>
        <v>0</v>
      </c>
    </row>
    <row r="849" spans="1:15" x14ac:dyDescent="0.25">
      <c r="A849" s="135"/>
      <c r="B849" s="136"/>
      <c r="C849" s="139"/>
      <c r="D849" s="114"/>
      <c r="E849" s="89">
        <v>0</v>
      </c>
      <c r="F849" s="89">
        <v>0</v>
      </c>
      <c r="G849" s="89">
        <f t="shared" si="186"/>
        <v>0</v>
      </c>
      <c r="I849" s="135"/>
      <c r="J849" s="136"/>
      <c r="K849" s="139"/>
      <c r="L849" s="106"/>
      <c r="M849" s="89">
        <v>0</v>
      </c>
      <c r="N849" s="89">
        <v>0</v>
      </c>
      <c r="O849" s="89">
        <f t="shared" si="187"/>
        <v>0</v>
      </c>
    </row>
    <row r="850" spans="1:15" ht="15.75" thickBot="1" x14ac:dyDescent="0.3">
      <c r="A850" s="91"/>
      <c r="B850" s="91"/>
      <c r="C850" s="91"/>
      <c r="D850" s="91"/>
      <c r="E850" s="91"/>
      <c r="F850" s="91"/>
      <c r="G850" s="92">
        <f>SUM(G839:G849)</f>
        <v>0.37152777777777773</v>
      </c>
      <c r="I850" s="91"/>
      <c r="J850" s="91"/>
      <c r="K850" s="91"/>
      <c r="L850" s="97"/>
      <c r="M850" s="91"/>
      <c r="N850" s="91"/>
      <c r="O850" s="92">
        <f>SUM(O839:O849)</f>
        <v>0</v>
      </c>
    </row>
    <row r="851" spans="1:15" ht="45" x14ac:dyDescent="0.25">
      <c r="A851" s="133">
        <v>46176</v>
      </c>
      <c r="B851" s="145" t="s">
        <v>77</v>
      </c>
      <c r="C851" s="137" t="s">
        <v>616</v>
      </c>
      <c r="D851" s="88" t="s">
        <v>623</v>
      </c>
      <c r="E851" s="89">
        <v>0.34722222222222221</v>
      </c>
      <c r="F851" s="89">
        <v>0.39583333333333331</v>
      </c>
      <c r="G851" s="89">
        <f>F851-E851</f>
        <v>4.8611111111111105E-2</v>
      </c>
      <c r="I851" s="133" t="s">
        <v>660</v>
      </c>
      <c r="J851" s="145" t="s">
        <v>75</v>
      </c>
      <c r="K851" s="137" t="s">
        <v>83</v>
      </c>
      <c r="L851" s="88" t="s">
        <v>630</v>
      </c>
      <c r="M851" s="89">
        <v>0.79861111111111116</v>
      </c>
      <c r="N851" s="89">
        <v>0.80902777777777779</v>
      </c>
      <c r="O851" s="89">
        <f>N851-M851</f>
        <v>1.041666666666663E-2</v>
      </c>
    </row>
    <row r="852" spans="1:15" ht="30" x14ac:dyDescent="0.25">
      <c r="A852" s="134"/>
      <c r="B852" s="145"/>
      <c r="C852" s="138"/>
      <c r="D852" s="88" t="s">
        <v>624</v>
      </c>
      <c r="E852" s="89">
        <v>0.35416666666666669</v>
      </c>
      <c r="F852" s="89">
        <v>0.4826388888888889</v>
      </c>
      <c r="G852" s="89">
        <f t="shared" ref="G852:G854" si="188">F852-E852</f>
        <v>0.12847222222222221</v>
      </c>
      <c r="I852" s="134"/>
      <c r="J852" s="145"/>
      <c r="K852" s="138"/>
      <c r="L852" s="88" t="s">
        <v>631</v>
      </c>
      <c r="M852" s="89">
        <v>0.85763888888888884</v>
      </c>
      <c r="N852" s="89">
        <v>0.86805555555555558</v>
      </c>
      <c r="O852" s="89">
        <f t="shared" ref="O852:O854" si="189">N852-M852</f>
        <v>1.0416666666666741E-2</v>
      </c>
    </row>
    <row r="853" spans="1:15" ht="30" x14ac:dyDescent="0.25">
      <c r="A853" s="134"/>
      <c r="B853" s="145"/>
      <c r="C853" s="138"/>
      <c r="D853" s="114" t="s">
        <v>625</v>
      </c>
      <c r="E853" s="89">
        <v>0.4375</v>
      </c>
      <c r="F853" s="89">
        <v>0.4513888888888889</v>
      </c>
      <c r="G853" s="89">
        <f t="shared" si="188"/>
        <v>1.3888888888888895E-2</v>
      </c>
      <c r="I853" s="134"/>
      <c r="J853" s="145"/>
      <c r="K853" s="138"/>
      <c r="L853" s="114" t="s">
        <v>632</v>
      </c>
      <c r="M853" s="89">
        <v>6.5972222222222224E-2</v>
      </c>
      <c r="N853" s="89">
        <v>0.1111111111111111</v>
      </c>
      <c r="O853" s="89">
        <f t="shared" si="189"/>
        <v>4.5138888888888881E-2</v>
      </c>
    </row>
    <row r="854" spans="1:15" x14ac:dyDescent="0.25">
      <c r="A854" s="134"/>
      <c r="B854" s="145"/>
      <c r="C854" s="138"/>
      <c r="D854" s="114" t="s">
        <v>626</v>
      </c>
      <c r="E854" s="89">
        <v>0.45833333333333331</v>
      </c>
      <c r="F854" s="89">
        <v>0.47222222222222221</v>
      </c>
      <c r="G854" s="89">
        <f t="shared" si="188"/>
        <v>1.3888888888888895E-2</v>
      </c>
      <c r="I854" s="134"/>
      <c r="J854" s="145"/>
      <c r="K854" s="138"/>
      <c r="L854" s="114" t="s">
        <v>633</v>
      </c>
      <c r="M854" s="89">
        <v>0.13194444444444445</v>
      </c>
      <c r="N854" s="89">
        <v>0.14583333333333334</v>
      </c>
      <c r="O854" s="89">
        <f t="shared" si="189"/>
        <v>1.3888888888888895E-2</v>
      </c>
    </row>
    <row r="855" spans="1:15" x14ac:dyDescent="0.25">
      <c r="A855" s="134"/>
      <c r="B855" s="145"/>
      <c r="C855" s="138"/>
      <c r="D855" s="114" t="s">
        <v>627</v>
      </c>
      <c r="E855" s="89">
        <v>0.47569444444444442</v>
      </c>
      <c r="F855" s="89">
        <v>0.49652777777777779</v>
      </c>
      <c r="G855" s="89">
        <v>2.0833333333333332E-2</v>
      </c>
      <c r="I855" s="134"/>
      <c r="J855" s="145"/>
      <c r="K855" s="138"/>
      <c r="L855" s="114" t="s">
        <v>634</v>
      </c>
      <c r="M855" s="89">
        <v>0.19652777777777777</v>
      </c>
      <c r="N855" s="89">
        <v>0.2048611111111111</v>
      </c>
      <c r="O855" s="89">
        <v>8.3333333333333332E-3</v>
      </c>
    </row>
    <row r="856" spans="1:15" x14ac:dyDescent="0.25">
      <c r="A856" s="134"/>
      <c r="B856" s="145"/>
      <c r="C856" s="138"/>
      <c r="D856" s="114" t="s">
        <v>628</v>
      </c>
      <c r="E856" s="89">
        <v>0.6</v>
      </c>
      <c r="F856" s="89">
        <v>0.61041666666666672</v>
      </c>
      <c r="G856" s="89">
        <f t="shared" ref="G856:G859" si="190">F856-E856</f>
        <v>1.0416666666666741E-2</v>
      </c>
      <c r="I856" s="134"/>
      <c r="J856" s="145"/>
      <c r="K856" s="138"/>
      <c r="L856" s="114"/>
      <c r="M856" s="89">
        <v>0</v>
      </c>
      <c r="N856" s="89">
        <v>0</v>
      </c>
      <c r="O856" s="89">
        <f t="shared" ref="O856:O859" si="191">N856-M856</f>
        <v>0</v>
      </c>
    </row>
    <row r="857" spans="1:15" x14ac:dyDescent="0.25">
      <c r="A857" s="134"/>
      <c r="B857" s="145"/>
      <c r="C857" s="138"/>
      <c r="D857" s="114"/>
      <c r="E857" s="89">
        <v>0</v>
      </c>
      <c r="F857" s="89">
        <v>0</v>
      </c>
      <c r="G857" s="89">
        <f t="shared" si="190"/>
        <v>0</v>
      </c>
      <c r="I857" s="134"/>
      <c r="J857" s="145"/>
      <c r="K857" s="138"/>
      <c r="L857" s="114"/>
      <c r="M857" s="89">
        <v>0</v>
      </c>
      <c r="N857" s="89">
        <v>0</v>
      </c>
      <c r="O857" s="89">
        <f t="shared" si="191"/>
        <v>0</v>
      </c>
    </row>
    <row r="858" spans="1:15" x14ac:dyDescent="0.25">
      <c r="A858" s="134"/>
      <c r="B858" s="145"/>
      <c r="C858" s="138"/>
      <c r="D858" s="114"/>
      <c r="E858" s="89">
        <v>0</v>
      </c>
      <c r="F858" s="89">
        <v>0</v>
      </c>
      <c r="G858" s="89">
        <f t="shared" si="190"/>
        <v>0</v>
      </c>
      <c r="I858" s="134"/>
      <c r="J858" s="145"/>
      <c r="K858" s="138"/>
      <c r="L858" s="114"/>
      <c r="M858" s="89">
        <v>0</v>
      </c>
      <c r="N858" s="89">
        <v>0</v>
      </c>
      <c r="O858" s="89">
        <f t="shared" si="191"/>
        <v>0</v>
      </c>
    </row>
    <row r="859" spans="1:15" x14ac:dyDescent="0.25">
      <c r="A859" s="134"/>
      <c r="B859" s="145"/>
      <c r="C859" s="138"/>
      <c r="D859" s="114"/>
      <c r="E859" s="89">
        <v>0</v>
      </c>
      <c r="F859" s="89">
        <v>0</v>
      </c>
      <c r="G859" s="89">
        <f t="shared" si="190"/>
        <v>0</v>
      </c>
      <c r="I859" s="134"/>
      <c r="J859" s="145"/>
      <c r="K859" s="138"/>
      <c r="L859" s="114"/>
      <c r="M859" s="89">
        <v>0</v>
      </c>
      <c r="N859" s="89">
        <v>0</v>
      </c>
      <c r="O859" s="89">
        <f t="shared" si="191"/>
        <v>0</v>
      </c>
    </row>
    <row r="860" spans="1:15" ht="15.75" thickBot="1" x14ac:dyDescent="0.3">
      <c r="A860" s="91"/>
      <c r="B860" s="91"/>
      <c r="C860" s="91"/>
      <c r="D860" s="91"/>
      <c r="E860" s="91"/>
      <c r="F860" s="91"/>
      <c r="G860" s="92">
        <f>SUM(G851:G859)</f>
        <v>0.23611111111111119</v>
      </c>
      <c r="I860" s="91"/>
      <c r="J860" s="91"/>
      <c r="K860" s="91"/>
      <c r="L860" s="91"/>
      <c r="M860" s="91"/>
      <c r="N860" s="91"/>
      <c r="O860" s="92"/>
    </row>
    <row r="861" spans="1:15" ht="22.15" customHeight="1" x14ac:dyDescent="0.25">
      <c r="A861" s="133">
        <v>46177</v>
      </c>
      <c r="B861" s="145" t="s">
        <v>114</v>
      </c>
      <c r="C861" s="137" t="s">
        <v>616</v>
      </c>
      <c r="D861" s="88" t="s">
        <v>636</v>
      </c>
      <c r="E861" s="89">
        <v>0.37152777777777779</v>
      </c>
      <c r="F861" s="89">
        <v>0.4826388888888889</v>
      </c>
      <c r="G861" s="89">
        <f>F861-E861</f>
        <v>0.1111111111111111</v>
      </c>
      <c r="I861" s="133">
        <v>46177</v>
      </c>
      <c r="J861" s="145" t="s">
        <v>77</v>
      </c>
      <c r="K861" s="137" t="s">
        <v>616</v>
      </c>
      <c r="L861" s="88" t="s">
        <v>641</v>
      </c>
      <c r="M861" s="89">
        <v>0.79166666666666663</v>
      </c>
      <c r="N861" s="89">
        <v>0.86111111111111116</v>
      </c>
      <c r="O861" s="89">
        <f>N861-M861</f>
        <v>6.9444444444444531E-2</v>
      </c>
    </row>
    <row r="862" spans="1:15" ht="30" x14ac:dyDescent="0.25">
      <c r="A862" s="134"/>
      <c r="B862" s="145"/>
      <c r="C862" s="138"/>
      <c r="D862" s="88" t="s">
        <v>637</v>
      </c>
      <c r="E862" s="89">
        <v>0.4826388888888889</v>
      </c>
      <c r="F862" s="89">
        <v>0.51180555555555551</v>
      </c>
      <c r="G862" s="89">
        <f t="shared" ref="G862:G863" si="192">F862-E862</f>
        <v>2.9166666666666619E-2</v>
      </c>
      <c r="I862" s="134"/>
      <c r="J862" s="145"/>
      <c r="K862" s="138"/>
      <c r="L862" s="88" t="s">
        <v>642</v>
      </c>
      <c r="M862" s="89">
        <v>0.29166666666666669</v>
      </c>
      <c r="N862" s="89">
        <v>0.31944444444444442</v>
      </c>
      <c r="O862" s="89">
        <f t="shared" ref="O862:O864" si="193">N862-M862</f>
        <v>2.7777777777777735E-2</v>
      </c>
    </row>
    <row r="863" spans="1:15" x14ac:dyDescent="0.25">
      <c r="A863" s="134"/>
      <c r="B863" s="145"/>
      <c r="C863" s="138"/>
      <c r="D863" s="114" t="s">
        <v>638</v>
      </c>
      <c r="E863" s="89">
        <v>0.58819444444444446</v>
      </c>
      <c r="F863" s="89">
        <v>0.60069444444444442</v>
      </c>
      <c r="G863" s="89">
        <f t="shared" si="192"/>
        <v>1.2499999999999956E-2</v>
      </c>
      <c r="I863" s="134"/>
      <c r="J863" s="145"/>
      <c r="K863" s="138"/>
      <c r="L863" s="114"/>
      <c r="M863" s="89"/>
      <c r="N863" s="89"/>
      <c r="O863" s="89">
        <f t="shared" si="193"/>
        <v>0</v>
      </c>
    </row>
    <row r="864" spans="1:15" x14ac:dyDescent="0.25">
      <c r="A864" s="134"/>
      <c r="B864" s="145"/>
      <c r="C864" s="138"/>
      <c r="D864" s="114" t="s">
        <v>639</v>
      </c>
      <c r="E864" s="89">
        <v>0.72222222222222221</v>
      </c>
      <c r="F864" s="89">
        <v>0</v>
      </c>
      <c r="G864" s="89"/>
      <c r="I864" s="134"/>
      <c r="J864" s="145"/>
      <c r="K864" s="138"/>
      <c r="L864" s="114"/>
      <c r="M864" s="89">
        <v>0</v>
      </c>
      <c r="N864" s="89">
        <v>0</v>
      </c>
      <c r="O864" s="89">
        <f t="shared" si="193"/>
        <v>0</v>
      </c>
    </row>
    <row r="865" spans="1:15" x14ac:dyDescent="0.25">
      <c r="A865" s="134"/>
      <c r="B865" s="145"/>
      <c r="C865" s="138"/>
      <c r="D865" s="114"/>
      <c r="E865" s="89">
        <v>0</v>
      </c>
      <c r="F865" s="89">
        <v>0</v>
      </c>
      <c r="G865" s="89">
        <v>0</v>
      </c>
      <c r="I865" s="134"/>
      <c r="J865" s="145"/>
      <c r="K865" s="138"/>
      <c r="L865" s="114"/>
      <c r="M865" s="89">
        <v>0</v>
      </c>
      <c r="N865" s="89">
        <v>0</v>
      </c>
      <c r="O865" s="89">
        <v>0</v>
      </c>
    </row>
    <row r="866" spans="1:15" x14ac:dyDescent="0.25">
      <c r="A866" s="134"/>
      <c r="B866" s="145"/>
      <c r="C866" s="138"/>
      <c r="D866" s="114"/>
      <c r="E866" s="89">
        <v>0</v>
      </c>
      <c r="F866" s="89">
        <v>0</v>
      </c>
      <c r="G866" s="89">
        <f t="shared" ref="G866:G869" si="194">F866-E866</f>
        <v>0</v>
      </c>
      <c r="I866" s="134"/>
      <c r="J866" s="145"/>
      <c r="K866" s="138"/>
      <c r="L866" s="114"/>
      <c r="M866" s="89">
        <v>0</v>
      </c>
      <c r="N866" s="89">
        <v>0</v>
      </c>
      <c r="O866" s="89">
        <f t="shared" ref="O866:O869" si="195">N866-M866</f>
        <v>0</v>
      </c>
    </row>
    <row r="867" spans="1:15" x14ac:dyDescent="0.25">
      <c r="A867" s="134"/>
      <c r="B867" s="145"/>
      <c r="C867" s="138"/>
      <c r="D867" s="114"/>
      <c r="E867" s="89">
        <v>0</v>
      </c>
      <c r="F867" s="89">
        <v>0</v>
      </c>
      <c r="G867" s="89">
        <f t="shared" si="194"/>
        <v>0</v>
      </c>
      <c r="I867" s="134"/>
      <c r="J867" s="145"/>
      <c r="K867" s="138"/>
      <c r="L867" s="114"/>
      <c r="M867" s="89">
        <v>0</v>
      </c>
      <c r="N867" s="89">
        <v>0</v>
      </c>
      <c r="O867" s="89">
        <f t="shared" si="195"/>
        <v>0</v>
      </c>
    </row>
    <row r="868" spans="1:15" x14ac:dyDescent="0.25">
      <c r="A868" s="134"/>
      <c r="B868" s="145"/>
      <c r="C868" s="138"/>
      <c r="D868" s="114"/>
      <c r="E868" s="89">
        <v>0</v>
      </c>
      <c r="F868" s="89">
        <v>0</v>
      </c>
      <c r="G868" s="89">
        <f t="shared" si="194"/>
        <v>0</v>
      </c>
      <c r="I868" s="134"/>
      <c r="J868" s="145"/>
      <c r="K868" s="138"/>
      <c r="L868" s="114"/>
      <c r="M868" s="89">
        <v>0</v>
      </c>
      <c r="N868" s="89">
        <v>0</v>
      </c>
      <c r="O868" s="89">
        <f t="shared" si="195"/>
        <v>0</v>
      </c>
    </row>
    <row r="869" spans="1:15" x14ac:dyDescent="0.25">
      <c r="A869" s="134"/>
      <c r="B869" s="145"/>
      <c r="C869" s="138"/>
      <c r="D869" s="114"/>
      <c r="E869" s="89">
        <v>0</v>
      </c>
      <c r="F869" s="89">
        <v>0</v>
      </c>
      <c r="G869" s="89">
        <f t="shared" si="194"/>
        <v>0</v>
      </c>
      <c r="I869" s="134"/>
      <c r="J869" s="145"/>
      <c r="K869" s="138"/>
      <c r="L869" s="114"/>
      <c r="M869" s="89">
        <v>0</v>
      </c>
      <c r="N869" s="89">
        <v>0</v>
      </c>
      <c r="O869" s="89">
        <f t="shared" si="195"/>
        <v>0</v>
      </c>
    </row>
    <row r="870" spans="1:15" ht="15.75" thickBot="1" x14ac:dyDescent="0.3">
      <c r="A870" s="91"/>
      <c r="B870" s="91"/>
      <c r="C870" s="91"/>
      <c r="D870" s="91"/>
      <c r="E870" s="91"/>
      <c r="F870" s="91"/>
      <c r="G870" s="92">
        <f>SUM(G861:G869)</f>
        <v>0.15277777777777768</v>
      </c>
      <c r="I870" s="91"/>
      <c r="J870" s="91"/>
      <c r="K870" s="91"/>
      <c r="L870" s="91"/>
      <c r="M870" s="91"/>
      <c r="N870" s="91"/>
      <c r="O870" s="92">
        <f>SUM(O861:O869)</f>
        <v>9.7222222222222265E-2</v>
      </c>
    </row>
    <row r="871" spans="1:15" ht="30" x14ac:dyDescent="0.25">
      <c r="A871" s="133">
        <v>46178</v>
      </c>
      <c r="B871" s="145" t="s">
        <v>113</v>
      </c>
      <c r="C871" s="137" t="s">
        <v>616</v>
      </c>
      <c r="D871" s="88" t="s">
        <v>643</v>
      </c>
      <c r="E871" s="89">
        <v>0.33333333333333331</v>
      </c>
      <c r="F871" s="89">
        <v>0.49513888888888891</v>
      </c>
      <c r="G871" s="89">
        <f t="shared" ref="G871:G874" si="196">F871-E871</f>
        <v>0.16180555555555559</v>
      </c>
      <c r="I871" s="133">
        <v>46178</v>
      </c>
      <c r="J871" s="145" t="s">
        <v>114</v>
      </c>
      <c r="K871" s="137" t="s">
        <v>680</v>
      </c>
      <c r="L871" s="88" t="s">
        <v>649</v>
      </c>
      <c r="M871" s="89">
        <v>0.83680555555555558</v>
      </c>
      <c r="N871" s="89">
        <v>0.86250000000000004</v>
      </c>
      <c r="O871" s="89">
        <f>N871-M871</f>
        <v>2.5694444444444464E-2</v>
      </c>
    </row>
    <row r="872" spans="1:15" ht="45" x14ac:dyDescent="0.25">
      <c r="A872" s="134"/>
      <c r="B872" s="145"/>
      <c r="C872" s="138"/>
      <c r="D872" s="88" t="s">
        <v>644</v>
      </c>
      <c r="E872" s="89">
        <v>0.48541666666666666</v>
      </c>
      <c r="F872" s="89">
        <v>0.49305555555555558</v>
      </c>
      <c r="G872" s="89">
        <f t="shared" si="196"/>
        <v>7.6388888888889173E-3</v>
      </c>
      <c r="I872" s="134"/>
      <c r="J872" s="145"/>
      <c r="K872" s="138"/>
      <c r="L872" s="88" t="s">
        <v>650</v>
      </c>
      <c r="M872" s="89">
        <v>0.13541666666666666</v>
      </c>
      <c r="N872" s="89">
        <v>0.17291666666666666</v>
      </c>
      <c r="O872" s="89">
        <f t="shared" ref="O872:O874" si="197">N872-M872</f>
        <v>3.7500000000000006E-2</v>
      </c>
    </row>
    <row r="873" spans="1:15" ht="30" x14ac:dyDescent="0.25">
      <c r="A873" s="134"/>
      <c r="B873" s="145"/>
      <c r="C873" s="138"/>
      <c r="D873" s="114" t="s">
        <v>645</v>
      </c>
      <c r="E873" s="89">
        <v>0.55833333333333335</v>
      </c>
      <c r="F873" s="89">
        <v>0.6118055555555556</v>
      </c>
      <c r="G873" s="89">
        <f t="shared" si="196"/>
        <v>5.3472222222222254E-2</v>
      </c>
      <c r="I873" s="134"/>
      <c r="J873" s="145"/>
      <c r="K873" s="138"/>
      <c r="L873" s="114"/>
      <c r="M873" s="89">
        <v>0</v>
      </c>
      <c r="N873" s="89">
        <v>0</v>
      </c>
      <c r="O873" s="89">
        <f t="shared" si="197"/>
        <v>0</v>
      </c>
    </row>
    <row r="874" spans="1:15" ht="30" x14ac:dyDescent="0.25">
      <c r="A874" s="134"/>
      <c r="B874" s="145"/>
      <c r="C874" s="138"/>
      <c r="D874" s="114" t="s">
        <v>646</v>
      </c>
      <c r="E874" s="89">
        <v>0.62569444444444444</v>
      </c>
      <c r="F874" s="89">
        <v>0.67083333333333328</v>
      </c>
      <c r="G874" s="89">
        <f t="shared" si="196"/>
        <v>4.513888888888884E-2</v>
      </c>
      <c r="I874" s="134"/>
      <c r="J874" s="145"/>
      <c r="K874" s="138"/>
      <c r="L874" s="114"/>
      <c r="M874" s="89">
        <v>0</v>
      </c>
      <c r="N874" s="89">
        <v>0</v>
      </c>
      <c r="O874" s="89">
        <f t="shared" si="197"/>
        <v>0</v>
      </c>
    </row>
    <row r="875" spans="1:15" ht="30" x14ac:dyDescent="0.25">
      <c r="A875" s="134"/>
      <c r="B875" s="145"/>
      <c r="C875" s="138"/>
      <c r="D875" s="114" t="s">
        <v>647</v>
      </c>
      <c r="E875" s="89">
        <v>0.68402777777777779</v>
      </c>
      <c r="F875" s="89">
        <v>0.71180555555555558</v>
      </c>
      <c r="G875" s="89">
        <v>0</v>
      </c>
      <c r="I875" s="134"/>
      <c r="J875" s="145"/>
      <c r="K875" s="138"/>
      <c r="L875" s="114"/>
      <c r="M875" s="89">
        <v>0</v>
      </c>
      <c r="N875" s="89">
        <v>0</v>
      </c>
      <c r="O875" s="89">
        <v>0</v>
      </c>
    </row>
    <row r="876" spans="1:15" x14ac:dyDescent="0.25">
      <c r="A876" s="134"/>
      <c r="B876" s="145"/>
      <c r="C876" s="138"/>
      <c r="D876" s="114"/>
      <c r="E876" s="89">
        <v>0</v>
      </c>
      <c r="F876" s="89">
        <v>0</v>
      </c>
      <c r="G876" s="89">
        <f t="shared" ref="G876:G879" si="198">F876-E876</f>
        <v>0</v>
      </c>
      <c r="I876" s="134"/>
      <c r="J876" s="145"/>
      <c r="K876" s="138"/>
      <c r="L876" s="114"/>
      <c r="M876" s="89">
        <v>0</v>
      </c>
      <c r="N876" s="89">
        <v>0</v>
      </c>
      <c r="O876" s="89">
        <f t="shared" ref="O876:O879" si="199">N876-M876</f>
        <v>0</v>
      </c>
    </row>
    <row r="877" spans="1:15" x14ac:dyDescent="0.25">
      <c r="A877" s="134"/>
      <c r="B877" s="145"/>
      <c r="C877" s="138"/>
      <c r="D877" s="114"/>
      <c r="E877" s="89">
        <v>0</v>
      </c>
      <c r="F877" s="89">
        <v>0</v>
      </c>
      <c r="G877" s="89">
        <f t="shared" si="198"/>
        <v>0</v>
      </c>
      <c r="I877" s="134"/>
      <c r="J877" s="145"/>
      <c r="K877" s="138"/>
      <c r="L877" s="114"/>
      <c r="M877" s="89">
        <v>0</v>
      </c>
      <c r="N877" s="89">
        <v>0</v>
      </c>
      <c r="O877" s="89">
        <f t="shared" si="199"/>
        <v>0</v>
      </c>
    </row>
    <row r="878" spans="1:15" x14ac:dyDescent="0.25">
      <c r="A878" s="134"/>
      <c r="B878" s="145"/>
      <c r="C878" s="138"/>
      <c r="D878" s="114"/>
      <c r="E878" s="89">
        <v>0</v>
      </c>
      <c r="F878" s="89">
        <v>0</v>
      </c>
      <c r="G878" s="89">
        <f t="shared" si="198"/>
        <v>0</v>
      </c>
      <c r="I878" s="134"/>
      <c r="J878" s="145"/>
      <c r="K878" s="138"/>
      <c r="L878" s="114"/>
      <c r="M878" s="89">
        <v>0</v>
      </c>
      <c r="N878" s="89">
        <v>0</v>
      </c>
      <c r="O878" s="89">
        <f t="shared" si="199"/>
        <v>0</v>
      </c>
    </row>
    <row r="879" spans="1:15" x14ac:dyDescent="0.25">
      <c r="A879" s="134"/>
      <c r="B879" s="145"/>
      <c r="C879" s="138"/>
      <c r="D879" s="114"/>
      <c r="E879" s="89">
        <v>0</v>
      </c>
      <c r="F879" s="89">
        <v>0</v>
      </c>
      <c r="G879" s="89">
        <f t="shared" si="198"/>
        <v>0</v>
      </c>
      <c r="I879" s="134"/>
      <c r="J879" s="145"/>
      <c r="K879" s="138"/>
      <c r="L879" s="114"/>
      <c r="M879" s="89">
        <v>0</v>
      </c>
      <c r="N879" s="89">
        <v>0</v>
      </c>
      <c r="O879" s="89">
        <f t="shared" si="199"/>
        <v>0</v>
      </c>
    </row>
    <row r="880" spans="1:15" ht="15.75" thickBot="1" x14ac:dyDescent="0.3">
      <c r="A880" s="91"/>
      <c r="B880" s="91"/>
      <c r="C880" s="91"/>
      <c r="D880" s="91"/>
      <c r="E880" s="91"/>
      <c r="F880" s="91"/>
      <c r="G880" s="92">
        <f>SUM(G871:G879)</f>
        <v>0.2680555555555556</v>
      </c>
      <c r="I880" s="91"/>
      <c r="J880" s="91"/>
      <c r="K880" s="91"/>
      <c r="L880" s="91"/>
      <c r="M880" s="91"/>
      <c r="N880" s="91"/>
      <c r="O880" s="92">
        <f>SUM(O871:O879)</f>
        <v>6.319444444444447E-2</v>
      </c>
    </row>
    <row r="881" spans="1:15" ht="90" x14ac:dyDescent="0.25">
      <c r="A881" s="133">
        <v>46179</v>
      </c>
      <c r="B881" s="145" t="s">
        <v>75</v>
      </c>
      <c r="C881" s="137" t="s">
        <v>616</v>
      </c>
      <c r="D881" s="88" t="s">
        <v>652</v>
      </c>
      <c r="E881" s="89">
        <v>0.33333333333333331</v>
      </c>
      <c r="F881" s="89">
        <v>0.5</v>
      </c>
      <c r="G881" s="89">
        <f>F881-E881</f>
        <v>0.16666666666666669</v>
      </c>
      <c r="I881" s="133">
        <v>46179</v>
      </c>
      <c r="J881" s="145" t="s">
        <v>113</v>
      </c>
      <c r="K881" s="137" t="s">
        <v>83</v>
      </c>
      <c r="L881" s="88" t="s">
        <v>653</v>
      </c>
      <c r="M881" s="89">
        <v>0.81388888888888888</v>
      </c>
      <c r="N881" s="89">
        <v>0.83194444444444449</v>
      </c>
      <c r="O881" s="89">
        <f>N881-M881</f>
        <v>1.8055555555555602E-2</v>
      </c>
    </row>
    <row r="882" spans="1:15" x14ac:dyDescent="0.25">
      <c r="A882" s="134"/>
      <c r="B882" s="145"/>
      <c r="C882" s="138"/>
      <c r="D882" s="88"/>
      <c r="E882" s="89">
        <v>0</v>
      </c>
      <c r="F882" s="89">
        <v>0</v>
      </c>
      <c r="G882" s="89">
        <f t="shared" ref="G882:G884" si="200">F882-E882</f>
        <v>0</v>
      </c>
      <c r="I882" s="134"/>
      <c r="J882" s="145"/>
      <c r="K882" s="138"/>
      <c r="L882" s="88" t="s">
        <v>654</v>
      </c>
      <c r="M882" s="89">
        <v>0.81388888888888888</v>
      </c>
      <c r="N882" s="89">
        <v>0.82430555555555551</v>
      </c>
      <c r="O882" s="89">
        <f t="shared" ref="O882:O884" si="201">N882-M882</f>
        <v>1.041666666666663E-2</v>
      </c>
    </row>
    <row r="883" spans="1:15" x14ac:dyDescent="0.25">
      <c r="A883" s="134"/>
      <c r="B883" s="145"/>
      <c r="C883" s="138"/>
      <c r="D883" s="114"/>
      <c r="E883" s="89">
        <v>0</v>
      </c>
      <c r="F883" s="89">
        <v>0</v>
      </c>
      <c r="G883" s="89">
        <f t="shared" si="200"/>
        <v>0</v>
      </c>
      <c r="I883" s="134"/>
      <c r="J883" s="145"/>
      <c r="K883" s="138"/>
      <c r="L883" s="114" t="s">
        <v>655</v>
      </c>
      <c r="M883" s="89">
        <v>0.98333333333333328</v>
      </c>
      <c r="N883" s="89">
        <v>0.99930555555555556</v>
      </c>
      <c r="O883" s="89">
        <f t="shared" si="201"/>
        <v>1.5972222222222276E-2</v>
      </c>
    </row>
    <row r="884" spans="1:15" x14ac:dyDescent="0.25">
      <c r="A884" s="134"/>
      <c r="B884" s="145"/>
      <c r="C884" s="138"/>
      <c r="D884" s="114"/>
      <c r="E884" s="89">
        <v>0</v>
      </c>
      <c r="F884" s="89">
        <v>0</v>
      </c>
      <c r="G884" s="89">
        <f t="shared" si="200"/>
        <v>0</v>
      </c>
      <c r="I884" s="134"/>
      <c r="J884" s="145"/>
      <c r="K884" s="138"/>
      <c r="L884" s="114"/>
      <c r="M884" s="89">
        <v>0</v>
      </c>
      <c r="N884" s="89">
        <v>0</v>
      </c>
      <c r="O884" s="89">
        <f t="shared" si="201"/>
        <v>0</v>
      </c>
    </row>
    <row r="885" spans="1:15" x14ac:dyDescent="0.25">
      <c r="A885" s="134"/>
      <c r="B885" s="145"/>
      <c r="C885" s="138"/>
      <c r="D885" s="114"/>
      <c r="E885" s="89">
        <v>0</v>
      </c>
      <c r="F885" s="89">
        <v>0</v>
      </c>
      <c r="G885" s="89">
        <v>0</v>
      </c>
      <c r="I885" s="134"/>
      <c r="J885" s="145"/>
      <c r="K885" s="138"/>
      <c r="L885" s="114"/>
      <c r="M885" s="89">
        <v>0</v>
      </c>
      <c r="N885" s="89">
        <v>0</v>
      </c>
      <c r="O885" s="89">
        <v>0</v>
      </c>
    </row>
    <row r="886" spans="1:15" x14ac:dyDescent="0.25">
      <c r="A886" s="134"/>
      <c r="B886" s="145"/>
      <c r="C886" s="138"/>
      <c r="D886" s="114"/>
      <c r="E886" s="89">
        <v>0</v>
      </c>
      <c r="F886" s="89">
        <v>0</v>
      </c>
      <c r="G886" s="89">
        <f t="shared" ref="G886:G889" si="202">F886-E886</f>
        <v>0</v>
      </c>
      <c r="I886" s="134"/>
      <c r="J886" s="145"/>
      <c r="K886" s="138"/>
      <c r="L886" s="114"/>
      <c r="M886" s="89">
        <v>0</v>
      </c>
      <c r="N886" s="89">
        <v>0</v>
      </c>
      <c r="O886" s="89">
        <f t="shared" ref="O886:O889" si="203">N886-M886</f>
        <v>0</v>
      </c>
    </row>
    <row r="887" spans="1:15" x14ac:dyDescent="0.25">
      <c r="A887" s="134"/>
      <c r="B887" s="145"/>
      <c r="C887" s="138"/>
      <c r="D887" s="114"/>
      <c r="E887" s="89">
        <v>0</v>
      </c>
      <c r="F887" s="89">
        <v>0</v>
      </c>
      <c r="G887" s="89">
        <f t="shared" si="202"/>
        <v>0</v>
      </c>
      <c r="I887" s="134"/>
      <c r="J887" s="145"/>
      <c r="K887" s="138"/>
      <c r="L887" s="114"/>
      <c r="M887" s="89">
        <v>0</v>
      </c>
      <c r="N887" s="89">
        <v>0</v>
      </c>
      <c r="O887" s="89">
        <f t="shared" si="203"/>
        <v>0</v>
      </c>
    </row>
    <row r="888" spans="1:15" x14ac:dyDescent="0.25">
      <c r="A888" s="134"/>
      <c r="B888" s="145"/>
      <c r="C888" s="138"/>
      <c r="D888" s="114"/>
      <c r="E888" s="89">
        <v>0</v>
      </c>
      <c r="F888" s="89">
        <v>0</v>
      </c>
      <c r="G888" s="89">
        <f t="shared" si="202"/>
        <v>0</v>
      </c>
      <c r="I888" s="134"/>
      <c r="J888" s="145"/>
      <c r="K888" s="138"/>
      <c r="L888" s="114"/>
      <c r="M888" s="89">
        <v>0</v>
      </c>
      <c r="N888" s="89">
        <v>0</v>
      </c>
      <c r="O888" s="89">
        <f t="shared" si="203"/>
        <v>0</v>
      </c>
    </row>
    <row r="889" spans="1:15" x14ac:dyDescent="0.25">
      <c r="A889" s="134"/>
      <c r="B889" s="145"/>
      <c r="C889" s="138"/>
      <c r="D889" s="114"/>
      <c r="E889" s="89">
        <v>0</v>
      </c>
      <c r="F889" s="89">
        <v>0</v>
      </c>
      <c r="G889" s="89">
        <f t="shared" si="202"/>
        <v>0</v>
      </c>
      <c r="I889" s="134"/>
      <c r="J889" s="145"/>
      <c r="K889" s="138"/>
      <c r="L889" s="114"/>
      <c r="M889" s="89">
        <v>0</v>
      </c>
      <c r="N889" s="89">
        <v>0</v>
      </c>
      <c r="O889" s="89">
        <f t="shared" si="203"/>
        <v>0</v>
      </c>
    </row>
    <row r="890" spans="1:15" ht="15.75" thickBot="1" x14ac:dyDescent="0.3">
      <c r="A890" s="91"/>
      <c r="B890" s="91"/>
      <c r="C890" s="91"/>
      <c r="D890" s="91"/>
      <c r="E890" s="91"/>
      <c r="F890" s="91"/>
      <c r="G890" s="92">
        <f>SUM(G881:G889)</f>
        <v>0.16666666666666669</v>
      </c>
      <c r="I890" s="91"/>
      <c r="J890" s="91"/>
      <c r="K890" s="91"/>
      <c r="L890" s="91"/>
      <c r="M890" s="91"/>
      <c r="N890" s="91"/>
      <c r="O890" s="92">
        <f>SUM(O881:O889)</f>
        <v>4.4444444444444509E-2</v>
      </c>
    </row>
    <row r="891" spans="1:15" ht="30" x14ac:dyDescent="0.25">
      <c r="A891" s="133">
        <v>46180</v>
      </c>
      <c r="B891" s="145" t="s">
        <v>77</v>
      </c>
      <c r="C891" s="137" t="s">
        <v>616</v>
      </c>
      <c r="E891" s="89"/>
      <c r="F891" s="89"/>
      <c r="G891" s="89"/>
      <c r="I891" s="133">
        <v>46180</v>
      </c>
      <c r="J891" s="145" t="s">
        <v>75</v>
      </c>
      <c r="K891" s="137" t="s">
        <v>83</v>
      </c>
      <c r="L891" s="88" t="s">
        <v>666</v>
      </c>
      <c r="M891" s="89">
        <v>0.81180555555555556</v>
      </c>
      <c r="N891" s="89">
        <v>0.82013888888888886</v>
      </c>
      <c r="O891" s="89">
        <f>N891-M891</f>
        <v>8.3333333333333037E-3</v>
      </c>
    </row>
    <row r="892" spans="1:15" x14ac:dyDescent="0.25">
      <c r="A892" s="134"/>
      <c r="B892" s="145"/>
      <c r="C892" s="138"/>
      <c r="D892" s="88" t="s">
        <v>656</v>
      </c>
      <c r="E892" s="115">
        <v>0.35555555555555557</v>
      </c>
      <c r="F892" s="89">
        <v>0.38958333333333334</v>
      </c>
      <c r="G892" s="89">
        <v>3.4027777777777775E-2</v>
      </c>
      <c r="I892" s="134"/>
      <c r="J892" s="145"/>
      <c r="K892" s="138"/>
      <c r="L892" s="88" t="s">
        <v>668</v>
      </c>
      <c r="M892" s="89">
        <v>0.84027777777777779</v>
      </c>
      <c r="N892" s="89">
        <v>0.85416666666666663</v>
      </c>
      <c r="O892" s="89">
        <f t="shared" ref="O892:O894" si="204">N892-M892</f>
        <v>1.388888888888884E-2</v>
      </c>
    </row>
    <row r="893" spans="1:15" ht="60" x14ac:dyDescent="0.25">
      <c r="A893" s="134"/>
      <c r="B893" s="145"/>
      <c r="C893" s="138"/>
      <c r="D893" s="88" t="s">
        <v>661</v>
      </c>
      <c r="E893" s="89">
        <v>0.57986111111111116</v>
      </c>
      <c r="F893" s="89">
        <v>0.62152777777777779</v>
      </c>
      <c r="G893" s="89">
        <f t="shared" ref="G893:G894" si="205">F893-E893</f>
        <v>4.166666666666663E-2</v>
      </c>
      <c r="I893" s="134"/>
      <c r="J893" s="145"/>
      <c r="K893" s="138"/>
      <c r="L893" s="114"/>
      <c r="M893" s="89">
        <v>0</v>
      </c>
      <c r="N893" s="89">
        <v>0</v>
      </c>
      <c r="O893" s="89">
        <f t="shared" si="204"/>
        <v>0</v>
      </c>
    </row>
    <row r="894" spans="1:15" ht="30" x14ac:dyDescent="0.25">
      <c r="A894" s="134"/>
      <c r="B894" s="145"/>
      <c r="C894" s="138"/>
      <c r="D894" s="114" t="s">
        <v>663</v>
      </c>
      <c r="E894" s="89">
        <v>0.64583333333333337</v>
      </c>
      <c r="F894" s="89">
        <v>0.66666666666666663</v>
      </c>
      <c r="G894" s="89">
        <f t="shared" si="205"/>
        <v>2.0833333333333259E-2</v>
      </c>
      <c r="I894" s="134"/>
      <c r="J894" s="145"/>
      <c r="K894" s="138"/>
      <c r="L894" s="114"/>
      <c r="M894" s="89">
        <v>0</v>
      </c>
      <c r="N894" s="89">
        <v>0</v>
      </c>
      <c r="O894" s="89">
        <f t="shared" si="204"/>
        <v>0</v>
      </c>
    </row>
    <row r="895" spans="1:15" ht="30" x14ac:dyDescent="0.25">
      <c r="A895" s="134"/>
      <c r="B895" s="145"/>
      <c r="C895" s="138"/>
      <c r="D895" s="114" t="s">
        <v>664</v>
      </c>
      <c r="E895" s="89">
        <v>0.66666666666666663</v>
      </c>
      <c r="F895" s="89">
        <v>0.6875</v>
      </c>
      <c r="G895" s="89">
        <v>0</v>
      </c>
      <c r="I895" s="134"/>
      <c r="J895" s="145"/>
      <c r="K895" s="138"/>
      <c r="L895" s="114"/>
      <c r="M895" s="89">
        <v>0</v>
      </c>
      <c r="N895" s="89">
        <v>0</v>
      </c>
      <c r="O895" s="89">
        <v>0</v>
      </c>
    </row>
    <row r="896" spans="1:15" x14ac:dyDescent="0.25">
      <c r="A896" s="134"/>
      <c r="B896" s="145"/>
      <c r="C896" s="138"/>
      <c r="D896" s="114" t="s">
        <v>662</v>
      </c>
      <c r="E896" s="89">
        <v>0.72916666666666663</v>
      </c>
      <c r="F896" s="89">
        <v>0.75694444444444442</v>
      </c>
      <c r="G896" s="89">
        <f t="shared" ref="G896:G899" si="206">F896-E896</f>
        <v>2.777777777777779E-2</v>
      </c>
      <c r="I896" s="134"/>
      <c r="J896" s="145"/>
      <c r="K896" s="138"/>
      <c r="L896" s="114"/>
      <c r="M896" s="89">
        <v>0</v>
      </c>
      <c r="N896" s="89">
        <v>0</v>
      </c>
      <c r="O896" s="89">
        <f t="shared" ref="O896:O899" si="207">N896-M896</f>
        <v>0</v>
      </c>
    </row>
    <row r="897" spans="1:15" x14ac:dyDescent="0.25">
      <c r="A897" s="134"/>
      <c r="B897" s="145"/>
      <c r="C897" s="138"/>
      <c r="D897" s="114"/>
      <c r="E897" s="89"/>
      <c r="F897" s="89"/>
      <c r="G897" s="89">
        <f t="shared" si="206"/>
        <v>0</v>
      </c>
      <c r="I897" s="134"/>
      <c r="J897" s="145"/>
      <c r="K897" s="138"/>
      <c r="L897" s="114"/>
      <c r="M897" s="89">
        <v>0</v>
      </c>
      <c r="N897" s="89">
        <v>0</v>
      </c>
      <c r="O897" s="89">
        <f t="shared" si="207"/>
        <v>0</v>
      </c>
    </row>
    <row r="898" spans="1:15" x14ac:dyDescent="0.25">
      <c r="A898" s="134"/>
      <c r="B898" s="145"/>
      <c r="C898" s="138"/>
      <c r="D898" s="114"/>
      <c r="E898" s="89">
        <v>0</v>
      </c>
      <c r="F898" s="89">
        <v>0</v>
      </c>
      <c r="G898" s="89">
        <f t="shared" si="206"/>
        <v>0</v>
      </c>
      <c r="I898" s="134"/>
      <c r="J898" s="145"/>
      <c r="K898" s="138"/>
      <c r="L898" s="114"/>
      <c r="M898" s="89">
        <v>0</v>
      </c>
      <c r="N898" s="89">
        <v>0</v>
      </c>
      <c r="O898" s="89">
        <f t="shared" si="207"/>
        <v>0</v>
      </c>
    </row>
    <row r="899" spans="1:15" x14ac:dyDescent="0.25">
      <c r="A899" s="134"/>
      <c r="B899" s="145"/>
      <c r="C899" s="138"/>
      <c r="D899" s="114"/>
      <c r="E899" s="89">
        <v>0</v>
      </c>
      <c r="F899" s="89">
        <v>0</v>
      </c>
      <c r="G899" s="89">
        <f t="shared" si="206"/>
        <v>0</v>
      </c>
      <c r="I899" s="134"/>
      <c r="J899" s="145"/>
      <c r="K899" s="138"/>
      <c r="L899" s="114"/>
      <c r="M899" s="89">
        <v>0</v>
      </c>
      <c r="N899" s="89">
        <v>0</v>
      </c>
      <c r="O899" s="89">
        <f t="shared" si="207"/>
        <v>0</v>
      </c>
    </row>
    <row r="900" spans="1:15" ht="15.75" thickBot="1" x14ac:dyDescent="0.3">
      <c r="A900" s="91"/>
      <c r="B900" s="91"/>
      <c r="C900" s="91"/>
      <c r="D900" s="91"/>
      <c r="E900" s="91"/>
      <c r="F900" s="91"/>
      <c r="G900" s="92">
        <f>SUM(G891:G899)</f>
        <v>0.12430555555555545</v>
      </c>
      <c r="I900" s="91"/>
      <c r="J900" s="91"/>
      <c r="K900" s="91"/>
      <c r="L900" s="91"/>
      <c r="M900" s="91"/>
      <c r="N900" s="91"/>
      <c r="O900" s="92">
        <f>SUM(O891:O899)</f>
        <v>2.2222222222222143E-2</v>
      </c>
    </row>
    <row r="901" spans="1:15" x14ac:dyDescent="0.25">
      <c r="A901" s="133">
        <v>46181</v>
      </c>
      <c r="B901" s="145" t="s">
        <v>114</v>
      </c>
      <c r="C901" s="137" t="s">
        <v>616</v>
      </c>
      <c r="D901" s="88" t="s">
        <v>669</v>
      </c>
      <c r="E901" s="89">
        <v>0.54513888888888884</v>
      </c>
      <c r="F901" s="89">
        <v>0.55902777777777779</v>
      </c>
      <c r="G901" s="89">
        <f>F901-E901</f>
        <v>1.3888888888888951E-2</v>
      </c>
      <c r="I901" s="133">
        <v>46181</v>
      </c>
      <c r="J901" s="145" t="s">
        <v>77</v>
      </c>
      <c r="K901" s="137" t="s">
        <v>83</v>
      </c>
      <c r="L901" s="88" t="s">
        <v>671</v>
      </c>
      <c r="M901" s="89">
        <v>0.80902777777777779</v>
      </c>
      <c r="N901" s="89">
        <v>0.81944444444444442</v>
      </c>
      <c r="O901" s="89">
        <f>N901-M901</f>
        <v>1.041666666666663E-2</v>
      </c>
    </row>
    <row r="902" spans="1:15" x14ac:dyDescent="0.25">
      <c r="A902" s="134"/>
      <c r="B902" s="145"/>
      <c r="C902" s="138"/>
      <c r="D902" s="88"/>
      <c r="E902" s="89">
        <v>0</v>
      </c>
      <c r="F902" s="89">
        <v>0</v>
      </c>
      <c r="G902" s="89">
        <f t="shared" ref="G902:G904" si="208">F902-E902</f>
        <v>0</v>
      </c>
      <c r="I902" s="134"/>
      <c r="J902" s="145"/>
      <c r="K902" s="138"/>
      <c r="L902" s="88"/>
      <c r="M902" s="89">
        <v>0</v>
      </c>
      <c r="N902" s="89">
        <v>0</v>
      </c>
      <c r="O902" s="89">
        <f t="shared" ref="O902:O904" si="209">N902-M902</f>
        <v>0</v>
      </c>
    </row>
    <row r="903" spans="1:15" x14ac:dyDescent="0.25">
      <c r="A903" s="134"/>
      <c r="B903" s="145"/>
      <c r="C903" s="138"/>
      <c r="D903" s="114"/>
      <c r="E903" s="89">
        <v>0</v>
      </c>
      <c r="F903" s="89">
        <v>0</v>
      </c>
      <c r="G903" s="89">
        <f t="shared" si="208"/>
        <v>0</v>
      </c>
      <c r="I903" s="134"/>
      <c r="J903" s="145"/>
      <c r="K903" s="138"/>
      <c r="L903" s="114"/>
      <c r="M903" s="89">
        <v>0</v>
      </c>
      <c r="N903" s="89">
        <v>0</v>
      </c>
      <c r="O903" s="89">
        <f t="shared" si="209"/>
        <v>0</v>
      </c>
    </row>
    <row r="904" spans="1:15" x14ac:dyDescent="0.25">
      <c r="A904" s="134"/>
      <c r="B904" s="145"/>
      <c r="C904" s="138"/>
      <c r="D904" s="114"/>
      <c r="E904" s="89">
        <v>0</v>
      </c>
      <c r="F904" s="89">
        <v>0</v>
      </c>
      <c r="G904" s="89">
        <f t="shared" si="208"/>
        <v>0</v>
      </c>
      <c r="I904" s="134"/>
      <c r="J904" s="145"/>
      <c r="K904" s="138"/>
      <c r="L904" s="114"/>
      <c r="M904" s="89">
        <v>0</v>
      </c>
      <c r="N904" s="89">
        <v>0</v>
      </c>
      <c r="O904" s="89">
        <f t="shared" si="209"/>
        <v>0</v>
      </c>
    </row>
    <row r="905" spans="1:15" x14ac:dyDescent="0.25">
      <c r="A905" s="134"/>
      <c r="B905" s="145"/>
      <c r="C905" s="138"/>
      <c r="D905" s="114"/>
      <c r="E905" s="89">
        <v>0</v>
      </c>
      <c r="F905" s="89">
        <v>0</v>
      </c>
      <c r="G905" s="89">
        <v>0</v>
      </c>
      <c r="I905" s="134"/>
      <c r="J905" s="145"/>
      <c r="K905" s="138"/>
      <c r="L905" s="114"/>
      <c r="M905" s="89">
        <v>0</v>
      </c>
      <c r="N905" s="89">
        <v>0</v>
      </c>
      <c r="O905" s="89">
        <v>0</v>
      </c>
    </row>
    <row r="906" spans="1:15" x14ac:dyDescent="0.25">
      <c r="A906" s="134"/>
      <c r="B906" s="145"/>
      <c r="C906" s="138"/>
      <c r="D906" s="114"/>
      <c r="E906" s="89">
        <v>0</v>
      </c>
      <c r="F906" s="89">
        <v>0</v>
      </c>
      <c r="G906" s="89">
        <f t="shared" ref="G906:G909" si="210">F906-E906</f>
        <v>0</v>
      </c>
      <c r="I906" s="134"/>
      <c r="J906" s="145"/>
      <c r="K906" s="138"/>
      <c r="L906" s="114"/>
      <c r="M906" s="89">
        <v>0</v>
      </c>
      <c r="N906" s="89">
        <v>0</v>
      </c>
      <c r="O906" s="89">
        <f t="shared" ref="O906:O909" si="211">N906-M906</f>
        <v>0</v>
      </c>
    </row>
    <row r="907" spans="1:15" x14ac:dyDescent="0.25">
      <c r="A907" s="134"/>
      <c r="B907" s="145"/>
      <c r="C907" s="138"/>
      <c r="D907" s="114"/>
      <c r="E907" s="89">
        <v>0</v>
      </c>
      <c r="F907" s="89">
        <v>0</v>
      </c>
      <c r="G907" s="89">
        <f t="shared" si="210"/>
        <v>0</v>
      </c>
      <c r="I907" s="134"/>
      <c r="J907" s="145"/>
      <c r="K907" s="138"/>
      <c r="L907" s="114"/>
      <c r="M907" s="89">
        <v>0</v>
      </c>
      <c r="N907" s="89">
        <v>0</v>
      </c>
      <c r="O907" s="89">
        <f t="shared" si="211"/>
        <v>0</v>
      </c>
    </row>
    <row r="908" spans="1:15" x14ac:dyDescent="0.25">
      <c r="A908" s="134"/>
      <c r="B908" s="145"/>
      <c r="C908" s="138"/>
      <c r="D908" s="114"/>
      <c r="E908" s="89">
        <v>0</v>
      </c>
      <c r="F908" s="89">
        <v>0</v>
      </c>
      <c r="G908" s="89">
        <f t="shared" si="210"/>
        <v>0</v>
      </c>
      <c r="I908" s="134"/>
      <c r="J908" s="145"/>
      <c r="K908" s="138"/>
      <c r="L908" s="114"/>
      <c r="M908" s="89">
        <v>0</v>
      </c>
      <c r="N908" s="89">
        <v>0</v>
      </c>
      <c r="O908" s="89">
        <f t="shared" si="211"/>
        <v>0</v>
      </c>
    </row>
    <row r="909" spans="1:15" x14ac:dyDescent="0.25">
      <c r="A909" s="134"/>
      <c r="B909" s="145"/>
      <c r="C909" s="138"/>
      <c r="D909" s="114"/>
      <c r="E909" s="89">
        <v>0</v>
      </c>
      <c r="F909" s="89">
        <v>0</v>
      </c>
      <c r="G909" s="89">
        <f t="shared" si="210"/>
        <v>0</v>
      </c>
      <c r="I909" s="134"/>
      <c r="J909" s="145"/>
      <c r="K909" s="138"/>
      <c r="L909" s="114"/>
      <c r="M909" s="89">
        <v>0</v>
      </c>
      <c r="N909" s="89">
        <v>0</v>
      </c>
      <c r="O909" s="89">
        <f t="shared" si="211"/>
        <v>0</v>
      </c>
    </row>
    <row r="910" spans="1:15" ht="15.75" thickBot="1" x14ac:dyDescent="0.3">
      <c r="A910" s="91"/>
      <c r="B910" s="91"/>
      <c r="C910" s="91"/>
      <c r="D910" s="91"/>
      <c r="E910" s="91"/>
      <c r="F910" s="91"/>
      <c r="G910" s="92">
        <f>SUM(G901:G909)</f>
        <v>1.3888888888888951E-2</v>
      </c>
      <c r="I910" s="91"/>
      <c r="J910" s="91"/>
      <c r="K910" s="91"/>
      <c r="L910" s="91"/>
      <c r="M910" s="91"/>
      <c r="N910" s="91"/>
      <c r="O910" s="92">
        <f>SUM(O901:O909)</f>
        <v>1.041666666666663E-2</v>
      </c>
    </row>
    <row r="911" spans="1:15" ht="75" x14ac:dyDescent="0.25">
      <c r="A911" s="133">
        <v>46182</v>
      </c>
      <c r="B911" s="145" t="s">
        <v>113</v>
      </c>
      <c r="C911" s="137" t="s">
        <v>616</v>
      </c>
      <c r="D911" s="88" t="s">
        <v>674</v>
      </c>
      <c r="E911" s="89">
        <v>0.36458333333333331</v>
      </c>
      <c r="F911" s="89">
        <v>0.44097222222222221</v>
      </c>
      <c r="G911" s="89">
        <f>F911-E911</f>
        <v>7.6388888888888895E-2</v>
      </c>
      <c r="I911" s="133">
        <v>46182</v>
      </c>
      <c r="J911" s="145" t="s">
        <v>114</v>
      </c>
      <c r="K911" s="137" t="s">
        <v>680</v>
      </c>
      <c r="L911" s="88" t="s">
        <v>676</v>
      </c>
      <c r="M911" s="89">
        <v>0.875</v>
      </c>
      <c r="N911" s="89">
        <v>0.95833333333333337</v>
      </c>
      <c r="O911" s="89">
        <f>N911-M911</f>
        <v>8.333333333333337E-2</v>
      </c>
    </row>
    <row r="912" spans="1:15" ht="30" x14ac:dyDescent="0.25">
      <c r="A912" s="134"/>
      <c r="B912" s="145"/>
      <c r="C912" s="138"/>
      <c r="D912" s="88"/>
      <c r="E912" s="89">
        <v>0</v>
      </c>
      <c r="F912" s="89">
        <v>0</v>
      </c>
      <c r="G912" s="89">
        <f t="shared" ref="G912:G914" si="212">F912-E912</f>
        <v>0</v>
      </c>
      <c r="I912" s="134"/>
      <c r="J912" s="145"/>
      <c r="K912" s="138"/>
      <c r="L912" s="88" t="s">
        <v>677</v>
      </c>
      <c r="M912" s="89">
        <v>8.0555555555555561E-2</v>
      </c>
      <c r="N912" s="89">
        <v>9.2361111111111116E-2</v>
      </c>
      <c r="O912" s="89">
        <f t="shared" ref="O912:O914" si="213">N912-M912</f>
        <v>1.1805555555555555E-2</v>
      </c>
    </row>
    <row r="913" spans="1:15" x14ac:dyDescent="0.25">
      <c r="A913" s="134"/>
      <c r="B913" s="145"/>
      <c r="C913" s="138"/>
      <c r="D913" s="114"/>
      <c r="E913" s="89">
        <v>0</v>
      </c>
      <c r="F913" s="89">
        <v>0</v>
      </c>
      <c r="G913" s="89">
        <f t="shared" si="212"/>
        <v>0</v>
      </c>
      <c r="I913" s="134"/>
      <c r="J913" s="145"/>
      <c r="K913" s="138"/>
      <c r="L913" s="114"/>
      <c r="M913" s="89">
        <v>0</v>
      </c>
      <c r="N913" s="89">
        <v>0</v>
      </c>
      <c r="O913" s="89">
        <f t="shared" si="213"/>
        <v>0</v>
      </c>
    </row>
    <row r="914" spans="1:15" x14ac:dyDescent="0.25">
      <c r="A914" s="134"/>
      <c r="B914" s="145"/>
      <c r="C914" s="138"/>
      <c r="D914" s="114"/>
      <c r="E914" s="89">
        <v>0</v>
      </c>
      <c r="F914" s="89">
        <v>0</v>
      </c>
      <c r="G914" s="89">
        <f t="shared" si="212"/>
        <v>0</v>
      </c>
      <c r="I914" s="134"/>
      <c r="J914" s="145"/>
      <c r="K914" s="138"/>
      <c r="L914" s="114"/>
      <c r="M914" s="89">
        <v>0</v>
      </c>
      <c r="N914" s="89">
        <v>0</v>
      </c>
      <c r="O914" s="89">
        <f t="shared" si="213"/>
        <v>0</v>
      </c>
    </row>
    <row r="915" spans="1:15" x14ac:dyDescent="0.25">
      <c r="A915" s="134"/>
      <c r="B915" s="145"/>
      <c r="C915" s="138"/>
      <c r="D915" s="114"/>
      <c r="E915" s="89">
        <v>0</v>
      </c>
      <c r="F915" s="89">
        <v>0</v>
      </c>
      <c r="G915" s="89">
        <v>0</v>
      </c>
      <c r="I915" s="134"/>
      <c r="J915" s="145"/>
      <c r="K915" s="138"/>
      <c r="L915" s="114"/>
      <c r="M915" s="89">
        <v>0</v>
      </c>
      <c r="N915" s="89">
        <v>0</v>
      </c>
      <c r="O915" s="89">
        <v>0</v>
      </c>
    </row>
    <row r="916" spans="1:15" x14ac:dyDescent="0.25">
      <c r="A916" s="134"/>
      <c r="B916" s="145"/>
      <c r="C916" s="138"/>
      <c r="D916" s="114"/>
      <c r="E916" s="89">
        <v>0</v>
      </c>
      <c r="F916" s="89">
        <v>0</v>
      </c>
      <c r="G916" s="89">
        <f t="shared" ref="G916:G919" si="214">F916-E916</f>
        <v>0</v>
      </c>
      <c r="I916" s="134"/>
      <c r="J916" s="145"/>
      <c r="K916" s="138"/>
      <c r="L916" s="114"/>
      <c r="M916" s="89">
        <v>0</v>
      </c>
      <c r="N916" s="89">
        <v>0</v>
      </c>
      <c r="O916" s="89">
        <f t="shared" ref="O916:O919" si="215">N916-M916</f>
        <v>0</v>
      </c>
    </row>
    <row r="917" spans="1:15" x14ac:dyDescent="0.25">
      <c r="A917" s="134"/>
      <c r="B917" s="145"/>
      <c r="C917" s="138"/>
      <c r="D917" s="114"/>
      <c r="E917" s="89">
        <v>0</v>
      </c>
      <c r="F917" s="89">
        <v>0</v>
      </c>
      <c r="G917" s="89">
        <f t="shared" si="214"/>
        <v>0</v>
      </c>
      <c r="I917" s="134"/>
      <c r="J917" s="145"/>
      <c r="K917" s="138"/>
      <c r="L917" s="114"/>
      <c r="M917" s="89">
        <v>0</v>
      </c>
      <c r="N917" s="89">
        <v>0</v>
      </c>
      <c r="O917" s="89">
        <f t="shared" si="215"/>
        <v>0</v>
      </c>
    </row>
    <row r="918" spans="1:15" x14ac:dyDescent="0.25">
      <c r="A918" s="134"/>
      <c r="B918" s="145"/>
      <c r="C918" s="138"/>
      <c r="D918" s="114"/>
      <c r="E918" s="89">
        <v>0</v>
      </c>
      <c r="F918" s="89">
        <v>0</v>
      </c>
      <c r="G918" s="89">
        <f t="shared" si="214"/>
        <v>0</v>
      </c>
      <c r="I918" s="134"/>
      <c r="J918" s="145"/>
      <c r="K918" s="138"/>
      <c r="L918" s="114"/>
      <c r="M918" s="89">
        <v>0</v>
      </c>
      <c r="N918" s="89">
        <v>0</v>
      </c>
      <c r="O918" s="89">
        <f t="shared" si="215"/>
        <v>0</v>
      </c>
    </row>
    <row r="919" spans="1:15" x14ac:dyDescent="0.25">
      <c r="A919" s="134"/>
      <c r="B919" s="145"/>
      <c r="C919" s="138"/>
      <c r="D919" s="114"/>
      <c r="E919" s="89">
        <v>0</v>
      </c>
      <c r="F919" s="89">
        <v>0</v>
      </c>
      <c r="G919" s="89">
        <f t="shared" si="214"/>
        <v>0</v>
      </c>
      <c r="I919" s="134"/>
      <c r="J919" s="145"/>
      <c r="K919" s="138"/>
      <c r="L919" s="114"/>
      <c r="M919" s="89">
        <v>0</v>
      </c>
      <c r="N919" s="89">
        <v>0</v>
      </c>
      <c r="O919" s="89">
        <f t="shared" si="215"/>
        <v>0</v>
      </c>
    </row>
    <row r="920" spans="1:15" ht="15.75" thickBot="1" x14ac:dyDescent="0.3">
      <c r="A920" s="91"/>
      <c r="B920" s="91"/>
      <c r="C920" s="91"/>
      <c r="D920" s="91"/>
      <c r="E920" s="91"/>
      <c r="F920" s="91"/>
      <c r="G920" s="92">
        <f>SUM(G911:G919)</f>
        <v>7.6388888888888895E-2</v>
      </c>
      <c r="I920" s="91"/>
      <c r="J920" s="91"/>
      <c r="K920" s="91"/>
      <c r="L920" s="91"/>
      <c r="M920" s="91"/>
      <c r="N920" s="91"/>
      <c r="O920" s="92">
        <f>SUM(O911:O919)</f>
        <v>9.5138888888888926E-2</v>
      </c>
    </row>
    <row r="921" spans="1:15" ht="75" x14ac:dyDescent="0.25">
      <c r="A921" s="133">
        <v>46183</v>
      </c>
      <c r="B921" s="145" t="s">
        <v>75</v>
      </c>
      <c r="C921" s="137" t="s">
        <v>616</v>
      </c>
      <c r="D921" s="88" t="s">
        <v>681</v>
      </c>
      <c r="E921" s="89">
        <v>0.47222222222222221</v>
      </c>
      <c r="F921" s="89">
        <v>0.64930555555555558</v>
      </c>
      <c r="G921" s="89">
        <f>F921-E921</f>
        <v>0.17708333333333337</v>
      </c>
      <c r="I921" s="133">
        <v>46183</v>
      </c>
      <c r="J921" s="145" t="s">
        <v>113</v>
      </c>
      <c r="K921" s="137" t="s">
        <v>680</v>
      </c>
      <c r="L921" s="88" t="s">
        <v>684</v>
      </c>
      <c r="M921" s="89">
        <v>0.81944444444444442</v>
      </c>
      <c r="N921" s="89">
        <v>0.96805555555555556</v>
      </c>
      <c r="O921" s="89">
        <f>N921-M921</f>
        <v>0.14861111111111114</v>
      </c>
    </row>
    <row r="922" spans="1:15" ht="30" x14ac:dyDescent="0.25">
      <c r="A922" s="134"/>
      <c r="B922" s="145"/>
      <c r="C922" s="138"/>
      <c r="D922" s="88" t="s">
        <v>682</v>
      </c>
      <c r="E922" s="89">
        <v>0.65277777777777779</v>
      </c>
      <c r="F922" s="89">
        <v>0.67013888888888884</v>
      </c>
      <c r="G922" s="89">
        <f t="shared" ref="G922:G924" si="216">F922-E922</f>
        <v>1.7361111111111049E-2</v>
      </c>
      <c r="I922" s="134"/>
      <c r="J922" s="145"/>
      <c r="K922" s="138"/>
      <c r="L922" s="88" t="s">
        <v>685</v>
      </c>
      <c r="M922" s="89">
        <v>0.20347222222222222</v>
      </c>
      <c r="N922" s="89">
        <v>0.18124999999999999</v>
      </c>
      <c r="O922" s="89">
        <f t="shared" ref="O922:O924" si="217">N922-M922</f>
        <v>-2.2222222222222227E-2</v>
      </c>
    </row>
    <row r="923" spans="1:15" ht="30" x14ac:dyDescent="0.25">
      <c r="A923" s="134"/>
      <c r="B923" s="145"/>
      <c r="C923" s="138"/>
      <c r="D923" s="114" t="s">
        <v>683</v>
      </c>
      <c r="E923" s="89">
        <v>0.67013888888888884</v>
      </c>
      <c r="F923" s="89">
        <v>0.79166666666666663</v>
      </c>
      <c r="G923" s="89">
        <f t="shared" si="216"/>
        <v>0.12152777777777779</v>
      </c>
      <c r="I923" s="134"/>
      <c r="J923" s="145"/>
      <c r="K923" s="138"/>
      <c r="L923" s="114" t="s">
        <v>686</v>
      </c>
      <c r="M923" s="89">
        <v>0.18124999999999999</v>
      </c>
      <c r="N923" s="89">
        <v>0.19930555555555557</v>
      </c>
      <c r="O923" s="89">
        <f t="shared" si="217"/>
        <v>1.8055555555555575E-2</v>
      </c>
    </row>
    <row r="924" spans="1:15" x14ac:dyDescent="0.25">
      <c r="A924" s="134"/>
      <c r="B924" s="145"/>
      <c r="C924" s="138"/>
      <c r="D924" s="114"/>
      <c r="E924" s="89">
        <v>0</v>
      </c>
      <c r="F924" s="89">
        <v>0</v>
      </c>
      <c r="G924" s="89">
        <f t="shared" si="216"/>
        <v>0</v>
      </c>
      <c r="I924" s="134"/>
      <c r="J924" s="145"/>
      <c r="K924" s="138"/>
      <c r="L924" s="114" t="s">
        <v>687</v>
      </c>
      <c r="M924" s="89">
        <v>3.2638888888888891E-2</v>
      </c>
      <c r="N924" s="89">
        <v>9.0277777777777776E-2</v>
      </c>
      <c r="O924" s="89">
        <f t="shared" si="217"/>
        <v>5.7638888888888885E-2</v>
      </c>
    </row>
    <row r="925" spans="1:15" x14ac:dyDescent="0.25">
      <c r="A925" s="134"/>
      <c r="B925" s="145"/>
      <c r="C925" s="138"/>
      <c r="D925" s="114"/>
      <c r="E925" s="89">
        <v>0</v>
      </c>
      <c r="F925" s="89">
        <v>0</v>
      </c>
      <c r="G925" s="89">
        <v>0</v>
      </c>
      <c r="I925" s="134"/>
      <c r="J925" s="145"/>
      <c r="K925" s="138"/>
      <c r="L925" s="98" t="s">
        <v>688</v>
      </c>
      <c r="M925" s="89">
        <v>0.20277777777777778</v>
      </c>
      <c r="N925" s="89">
        <v>0.21597222222222223</v>
      </c>
      <c r="O925" s="89">
        <v>0</v>
      </c>
    </row>
    <row r="926" spans="1:15" x14ac:dyDescent="0.25">
      <c r="A926" s="134"/>
      <c r="B926" s="145"/>
      <c r="C926" s="138"/>
      <c r="D926" s="114"/>
      <c r="E926" s="89">
        <v>0</v>
      </c>
      <c r="F926" s="89">
        <v>0</v>
      </c>
      <c r="G926" s="89">
        <f t="shared" ref="G926:G929" si="218">F926-E926</f>
        <v>0</v>
      </c>
      <c r="I926" s="134"/>
      <c r="J926" s="145"/>
      <c r="K926" s="138"/>
      <c r="L926" s="114" t="s">
        <v>689</v>
      </c>
      <c r="M926" s="89">
        <v>0</v>
      </c>
      <c r="N926" s="89">
        <v>0</v>
      </c>
      <c r="O926" s="89">
        <f t="shared" ref="O926:O929" si="219">N926-M926</f>
        <v>0</v>
      </c>
    </row>
    <row r="927" spans="1:15" x14ac:dyDescent="0.25">
      <c r="A927" s="134"/>
      <c r="B927" s="145"/>
      <c r="C927" s="138"/>
      <c r="D927" s="114"/>
      <c r="E927" s="89">
        <v>0</v>
      </c>
      <c r="F927" s="89">
        <v>0</v>
      </c>
      <c r="G927" s="89">
        <f t="shared" si="218"/>
        <v>0</v>
      </c>
      <c r="I927" s="134"/>
      <c r="J927" s="145"/>
      <c r="K927" s="138"/>
      <c r="L927" s="114"/>
      <c r="M927" s="89">
        <v>0</v>
      </c>
      <c r="N927" s="89">
        <v>0</v>
      </c>
      <c r="O927" s="89">
        <f t="shared" si="219"/>
        <v>0</v>
      </c>
    </row>
    <row r="928" spans="1:15" x14ac:dyDescent="0.25">
      <c r="A928" s="134"/>
      <c r="B928" s="145"/>
      <c r="C928" s="138"/>
      <c r="D928" s="114"/>
      <c r="E928" s="89">
        <v>0</v>
      </c>
      <c r="F928" s="89">
        <v>0</v>
      </c>
      <c r="G928" s="89">
        <f t="shared" si="218"/>
        <v>0</v>
      </c>
      <c r="I928" s="134"/>
      <c r="J928" s="145"/>
      <c r="K928" s="138"/>
      <c r="L928" s="114"/>
      <c r="M928" s="89">
        <v>0</v>
      </c>
      <c r="N928" s="89">
        <v>0</v>
      </c>
      <c r="O928" s="89">
        <f t="shared" si="219"/>
        <v>0</v>
      </c>
    </row>
    <row r="929" spans="1:15" x14ac:dyDescent="0.25">
      <c r="A929" s="134"/>
      <c r="B929" s="145"/>
      <c r="C929" s="138"/>
      <c r="D929" s="114"/>
      <c r="E929" s="89">
        <v>0</v>
      </c>
      <c r="F929" s="89">
        <v>0</v>
      </c>
      <c r="G929" s="89">
        <f t="shared" si="218"/>
        <v>0</v>
      </c>
      <c r="I929" s="134"/>
      <c r="J929" s="145"/>
      <c r="K929" s="138"/>
      <c r="L929" s="114"/>
      <c r="M929" s="89">
        <v>0</v>
      </c>
      <c r="N929" s="89">
        <v>0</v>
      </c>
      <c r="O929" s="89">
        <f t="shared" si="219"/>
        <v>0</v>
      </c>
    </row>
    <row r="930" spans="1:15" ht="15.75" thickBot="1" x14ac:dyDescent="0.3">
      <c r="A930" s="91"/>
      <c r="B930" s="91"/>
      <c r="C930" s="91"/>
      <c r="D930" s="91"/>
      <c r="E930" s="91"/>
      <c r="F930" s="91"/>
      <c r="G930" s="92">
        <f>SUM(G921:G929)</f>
        <v>0.31597222222222221</v>
      </c>
      <c r="I930" s="91"/>
      <c r="J930" s="91"/>
      <c r="K930" s="91"/>
      <c r="L930" s="91"/>
      <c r="M930" s="91"/>
      <c r="N930" s="91"/>
      <c r="O930" s="92">
        <f>SUM(O921:O929)</f>
        <v>0.20208333333333336</v>
      </c>
    </row>
    <row r="931" spans="1:15" ht="45" x14ac:dyDescent="0.25">
      <c r="A931" s="133">
        <v>46184</v>
      </c>
      <c r="B931" s="145" t="s">
        <v>77</v>
      </c>
      <c r="C931" s="137" t="s">
        <v>616</v>
      </c>
      <c r="D931" s="88" t="s">
        <v>691</v>
      </c>
      <c r="E931" s="89">
        <v>0.33333333333333331</v>
      </c>
      <c r="F931" s="89">
        <v>0.375</v>
      </c>
      <c r="G931" s="89">
        <f>F931-E931</f>
        <v>4.1666666666666685E-2</v>
      </c>
      <c r="I931" s="133">
        <v>46184</v>
      </c>
      <c r="J931" s="145" t="s">
        <v>75</v>
      </c>
      <c r="K931" s="137" t="s">
        <v>616</v>
      </c>
      <c r="L931" s="88" t="s">
        <v>696</v>
      </c>
      <c r="M931" s="89">
        <v>0.86805555555555558</v>
      </c>
      <c r="N931" s="89">
        <v>0.88194444444444442</v>
      </c>
      <c r="O931" s="89">
        <f>N931-M931</f>
        <v>1.388888888888884E-2</v>
      </c>
    </row>
    <row r="932" spans="1:15" ht="30" x14ac:dyDescent="0.25">
      <c r="A932" s="134"/>
      <c r="B932" s="145"/>
      <c r="C932" s="138"/>
      <c r="D932" s="88" t="s">
        <v>692</v>
      </c>
      <c r="E932" s="89">
        <v>0</v>
      </c>
      <c r="F932" s="89">
        <v>0</v>
      </c>
      <c r="G932" s="89">
        <f t="shared" ref="G932:G934" si="220">F932-E932</f>
        <v>0</v>
      </c>
      <c r="I932" s="134"/>
      <c r="J932" s="145"/>
      <c r="K932" s="138"/>
      <c r="L932" s="88" t="s">
        <v>697</v>
      </c>
      <c r="M932" s="89">
        <v>0.98263888888888884</v>
      </c>
      <c r="N932" s="89">
        <v>1.0034722222222223</v>
      </c>
      <c r="O932" s="89">
        <f t="shared" ref="O932:O934" si="221">N932-M932</f>
        <v>2.0833333333333481E-2</v>
      </c>
    </row>
    <row r="933" spans="1:15" ht="30" x14ac:dyDescent="0.25">
      <c r="A933" s="134"/>
      <c r="B933" s="145"/>
      <c r="C933" s="138"/>
      <c r="D933" s="114" t="s">
        <v>693</v>
      </c>
      <c r="E933" s="89">
        <v>0.69444444444444442</v>
      </c>
      <c r="F933" s="89">
        <v>0.70833333333333337</v>
      </c>
      <c r="G933" s="89">
        <f t="shared" si="220"/>
        <v>1.3888888888888951E-2</v>
      </c>
      <c r="I933" s="134"/>
      <c r="J933" s="145"/>
      <c r="K933" s="138"/>
      <c r="L933" s="114" t="s">
        <v>698</v>
      </c>
      <c r="M933" s="89">
        <v>1.0069444444444444</v>
      </c>
      <c r="N933" s="89">
        <v>1.0208333333333333</v>
      </c>
      <c r="O933" s="89">
        <f t="shared" si="221"/>
        <v>1.388888888888884E-2</v>
      </c>
    </row>
    <row r="934" spans="1:15" ht="30" x14ac:dyDescent="0.25">
      <c r="A934" s="134"/>
      <c r="B934" s="145"/>
      <c r="C934" s="138"/>
      <c r="D934" s="114" t="s">
        <v>694</v>
      </c>
      <c r="E934" s="89">
        <v>0.70833333333333337</v>
      </c>
      <c r="F934" s="89">
        <v>0.72569444444444442</v>
      </c>
      <c r="G934" s="89">
        <f t="shared" si="220"/>
        <v>1.7361111111111049E-2</v>
      </c>
      <c r="I934" s="134"/>
      <c r="J934" s="145"/>
      <c r="K934" s="138"/>
      <c r="L934" s="114"/>
      <c r="M934" s="89">
        <v>0</v>
      </c>
      <c r="N934" s="89">
        <v>0</v>
      </c>
      <c r="O934" s="89">
        <f t="shared" si="221"/>
        <v>0</v>
      </c>
    </row>
    <row r="935" spans="1:15" x14ac:dyDescent="0.25">
      <c r="A935" s="134"/>
      <c r="B935" s="145"/>
      <c r="C935" s="138"/>
      <c r="D935" s="114"/>
      <c r="E935" s="89">
        <v>0</v>
      </c>
      <c r="F935" s="89">
        <v>0</v>
      </c>
      <c r="G935" s="89">
        <v>0</v>
      </c>
      <c r="I935" s="134"/>
      <c r="J935" s="145"/>
      <c r="K935" s="138"/>
      <c r="L935" s="114"/>
      <c r="M935" s="89">
        <v>0</v>
      </c>
      <c r="N935" s="89">
        <v>0</v>
      </c>
      <c r="O935" s="89">
        <v>0</v>
      </c>
    </row>
    <row r="936" spans="1:15" x14ac:dyDescent="0.25">
      <c r="A936" s="134"/>
      <c r="B936" s="145"/>
      <c r="C936" s="138"/>
      <c r="D936" s="114"/>
      <c r="E936" s="89">
        <v>0</v>
      </c>
      <c r="F936" s="89">
        <v>0</v>
      </c>
      <c r="G936" s="89">
        <f t="shared" ref="G936:G939" si="222">F936-E936</f>
        <v>0</v>
      </c>
      <c r="I936" s="134"/>
      <c r="J936" s="145"/>
      <c r="K936" s="138"/>
      <c r="L936" s="114"/>
      <c r="M936" s="89">
        <v>0</v>
      </c>
      <c r="N936" s="89">
        <v>0</v>
      </c>
      <c r="O936" s="89">
        <f t="shared" ref="O936:O939" si="223">N936-M936</f>
        <v>0</v>
      </c>
    </row>
    <row r="937" spans="1:15" x14ac:dyDescent="0.25">
      <c r="A937" s="134"/>
      <c r="B937" s="145"/>
      <c r="C937" s="138"/>
      <c r="D937" s="114"/>
      <c r="E937" s="89">
        <v>0</v>
      </c>
      <c r="F937" s="89">
        <v>0</v>
      </c>
      <c r="G937" s="89">
        <f t="shared" si="222"/>
        <v>0</v>
      </c>
      <c r="I937" s="134"/>
      <c r="J937" s="145"/>
      <c r="K937" s="138"/>
      <c r="L937" s="114"/>
      <c r="M937" s="89">
        <v>0</v>
      </c>
      <c r="N937" s="89">
        <v>0</v>
      </c>
      <c r="O937" s="89">
        <f t="shared" si="223"/>
        <v>0</v>
      </c>
    </row>
    <row r="938" spans="1:15" x14ac:dyDescent="0.25">
      <c r="A938" s="134"/>
      <c r="B938" s="145"/>
      <c r="C938" s="138"/>
      <c r="D938" s="114"/>
      <c r="E938" s="89">
        <v>0</v>
      </c>
      <c r="F938" s="89">
        <v>0</v>
      </c>
      <c r="G938" s="89">
        <f t="shared" si="222"/>
        <v>0</v>
      </c>
      <c r="I938" s="134"/>
      <c r="J938" s="145"/>
      <c r="K938" s="138"/>
      <c r="L938" s="114"/>
      <c r="M938" s="89">
        <v>0</v>
      </c>
      <c r="N938" s="89">
        <v>0</v>
      </c>
      <c r="O938" s="89">
        <f t="shared" si="223"/>
        <v>0</v>
      </c>
    </row>
    <row r="939" spans="1:15" x14ac:dyDescent="0.25">
      <c r="A939" s="134"/>
      <c r="B939" s="145"/>
      <c r="C939" s="138"/>
      <c r="D939" s="114"/>
      <c r="E939" s="89">
        <v>0</v>
      </c>
      <c r="F939" s="89">
        <v>0</v>
      </c>
      <c r="G939" s="89">
        <f t="shared" si="222"/>
        <v>0</v>
      </c>
      <c r="I939" s="134"/>
      <c r="J939" s="145"/>
      <c r="K939" s="138"/>
      <c r="L939" s="114"/>
      <c r="M939" s="89">
        <v>0</v>
      </c>
      <c r="N939" s="89">
        <v>0</v>
      </c>
      <c r="O939" s="89">
        <f t="shared" si="223"/>
        <v>0</v>
      </c>
    </row>
    <row r="940" spans="1:15" ht="15.75" thickBot="1" x14ac:dyDescent="0.3">
      <c r="A940" s="91"/>
      <c r="B940" s="91"/>
      <c r="C940" s="91"/>
      <c r="D940" s="91"/>
      <c r="E940" s="91"/>
      <c r="F940" s="91"/>
      <c r="G940" s="92">
        <f>SUM(G931:G939)</f>
        <v>7.2916666666666685E-2</v>
      </c>
      <c r="I940" s="91"/>
      <c r="J940" s="91"/>
      <c r="K940" s="91"/>
      <c r="L940" s="91"/>
      <c r="M940" s="91"/>
      <c r="N940" s="91"/>
      <c r="O940" s="92">
        <f>SUM(O931:O939)</f>
        <v>4.861111111111116E-2</v>
      </c>
    </row>
    <row r="941" spans="1:15" ht="60" x14ac:dyDescent="0.25">
      <c r="A941" s="133">
        <v>46185</v>
      </c>
      <c r="B941" s="145" t="s">
        <v>114</v>
      </c>
      <c r="C941" s="137" t="s">
        <v>616</v>
      </c>
      <c r="D941" s="88" t="s">
        <v>702</v>
      </c>
      <c r="E941" s="89">
        <v>0.42430555555555555</v>
      </c>
      <c r="F941" s="89">
        <v>0.55625000000000002</v>
      </c>
      <c r="G941" s="89">
        <f>F941-E941</f>
        <v>0.13194444444444448</v>
      </c>
      <c r="I941" s="133">
        <v>46185</v>
      </c>
      <c r="J941" s="145" t="s">
        <v>77</v>
      </c>
      <c r="K941" s="137" t="s">
        <v>616</v>
      </c>
      <c r="L941" s="88" t="s">
        <v>705</v>
      </c>
      <c r="M941" s="89">
        <v>0.90277777777777779</v>
      </c>
      <c r="N941" s="89">
        <v>0.92013888888888884</v>
      </c>
      <c r="O941" s="89">
        <f>N941-M941</f>
        <v>1.7361111111111049E-2</v>
      </c>
    </row>
    <row r="942" spans="1:15" ht="30" x14ac:dyDescent="0.25">
      <c r="A942" s="134"/>
      <c r="B942" s="145"/>
      <c r="C942" s="138"/>
      <c r="D942" s="88" t="s">
        <v>703</v>
      </c>
      <c r="E942" s="89">
        <v>0.6743055555555556</v>
      </c>
      <c r="F942" s="89">
        <v>0.74375000000000002</v>
      </c>
      <c r="G942" s="89">
        <f t="shared" ref="G942:G944" si="224">F942-E942</f>
        <v>6.944444444444442E-2</v>
      </c>
      <c r="I942" s="134"/>
      <c r="J942" s="145"/>
      <c r="K942" s="138"/>
      <c r="L942" s="88" t="s">
        <v>706</v>
      </c>
      <c r="M942" s="89">
        <v>0.92361111111111116</v>
      </c>
      <c r="N942" s="89">
        <v>0.9375</v>
      </c>
      <c r="O942" s="89">
        <f t="shared" ref="O942:O944" si="225">N942-M942</f>
        <v>1.388888888888884E-2</v>
      </c>
    </row>
    <row r="943" spans="1:15" x14ac:dyDescent="0.25">
      <c r="A943" s="134"/>
      <c r="B943" s="145"/>
      <c r="C943" s="138"/>
      <c r="D943" s="114"/>
      <c r="E943" s="89">
        <v>0</v>
      </c>
      <c r="F943" s="89">
        <v>0</v>
      </c>
      <c r="G943" s="89">
        <f t="shared" si="224"/>
        <v>0</v>
      </c>
      <c r="I943" s="134"/>
      <c r="J943" s="145"/>
      <c r="K943" s="138"/>
      <c r="L943" s="114" t="s">
        <v>707</v>
      </c>
      <c r="M943" s="89">
        <v>0.93958333333333333</v>
      </c>
      <c r="N943" s="89">
        <v>0.95486111111111116</v>
      </c>
      <c r="O943" s="89">
        <f t="shared" si="225"/>
        <v>1.5277777777777835E-2</v>
      </c>
    </row>
    <row r="944" spans="1:15" x14ac:dyDescent="0.25">
      <c r="A944" s="134"/>
      <c r="B944" s="145"/>
      <c r="C944" s="138"/>
      <c r="D944" s="114"/>
      <c r="E944" s="89">
        <v>0</v>
      </c>
      <c r="F944" s="89">
        <v>0</v>
      </c>
      <c r="G944" s="89">
        <f t="shared" si="224"/>
        <v>0</v>
      </c>
      <c r="I944" s="134"/>
      <c r="J944" s="145"/>
      <c r="K944" s="138"/>
      <c r="L944" s="114" t="s">
        <v>707</v>
      </c>
      <c r="M944" s="89">
        <v>0.18055555555555555</v>
      </c>
      <c r="N944" s="89">
        <v>0.1875</v>
      </c>
      <c r="O944" s="89">
        <f t="shared" si="225"/>
        <v>6.9444444444444475E-3</v>
      </c>
    </row>
    <row r="945" spans="1:15" x14ac:dyDescent="0.25">
      <c r="A945" s="134"/>
      <c r="B945" s="145"/>
      <c r="C945" s="138"/>
      <c r="D945" s="114"/>
      <c r="E945" s="89">
        <v>0</v>
      </c>
      <c r="F945" s="89">
        <v>0</v>
      </c>
      <c r="G945" s="89">
        <v>0</v>
      </c>
      <c r="I945" s="134"/>
      <c r="J945" s="145"/>
      <c r="K945" s="138"/>
      <c r="L945" s="114"/>
      <c r="M945" s="89">
        <v>0</v>
      </c>
      <c r="N945" s="89">
        <v>0</v>
      </c>
      <c r="O945" s="89">
        <v>0</v>
      </c>
    </row>
    <row r="946" spans="1:15" x14ac:dyDescent="0.25">
      <c r="A946" s="134"/>
      <c r="B946" s="145"/>
      <c r="C946" s="138"/>
      <c r="D946" s="114"/>
      <c r="E946" s="89">
        <v>0</v>
      </c>
      <c r="F946" s="89">
        <v>0</v>
      </c>
      <c r="G946" s="89">
        <f t="shared" ref="G946:G949" si="226">F946-E946</f>
        <v>0</v>
      </c>
      <c r="I946" s="134"/>
      <c r="J946" s="145"/>
      <c r="K946" s="138"/>
      <c r="L946" s="114"/>
      <c r="M946" s="89">
        <v>0</v>
      </c>
      <c r="N946" s="89">
        <v>0</v>
      </c>
      <c r="O946" s="89">
        <f t="shared" ref="O946:O949" si="227">N946-M946</f>
        <v>0</v>
      </c>
    </row>
    <row r="947" spans="1:15" x14ac:dyDescent="0.25">
      <c r="A947" s="134"/>
      <c r="B947" s="145"/>
      <c r="C947" s="138"/>
      <c r="D947" s="114"/>
      <c r="E947" s="89">
        <v>0</v>
      </c>
      <c r="F947" s="89">
        <v>0</v>
      </c>
      <c r="G947" s="89">
        <f t="shared" si="226"/>
        <v>0</v>
      </c>
      <c r="I947" s="134"/>
      <c r="J947" s="145"/>
      <c r="K947" s="138"/>
      <c r="L947" s="114"/>
      <c r="M947" s="89">
        <v>0</v>
      </c>
      <c r="N947" s="89">
        <v>0</v>
      </c>
      <c r="O947" s="89">
        <f t="shared" si="227"/>
        <v>0</v>
      </c>
    </row>
    <row r="948" spans="1:15" x14ac:dyDescent="0.25">
      <c r="A948" s="134"/>
      <c r="B948" s="145"/>
      <c r="C948" s="138"/>
      <c r="D948" s="114"/>
      <c r="E948" s="89">
        <v>0</v>
      </c>
      <c r="F948" s="89">
        <v>0</v>
      </c>
      <c r="G948" s="89">
        <f t="shared" si="226"/>
        <v>0</v>
      </c>
      <c r="I948" s="134"/>
      <c r="J948" s="145"/>
      <c r="K948" s="138"/>
      <c r="L948" s="114"/>
      <c r="M948" s="89">
        <v>0</v>
      </c>
      <c r="N948" s="89">
        <v>0</v>
      </c>
      <c r="O948" s="89">
        <f t="shared" si="227"/>
        <v>0</v>
      </c>
    </row>
    <row r="949" spans="1:15" x14ac:dyDescent="0.25">
      <c r="A949" s="134"/>
      <c r="B949" s="145"/>
      <c r="C949" s="138"/>
      <c r="D949" s="114"/>
      <c r="E949" s="89">
        <v>0</v>
      </c>
      <c r="F949" s="89">
        <v>0</v>
      </c>
      <c r="G949" s="89">
        <f t="shared" si="226"/>
        <v>0</v>
      </c>
      <c r="I949" s="134"/>
      <c r="J949" s="145"/>
      <c r="K949" s="138"/>
      <c r="L949" s="114"/>
      <c r="M949" s="89">
        <v>0</v>
      </c>
      <c r="N949" s="89">
        <v>0</v>
      </c>
      <c r="O949" s="89">
        <f t="shared" si="227"/>
        <v>0</v>
      </c>
    </row>
    <row r="950" spans="1:15" ht="15.75" thickBot="1" x14ac:dyDescent="0.3">
      <c r="A950" s="91"/>
      <c r="B950" s="91"/>
      <c r="C950" s="91"/>
      <c r="D950" s="91"/>
      <c r="E950" s="91"/>
      <c r="F950" s="91"/>
      <c r="G950" s="92">
        <f>SUM(G941:G949)</f>
        <v>0.2013888888888889</v>
      </c>
      <c r="I950" s="91"/>
      <c r="J950" s="91"/>
      <c r="K950" s="91"/>
      <c r="L950" s="91"/>
      <c r="M950" s="91"/>
      <c r="N950" s="91"/>
      <c r="O950" s="92">
        <f>SUM(O941:O949)</f>
        <v>5.3472222222222171E-2</v>
      </c>
    </row>
    <row r="951" spans="1:15" x14ac:dyDescent="0.25">
      <c r="A951" s="133">
        <v>46186</v>
      </c>
      <c r="B951" s="145" t="s">
        <v>113</v>
      </c>
      <c r="C951" s="137" t="s">
        <v>616</v>
      </c>
      <c r="D951" s="88" t="s">
        <v>709</v>
      </c>
      <c r="E951" s="89">
        <v>0.34166666666666667</v>
      </c>
      <c r="F951" s="89">
        <v>0.54305555555555551</v>
      </c>
      <c r="G951" s="89">
        <f>F951-E951</f>
        <v>0.20138888888888884</v>
      </c>
      <c r="I951" s="133">
        <v>46186</v>
      </c>
      <c r="J951" s="145" t="s">
        <v>114</v>
      </c>
      <c r="K951" s="137" t="s">
        <v>83</v>
      </c>
      <c r="L951" s="88"/>
      <c r="M951" s="89">
        <v>0</v>
      </c>
      <c r="N951" s="89">
        <v>0</v>
      </c>
      <c r="O951" s="89">
        <f>N951-M951</f>
        <v>0</v>
      </c>
    </row>
    <row r="952" spans="1:15" x14ac:dyDescent="0.25">
      <c r="A952" s="134"/>
      <c r="B952" s="145"/>
      <c r="C952" s="138"/>
      <c r="D952" s="88" t="s">
        <v>710</v>
      </c>
      <c r="E952" s="89">
        <v>0.34166666666666667</v>
      </c>
      <c r="F952" s="89">
        <v>0.4465277777777778</v>
      </c>
      <c r="G952" s="89">
        <f t="shared" ref="G952:G954" si="228">F952-E952</f>
        <v>0.10486111111111113</v>
      </c>
      <c r="I952" s="134"/>
      <c r="J952" s="145"/>
      <c r="K952" s="138"/>
      <c r="L952" s="88"/>
      <c r="M952" s="89">
        <v>0</v>
      </c>
      <c r="N952" s="89">
        <v>0</v>
      </c>
      <c r="O952" s="89">
        <f t="shared" ref="O952:O954" si="229">N952-M952</f>
        <v>0</v>
      </c>
    </row>
    <row r="953" spans="1:15" ht="30" x14ac:dyDescent="0.25">
      <c r="A953" s="134"/>
      <c r="B953" s="145"/>
      <c r="C953" s="138"/>
      <c r="D953" s="114" t="s">
        <v>711</v>
      </c>
      <c r="E953" s="89">
        <v>0.52986111111111112</v>
      </c>
      <c r="F953" s="89">
        <v>47</v>
      </c>
      <c r="G953" s="89">
        <f t="shared" si="228"/>
        <v>46.47013888888889</v>
      </c>
      <c r="I953" s="134"/>
      <c r="J953" s="145"/>
      <c r="K953" s="138"/>
      <c r="L953" s="114"/>
      <c r="M953" s="89">
        <v>0</v>
      </c>
      <c r="N953" s="89">
        <v>0</v>
      </c>
      <c r="O953" s="89">
        <f t="shared" si="229"/>
        <v>0</v>
      </c>
    </row>
    <row r="954" spans="1:15" x14ac:dyDescent="0.25">
      <c r="A954" s="134"/>
      <c r="B954" s="145"/>
      <c r="C954" s="138"/>
      <c r="D954" s="114"/>
      <c r="E954" s="89">
        <v>0</v>
      </c>
      <c r="F954" s="89">
        <v>0</v>
      </c>
      <c r="G954" s="89">
        <f t="shared" si="228"/>
        <v>0</v>
      </c>
      <c r="I954" s="134"/>
      <c r="J954" s="145"/>
      <c r="K954" s="138"/>
      <c r="L954" s="114"/>
      <c r="M954" s="89">
        <v>0</v>
      </c>
      <c r="N954" s="89">
        <v>0</v>
      </c>
      <c r="O954" s="89">
        <f t="shared" si="229"/>
        <v>0</v>
      </c>
    </row>
    <row r="955" spans="1:15" x14ac:dyDescent="0.25">
      <c r="A955" s="134"/>
      <c r="B955" s="145"/>
      <c r="C955" s="138"/>
      <c r="D955" s="114"/>
      <c r="E955" s="89">
        <v>0</v>
      </c>
      <c r="F955" s="89">
        <v>0</v>
      </c>
      <c r="G955" s="89">
        <v>0</v>
      </c>
      <c r="I955" s="134"/>
      <c r="J955" s="145"/>
      <c r="K955" s="138"/>
      <c r="L955" s="114"/>
      <c r="M955" s="89">
        <v>0</v>
      </c>
      <c r="N955" s="89">
        <v>0</v>
      </c>
      <c r="O955" s="89">
        <v>0</v>
      </c>
    </row>
    <row r="956" spans="1:15" x14ac:dyDescent="0.25">
      <c r="A956" s="134"/>
      <c r="B956" s="145"/>
      <c r="C956" s="138"/>
      <c r="D956" s="114"/>
      <c r="E956" s="89">
        <v>0</v>
      </c>
      <c r="F956" s="89">
        <v>0</v>
      </c>
      <c r="G956" s="89">
        <f t="shared" ref="G956:G959" si="230">F956-E956</f>
        <v>0</v>
      </c>
      <c r="I956" s="134"/>
      <c r="J956" s="145"/>
      <c r="K956" s="138"/>
      <c r="L956" s="114"/>
      <c r="M956" s="89">
        <v>0</v>
      </c>
      <c r="N956" s="89">
        <v>0</v>
      </c>
      <c r="O956" s="89">
        <f t="shared" ref="O956:O959" si="231">N956-M956</f>
        <v>0</v>
      </c>
    </row>
    <row r="957" spans="1:15" x14ac:dyDescent="0.25">
      <c r="A957" s="134"/>
      <c r="B957" s="145"/>
      <c r="C957" s="138"/>
      <c r="D957" s="114"/>
      <c r="E957" s="89">
        <v>0</v>
      </c>
      <c r="F957" s="89">
        <v>0</v>
      </c>
      <c r="G957" s="89">
        <f t="shared" si="230"/>
        <v>0</v>
      </c>
      <c r="I957" s="134"/>
      <c r="J957" s="145"/>
      <c r="K957" s="138"/>
      <c r="L957" s="114"/>
      <c r="M957" s="89">
        <v>0</v>
      </c>
      <c r="N957" s="89">
        <v>0</v>
      </c>
      <c r="O957" s="89">
        <f t="shared" si="231"/>
        <v>0</v>
      </c>
    </row>
    <row r="958" spans="1:15" x14ac:dyDescent="0.25">
      <c r="A958" s="134"/>
      <c r="B958" s="145"/>
      <c r="C958" s="138"/>
      <c r="D958" s="114"/>
      <c r="E958" s="89">
        <v>0</v>
      </c>
      <c r="F958" s="89">
        <v>0</v>
      </c>
      <c r="G958" s="89">
        <f t="shared" si="230"/>
        <v>0</v>
      </c>
      <c r="I958" s="134"/>
      <c r="J958" s="145"/>
      <c r="K958" s="138"/>
      <c r="L958" s="114"/>
      <c r="M958" s="89">
        <v>0</v>
      </c>
      <c r="N958" s="89">
        <v>0</v>
      </c>
      <c r="O958" s="89">
        <f t="shared" si="231"/>
        <v>0</v>
      </c>
    </row>
    <row r="959" spans="1:15" x14ac:dyDescent="0.25">
      <c r="A959" s="134"/>
      <c r="B959" s="145"/>
      <c r="C959" s="138"/>
      <c r="D959" s="114"/>
      <c r="E959" s="89">
        <v>0</v>
      </c>
      <c r="F959" s="89">
        <v>0</v>
      </c>
      <c r="G959" s="89">
        <f t="shared" si="230"/>
        <v>0</v>
      </c>
      <c r="I959" s="134"/>
      <c r="J959" s="145"/>
      <c r="K959" s="138"/>
      <c r="L959" s="114"/>
      <c r="M959" s="89">
        <v>0</v>
      </c>
      <c r="N959" s="89">
        <v>0</v>
      </c>
      <c r="O959" s="89">
        <f t="shared" si="231"/>
        <v>0</v>
      </c>
    </row>
    <row r="960" spans="1:15" ht="15.75" thickBot="1" x14ac:dyDescent="0.3">
      <c r="A960" s="91"/>
      <c r="B960" s="91"/>
      <c r="C960" s="91"/>
      <c r="D960" s="91"/>
      <c r="E960" s="91"/>
      <c r="F960" s="91"/>
      <c r="G960" s="92">
        <f>SUM(G951:G959)</f>
        <v>46.776388888888889</v>
      </c>
      <c r="I960" s="91"/>
      <c r="J960" s="91"/>
      <c r="K960" s="91"/>
      <c r="L960" s="91"/>
      <c r="M960" s="91"/>
      <c r="N960" s="91"/>
      <c r="O960" s="92">
        <f>SUM(O951:O959)</f>
        <v>0</v>
      </c>
    </row>
    <row r="961" spans="1:15" ht="45" x14ac:dyDescent="0.25">
      <c r="A961" s="133">
        <v>46187</v>
      </c>
      <c r="B961" s="145" t="s">
        <v>75</v>
      </c>
      <c r="C961" s="137" t="s">
        <v>616</v>
      </c>
      <c r="D961" s="88" t="s">
        <v>714</v>
      </c>
      <c r="E961" s="89">
        <v>0.40625</v>
      </c>
      <c r="F961" s="89">
        <v>0.44097222222222221</v>
      </c>
      <c r="G961" s="89">
        <f>F961-E961</f>
        <v>3.472222222222221E-2</v>
      </c>
      <c r="I961" s="133">
        <v>46187</v>
      </c>
      <c r="J961" s="145" t="s">
        <v>113</v>
      </c>
      <c r="K961" s="137" t="s">
        <v>83</v>
      </c>
      <c r="L961" s="88" t="s">
        <v>718</v>
      </c>
      <c r="M961" s="89">
        <v>0.81944444444444442</v>
      </c>
      <c r="N961" s="89">
        <v>0.83402777777777781</v>
      </c>
      <c r="O961" s="89">
        <f>N961-M961</f>
        <v>1.4583333333333393E-2</v>
      </c>
    </row>
    <row r="962" spans="1:15" ht="30" x14ac:dyDescent="0.25">
      <c r="A962" s="134"/>
      <c r="B962" s="145"/>
      <c r="C962" s="138"/>
      <c r="D962" s="88" t="s">
        <v>716</v>
      </c>
      <c r="E962" s="89">
        <v>0.45833333333333331</v>
      </c>
      <c r="F962" s="89">
        <v>0.47222222222222221</v>
      </c>
      <c r="G962" s="89">
        <f t="shared" ref="G962:G964" si="232">F962-E962</f>
        <v>1.3888888888888895E-2</v>
      </c>
      <c r="I962" s="134"/>
      <c r="J962" s="145"/>
      <c r="K962" s="138"/>
      <c r="L962" s="88"/>
      <c r="M962" s="89">
        <v>0</v>
      </c>
      <c r="N962" s="89">
        <v>0</v>
      </c>
      <c r="O962" s="89">
        <f t="shared" ref="O962:O964" si="233">N962-M962</f>
        <v>0</v>
      </c>
    </row>
    <row r="963" spans="1:15" x14ac:dyDescent="0.25">
      <c r="A963" s="134"/>
      <c r="B963" s="145"/>
      <c r="C963" s="138"/>
      <c r="D963" s="114" t="s">
        <v>715</v>
      </c>
      <c r="E963" s="89">
        <v>0.64930555555555558</v>
      </c>
      <c r="F963" s="89">
        <v>0.66319444444444442</v>
      </c>
      <c r="G963" s="89">
        <f t="shared" si="232"/>
        <v>1.388888888888884E-2</v>
      </c>
      <c r="I963" s="134"/>
      <c r="J963" s="145"/>
      <c r="K963" s="138"/>
      <c r="L963" s="114"/>
      <c r="M963" s="89">
        <v>0</v>
      </c>
      <c r="N963" s="89">
        <v>0</v>
      </c>
      <c r="O963" s="89">
        <f t="shared" si="233"/>
        <v>0</v>
      </c>
    </row>
    <row r="964" spans="1:15" x14ac:dyDescent="0.25">
      <c r="A964" s="134"/>
      <c r="B964" s="145"/>
      <c r="C964" s="138"/>
      <c r="D964" s="114"/>
      <c r="E964" s="89">
        <v>0</v>
      </c>
      <c r="F964" s="89">
        <v>0</v>
      </c>
      <c r="G964" s="89">
        <f t="shared" si="232"/>
        <v>0</v>
      </c>
      <c r="I964" s="134"/>
      <c r="J964" s="145"/>
      <c r="K964" s="138"/>
      <c r="L964" s="114"/>
      <c r="M964" s="89">
        <v>0</v>
      </c>
      <c r="N964" s="89">
        <v>0</v>
      </c>
      <c r="O964" s="89">
        <f t="shared" si="233"/>
        <v>0</v>
      </c>
    </row>
    <row r="965" spans="1:15" x14ac:dyDescent="0.25">
      <c r="A965" s="134"/>
      <c r="B965" s="145"/>
      <c r="C965" s="138"/>
      <c r="D965" s="114"/>
      <c r="E965" s="89">
        <v>0</v>
      </c>
      <c r="F965" s="89">
        <v>0</v>
      </c>
      <c r="G965" s="89">
        <v>0</v>
      </c>
      <c r="I965" s="134"/>
      <c r="J965" s="145"/>
      <c r="K965" s="138"/>
      <c r="L965" s="114"/>
      <c r="M965" s="89">
        <v>0</v>
      </c>
      <c r="N965" s="89">
        <v>0</v>
      </c>
      <c r="O965" s="89">
        <v>0</v>
      </c>
    </row>
    <row r="966" spans="1:15" x14ac:dyDescent="0.25">
      <c r="A966" s="134"/>
      <c r="B966" s="145"/>
      <c r="C966" s="138"/>
      <c r="D966" s="114"/>
      <c r="E966" s="89">
        <v>0</v>
      </c>
      <c r="F966" s="89">
        <v>0</v>
      </c>
      <c r="G966" s="89">
        <f t="shared" ref="G966:G969" si="234">F966-E966</f>
        <v>0</v>
      </c>
      <c r="I966" s="134"/>
      <c r="J966" s="145"/>
      <c r="K966" s="138"/>
      <c r="L966" s="114"/>
      <c r="M966" s="89">
        <v>0</v>
      </c>
      <c r="N966" s="89">
        <v>0</v>
      </c>
      <c r="O966" s="89">
        <f t="shared" ref="O966:O969" si="235">N966-M966</f>
        <v>0</v>
      </c>
    </row>
    <row r="967" spans="1:15" x14ac:dyDescent="0.25">
      <c r="A967" s="134"/>
      <c r="B967" s="145"/>
      <c r="C967" s="138"/>
      <c r="D967" s="114"/>
      <c r="E967" s="89">
        <v>0</v>
      </c>
      <c r="F967" s="89">
        <v>0</v>
      </c>
      <c r="G967" s="89">
        <f t="shared" si="234"/>
        <v>0</v>
      </c>
      <c r="I967" s="134"/>
      <c r="J967" s="145"/>
      <c r="K967" s="138"/>
      <c r="L967" s="114"/>
      <c r="M967" s="89">
        <v>0</v>
      </c>
      <c r="N967" s="89">
        <v>0</v>
      </c>
      <c r="O967" s="89">
        <f t="shared" si="235"/>
        <v>0</v>
      </c>
    </row>
    <row r="968" spans="1:15" x14ac:dyDescent="0.25">
      <c r="A968" s="134"/>
      <c r="B968" s="145"/>
      <c r="C968" s="138"/>
      <c r="D968" s="114"/>
      <c r="E968" s="89">
        <v>0</v>
      </c>
      <c r="F968" s="89">
        <v>0</v>
      </c>
      <c r="G968" s="89">
        <f t="shared" si="234"/>
        <v>0</v>
      </c>
      <c r="I968" s="134"/>
      <c r="J968" s="145"/>
      <c r="K968" s="138"/>
      <c r="L968" s="114"/>
      <c r="M968" s="89">
        <v>0</v>
      </c>
      <c r="N968" s="89">
        <v>0</v>
      </c>
      <c r="O968" s="89">
        <f t="shared" si="235"/>
        <v>0</v>
      </c>
    </row>
    <row r="969" spans="1:15" x14ac:dyDescent="0.25">
      <c r="A969" s="134"/>
      <c r="B969" s="145"/>
      <c r="C969" s="138"/>
      <c r="D969" s="114"/>
      <c r="E969" s="89">
        <v>0</v>
      </c>
      <c r="F969" s="89">
        <v>0</v>
      </c>
      <c r="G969" s="89">
        <f t="shared" si="234"/>
        <v>0</v>
      </c>
      <c r="I969" s="134"/>
      <c r="J969" s="145"/>
      <c r="K969" s="138"/>
      <c r="L969" s="114"/>
      <c r="M969" s="89">
        <v>0</v>
      </c>
      <c r="N969" s="89">
        <v>0</v>
      </c>
      <c r="O969" s="89">
        <f t="shared" si="235"/>
        <v>0</v>
      </c>
    </row>
    <row r="970" spans="1:15" ht="15.75" thickBot="1" x14ac:dyDescent="0.3">
      <c r="A970" s="91"/>
      <c r="B970" s="91"/>
      <c r="C970" s="91"/>
      <c r="D970" s="91"/>
      <c r="E970" s="91"/>
      <c r="F970" s="91"/>
      <c r="G970" s="92">
        <f>SUM(G961:G969)</f>
        <v>6.2499999999999944E-2</v>
      </c>
      <c r="I970" s="91"/>
      <c r="J970" s="91"/>
      <c r="K970" s="91"/>
      <c r="L970" s="91"/>
      <c r="M970" s="91"/>
      <c r="N970" s="91"/>
      <c r="O970" s="92">
        <f>SUM(O961:O969)</f>
        <v>1.4583333333333393E-2</v>
      </c>
    </row>
    <row r="971" spans="1:15" ht="30" x14ac:dyDescent="0.25">
      <c r="A971" s="133">
        <v>46188</v>
      </c>
      <c r="B971" s="145" t="s">
        <v>77</v>
      </c>
      <c r="C971" s="137" t="s">
        <v>616</v>
      </c>
      <c r="D971" s="88" t="s">
        <v>720</v>
      </c>
      <c r="E971" s="89">
        <v>0.3888888888888889</v>
      </c>
      <c r="F971" s="89">
        <v>0.40972222222222221</v>
      </c>
      <c r="G971" s="89">
        <f>F971-E971</f>
        <v>2.0833333333333315E-2</v>
      </c>
      <c r="I971" s="133">
        <v>46188</v>
      </c>
      <c r="J971" s="145" t="s">
        <v>75</v>
      </c>
      <c r="K971" s="137" t="s">
        <v>83</v>
      </c>
      <c r="L971" s="88" t="s">
        <v>724</v>
      </c>
      <c r="M971" s="89">
        <v>0.79166666666666663</v>
      </c>
      <c r="N971" s="89">
        <v>0.83333333333333337</v>
      </c>
      <c r="O971" s="89">
        <f>N971-M971</f>
        <v>4.1666666666666741E-2</v>
      </c>
    </row>
    <row r="972" spans="1:15" ht="30" x14ac:dyDescent="0.25">
      <c r="A972" s="134"/>
      <c r="B972" s="145"/>
      <c r="C972" s="138"/>
      <c r="D972" s="88" t="s">
        <v>721</v>
      </c>
      <c r="E972" s="89">
        <v>0.41319444444444442</v>
      </c>
      <c r="F972" s="89">
        <v>0.4375</v>
      </c>
      <c r="G972" s="89">
        <f t="shared" ref="G972:G974" si="236">F972-E972</f>
        <v>2.430555555555558E-2</v>
      </c>
      <c r="I972" s="134"/>
      <c r="J972" s="145"/>
      <c r="K972" s="138"/>
      <c r="L972" s="88" t="s">
        <v>725</v>
      </c>
      <c r="M972" s="89">
        <v>0.97916666666666663</v>
      </c>
      <c r="N972" s="89">
        <v>0.98958333333333337</v>
      </c>
      <c r="O972" s="89">
        <f t="shared" ref="O972:O974" si="237">N972-M972</f>
        <v>1.0416666666666741E-2</v>
      </c>
    </row>
    <row r="973" spans="1:15" x14ac:dyDescent="0.25">
      <c r="A973" s="134"/>
      <c r="B973" s="145"/>
      <c r="C973" s="138"/>
      <c r="D973" s="114" t="s">
        <v>722</v>
      </c>
      <c r="E973" s="89">
        <v>0.53472222222222221</v>
      </c>
      <c r="F973" s="89">
        <v>0.55208333333333337</v>
      </c>
      <c r="G973" s="89">
        <f t="shared" si="236"/>
        <v>1.736111111111116E-2</v>
      </c>
      <c r="I973" s="134"/>
      <c r="J973" s="145"/>
      <c r="K973" s="138"/>
      <c r="L973" s="114" t="s">
        <v>727</v>
      </c>
      <c r="M973" s="89">
        <v>0.12152777777777778</v>
      </c>
      <c r="N973" s="89">
        <v>0.13194444444444445</v>
      </c>
      <c r="O973" s="89">
        <f t="shared" si="237"/>
        <v>1.0416666666666671E-2</v>
      </c>
    </row>
    <row r="974" spans="1:15" ht="30" x14ac:dyDescent="0.25">
      <c r="A974" s="134"/>
      <c r="B974" s="145"/>
      <c r="C974" s="138"/>
      <c r="D974" s="114" t="s">
        <v>723</v>
      </c>
      <c r="E974" s="89">
        <v>0.66666666666666663</v>
      </c>
      <c r="F974" s="89">
        <v>0.72222222222222221</v>
      </c>
      <c r="G974" s="89">
        <f t="shared" si="236"/>
        <v>5.555555555555558E-2</v>
      </c>
      <c r="I974" s="134"/>
      <c r="J974" s="145"/>
      <c r="K974" s="138"/>
      <c r="L974" s="114"/>
      <c r="M974" s="89">
        <v>0</v>
      </c>
      <c r="N974" s="89">
        <v>0</v>
      </c>
      <c r="O974" s="89">
        <f t="shared" si="237"/>
        <v>0</v>
      </c>
    </row>
    <row r="975" spans="1:15" x14ac:dyDescent="0.25">
      <c r="A975" s="134"/>
      <c r="B975" s="145"/>
      <c r="C975" s="138"/>
      <c r="D975" s="114"/>
      <c r="E975" s="89">
        <v>0</v>
      </c>
      <c r="F975" s="89">
        <v>0</v>
      </c>
      <c r="G975" s="89">
        <v>0</v>
      </c>
      <c r="I975" s="134"/>
      <c r="J975" s="145"/>
      <c r="K975" s="138"/>
      <c r="L975" s="114"/>
      <c r="M975" s="89">
        <v>0</v>
      </c>
      <c r="N975" s="89">
        <v>0</v>
      </c>
      <c r="O975" s="89">
        <v>0</v>
      </c>
    </row>
    <row r="976" spans="1:15" x14ac:dyDescent="0.25">
      <c r="A976" s="134"/>
      <c r="B976" s="145"/>
      <c r="C976" s="138"/>
      <c r="D976" s="114"/>
      <c r="E976" s="89">
        <v>0</v>
      </c>
      <c r="F976" s="89">
        <v>0</v>
      </c>
      <c r="G976" s="89">
        <f t="shared" ref="G976:G979" si="238">F976-E976</f>
        <v>0</v>
      </c>
      <c r="I976" s="134"/>
      <c r="J976" s="145"/>
      <c r="K976" s="138"/>
      <c r="L976" s="114"/>
      <c r="M976" s="89">
        <v>0</v>
      </c>
      <c r="N976" s="89">
        <v>0</v>
      </c>
      <c r="O976" s="89">
        <f t="shared" ref="O976:O979" si="239">N976-M976</f>
        <v>0</v>
      </c>
    </row>
    <row r="977" spans="1:15" x14ac:dyDescent="0.25">
      <c r="A977" s="134"/>
      <c r="B977" s="145"/>
      <c r="C977" s="138"/>
      <c r="D977" s="114"/>
      <c r="E977" s="89">
        <v>0</v>
      </c>
      <c r="F977" s="89">
        <v>0</v>
      </c>
      <c r="G977" s="89">
        <f t="shared" si="238"/>
        <v>0</v>
      </c>
      <c r="I977" s="134"/>
      <c r="J977" s="145"/>
      <c r="K977" s="138"/>
      <c r="L977" s="114"/>
      <c r="M977" s="89">
        <v>0</v>
      </c>
      <c r="N977" s="89">
        <v>0</v>
      </c>
      <c r="O977" s="89">
        <f t="shared" si="239"/>
        <v>0</v>
      </c>
    </row>
    <row r="978" spans="1:15" x14ac:dyDescent="0.25">
      <c r="A978" s="134"/>
      <c r="B978" s="145"/>
      <c r="C978" s="138"/>
      <c r="D978" s="114"/>
      <c r="E978" s="89">
        <v>0</v>
      </c>
      <c r="F978" s="89">
        <v>0</v>
      </c>
      <c r="G978" s="89">
        <f t="shared" si="238"/>
        <v>0</v>
      </c>
      <c r="I978" s="134"/>
      <c r="J978" s="145"/>
      <c r="K978" s="138"/>
      <c r="L978" s="114"/>
      <c r="M978" s="89">
        <v>0</v>
      </c>
      <c r="N978" s="89">
        <v>0</v>
      </c>
      <c r="O978" s="89">
        <f t="shared" si="239"/>
        <v>0</v>
      </c>
    </row>
    <row r="979" spans="1:15" x14ac:dyDescent="0.25">
      <c r="A979" s="134"/>
      <c r="B979" s="145"/>
      <c r="C979" s="138"/>
      <c r="D979" s="114"/>
      <c r="E979" s="89">
        <v>0</v>
      </c>
      <c r="F979" s="89">
        <v>0</v>
      </c>
      <c r="G979" s="89">
        <f t="shared" si="238"/>
        <v>0</v>
      </c>
      <c r="I979" s="134"/>
      <c r="J979" s="145"/>
      <c r="K979" s="138"/>
      <c r="L979" s="114"/>
      <c r="M979" s="89">
        <v>0</v>
      </c>
      <c r="N979" s="89">
        <v>0</v>
      </c>
      <c r="O979" s="89">
        <f t="shared" si="239"/>
        <v>0</v>
      </c>
    </row>
    <row r="980" spans="1:15" ht="15.75" thickBot="1" x14ac:dyDescent="0.3">
      <c r="A980" s="91"/>
      <c r="B980" s="91"/>
      <c r="C980" s="91"/>
      <c r="D980" s="91"/>
      <c r="E980" s="91"/>
      <c r="F980" s="91"/>
      <c r="G980" s="92">
        <f>SUM(G971:G979)</f>
        <v>0.11805555555555564</v>
      </c>
      <c r="I980" s="91"/>
      <c r="J980" s="91"/>
      <c r="K980" s="91"/>
      <c r="L980" s="91"/>
      <c r="M980" s="91"/>
      <c r="N980" s="91"/>
      <c r="O980" s="92">
        <f>SUM(O971:O979)</f>
        <v>6.2500000000000153E-2</v>
      </c>
    </row>
    <row r="981" spans="1:15" ht="49.15" customHeight="1" x14ac:dyDescent="0.25">
      <c r="A981" s="133">
        <v>46189</v>
      </c>
      <c r="B981" s="145" t="s">
        <v>114</v>
      </c>
      <c r="C981" s="137" t="s">
        <v>616</v>
      </c>
      <c r="D981" s="88" t="s">
        <v>729</v>
      </c>
      <c r="E981" s="89">
        <v>0.4152777777777778</v>
      </c>
      <c r="F981" s="89">
        <v>0.58750000000000002</v>
      </c>
      <c r="G981" s="89">
        <f>F981-E981</f>
        <v>0.17222222222222222</v>
      </c>
      <c r="I981" s="133">
        <v>46189</v>
      </c>
      <c r="J981" s="145" t="s">
        <v>77</v>
      </c>
      <c r="K981" s="137" t="s">
        <v>83</v>
      </c>
      <c r="L981" s="88" t="s">
        <v>731</v>
      </c>
      <c r="M981" s="89">
        <v>0.95833333333333337</v>
      </c>
      <c r="N981" s="89">
        <v>0.98611111111111116</v>
      </c>
      <c r="O981" s="89">
        <f>N981-M981</f>
        <v>2.777777777777779E-2</v>
      </c>
    </row>
    <row r="982" spans="1:15" x14ac:dyDescent="0.25">
      <c r="A982" s="134"/>
      <c r="B982" s="145"/>
      <c r="C982" s="138"/>
      <c r="D982" s="88"/>
      <c r="E982" s="89">
        <v>0</v>
      </c>
      <c r="F982" s="89">
        <v>0</v>
      </c>
      <c r="G982" s="89">
        <f t="shared" ref="G982:G984" si="240">F982-E982</f>
        <v>0</v>
      </c>
      <c r="I982" s="134"/>
      <c r="J982" s="145"/>
      <c r="K982" s="138"/>
      <c r="L982" s="98" t="s">
        <v>732</v>
      </c>
      <c r="M982" s="89">
        <v>0.22222222222222221</v>
      </c>
      <c r="N982" s="89">
        <v>0.2361111111111111</v>
      </c>
      <c r="O982" s="89">
        <f t="shared" ref="O982:O984" si="241">N982-M982</f>
        <v>1.3888888888888895E-2</v>
      </c>
    </row>
    <row r="983" spans="1:15" x14ac:dyDescent="0.25">
      <c r="A983" s="134"/>
      <c r="B983" s="145"/>
      <c r="C983" s="138"/>
      <c r="D983" s="114"/>
      <c r="E983" s="89">
        <v>0</v>
      </c>
      <c r="F983" s="89">
        <v>0</v>
      </c>
      <c r="G983" s="89">
        <f t="shared" si="240"/>
        <v>0</v>
      </c>
      <c r="I983" s="134"/>
      <c r="J983" s="145"/>
      <c r="K983" s="138"/>
      <c r="L983" s="114"/>
      <c r="M983" s="89">
        <v>0</v>
      </c>
      <c r="N983" s="89">
        <v>0</v>
      </c>
      <c r="O983" s="89">
        <f t="shared" si="241"/>
        <v>0</v>
      </c>
    </row>
    <row r="984" spans="1:15" x14ac:dyDescent="0.25">
      <c r="A984" s="134"/>
      <c r="B984" s="145"/>
      <c r="C984" s="138"/>
      <c r="D984" s="114"/>
      <c r="E984" s="89">
        <v>0</v>
      </c>
      <c r="F984" s="89">
        <v>0</v>
      </c>
      <c r="G984" s="89">
        <f t="shared" si="240"/>
        <v>0</v>
      </c>
      <c r="I984" s="134"/>
      <c r="J984" s="145"/>
      <c r="K984" s="138"/>
      <c r="L984" s="114"/>
      <c r="M984" s="89">
        <v>0</v>
      </c>
      <c r="N984" s="89">
        <v>0</v>
      </c>
      <c r="O984" s="89">
        <f t="shared" si="241"/>
        <v>0</v>
      </c>
    </row>
    <row r="985" spans="1:15" x14ac:dyDescent="0.25">
      <c r="A985" s="134"/>
      <c r="B985" s="145"/>
      <c r="C985" s="138"/>
      <c r="D985" s="114"/>
      <c r="E985" s="89">
        <v>0</v>
      </c>
      <c r="F985" s="89">
        <v>0</v>
      </c>
      <c r="G985" s="89">
        <v>0</v>
      </c>
      <c r="I985" s="134"/>
      <c r="J985" s="145"/>
      <c r="K985" s="138"/>
      <c r="L985" s="114"/>
      <c r="M985" s="89">
        <v>0</v>
      </c>
      <c r="N985" s="89">
        <v>0</v>
      </c>
      <c r="O985" s="89">
        <v>0</v>
      </c>
    </row>
    <row r="986" spans="1:15" x14ac:dyDescent="0.25">
      <c r="A986" s="134"/>
      <c r="B986" s="145"/>
      <c r="C986" s="138"/>
      <c r="D986" s="114"/>
      <c r="E986" s="89">
        <v>0</v>
      </c>
      <c r="F986" s="89">
        <v>0</v>
      </c>
      <c r="G986" s="89">
        <f t="shared" ref="G986:G989" si="242">F986-E986</f>
        <v>0</v>
      </c>
      <c r="I986" s="134"/>
      <c r="J986" s="145"/>
      <c r="K986" s="138"/>
      <c r="L986" s="114"/>
      <c r="M986" s="89">
        <v>0</v>
      </c>
      <c r="N986" s="89">
        <v>0</v>
      </c>
      <c r="O986" s="89">
        <f t="shared" ref="O986:O989" si="243">N986-M986</f>
        <v>0</v>
      </c>
    </row>
    <row r="987" spans="1:15" x14ac:dyDescent="0.25">
      <c r="A987" s="134"/>
      <c r="B987" s="145"/>
      <c r="C987" s="138"/>
      <c r="D987" s="114"/>
      <c r="E987" s="89">
        <v>0</v>
      </c>
      <c r="F987" s="89">
        <v>0</v>
      </c>
      <c r="G987" s="89">
        <f t="shared" si="242"/>
        <v>0</v>
      </c>
      <c r="I987" s="134"/>
      <c r="J987" s="145"/>
      <c r="K987" s="138"/>
      <c r="L987" s="114"/>
      <c r="M987" s="89">
        <v>0</v>
      </c>
      <c r="N987" s="89">
        <v>0</v>
      </c>
      <c r="O987" s="89">
        <f t="shared" si="243"/>
        <v>0</v>
      </c>
    </row>
    <row r="988" spans="1:15" x14ac:dyDescent="0.25">
      <c r="A988" s="134"/>
      <c r="B988" s="145"/>
      <c r="C988" s="138"/>
      <c r="D988" s="114"/>
      <c r="E988" s="89">
        <v>0</v>
      </c>
      <c r="F988" s="89">
        <v>5</v>
      </c>
      <c r="G988" s="89">
        <f t="shared" si="242"/>
        <v>5</v>
      </c>
      <c r="I988" s="134"/>
      <c r="J988" s="145"/>
      <c r="K988" s="138"/>
      <c r="L988" s="114"/>
      <c r="M988" s="89">
        <v>0</v>
      </c>
      <c r="N988" s="89">
        <v>0</v>
      </c>
      <c r="O988" s="89">
        <f t="shared" si="243"/>
        <v>0</v>
      </c>
    </row>
    <row r="989" spans="1:15" x14ac:dyDescent="0.25">
      <c r="A989" s="134"/>
      <c r="B989" s="145"/>
      <c r="C989" s="138"/>
      <c r="D989" s="114"/>
      <c r="E989" s="89">
        <v>0</v>
      </c>
      <c r="F989" s="89">
        <v>0</v>
      </c>
      <c r="G989" s="89">
        <f t="shared" si="242"/>
        <v>0</v>
      </c>
      <c r="I989" s="134"/>
      <c r="J989" s="145"/>
      <c r="K989" s="138"/>
      <c r="L989" s="114"/>
      <c r="M989" s="89">
        <v>0</v>
      </c>
      <c r="N989" s="89">
        <v>0</v>
      </c>
      <c r="O989" s="89">
        <f t="shared" si="243"/>
        <v>0</v>
      </c>
    </row>
    <row r="990" spans="1:15" ht="15.75" thickBot="1" x14ac:dyDescent="0.3">
      <c r="A990" s="91"/>
      <c r="B990" s="91"/>
      <c r="C990" s="91"/>
      <c r="D990" s="91"/>
      <c r="E990" s="91"/>
      <c r="F990" s="91"/>
      <c r="G990" s="92">
        <f>SUM(G981:G989)</f>
        <v>5.1722222222222225</v>
      </c>
      <c r="I990" s="91"/>
      <c r="J990" s="91"/>
      <c r="K990" s="91"/>
      <c r="L990" s="91"/>
      <c r="M990" s="91"/>
      <c r="N990" s="91"/>
      <c r="O990" s="92">
        <f>SUM(O981:O989)</f>
        <v>4.1666666666666685E-2</v>
      </c>
    </row>
    <row r="991" spans="1:15" ht="25.9" customHeight="1" x14ac:dyDescent="0.25">
      <c r="A991" s="133">
        <v>46190</v>
      </c>
      <c r="B991" s="145" t="s">
        <v>113</v>
      </c>
      <c r="C991" s="137" t="s">
        <v>616</v>
      </c>
      <c r="D991" s="88" t="s">
        <v>734</v>
      </c>
      <c r="E991" s="89">
        <v>0.57152777777777775</v>
      </c>
      <c r="F991" s="89">
        <v>0.58125000000000004</v>
      </c>
      <c r="G991" s="89">
        <f>F991-E991</f>
        <v>9.7222222222222987E-3</v>
      </c>
      <c r="I991" s="133">
        <v>46190</v>
      </c>
      <c r="J991" s="145" t="s">
        <v>114</v>
      </c>
      <c r="K991" s="137" t="s">
        <v>83</v>
      </c>
      <c r="L991" s="119" t="s">
        <v>737</v>
      </c>
      <c r="M991" s="89">
        <v>0.9194444444444444</v>
      </c>
      <c r="N991" s="89">
        <v>0.95347222222222228</v>
      </c>
      <c r="O991" s="89">
        <f>N991-M991</f>
        <v>3.4027777777777879E-2</v>
      </c>
    </row>
    <row r="992" spans="1:15" ht="30" x14ac:dyDescent="0.25">
      <c r="A992" s="134"/>
      <c r="B992" s="145"/>
      <c r="C992" s="138"/>
      <c r="D992" s="88" t="s">
        <v>735</v>
      </c>
      <c r="E992" s="89">
        <v>0.75277777777777777</v>
      </c>
      <c r="F992" s="89">
        <v>0.76944444444444449</v>
      </c>
      <c r="G992" s="89">
        <f t="shared" ref="G992:G994" si="244">F992-E992</f>
        <v>1.6666666666666718E-2</v>
      </c>
      <c r="I992" s="134"/>
      <c r="J992" s="145"/>
      <c r="K992" s="138"/>
      <c r="L992" s="88"/>
      <c r="M992" s="89">
        <v>0</v>
      </c>
      <c r="N992" s="89">
        <v>0</v>
      </c>
      <c r="O992" s="89">
        <f t="shared" ref="O992:O994" si="245">N992-M992</f>
        <v>0</v>
      </c>
    </row>
    <row r="993" spans="1:15" x14ac:dyDescent="0.25">
      <c r="A993" s="134"/>
      <c r="B993" s="145"/>
      <c r="C993" s="138"/>
      <c r="D993" s="114"/>
      <c r="E993" s="89">
        <v>0</v>
      </c>
      <c r="F993" s="89">
        <v>0</v>
      </c>
      <c r="G993" s="89">
        <f t="shared" si="244"/>
        <v>0</v>
      </c>
      <c r="I993" s="134"/>
      <c r="J993" s="145"/>
      <c r="K993" s="138"/>
      <c r="L993" s="114"/>
      <c r="M993" s="89">
        <v>0</v>
      </c>
      <c r="N993" s="89">
        <v>0</v>
      </c>
      <c r="O993" s="89">
        <f t="shared" si="245"/>
        <v>0</v>
      </c>
    </row>
    <row r="994" spans="1:15" x14ac:dyDescent="0.25">
      <c r="A994" s="134"/>
      <c r="B994" s="145"/>
      <c r="C994" s="138"/>
      <c r="D994" s="114"/>
      <c r="E994" s="89">
        <v>0</v>
      </c>
      <c r="F994" s="89">
        <v>0</v>
      </c>
      <c r="G994" s="89">
        <f t="shared" si="244"/>
        <v>0</v>
      </c>
      <c r="I994" s="134"/>
      <c r="J994" s="145"/>
      <c r="K994" s="138"/>
      <c r="L994" s="114"/>
      <c r="M994" s="89">
        <v>0</v>
      </c>
      <c r="N994" s="89">
        <v>0</v>
      </c>
      <c r="O994" s="89">
        <f t="shared" si="245"/>
        <v>0</v>
      </c>
    </row>
    <row r="995" spans="1:15" x14ac:dyDescent="0.25">
      <c r="A995" s="134"/>
      <c r="B995" s="145"/>
      <c r="C995" s="138"/>
      <c r="D995" s="114"/>
      <c r="E995" s="89">
        <v>0</v>
      </c>
      <c r="F995" s="89">
        <v>0</v>
      </c>
      <c r="G995" s="89">
        <v>0</v>
      </c>
      <c r="I995" s="134"/>
      <c r="J995" s="145"/>
      <c r="K995" s="138"/>
      <c r="L995" s="114"/>
      <c r="M995" s="89">
        <v>0</v>
      </c>
      <c r="N995" s="89">
        <v>0</v>
      </c>
      <c r="O995" s="89">
        <v>0</v>
      </c>
    </row>
    <row r="996" spans="1:15" x14ac:dyDescent="0.25">
      <c r="A996" s="134"/>
      <c r="B996" s="145"/>
      <c r="C996" s="138"/>
      <c r="D996" s="114"/>
      <c r="E996" s="89">
        <v>0</v>
      </c>
      <c r="F996" s="89">
        <v>0</v>
      </c>
      <c r="G996" s="89">
        <f t="shared" ref="G996:G999" si="246">F996-E996</f>
        <v>0</v>
      </c>
      <c r="I996" s="134"/>
      <c r="J996" s="145"/>
      <c r="K996" s="138"/>
      <c r="L996" s="114"/>
      <c r="M996" s="89">
        <v>0</v>
      </c>
      <c r="N996" s="89">
        <v>0</v>
      </c>
      <c r="O996" s="89">
        <f t="shared" ref="O996:O999" si="247">N996-M996</f>
        <v>0</v>
      </c>
    </row>
    <row r="997" spans="1:15" x14ac:dyDescent="0.25">
      <c r="A997" s="134"/>
      <c r="B997" s="145"/>
      <c r="C997" s="138"/>
      <c r="D997" s="114"/>
      <c r="E997" s="89">
        <v>0</v>
      </c>
      <c r="F997" s="89">
        <v>0</v>
      </c>
      <c r="G997" s="89">
        <f t="shared" si="246"/>
        <v>0</v>
      </c>
      <c r="I997" s="134"/>
      <c r="J997" s="145"/>
      <c r="K997" s="138"/>
      <c r="L997" s="114"/>
      <c r="M997" s="89">
        <v>0</v>
      </c>
      <c r="N997" s="89">
        <v>0</v>
      </c>
      <c r="O997" s="89">
        <f t="shared" si="247"/>
        <v>0</v>
      </c>
    </row>
    <row r="998" spans="1:15" x14ac:dyDescent="0.25">
      <c r="A998" s="134"/>
      <c r="B998" s="145"/>
      <c r="C998" s="138"/>
      <c r="D998" s="114"/>
      <c r="E998" s="89">
        <v>0</v>
      </c>
      <c r="F998" s="89">
        <v>0</v>
      </c>
      <c r="G998" s="89">
        <f t="shared" si="246"/>
        <v>0</v>
      </c>
      <c r="I998" s="134"/>
      <c r="J998" s="145"/>
      <c r="K998" s="138"/>
      <c r="L998" s="114"/>
      <c r="M998" s="89">
        <v>0</v>
      </c>
      <c r="N998" s="89">
        <v>0</v>
      </c>
      <c r="O998" s="89">
        <f t="shared" si="247"/>
        <v>0</v>
      </c>
    </row>
    <row r="999" spans="1:15" x14ac:dyDescent="0.25">
      <c r="A999" s="134"/>
      <c r="B999" s="145"/>
      <c r="C999" s="138"/>
      <c r="D999" s="114"/>
      <c r="E999" s="89">
        <v>0</v>
      </c>
      <c r="F999" s="89">
        <v>0</v>
      </c>
      <c r="G999" s="89">
        <f t="shared" si="246"/>
        <v>0</v>
      </c>
      <c r="I999" s="134"/>
      <c r="J999" s="145"/>
      <c r="K999" s="138"/>
      <c r="L999" s="114"/>
      <c r="M999" s="89">
        <v>0</v>
      </c>
      <c r="N999" s="89">
        <v>0</v>
      </c>
      <c r="O999" s="89">
        <f t="shared" si="247"/>
        <v>0</v>
      </c>
    </row>
    <row r="1000" spans="1:15" ht="15.75" thickBot="1" x14ac:dyDescent="0.3">
      <c r="A1000" s="91"/>
      <c r="B1000" s="91"/>
      <c r="C1000" s="91"/>
      <c r="D1000" s="91"/>
      <c r="E1000" s="91"/>
      <c r="F1000" s="91"/>
      <c r="G1000" s="92">
        <f>SUM(G991:G999)</f>
        <v>2.6388888888889017E-2</v>
      </c>
      <c r="I1000" s="91"/>
      <c r="J1000" s="91"/>
      <c r="K1000" s="91"/>
      <c r="L1000" s="91"/>
      <c r="M1000" s="91"/>
      <c r="N1000" s="91"/>
      <c r="O1000" s="92">
        <f>SUM(O991:O999)</f>
        <v>3.4027777777777879E-2</v>
      </c>
    </row>
    <row r="1001" spans="1:15" ht="75" x14ac:dyDescent="0.25">
      <c r="A1001" s="133">
        <v>46191</v>
      </c>
      <c r="B1001" s="145" t="s">
        <v>75</v>
      </c>
      <c r="C1001" s="137" t="s">
        <v>616</v>
      </c>
      <c r="D1001" s="88" t="s">
        <v>738</v>
      </c>
      <c r="E1001" s="89">
        <v>0.40833333333333333</v>
      </c>
      <c r="F1001" s="89">
        <v>0.54513888888888884</v>
      </c>
      <c r="G1001" s="89">
        <f>F1001-E1001</f>
        <v>0.13680555555555551</v>
      </c>
      <c r="I1001" s="133">
        <v>46191</v>
      </c>
      <c r="J1001" s="145" t="s">
        <v>113</v>
      </c>
      <c r="K1001" s="137" t="s">
        <v>616</v>
      </c>
      <c r="L1001" s="88" t="s">
        <v>744</v>
      </c>
      <c r="M1001" s="89">
        <v>0.15138888888888888</v>
      </c>
      <c r="N1001" s="89">
        <v>0.16875000000000001</v>
      </c>
      <c r="O1001" s="89">
        <f>N1001-M1001</f>
        <v>1.7361111111111133E-2</v>
      </c>
    </row>
    <row r="1002" spans="1:15" ht="45" x14ac:dyDescent="0.25">
      <c r="A1002" s="134"/>
      <c r="B1002" s="145"/>
      <c r="C1002" s="138"/>
      <c r="D1002" s="88" t="s">
        <v>741</v>
      </c>
      <c r="E1002" s="89">
        <v>0.71527777777777779</v>
      </c>
      <c r="F1002" s="89">
        <v>0</v>
      </c>
      <c r="G1002" s="89">
        <f t="shared" ref="G1002:G1004" si="248">F1002-E1002</f>
        <v>-0.71527777777777779</v>
      </c>
      <c r="I1002" s="134"/>
      <c r="J1002" s="145"/>
      <c r="K1002" s="138"/>
      <c r="L1002" s="88" t="s">
        <v>743</v>
      </c>
      <c r="M1002" s="89">
        <v>0.18055555555555555</v>
      </c>
      <c r="N1002" s="89">
        <v>0.20277777777777778</v>
      </c>
      <c r="O1002" s="89">
        <f t="shared" ref="O1002:O1004" si="249">N1002-M1002</f>
        <v>2.2222222222222227E-2</v>
      </c>
    </row>
    <row r="1003" spans="1:15" x14ac:dyDescent="0.25">
      <c r="A1003" s="134"/>
      <c r="B1003" s="145"/>
      <c r="C1003" s="138"/>
      <c r="D1003" s="114"/>
      <c r="E1003" s="89">
        <v>0</v>
      </c>
      <c r="F1003" s="89">
        <v>0</v>
      </c>
      <c r="G1003" s="89">
        <f t="shared" si="248"/>
        <v>0</v>
      </c>
      <c r="I1003" s="134"/>
      <c r="J1003" s="145"/>
      <c r="K1003" s="138"/>
      <c r="L1003" s="114" t="s">
        <v>745</v>
      </c>
      <c r="M1003" s="89">
        <v>0</v>
      </c>
      <c r="N1003" s="89">
        <v>0</v>
      </c>
      <c r="O1003" s="89">
        <f t="shared" si="249"/>
        <v>0</v>
      </c>
    </row>
    <row r="1004" spans="1:15" ht="30" x14ac:dyDescent="0.25">
      <c r="A1004" s="134"/>
      <c r="B1004" s="145"/>
      <c r="C1004" s="138"/>
      <c r="D1004" s="114"/>
      <c r="E1004" s="89">
        <v>0</v>
      </c>
      <c r="F1004" s="89">
        <v>0</v>
      </c>
      <c r="G1004" s="89">
        <f t="shared" si="248"/>
        <v>0</v>
      </c>
      <c r="I1004" s="134"/>
      <c r="J1004" s="145"/>
      <c r="K1004" s="138"/>
      <c r="L1004" s="114" t="s">
        <v>746</v>
      </c>
      <c r="M1004" s="89">
        <v>0</v>
      </c>
      <c r="N1004" s="89">
        <v>0</v>
      </c>
      <c r="O1004" s="89">
        <f t="shared" si="249"/>
        <v>0</v>
      </c>
    </row>
    <row r="1005" spans="1:15" x14ac:dyDescent="0.25">
      <c r="A1005" s="134"/>
      <c r="B1005" s="145"/>
      <c r="C1005" s="138"/>
      <c r="D1005" s="114"/>
      <c r="E1005" s="89">
        <v>0</v>
      </c>
      <c r="F1005" s="89">
        <v>0</v>
      </c>
      <c r="G1005" s="89">
        <v>0</v>
      </c>
      <c r="I1005" s="134"/>
      <c r="J1005" s="145"/>
      <c r="K1005" s="138"/>
      <c r="L1005" s="114"/>
      <c r="M1005" s="89">
        <v>0</v>
      </c>
      <c r="N1005" s="89">
        <v>0</v>
      </c>
      <c r="O1005" s="89">
        <v>0</v>
      </c>
    </row>
    <row r="1006" spans="1:15" x14ac:dyDescent="0.25">
      <c r="A1006" s="134"/>
      <c r="B1006" s="145"/>
      <c r="C1006" s="138"/>
      <c r="D1006" s="114"/>
      <c r="E1006" s="89">
        <v>0</v>
      </c>
      <c r="F1006" s="89">
        <v>0</v>
      </c>
      <c r="G1006" s="89">
        <f t="shared" ref="G1006:G1009" si="250">F1006-E1006</f>
        <v>0</v>
      </c>
      <c r="I1006" s="134"/>
      <c r="J1006" s="145"/>
      <c r="K1006" s="138"/>
      <c r="L1006" s="114"/>
      <c r="M1006" s="89">
        <v>0</v>
      </c>
      <c r="N1006" s="89">
        <v>0</v>
      </c>
      <c r="O1006" s="89">
        <f t="shared" ref="O1006:O1009" si="251">N1006-M1006</f>
        <v>0</v>
      </c>
    </row>
    <row r="1007" spans="1:15" x14ac:dyDescent="0.25">
      <c r="A1007" s="134"/>
      <c r="B1007" s="145"/>
      <c r="C1007" s="138"/>
      <c r="D1007" s="114"/>
      <c r="E1007" s="89">
        <v>0</v>
      </c>
      <c r="F1007" s="89">
        <v>0</v>
      </c>
      <c r="G1007" s="89">
        <f t="shared" si="250"/>
        <v>0</v>
      </c>
      <c r="I1007" s="134"/>
      <c r="J1007" s="145"/>
      <c r="K1007" s="138"/>
      <c r="L1007" s="114"/>
      <c r="M1007" s="89">
        <v>0</v>
      </c>
      <c r="N1007" s="89">
        <v>0</v>
      </c>
      <c r="O1007" s="89">
        <f t="shared" si="251"/>
        <v>0</v>
      </c>
    </row>
    <row r="1008" spans="1:15" x14ac:dyDescent="0.25">
      <c r="A1008" s="134"/>
      <c r="B1008" s="145"/>
      <c r="C1008" s="138"/>
      <c r="D1008" s="114"/>
      <c r="E1008" s="89">
        <v>0</v>
      </c>
      <c r="F1008" s="89">
        <v>0</v>
      </c>
      <c r="G1008" s="89">
        <f t="shared" si="250"/>
        <v>0</v>
      </c>
      <c r="I1008" s="134"/>
      <c r="J1008" s="145"/>
      <c r="K1008" s="138"/>
      <c r="L1008" s="114"/>
      <c r="M1008" s="89">
        <v>0</v>
      </c>
      <c r="N1008" s="89">
        <v>0</v>
      </c>
      <c r="O1008" s="89">
        <f t="shared" si="251"/>
        <v>0</v>
      </c>
    </row>
    <row r="1009" spans="1:15" x14ac:dyDescent="0.25">
      <c r="A1009" s="134"/>
      <c r="B1009" s="145"/>
      <c r="C1009" s="138"/>
      <c r="D1009" s="114"/>
      <c r="E1009" s="89">
        <v>0</v>
      </c>
      <c r="F1009" s="89">
        <v>0</v>
      </c>
      <c r="G1009" s="89">
        <f t="shared" si="250"/>
        <v>0</v>
      </c>
      <c r="I1009" s="134"/>
      <c r="J1009" s="145"/>
      <c r="K1009" s="138"/>
      <c r="L1009" s="114"/>
      <c r="M1009" s="89">
        <v>0</v>
      </c>
      <c r="N1009" s="89">
        <v>0</v>
      </c>
      <c r="O1009" s="89">
        <f t="shared" si="251"/>
        <v>0</v>
      </c>
    </row>
    <row r="1010" spans="1:15" ht="15.75" thickBot="1" x14ac:dyDescent="0.3">
      <c r="A1010" s="91"/>
      <c r="B1010" s="91"/>
      <c r="C1010" s="91"/>
      <c r="D1010" s="91"/>
      <c r="E1010" s="91"/>
      <c r="F1010" s="91"/>
      <c r="G1010" s="92">
        <f>SUM(G1001:G1009)</f>
        <v>-0.57847222222222228</v>
      </c>
      <c r="I1010" s="91"/>
      <c r="J1010" s="91"/>
      <c r="K1010" s="91"/>
      <c r="L1010" s="91"/>
      <c r="M1010" s="91"/>
      <c r="N1010" s="91"/>
      <c r="O1010" s="92">
        <f>SUM(O1001:O1009)</f>
        <v>3.9583333333333359E-2</v>
      </c>
    </row>
    <row r="1011" spans="1:15" ht="30" x14ac:dyDescent="0.25">
      <c r="A1011" s="133">
        <v>46192</v>
      </c>
      <c r="B1011" s="145" t="s">
        <v>77</v>
      </c>
      <c r="C1011" s="137" t="s">
        <v>616</v>
      </c>
      <c r="D1011" s="88" t="s">
        <v>748</v>
      </c>
      <c r="E1011" s="89">
        <v>0.3611111111111111</v>
      </c>
      <c r="F1011" s="89">
        <v>0.40277777777777779</v>
      </c>
      <c r="G1011" s="89">
        <f>F1011-E1011</f>
        <v>4.1666666666666685E-2</v>
      </c>
      <c r="I1011" s="133">
        <v>46192</v>
      </c>
      <c r="J1011" s="145" t="s">
        <v>75</v>
      </c>
      <c r="K1011" s="137" t="s">
        <v>616</v>
      </c>
      <c r="L1011" s="88" t="s">
        <v>751</v>
      </c>
      <c r="M1011" s="89">
        <v>0</v>
      </c>
      <c r="N1011" s="89">
        <v>0</v>
      </c>
      <c r="O1011" s="89">
        <f>N1011-M1011</f>
        <v>0</v>
      </c>
    </row>
    <row r="1012" spans="1:15" x14ac:dyDescent="0.25">
      <c r="A1012" s="134"/>
      <c r="B1012" s="145"/>
      <c r="C1012" s="138"/>
      <c r="D1012" s="88" t="s">
        <v>749</v>
      </c>
      <c r="E1012" s="89">
        <v>0</v>
      </c>
      <c r="F1012" s="89">
        <v>0</v>
      </c>
      <c r="G1012" s="89">
        <f t="shared" ref="G1012:G1014" si="252">F1012-E1012</f>
        <v>0</v>
      </c>
      <c r="I1012" s="134"/>
      <c r="J1012" s="145"/>
      <c r="K1012" s="138"/>
      <c r="L1012" s="88"/>
      <c r="M1012" s="89">
        <v>0</v>
      </c>
      <c r="N1012" s="89">
        <v>0</v>
      </c>
      <c r="O1012" s="89">
        <f t="shared" ref="O1012:O1014" si="253">N1012-M1012</f>
        <v>0</v>
      </c>
    </row>
    <row r="1013" spans="1:15" x14ac:dyDescent="0.25">
      <c r="A1013" s="134"/>
      <c r="B1013" s="145"/>
      <c r="C1013" s="138"/>
      <c r="D1013" s="114"/>
      <c r="E1013" s="89">
        <v>0</v>
      </c>
      <c r="F1013" s="89">
        <v>0</v>
      </c>
      <c r="G1013" s="89">
        <f t="shared" si="252"/>
        <v>0</v>
      </c>
      <c r="I1013" s="134"/>
      <c r="J1013" s="145"/>
      <c r="K1013" s="138"/>
      <c r="L1013" s="114"/>
      <c r="M1013" s="89">
        <v>0</v>
      </c>
      <c r="N1013" s="89">
        <v>0</v>
      </c>
      <c r="O1013" s="89">
        <f t="shared" si="253"/>
        <v>0</v>
      </c>
    </row>
    <row r="1014" spans="1:15" x14ac:dyDescent="0.25">
      <c r="A1014" s="134"/>
      <c r="B1014" s="145"/>
      <c r="C1014" s="138"/>
      <c r="D1014" s="114"/>
      <c r="E1014" s="89">
        <v>0</v>
      </c>
      <c r="F1014" s="89">
        <v>0</v>
      </c>
      <c r="G1014" s="89">
        <f t="shared" si="252"/>
        <v>0</v>
      </c>
      <c r="I1014" s="134"/>
      <c r="J1014" s="145"/>
      <c r="K1014" s="138"/>
      <c r="L1014" s="114"/>
      <c r="M1014" s="89">
        <v>0</v>
      </c>
      <c r="N1014" s="89">
        <v>0</v>
      </c>
      <c r="O1014" s="89">
        <f t="shared" si="253"/>
        <v>0</v>
      </c>
    </row>
    <row r="1015" spans="1:15" x14ac:dyDescent="0.25">
      <c r="A1015" s="134"/>
      <c r="B1015" s="145"/>
      <c r="C1015" s="138"/>
      <c r="D1015" s="114"/>
      <c r="E1015" s="89">
        <v>0</v>
      </c>
      <c r="F1015" s="89">
        <v>0</v>
      </c>
      <c r="G1015" s="89">
        <v>0</v>
      </c>
      <c r="I1015" s="134"/>
      <c r="J1015" s="145"/>
      <c r="K1015" s="138"/>
      <c r="L1015" s="114"/>
      <c r="M1015" s="89">
        <v>0</v>
      </c>
      <c r="N1015" s="89">
        <v>0</v>
      </c>
      <c r="O1015" s="89">
        <v>0</v>
      </c>
    </row>
    <row r="1016" spans="1:15" x14ac:dyDescent="0.25">
      <c r="A1016" s="134"/>
      <c r="B1016" s="145"/>
      <c r="C1016" s="138"/>
      <c r="D1016" s="114"/>
      <c r="E1016" s="89">
        <v>0</v>
      </c>
      <c r="F1016" s="89">
        <v>0</v>
      </c>
      <c r="G1016" s="89">
        <f t="shared" ref="G1016:G1019" si="254">F1016-E1016</f>
        <v>0</v>
      </c>
      <c r="I1016" s="134"/>
      <c r="J1016" s="145"/>
      <c r="K1016" s="138"/>
      <c r="L1016" s="114"/>
      <c r="M1016" s="89">
        <v>0</v>
      </c>
      <c r="N1016" s="89">
        <v>0</v>
      </c>
      <c r="O1016" s="89">
        <f t="shared" ref="O1016:O1019" si="255">N1016-M1016</f>
        <v>0</v>
      </c>
    </row>
    <row r="1017" spans="1:15" x14ac:dyDescent="0.25">
      <c r="A1017" s="134"/>
      <c r="B1017" s="145"/>
      <c r="C1017" s="138"/>
      <c r="D1017" s="114"/>
      <c r="E1017" s="89">
        <v>0</v>
      </c>
      <c r="F1017" s="89">
        <v>0</v>
      </c>
      <c r="G1017" s="89">
        <f t="shared" si="254"/>
        <v>0</v>
      </c>
      <c r="I1017" s="134"/>
      <c r="J1017" s="145"/>
      <c r="K1017" s="138"/>
      <c r="L1017" s="114"/>
      <c r="M1017" s="89">
        <v>0</v>
      </c>
      <c r="N1017" s="89">
        <v>0</v>
      </c>
      <c r="O1017" s="89">
        <f t="shared" si="255"/>
        <v>0</v>
      </c>
    </row>
    <row r="1018" spans="1:15" x14ac:dyDescent="0.25">
      <c r="A1018" s="134"/>
      <c r="B1018" s="145"/>
      <c r="C1018" s="138"/>
      <c r="D1018" s="114"/>
      <c r="E1018" s="89">
        <v>0</v>
      </c>
      <c r="F1018" s="89">
        <v>0</v>
      </c>
      <c r="G1018" s="89">
        <f t="shared" si="254"/>
        <v>0</v>
      </c>
      <c r="I1018" s="134"/>
      <c r="J1018" s="145"/>
      <c r="K1018" s="138"/>
      <c r="L1018" s="114"/>
      <c r="M1018" s="89">
        <v>0</v>
      </c>
      <c r="N1018" s="89">
        <v>0</v>
      </c>
      <c r="O1018" s="89">
        <f t="shared" si="255"/>
        <v>0</v>
      </c>
    </row>
    <row r="1019" spans="1:15" x14ac:dyDescent="0.25">
      <c r="A1019" s="134"/>
      <c r="B1019" s="145"/>
      <c r="C1019" s="138"/>
      <c r="D1019" s="114"/>
      <c r="E1019" s="89">
        <v>0</v>
      </c>
      <c r="F1019" s="89">
        <v>0</v>
      </c>
      <c r="G1019" s="89">
        <f t="shared" si="254"/>
        <v>0</v>
      </c>
      <c r="I1019" s="134"/>
      <c r="J1019" s="145"/>
      <c r="K1019" s="138"/>
      <c r="L1019" s="114"/>
      <c r="M1019" s="89">
        <v>0</v>
      </c>
      <c r="N1019" s="89">
        <v>0</v>
      </c>
      <c r="O1019" s="89">
        <f t="shared" si="255"/>
        <v>0</v>
      </c>
    </row>
    <row r="1020" spans="1:15" ht="15.75" thickBot="1" x14ac:dyDescent="0.3">
      <c r="A1020" s="91"/>
      <c r="B1020" s="91"/>
      <c r="C1020" s="91"/>
      <c r="D1020" s="91"/>
      <c r="E1020" s="91"/>
      <c r="F1020" s="91"/>
      <c r="G1020" s="92">
        <f>SUM(G1011:G1019)</f>
        <v>4.1666666666666685E-2</v>
      </c>
      <c r="I1020" s="91"/>
      <c r="J1020" s="91"/>
      <c r="K1020" s="91"/>
      <c r="L1020" s="91"/>
      <c r="M1020" s="91"/>
      <c r="N1020" s="91"/>
      <c r="O1020" s="92">
        <f>SUM(O1011:O1019)</f>
        <v>0</v>
      </c>
    </row>
    <row r="1021" spans="1:15" ht="30" x14ac:dyDescent="0.25">
      <c r="A1021" s="133">
        <v>46193</v>
      </c>
      <c r="B1021" s="145" t="s">
        <v>114</v>
      </c>
      <c r="C1021" s="137" t="s">
        <v>616</v>
      </c>
      <c r="D1021" s="88"/>
      <c r="E1021" s="89">
        <v>0</v>
      </c>
      <c r="F1021" s="89">
        <v>0</v>
      </c>
      <c r="G1021" s="89">
        <f>F1021-E1021</f>
        <v>0</v>
      </c>
      <c r="I1021" s="133">
        <v>46193</v>
      </c>
      <c r="J1021" s="145" t="s">
        <v>77</v>
      </c>
      <c r="K1021" s="137" t="s">
        <v>83</v>
      </c>
      <c r="L1021" s="88" t="s">
        <v>754</v>
      </c>
      <c r="M1021" s="89">
        <v>0.96527777777777779</v>
      </c>
      <c r="N1021" s="89">
        <v>0.97916666666666663</v>
      </c>
      <c r="O1021" s="89">
        <f>N1021-M1021</f>
        <v>1.388888888888884E-2</v>
      </c>
    </row>
    <row r="1022" spans="1:15" x14ac:dyDescent="0.25">
      <c r="A1022" s="134"/>
      <c r="B1022" s="145"/>
      <c r="C1022" s="138"/>
      <c r="D1022" s="88"/>
      <c r="E1022" s="89">
        <v>0</v>
      </c>
      <c r="F1022" s="89">
        <v>0</v>
      </c>
      <c r="G1022" s="89">
        <f t="shared" ref="G1022:G1024" si="256">F1022-E1022</f>
        <v>0</v>
      </c>
      <c r="I1022" s="134"/>
      <c r="J1022" s="145"/>
      <c r="K1022" s="138"/>
      <c r="L1022" s="88" t="s">
        <v>755</v>
      </c>
      <c r="M1022" s="89">
        <v>0.83333333333333337</v>
      </c>
      <c r="N1022" s="89">
        <v>0.85069444444444442</v>
      </c>
      <c r="O1022" s="89">
        <f t="shared" ref="O1022:O1024" si="257">N1022-M1022</f>
        <v>1.7361111111111049E-2</v>
      </c>
    </row>
    <row r="1023" spans="1:15" ht="30" x14ac:dyDescent="0.25">
      <c r="A1023" s="134"/>
      <c r="B1023" s="145"/>
      <c r="C1023" s="138"/>
      <c r="D1023" s="114"/>
      <c r="E1023" s="89">
        <v>0</v>
      </c>
      <c r="F1023" s="89">
        <v>0</v>
      </c>
      <c r="G1023" s="89">
        <f t="shared" si="256"/>
        <v>0</v>
      </c>
      <c r="I1023" s="134"/>
      <c r="J1023" s="145"/>
      <c r="K1023" s="138"/>
      <c r="L1023" s="114" t="s">
        <v>756</v>
      </c>
      <c r="M1023" s="89">
        <v>0.2013888888888889</v>
      </c>
      <c r="N1023" s="89">
        <v>0.21180555555555555</v>
      </c>
      <c r="O1023" s="89">
        <f t="shared" si="257"/>
        <v>1.0416666666666657E-2</v>
      </c>
    </row>
    <row r="1024" spans="1:15" ht="30" x14ac:dyDescent="0.25">
      <c r="A1024" s="134"/>
      <c r="B1024" s="145"/>
      <c r="C1024" s="138"/>
      <c r="D1024" s="114"/>
      <c r="E1024" s="89">
        <v>0</v>
      </c>
      <c r="F1024" s="89">
        <v>0</v>
      </c>
      <c r="G1024" s="89">
        <f t="shared" si="256"/>
        <v>0</v>
      </c>
      <c r="I1024" s="134"/>
      <c r="J1024" s="145"/>
      <c r="K1024" s="138"/>
      <c r="L1024" s="114" t="s">
        <v>757</v>
      </c>
      <c r="M1024" s="89">
        <v>0.22222222222222221</v>
      </c>
      <c r="N1024" s="89">
        <v>0.2326388888888889</v>
      </c>
      <c r="O1024" s="89">
        <f t="shared" si="257"/>
        <v>1.0416666666666685E-2</v>
      </c>
    </row>
    <row r="1025" spans="1:15" x14ac:dyDescent="0.25">
      <c r="A1025" s="134"/>
      <c r="B1025" s="145"/>
      <c r="C1025" s="138"/>
      <c r="D1025" s="114"/>
      <c r="E1025" s="89">
        <v>0</v>
      </c>
      <c r="F1025" s="89">
        <v>0</v>
      </c>
      <c r="G1025" s="89">
        <v>0</v>
      </c>
      <c r="I1025" s="134"/>
      <c r="J1025" s="145"/>
      <c r="K1025" s="138"/>
      <c r="L1025" s="114"/>
      <c r="M1025" s="89">
        <v>0</v>
      </c>
      <c r="N1025" s="89">
        <v>0</v>
      </c>
      <c r="O1025" s="89">
        <v>0</v>
      </c>
    </row>
    <row r="1026" spans="1:15" x14ac:dyDescent="0.25">
      <c r="A1026" s="134"/>
      <c r="B1026" s="145"/>
      <c r="C1026" s="138"/>
      <c r="D1026" s="114"/>
      <c r="E1026" s="89">
        <v>0</v>
      </c>
      <c r="F1026" s="89">
        <v>0</v>
      </c>
      <c r="G1026" s="89">
        <f t="shared" ref="G1026:G1029" si="258">F1026-E1026</f>
        <v>0</v>
      </c>
      <c r="I1026" s="134"/>
      <c r="J1026" s="145"/>
      <c r="K1026" s="138"/>
      <c r="L1026" s="114"/>
      <c r="M1026" s="89">
        <v>0</v>
      </c>
      <c r="N1026" s="89">
        <v>0</v>
      </c>
      <c r="O1026" s="89">
        <f t="shared" ref="O1026:O1029" si="259">N1026-M1026</f>
        <v>0</v>
      </c>
    </row>
    <row r="1027" spans="1:15" x14ac:dyDescent="0.25">
      <c r="A1027" s="134"/>
      <c r="B1027" s="145"/>
      <c r="C1027" s="138"/>
      <c r="D1027" s="114"/>
      <c r="E1027" s="89">
        <v>0</v>
      </c>
      <c r="F1027" s="89">
        <v>0</v>
      </c>
      <c r="G1027" s="89">
        <f t="shared" si="258"/>
        <v>0</v>
      </c>
      <c r="I1027" s="134"/>
      <c r="J1027" s="145"/>
      <c r="K1027" s="138"/>
      <c r="L1027" s="114"/>
      <c r="M1027" s="89">
        <v>0</v>
      </c>
      <c r="N1027" s="89">
        <v>0</v>
      </c>
      <c r="O1027" s="89">
        <f t="shared" si="259"/>
        <v>0</v>
      </c>
    </row>
    <row r="1028" spans="1:15" x14ac:dyDescent="0.25">
      <c r="A1028" s="134"/>
      <c r="B1028" s="145"/>
      <c r="C1028" s="138"/>
      <c r="D1028" s="114"/>
      <c r="E1028" s="89">
        <v>0</v>
      </c>
      <c r="F1028" s="89">
        <v>0</v>
      </c>
      <c r="G1028" s="89">
        <f t="shared" si="258"/>
        <v>0</v>
      </c>
      <c r="I1028" s="134"/>
      <c r="J1028" s="145"/>
      <c r="K1028" s="138"/>
      <c r="L1028" s="114"/>
      <c r="M1028" s="89">
        <v>0</v>
      </c>
      <c r="N1028" s="89">
        <v>0</v>
      </c>
      <c r="O1028" s="89">
        <f t="shared" si="259"/>
        <v>0</v>
      </c>
    </row>
    <row r="1029" spans="1:15" x14ac:dyDescent="0.25">
      <c r="A1029" s="134"/>
      <c r="B1029" s="145"/>
      <c r="C1029" s="138"/>
      <c r="D1029" s="114"/>
      <c r="E1029" s="89">
        <v>0</v>
      </c>
      <c r="F1029" s="89">
        <v>0</v>
      </c>
      <c r="G1029" s="89">
        <f t="shared" si="258"/>
        <v>0</v>
      </c>
      <c r="I1029" s="134"/>
      <c r="J1029" s="145"/>
      <c r="K1029" s="138"/>
      <c r="L1029" s="114"/>
      <c r="M1029" s="89">
        <v>0</v>
      </c>
      <c r="N1029" s="89">
        <v>0</v>
      </c>
      <c r="O1029" s="89">
        <f t="shared" si="259"/>
        <v>0</v>
      </c>
    </row>
    <row r="1030" spans="1:15" ht="15.75" thickBot="1" x14ac:dyDescent="0.3">
      <c r="A1030" s="91"/>
      <c r="B1030" s="91"/>
      <c r="C1030" s="91"/>
      <c r="D1030" s="91"/>
      <c r="E1030" s="91"/>
      <c r="F1030" s="91"/>
      <c r="G1030" s="92">
        <f>SUM(G1021:G1029)</f>
        <v>0</v>
      </c>
      <c r="I1030" s="91"/>
      <c r="J1030" s="91"/>
      <c r="K1030" s="91"/>
      <c r="L1030" s="91"/>
      <c r="M1030" s="91"/>
      <c r="N1030" s="91"/>
      <c r="O1030" s="92">
        <f>SUM(O1021:O1029)</f>
        <v>5.2083333333333232E-2</v>
      </c>
    </row>
    <row r="1031" spans="1:15" ht="30" x14ac:dyDescent="0.25">
      <c r="A1031" s="133">
        <v>46194</v>
      </c>
      <c r="B1031" s="145" t="s">
        <v>113</v>
      </c>
      <c r="C1031" s="137" t="s">
        <v>616</v>
      </c>
      <c r="D1031" s="88" t="s">
        <v>759</v>
      </c>
      <c r="E1031" s="89">
        <v>0.63194444444444442</v>
      </c>
      <c r="F1031" s="89">
        <v>0.64722222222222225</v>
      </c>
      <c r="G1031" s="89">
        <f>F1031-E1031</f>
        <v>1.5277777777777835E-2</v>
      </c>
      <c r="I1031" s="133">
        <v>46194</v>
      </c>
      <c r="J1031" s="145" t="s">
        <v>114</v>
      </c>
      <c r="K1031" s="137" t="s">
        <v>616</v>
      </c>
      <c r="L1031" s="88" t="s">
        <v>762</v>
      </c>
      <c r="M1031" s="89">
        <v>0.81458333333333333</v>
      </c>
      <c r="N1031" s="89">
        <v>0.83333333333333337</v>
      </c>
      <c r="O1031" s="89">
        <f>N1031-M1031</f>
        <v>1.8750000000000044E-2</v>
      </c>
    </row>
    <row r="1032" spans="1:15" ht="30" x14ac:dyDescent="0.25">
      <c r="A1032" s="134"/>
      <c r="B1032" s="145"/>
      <c r="C1032" s="138"/>
      <c r="D1032" s="88" t="s">
        <v>760</v>
      </c>
      <c r="E1032" s="89">
        <v>0.29166666666666669</v>
      </c>
      <c r="F1032" s="89">
        <v>0.65833333333333333</v>
      </c>
      <c r="G1032" s="89">
        <f t="shared" ref="G1032:G1034" si="260">F1032-E1032</f>
        <v>0.36666666666666664</v>
      </c>
      <c r="I1032" s="134"/>
      <c r="J1032" s="145"/>
      <c r="K1032" s="138"/>
      <c r="L1032" s="88"/>
      <c r="M1032" s="89">
        <v>0</v>
      </c>
      <c r="N1032" s="89">
        <v>0</v>
      </c>
      <c r="O1032" s="89">
        <f t="shared" ref="O1032:O1034" si="261">N1032-M1032</f>
        <v>0</v>
      </c>
    </row>
    <row r="1033" spans="1:15" ht="30" x14ac:dyDescent="0.25">
      <c r="A1033" s="134"/>
      <c r="B1033" s="145"/>
      <c r="C1033" s="138"/>
      <c r="D1033" s="114" t="s">
        <v>761</v>
      </c>
      <c r="E1033" s="89">
        <v>0.68194444444444446</v>
      </c>
      <c r="F1033" s="89">
        <v>0.70277777777777772</v>
      </c>
      <c r="G1033" s="89">
        <f t="shared" si="260"/>
        <v>2.0833333333333259E-2</v>
      </c>
      <c r="I1033" s="134"/>
      <c r="J1033" s="145"/>
      <c r="K1033" s="138"/>
      <c r="L1033" s="114"/>
      <c r="M1033" s="89">
        <v>0</v>
      </c>
      <c r="N1033" s="89">
        <v>0</v>
      </c>
      <c r="O1033" s="89">
        <f t="shared" si="261"/>
        <v>0</v>
      </c>
    </row>
    <row r="1034" spans="1:15" x14ac:dyDescent="0.25">
      <c r="A1034" s="134"/>
      <c r="B1034" s="145"/>
      <c r="C1034" s="138"/>
      <c r="D1034" s="114"/>
      <c r="E1034" s="89">
        <v>0</v>
      </c>
      <c r="F1034" s="89">
        <v>0</v>
      </c>
      <c r="G1034" s="89">
        <f t="shared" si="260"/>
        <v>0</v>
      </c>
      <c r="I1034" s="134"/>
      <c r="J1034" s="145"/>
      <c r="K1034" s="138"/>
      <c r="L1034" s="114"/>
      <c r="M1034" s="89">
        <v>0</v>
      </c>
      <c r="N1034" s="89">
        <v>0</v>
      </c>
      <c r="O1034" s="89">
        <f t="shared" si="261"/>
        <v>0</v>
      </c>
    </row>
    <row r="1035" spans="1:15" x14ac:dyDescent="0.25">
      <c r="A1035" s="134"/>
      <c r="B1035" s="145"/>
      <c r="C1035" s="138"/>
      <c r="D1035" s="114"/>
      <c r="E1035" s="89">
        <v>0</v>
      </c>
      <c r="F1035" s="89">
        <v>0</v>
      </c>
      <c r="G1035" s="89">
        <v>0</v>
      </c>
      <c r="I1035" s="134"/>
      <c r="J1035" s="145"/>
      <c r="K1035" s="138"/>
      <c r="L1035" s="114"/>
      <c r="M1035" s="89">
        <v>0</v>
      </c>
      <c r="N1035" s="89">
        <v>0</v>
      </c>
      <c r="O1035" s="89">
        <v>0</v>
      </c>
    </row>
    <row r="1036" spans="1:15" x14ac:dyDescent="0.25">
      <c r="A1036" s="134"/>
      <c r="B1036" s="145"/>
      <c r="C1036" s="138"/>
      <c r="D1036" s="114"/>
      <c r="E1036" s="89">
        <v>0</v>
      </c>
      <c r="F1036" s="89">
        <v>0</v>
      </c>
      <c r="G1036" s="89">
        <f t="shared" ref="G1036:G1039" si="262">F1036-E1036</f>
        <v>0</v>
      </c>
      <c r="I1036" s="134"/>
      <c r="J1036" s="145"/>
      <c r="K1036" s="138"/>
      <c r="L1036" s="114"/>
      <c r="M1036" s="89">
        <v>0</v>
      </c>
      <c r="N1036" s="89">
        <v>0</v>
      </c>
      <c r="O1036" s="89">
        <f t="shared" ref="O1036:O1039" si="263">N1036-M1036</f>
        <v>0</v>
      </c>
    </row>
    <row r="1037" spans="1:15" x14ac:dyDescent="0.25">
      <c r="A1037" s="134"/>
      <c r="B1037" s="145"/>
      <c r="C1037" s="138"/>
      <c r="D1037" s="114"/>
      <c r="E1037" s="89">
        <v>0</v>
      </c>
      <c r="F1037" s="89">
        <v>0</v>
      </c>
      <c r="G1037" s="89">
        <f t="shared" si="262"/>
        <v>0</v>
      </c>
      <c r="I1037" s="134"/>
      <c r="J1037" s="145"/>
      <c r="K1037" s="138"/>
      <c r="L1037" s="114"/>
      <c r="M1037" s="89">
        <v>0</v>
      </c>
      <c r="N1037" s="89">
        <v>0</v>
      </c>
      <c r="O1037" s="89">
        <f t="shared" si="263"/>
        <v>0</v>
      </c>
    </row>
    <row r="1038" spans="1:15" x14ac:dyDescent="0.25">
      <c r="A1038" s="134"/>
      <c r="B1038" s="145"/>
      <c r="C1038" s="138"/>
      <c r="D1038" s="114"/>
      <c r="E1038" s="89">
        <v>0</v>
      </c>
      <c r="F1038" s="89">
        <v>0</v>
      </c>
      <c r="G1038" s="89">
        <f t="shared" si="262"/>
        <v>0</v>
      </c>
      <c r="I1038" s="134"/>
      <c r="J1038" s="145"/>
      <c r="K1038" s="138"/>
      <c r="L1038" s="114"/>
      <c r="M1038" s="89">
        <v>0</v>
      </c>
      <c r="N1038" s="89">
        <v>0</v>
      </c>
      <c r="O1038" s="89">
        <f t="shared" si="263"/>
        <v>0</v>
      </c>
    </row>
    <row r="1039" spans="1:15" x14ac:dyDescent="0.25">
      <c r="A1039" s="134"/>
      <c r="B1039" s="145"/>
      <c r="C1039" s="138"/>
      <c r="D1039" s="114"/>
      <c r="E1039" s="89">
        <v>0</v>
      </c>
      <c r="F1039" s="89">
        <v>0</v>
      </c>
      <c r="G1039" s="89">
        <f t="shared" si="262"/>
        <v>0</v>
      </c>
      <c r="I1039" s="134"/>
      <c r="J1039" s="145"/>
      <c r="K1039" s="138"/>
      <c r="L1039" s="114"/>
      <c r="M1039" s="89">
        <v>0</v>
      </c>
      <c r="N1039" s="89">
        <v>0</v>
      </c>
      <c r="O1039" s="89">
        <f t="shared" si="263"/>
        <v>0</v>
      </c>
    </row>
    <row r="1040" spans="1:15" ht="15.75" thickBot="1" x14ac:dyDescent="0.3">
      <c r="A1040" s="91"/>
      <c r="B1040" s="91"/>
      <c r="C1040" s="91"/>
      <c r="D1040" s="91"/>
      <c r="E1040" s="91"/>
      <c r="F1040" s="91"/>
      <c r="G1040" s="92">
        <f>SUM(G1031:G1039)</f>
        <v>0.40277777777777773</v>
      </c>
      <c r="I1040" s="91"/>
      <c r="J1040" s="91"/>
      <c r="K1040" s="91"/>
      <c r="L1040" s="91"/>
      <c r="M1040" s="91"/>
      <c r="N1040" s="91"/>
      <c r="O1040" s="92"/>
    </row>
    <row r="1041" spans="1:15" ht="105" x14ac:dyDescent="0.25">
      <c r="A1041" s="133">
        <v>46195</v>
      </c>
      <c r="B1041" s="145" t="s">
        <v>75</v>
      </c>
      <c r="C1041" s="137" t="s">
        <v>616</v>
      </c>
      <c r="D1041" s="88" t="s">
        <v>765</v>
      </c>
      <c r="E1041" s="89">
        <v>0.34027777777777779</v>
      </c>
      <c r="F1041" s="89">
        <v>0.61111111111111116</v>
      </c>
      <c r="G1041" s="89">
        <f>F1041-E1041</f>
        <v>0.27083333333333337</v>
      </c>
      <c r="I1041" s="133">
        <v>46195</v>
      </c>
      <c r="J1041" s="145" t="s">
        <v>113</v>
      </c>
      <c r="K1041" s="137" t="s">
        <v>616</v>
      </c>
      <c r="L1041" s="88" t="s">
        <v>769</v>
      </c>
      <c r="M1041" s="89">
        <v>0.89930555555555558</v>
      </c>
      <c r="N1041" s="89"/>
      <c r="O1041" s="89">
        <f>N1041-M1041</f>
        <v>-0.89930555555555558</v>
      </c>
    </row>
    <row r="1042" spans="1:15" ht="45" x14ac:dyDescent="0.25">
      <c r="A1042" s="134"/>
      <c r="B1042" s="145"/>
      <c r="C1042" s="138"/>
      <c r="D1042" s="88" t="s">
        <v>766</v>
      </c>
      <c r="E1042" s="89">
        <v>0.62847222222222221</v>
      </c>
      <c r="F1042" s="89">
        <v>0</v>
      </c>
      <c r="G1042" s="89">
        <f t="shared" ref="G1042:G1044" si="264">F1042-E1042</f>
        <v>-0.62847222222222221</v>
      </c>
      <c r="I1042" s="134"/>
      <c r="J1042" s="145"/>
      <c r="K1042" s="138"/>
      <c r="L1042" s="88" t="s">
        <v>770</v>
      </c>
      <c r="M1042" s="89">
        <v>0.92500000000000004</v>
      </c>
      <c r="N1042" s="89">
        <v>7.6388888888888886E-3</v>
      </c>
      <c r="O1042" s="89">
        <f t="shared" ref="O1042:O1044" si="265">N1042-M1042</f>
        <v>-0.91736111111111118</v>
      </c>
    </row>
    <row r="1043" spans="1:15" x14ac:dyDescent="0.25">
      <c r="A1043" s="134"/>
      <c r="B1043" s="145"/>
      <c r="C1043" s="138"/>
      <c r="D1043" s="114" t="s">
        <v>767</v>
      </c>
      <c r="E1043" s="89">
        <v>0</v>
      </c>
      <c r="F1043" s="89">
        <v>0</v>
      </c>
      <c r="G1043" s="89">
        <f t="shared" si="264"/>
        <v>0</v>
      </c>
      <c r="I1043" s="134"/>
      <c r="J1043" s="145"/>
      <c r="K1043" s="138"/>
      <c r="L1043" s="114"/>
      <c r="M1043" s="89">
        <v>0</v>
      </c>
      <c r="N1043" s="89">
        <v>0</v>
      </c>
      <c r="O1043" s="89">
        <f t="shared" si="265"/>
        <v>0</v>
      </c>
    </row>
    <row r="1044" spans="1:15" x14ac:dyDescent="0.25">
      <c r="A1044" s="134"/>
      <c r="B1044" s="145"/>
      <c r="C1044" s="138"/>
      <c r="D1044" s="114"/>
      <c r="E1044" s="89">
        <v>0</v>
      </c>
      <c r="F1044" s="89">
        <v>0</v>
      </c>
      <c r="G1044" s="89">
        <f t="shared" si="264"/>
        <v>0</v>
      </c>
      <c r="I1044" s="134"/>
      <c r="J1044" s="145"/>
      <c r="K1044" s="138"/>
      <c r="L1044" s="114"/>
      <c r="M1044" s="89">
        <v>0</v>
      </c>
      <c r="N1044" s="89">
        <v>0</v>
      </c>
      <c r="O1044" s="89">
        <f t="shared" si="265"/>
        <v>0</v>
      </c>
    </row>
    <row r="1045" spans="1:15" x14ac:dyDescent="0.25">
      <c r="A1045" s="134"/>
      <c r="B1045" s="145"/>
      <c r="C1045" s="138"/>
      <c r="D1045" s="114"/>
      <c r="E1045" s="89">
        <v>0</v>
      </c>
      <c r="F1045" s="89">
        <v>0</v>
      </c>
      <c r="G1045" s="89">
        <v>0</v>
      </c>
      <c r="I1045" s="134"/>
      <c r="J1045" s="145"/>
      <c r="K1045" s="138"/>
      <c r="L1045" s="114"/>
      <c r="M1045" s="89">
        <v>0</v>
      </c>
      <c r="N1045" s="89">
        <v>0</v>
      </c>
      <c r="O1045" s="89">
        <v>0</v>
      </c>
    </row>
    <row r="1046" spans="1:15" x14ac:dyDescent="0.25">
      <c r="A1046" s="134"/>
      <c r="B1046" s="145"/>
      <c r="C1046" s="138"/>
      <c r="D1046" s="114"/>
      <c r="E1046" s="89">
        <v>0</v>
      </c>
      <c r="F1046" s="89">
        <v>0</v>
      </c>
      <c r="G1046" s="89">
        <f t="shared" ref="G1046:G1049" si="266">F1046-E1046</f>
        <v>0</v>
      </c>
      <c r="I1046" s="134"/>
      <c r="J1046" s="145"/>
      <c r="K1046" s="138"/>
      <c r="L1046" s="114"/>
      <c r="M1046" s="89">
        <v>0</v>
      </c>
      <c r="N1046" s="89">
        <v>0</v>
      </c>
      <c r="O1046" s="89">
        <f t="shared" ref="O1046:O1049" si="267">N1046-M1046</f>
        <v>0</v>
      </c>
    </row>
    <row r="1047" spans="1:15" x14ac:dyDescent="0.25">
      <c r="A1047" s="134"/>
      <c r="B1047" s="145"/>
      <c r="C1047" s="138"/>
      <c r="D1047" s="114"/>
      <c r="E1047" s="89">
        <v>0</v>
      </c>
      <c r="F1047" s="89">
        <v>0</v>
      </c>
      <c r="G1047" s="89">
        <f t="shared" si="266"/>
        <v>0</v>
      </c>
      <c r="I1047" s="134"/>
      <c r="J1047" s="145"/>
      <c r="K1047" s="138"/>
      <c r="L1047" s="114"/>
      <c r="M1047" s="89">
        <v>0</v>
      </c>
      <c r="N1047" s="89">
        <v>0</v>
      </c>
      <c r="O1047" s="89">
        <f t="shared" si="267"/>
        <v>0</v>
      </c>
    </row>
    <row r="1048" spans="1:15" x14ac:dyDescent="0.25">
      <c r="A1048" s="134"/>
      <c r="B1048" s="145"/>
      <c r="C1048" s="138"/>
      <c r="D1048" s="114"/>
      <c r="E1048" s="89">
        <v>0</v>
      </c>
      <c r="F1048" s="89">
        <v>0</v>
      </c>
      <c r="G1048" s="89">
        <f t="shared" si="266"/>
        <v>0</v>
      </c>
      <c r="I1048" s="134"/>
      <c r="J1048" s="145"/>
      <c r="K1048" s="138"/>
      <c r="L1048" s="114"/>
      <c r="M1048" s="89">
        <v>0</v>
      </c>
      <c r="N1048" s="89">
        <v>0</v>
      </c>
      <c r="O1048" s="89">
        <f t="shared" si="267"/>
        <v>0</v>
      </c>
    </row>
    <row r="1049" spans="1:15" x14ac:dyDescent="0.25">
      <c r="A1049" s="134"/>
      <c r="B1049" s="145"/>
      <c r="C1049" s="138"/>
      <c r="D1049" s="114"/>
      <c r="E1049" s="89">
        <v>0</v>
      </c>
      <c r="F1049" s="89">
        <v>0</v>
      </c>
      <c r="G1049" s="89">
        <f t="shared" si="266"/>
        <v>0</v>
      </c>
      <c r="I1049" s="134"/>
      <c r="J1049" s="145"/>
      <c r="K1049" s="138"/>
      <c r="L1049" s="114"/>
      <c r="M1049" s="89">
        <v>0</v>
      </c>
      <c r="N1049" s="89">
        <v>0</v>
      </c>
      <c r="O1049" s="89">
        <f t="shared" si="267"/>
        <v>0</v>
      </c>
    </row>
    <row r="1050" spans="1:15" ht="15.75" thickBot="1" x14ac:dyDescent="0.3">
      <c r="A1050" s="91"/>
      <c r="B1050" s="91"/>
      <c r="C1050" s="91"/>
      <c r="D1050" s="91"/>
      <c r="E1050" s="91"/>
      <c r="F1050" s="91"/>
      <c r="G1050" s="92">
        <f>SUM(G1041:G1049)</f>
        <v>-0.35763888888888884</v>
      </c>
      <c r="I1050" s="91"/>
      <c r="J1050" s="91"/>
      <c r="K1050" s="91"/>
      <c r="L1050" s="91"/>
      <c r="M1050" s="91"/>
      <c r="N1050" s="91"/>
      <c r="O1050" s="92"/>
    </row>
    <row r="1051" spans="1:15" x14ac:dyDescent="0.25">
      <c r="A1051" s="133">
        <v>46196</v>
      </c>
      <c r="B1051" s="145"/>
      <c r="C1051" s="137" t="s">
        <v>616</v>
      </c>
      <c r="D1051" s="88"/>
      <c r="E1051" s="89">
        <v>0</v>
      </c>
      <c r="F1051" s="89">
        <v>0</v>
      </c>
      <c r="G1051" s="89">
        <f>F1051-E1051</f>
        <v>0</v>
      </c>
      <c r="I1051" s="133">
        <v>46196</v>
      </c>
      <c r="J1051" s="145"/>
      <c r="K1051" s="137" t="s">
        <v>616</v>
      </c>
      <c r="L1051" s="88"/>
      <c r="M1051" s="89">
        <v>0</v>
      </c>
      <c r="N1051" s="89">
        <v>0</v>
      </c>
      <c r="O1051" s="89">
        <f>N1051-M1051</f>
        <v>0</v>
      </c>
    </row>
    <row r="1052" spans="1:15" x14ac:dyDescent="0.25">
      <c r="A1052" s="134"/>
      <c r="B1052" s="145"/>
      <c r="C1052" s="138"/>
      <c r="D1052" s="88"/>
      <c r="E1052" s="89">
        <v>0</v>
      </c>
      <c r="F1052" s="89">
        <v>0</v>
      </c>
      <c r="G1052" s="89">
        <f t="shared" ref="G1052:G1054" si="268">F1052-E1052</f>
        <v>0</v>
      </c>
      <c r="I1052" s="134"/>
      <c r="J1052" s="145"/>
      <c r="K1052" s="138"/>
      <c r="L1052" s="88"/>
      <c r="M1052" s="89">
        <v>0</v>
      </c>
      <c r="N1052" s="89">
        <v>0</v>
      </c>
      <c r="O1052" s="89">
        <f t="shared" ref="O1052:O1054" si="269">N1052-M1052</f>
        <v>0</v>
      </c>
    </row>
    <row r="1053" spans="1:15" x14ac:dyDescent="0.25">
      <c r="A1053" s="134"/>
      <c r="B1053" s="145"/>
      <c r="C1053" s="138"/>
      <c r="D1053" s="114"/>
      <c r="E1053" s="89">
        <v>0</v>
      </c>
      <c r="F1053" s="89">
        <v>0</v>
      </c>
      <c r="G1053" s="89">
        <f t="shared" si="268"/>
        <v>0</v>
      </c>
      <c r="I1053" s="134"/>
      <c r="J1053" s="145"/>
      <c r="K1053" s="138"/>
      <c r="L1053" s="114"/>
      <c r="M1053" s="89">
        <v>0</v>
      </c>
      <c r="N1053" s="89">
        <v>0</v>
      </c>
      <c r="O1053" s="89">
        <f t="shared" si="269"/>
        <v>0</v>
      </c>
    </row>
    <row r="1054" spans="1:15" x14ac:dyDescent="0.25">
      <c r="A1054" s="134"/>
      <c r="B1054" s="145"/>
      <c r="C1054" s="138"/>
      <c r="D1054" s="114"/>
      <c r="E1054" s="89">
        <v>0</v>
      </c>
      <c r="F1054" s="89">
        <v>0</v>
      </c>
      <c r="G1054" s="89">
        <f t="shared" si="268"/>
        <v>0</v>
      </c>
      <c r="I1054" s="134"/>
      <c r="J1054" s="145"/>
      <c r="K1054" s="138"/>
      <c r="L1054" s="114"/>
      <c r="M1054" s="89">
        <v>0</v>
      </c>
      <c r="N1054" s="89">
        <v>0</v>
      </c>
      <c r="O1054" s="89">
        <f t="shared" si="269"/>
        <v>0</v>
      </c>
    </row>
    <row r="1055" spans="1:15" x14ac:dyDescent="0.25">
      <c r="A1055" s="134"/>
      <c r="B1055" s="145"/>
      <c r="C1055" s="138"/>
      <c r="D1055" s="114"/>
      <c r="E1055" s="89">
        <v>0</v>
      </c>
      <c r="F1055" s="89">
        <v>0</v>
      </c>
      <c r="G1055" s="89">
        <v>0</v>
      </c>
      <c r="I1055" s="134"/>
      <c r="J1055" s="145"/>
      <c r="K1055" s="138"/>
      <c r="L1055" s="114"/>
      <c r="M1055" s="89">
        <v>0</v>
      </c>
      <c r="N1055" s="89">
        <v>0</v>
      </c>
      <c r="O1055" s="89">
        <v>0</v>
      </c>
    </row>
    <row r="1056" spans="1:15" x14ac:dyDescent="0.25">
      <c r="A1056" s="134"/>
      <c r="B1056" s="145"/>
      <c r="C1056" s="138"/>
      <c r="D1056" s="114"/>
      <c r="E1056" s="89">
        <v>0</v>
      </c>
      <c r="F1056" s="89">
        <v>0</v>
      </c>
      <c r="G1056" s="89">
        <f t="shared" ref="G1056:G1059" si="270">F1056-E1056</f>
        <v>0</v>
      </c>
      <c r="I1056" s="134"/>
      <c r="J1056" s="145"/>
      <c r="K1056" s="138"/>
      <c r="L1056" s="114"/>
      <c r="M1056" s="89">
        <v>0</v>
      </c>
      <c r="N1056" s="89">
        <v>0</v>
      </c>
      <c r="O1056" s="89">
        <f t="shared" ref="O1056:O1059" si="271">N1056-M1056</f>
        <v>0</v>
      </c>
    </row>
    <row r="1057" spans="1:15" x14ac:dyDescent="0.25">
      <c r="A1057" s="134"/>
      <c r="B1057" s="145"/>
      <c r="C1057" s="138"/>
      <c r="D1057" s="114"/>
      <c r="E1057" s="89">
        <v>0</v>
      </c>
      <c r="F1057" s="89">
        <v>0</v>
      </c>
      <c r="G1057" s="89">
        <f t="shared" si="270"/>
        <v>0</v>
      </c>
      <c r="I1057" s="134"/>
      <c r="J1057" s="145"/>
      <c r="K1057" s="138"/>
      <c r="L1057" s="114"/>
      <c r="M1057" s="89">
        <v>0</v>
      </c>
      <c r="N1057" s="89">
        <v>0</v>
      </c>
      <c r="O1057" s="89">
        <f t="shared" si="271"/>
        <v>0</v>
      </c>
    </row>
    <row r="1058" spans="1:15" x14ac:dyDescent="0.25">
      <c r="A1058" s="134"/>
      <c r="B1058" s="145"/>
      <c r="C1058" s="138"/>
      <c r="D1058" s="114"/>
      <c r="E1058" s="89">
        <v>0</v>
      </c>
      <c r="F1058" s="89">
        <v>0</v>
      </c>
      <c r="G1058" s="89">
        <f t="shared" si="270"/>
        <v>0</v>
      </c>
      <c r="I1058" s="134"/>
      <c r="J1058" s="145"/>
      <c r="K1058" s="138"/>
      <c r="L1058" s="114"/>
      <c r="M1058" s="89">
        <v>0</v>
      </c>
      <c r="N1058" s="89">
        <v>0</v>
      </c>
      <c r="O1058" s="89">
        <f t="shared" si="271"/>
        <v>0</v>
      </c>
    </row>
    <row r="1059" spans="1:15" x14ac:dyDescent="0.25">
      <c r="A1059" s="134"/>
      <c r="B1059" s="145"/>
      <c r="C1059" s="138"/>
      <c r="D1059" s="114"/>
      <c r="E1059" s="89">
        <v>0</v>
      </c>
      <c r="F1059" s="89">
        <v>0</v>
      </c>
      <c r="G1059" s="89">
        <f t="shared" si="270"/>
        <v>0</v>
      </c>
      <c r="I1059" s="134"/>
      <c r="J1059" s="145"/>
      <c r="K1059" s="138"/>
      <c r="L1059" s="114"/>
      <c r="M1059" s="89">
        <v>0</v>
      </c>
      <c r="N1059" s="89">
        <v>0</v>
      </c>
      <c r="O1059" s="89">
        <f t="shared" si="271"/>
        <v>0</v>
      </c>
    </row>
    <row r="1060" spans="1:15" ht="15.75" thickBot="1" x14ac:dyDescent="0.3">
      <c r="A1060" s="91"/>
      <c r="B1060" s="91"/>
      <c r="C1060" s="91"/>
      <c r="D1060" s="91"/>
      <c r="E1060" s="91"/>
      <c r="F1060" s="91"/>
      <c r="G1060" s="92">
        <f>SUM(G1051:G1059)</f>
        <v>0</v>
      </c>
      <c r="I1060" s="91"/>
      <c r="J1060" s="91"/>
      <c r="K1060" s="91"/>
      <c r="L1060" s="91"/>
      <c r="M1060" s="91"/>
      <c r="N1060" s="91"/>
      <c r="O1060" s="92">
        <f>SUM(O1051:O1059)</f>
        <v>0</v>
      </c>
    </row>
    <row r="1061" spans="1:15" x14ac:dyDescent="0.25">
      <c r="A1061" s="133">
        <v>46197</v>
      </c>
      <c r="B1061" s="145"/>
      <c r="C1061" s="137" t="s">
        <v>616</v>
      </c>
      <c r="D1061" s="88"/>
      <c r="E1061" s="89">
        <v>0</v>
      </c>
      <c r="F1061" s="89">
        <v>0</v>
      </c>
      <c r="G1061" s="89">
        <f>F1061-E1061</f>
        <v>0</v>
      </c>
      <c r="I1061" s="133">
        <v>46197</v>
      </c>
      <c r="J1061" s="145"/>
      <c r="K1061" s="137" t="s">
        <v>616</v>
      </c>
      <c r="L1061" s="88"/>
      <c r="M1061" s="89">
        <v>0</v>
      </c>
      <c r="N1061" s="89">
        <v>0</v>
      </c>
      <c r="O1061" s="89">
        <f>N1061-M1061</f>
        <v>0</v>
      </c>
    </row>
    <row r="1062" spans="1:15" x14ac:dyDescent="0.25">
      <c r="A1062" s="134"/>
      <c r="B1062" s="145"/>
      <c r="C1062" s="138"/>
      <c r="D1062" s="88"/>
      <c r="E1062" s="89">
        <v>0</v>
      </c>
      <c r="F1062" s="89">
        <v>0</v>
      </c>
      <c r="G1062" s="89">
        <f t="shared" ref="G1062:G1064" si="272">F1062-E1062</f>
        <v>0</v>
      </c>
      <c r="I1062" s="134"/>
      <c r="J1062" s="145"/>
      <c r="K1062" s="138"/>
      <c r="L1062" s="88"/>
      <c r="M1062" s="89">
        <v>0</v>
      </c>
      <c r="N1062" s="89">
        <v>0</v>
      </c>
      <c r="O1062" s="89">
        <f t="shared" ref="O1062:O1064" si="273">N1062-M1062</f>
        <v>0</v>
      </c>
    </row>
    <row r="1063" spans="1:15" x14ac:dyDescent="0.25">
      <c r="A1063" s="134"/>
      <c r="B1063" s="145"/>
      <c r="C1063" s="138"/>
      <c r="D1063" s="114"/>
      <c r="E1063" s="89">
        <v>0</v>
      </c>
      <c r="F1063" s="89">
        <v>0</v>
      </c>
      <c r="G1063" s="89">
        <f t="shared" si="272"/>
        <v>0</v>
      </c>
      <c r="I1063" s="134"/>
      <c r="J1063" s="145"/>
      <c r="K1063" s="138"/>
      <c r="L1063" s="114"/>
      <c r="M1063" s="89">
        <v>0</v>
      </c>
      <c r="N1063" s="89">
        <v>0</v>
      </c>
      <c r="O1063" s="89">
        <f t="shared" si="273"/>
        <v>0</v>
      </c>
    </row>
    <row r="1064" spans="1:15" x14ac:dyDescent="0.25">
      <c r="A1064" s="134"/>
      <c r="B1064" s="145"/>
      <c r="C1064" s="138"/>
      <c r="D1064" s="114"/>
      <c r="E1064" s="89">
        <v>0</v>
      </c>
      <c r="F1064" s="89">
        <v>0</v>
      </c>
      <c r="G1064" s="89">
        <f t="shared" si="272"/>
        <v>0</v>
      </c>
      <c r="I1064" s="134"/>
      <c r="J1064" s="145"/>
      <c r="K1064" s="138"/>
      <c r="L1064" s="114"/>
      <c r="M1064" s="89">
        <v>0</v>
      </c>
      <c r="N1064" s="89">
        <v>0</v>
      </c>
      <c r="O1064" s="89">
        <f t="shared" si="273"/>
        <v>0</v>
      </c>
    </row>
    <row r="1065" spans="1:15" x14ac:dyDescent="0.25">
      <c r="A1065" s="134"/>
      <c r="B1065" s="145"/>
      <c r="C1065" s="138"/>
      <c r="D1065" s="114"/>
      <c r="E1065" s="89">
        <v>0</v>
      </c>
      <c r="F1065" s="89">
        <v>0</v>
      </c>
      <c r="G1065" s="89">
        <v>0</v>
      </c>
      <c r="I1065" s="134"/>
      <c r="J1065" s="145"/>
      <c r="K1065" s="138"/>
      <c r="L1065" s="114"/>
      <c r="M1065" s="89">
        <v>0</v>
      </c>
      <c r="N1065" s="89">
        <v>0</v>
      </c>
      <c r="O1065" s="89">
        <v>0</v>
      </c>
    </row>
    <row r="1066" spans="1:15" x14ac:dyDescent="0.25">
      <c r="A1066" s="134"/>
      <c r="B1066" s="145"/>
      <c r="C1066" s="138"/>
      <c r="D1066" s="114"/>
      <c r="E1066" s="89">
        <v>0</v>
      </c>
      <c r="F1066" s="89">
        <v>0</v>
      </c>
      <c r="G1066" s="89">
        <f t="shared" ref="G1066:G1069" si="274">F1066-E1066</f>
        <v>0</v>
      </c>
      <c r="I1066" s="134"/>
      <c r="J1066" s="145"/>
      <c r="K1066" s="138"/>
      <c r="L1066" s="114"/>
      <c r="M1066" s="89">
        <v>0</v>
      </c>
      <c r="N1066" s="89">
        <v>0</v>
      </c>
      <c r="O1066" s="89">
        <f t="shared" ref="O1066:O1069" si="275">N1066-M1066</f>
        <v>0</v>
      </c>
    </row>
    <row r="1067" spans="1:15" x14ac:dyDescent="0.25">
      <c r="A1067" s="134"/>
      <c r="B1067" s="145"/>
      <c r="C1067" s="138"/>
      <c r="D1067" s="114"/>
      <c r="E1067" s="89">
        <v>0</v>
      </c>
      <c r="F1067" s="89">
        <v>0</v>
      </c>
      <c r="G1067" s="89">
        <f t="shared" si="274"/>
        <v>0</v>
      </c>
      <c r="I1067" s="134"/>
      <c r="J1067" s="145"/>
      <c r="K1067" s="138"/>
      <c r="L1067" s="114"/>
      <c r="M1067" s="89">
        <v>0</v>
      </c>
      <c r="N1067" s="89">
        <v>0</v>
      </c>
      <c r="O1067" s="89">
        <f t="shared" si="275"/>
        <v>0</v>
      </c>
    </row>
    <row r="1068" spans="1:15" x14ac:dyDescent="0.25">
      <c r="A1068" s="134"/>
      <c r="B1068" s="145"/>
      <c r="C1068" s="138"/>
      <c r="D1068" s="114"/>
      <c r="E1068" s="89">
        <v>0</v>
      </c>
      <c r="F1068" s="89">
        <v>0</v>
      </c>
      <c r="G1068" s="89">
        <f t="shared" si="274"/>
        <v>0</v>
      </c>
      <c r="I1068" s="134"/>
      <c r="J1068" s="145"/>
      <c r="K1068" s="138"/>
      <c r="L1068" s="114"/>
      <c r="M1068" s="89">
        <v>0</v>
      </c>
      <c r="N1068" s="89">
        <v>0</v>
      </c>
      <c r="O1068" s="89">
        <f t="shared" si="275"/>
        <v>0</v>
      </c>
    </row>
    <row r="1069" spans="1:15" x14ac:dyDescent="0.25">
      <c r="A1069" s="134"/>
      <c r="B1069" s="145"/>
      <c r="C1069" s="138"/>
      <c r="D1069" s="114"/>
      <c r="E1069" s="89">
        <v>0</v>
      </c>
      <c r="F1069" s="89">
        <v>0</v>
      </c>
      <c r="G1069" s="89">
        <f t="shared" si="274"/>
        <v>0</v>
      </c>
      <c r="I1069" s="134"/>
      <c r="J1069" s="145"/>
      <c r="K1069" s="138"/>
      <c r="L1069" s="114"/>
      <c r="M1069" s="89">
        <v>0</v>
      </c>
      <c r="N1069" s="89">
        <v>0</v>
      </c>
      <c r="O1069" s="89">
        <f t="shared" si="275"/>
        <v>0</v>
      </c>
    </row>
    <row r="1070" spans="1:15" ht="15.75" thickBot="1" x14ac:dyDescent="0.3">
      <c r="A1070" s="91"/>
      <c r="B1070" s="91"/>
      <c r="C1070" s="91"/>
      <c r="D1070" s="91"/>
      <c r="E1070" s="91"/>
      <c r="F1070" s="91"/>
      <c r="G1070" s="92">
        <f>SUM(G1061:G1069)</f>
        <v>0</v>
      </c>
      <c r="I1070" s="91"/>
      <c r="J1070" s="91"/>
      <c r="K1070" s="91"/>
      <c r="L1070" s="91"/>
      <c r="M1070" s="91"/>
      <c r="N1070" s="91"/>
      <c r="O1070" s="92">
        <f>SUM(O1061:O1069)</f>
        <v>0</v>
      </c>
    </row>
    <row r="1071" spans="1:15" x14ac:dyDescent="0.25">
      <c r="A1071" s="133">
        <v>46198</v>
      </c>
      <c r="B1071" s="145"/>
      <c r="C1071" s="137" t="s">
        <v>616</v>
      </c>
      <c r="D1071" s="88"/>
      <c r="E1071" s="89">
        <v>0</v>
      </c>
      <c r="F1071" s="89">
        <v>0</v>
      </c>
      <c r="G1071" s="89">
        <f>F1071-E1071</f>
        <v>0</v>
      </c>
      <c r="I1071" s="133">
        <v>46198</v>
      </c>
      <c r="J1071" s="145"/>
      <c r="K1071" s="137" t="s">
        <v>616</v>
      </c>
      <c r="L1071" s="88"/>
      <c r="M1071" s="89">
        <v>0</v>
      </c>
      <c r="N1071" s="89">
        <v>0</v>
      </c>
      <c r="O1071" s="89">
        <f>N1071-M1071</f>
        <v>0</v>
      </c>
    </row>
    <row r="1072" spans="1:15" x14ac:dyDescent="0.25">
      <c r="A1072" s="134"/>
      <c r="B1072" s="145"/>
      <c r="C1072" s="138"/>
      <c r="D1072" s="88"/>
      <c r="E1072" s="89">
        <v>0</v>
      </c>
      <c r="F1072" s="89">
        <v>0</v>
      </c>
      <c r="G1072" s="89">
        <f t="shared" ref="G1072:G1074" si="276">F1072-E1072</f>
        <v>0</v>
      </c>
      <c r="I1072" s="134"/>
      <c r="J1072" s="145"/>
      <c r="K1072" s="138"/>
      <c r="L1072" s="88"/>
      <c r="M1072" s="89">
        <v>0</v>
      </c>
      <c r="N1072" s="89">
        <v>0</v>
      </c>
      <c r="O1072" s="89">
        <f t="shared" ref="O1072:O1074" si="277">N1072-M1072</f>
        <v>0</v>
      </c>
    </row>
    <row r="1073" spans="1:15" x14ac:dyDescent="0.25">
      <c r="A1073" s="134"/>
      <c r="B1073" s="145"/>
      <c r="C1073" s="138"/>
      <c r="D1073" s="114"/>
      <c r="E1073" s="89">
        <v>0</v>
      </c>
      <c r="F1073" s="89">
        <v>0</v>
      </c>
      <c r="G1073" s="89">
        <f t="shared" si="276"/>
        <v>0</v>
      </c>
      <c r="I1073" s="134"/>
      <c r="J1073" s="145"/>
      <c r="K1073" s="138"/>
      <c r="L1073" s="114"/>
      <c r="M1073" s="89">
        <v>0</v>
      </c>
      <c r="N1073" s="89">
        <v>0</v>
      </c>
      <c r="O1073" s="89">
        <f t="shared" si="277"/>
        <v>0</v>
      </c>
    </row>
    <row r="1074" spans="1:15" x14ac:dyDescent="0.25">
      <c r="A1074" s="134"/>
      <c r="B1074" s="145"/>
      <c r="C1074" s="138"/>
      <c r="D1074" s="114"/>
      <c r="E1074" s="89">
        <v>0</v>
      </c>
      <c r="F1074" s="89">
        <v>0</v>
      </c>
      <c r="G1074" s="89">
        <f t="shared" si="276"/>
        <v>0</v>
      </c>
      <c r="I1074" s="134"/>
      <c r="J1074" s="145"/>
      <c r="K1074" s="138"/>
      <c r="L1074" s="114"/>
      <c r="M1074" s="89">
        <v>0</v>
      </c>
      <c r="N1074" s="89">
        <v>0</v>
      </c>
      <c r="O1074" s="89">
        <f t="shared" si="277"/>
        <v>0</v>
      </c>
    </row>
    <row r="1075" spans="1:15" x14ac:dyDescent="0.25">
      <c r="A1075" s="134"/>
      <c r="B1075" s="145"/>
      <c r="C1075" s="138"/>
      <c r="D1075" s="114"/>
      <c r="E1075" s="89">
        <v>0</v>
      </c>
      <c r="F1075" s="89">
        <v>0</v>
      </c>
      <c r="G1075" s="89">
        <v>0</v>
      </c>
      <c r="I1075" s="134"/>
      <c r="J1075" s="145"/>
      <c r="K1075" s="138"/>
      <c r="L1075" s="114"/>
      <c r="M1075" s="89">
        <v>0</v>
      </c>
      <c r="N1075" s="89">
        <v>0</v>
      </c>
      <c r="O1075" s="89">
        <v>0</v>
      </c>
    </row>
    <row r="1076" spans="1:15" x14ac:dyDescent="0.25">
      <c r="A1076" s="134"/>
      <c r="B1076" s="145"/>
      <c r="C1076" s="138"/>
      <c r="D1076" s="114"/>
      <c r="E1076" s="89">
        <v>0</v>
      </c>
      <c r="F1076" s="89">
        <v>0</v>
      </c>
      <c r="G1076" s="89">
        <f t="shared" ref="G1076:G1079" si="278">F1076-E1076</f>
        <v>0</v>
      </c>
      <c r="I1076" s="134"/>
      <c r="J1076" s="145"/>
      <c r="K1076" s="138"/>
      <c r="L1076" s="114"/>
      <c r="M1076" s="89">
        <v>0</v>
      </c>
      <c r="N1076" s="89">
        <v>0</v>
      </c>
      <c r="O1076" s="89">
        <f t="shared" ref="O1076:O1079" si="279">N1076-M1076</f>
        <v>0</v>
      </c>
    </row>
    <row r="1077" spans="1:15" x14ac:dyDescent="0.25">
      <c r="A1077" s="134"/>
      <c r="B1077" s="145"/>
      <c r="C1077" s="138"/>
      <c r="D1077" s="114"/>
      <c r="E1077" s="89">
        <v>0</v>
      </c>
      <c r="F1077" s="89">
        <v>0</v>
      </c>
      <c r="G1077" s="89">
        <f t="shared" si="278"/>
        <v>0</v>
      </c>
      <c r="I1077" s="134"/>
      <c r="J1077" s="145"/>
      <c r="K1077" s="138"/>
      <c r="L1077" s="114"/>
      <c r="M1077" s="89">
        <v>0</v>
      </c>
      <c r="N1077" s="89">
        <v>0</v>
      </c>
      <c r="O1077" s="89">
        <f t="shared" si="279"/>
        <v>0</v>
      </c>
    </row>
    <row r="1078" spans="1:15" x14ac:dyDescent="0.25">
      <c r="A1078" s="134"/>
      <c r="B1078" s="145"/>
      <c r="C1078" s="138"/>
      <c r="D1078" s="114"/>
      <c r="E1078" s="89">
        <v>0</v>
      </c>
      <c r="F1078" s="89">
        <v>0</v>
      </c>
      <c r="G1078" s="89">
        <f t="shared" si="278"/>
        <v>0</v>
      </c>
      <c r="I1078" s="134"/>
      <c r="J1078" s="145"/>
      <c r="K1078" s="138"/>
      <c r="L1078" s="114"/>
      <c r="M1078" s="89">
        <v>0</v>
      </c>
      <c r="N1078" s="89">
        <v>0</v>
      </c>
      <c r="O1078" s="89">
        <f t="shared" si="279"/>
        <v>0</v>
      </c>
    </row>
    <row r="1079" spans="1:15" x14ac:dyDescent="0.25">
      <c r="A1079" s="134"/>
      <c r="B1079" s="145"/>
      <c r="C1079" s="138"/>
      <c r="D1079" s="114"/>
      <c r="E1079" s="89">
        <v>0</v>
      </c>
      <c r="F1079" s="89">
        <v>0</v>
      </c>
      <c r="G1079" s="89">
        <f t="shared" si="278"/>
        <v>0</v>
      </c>
      <c r="I1079" s="134"/>
      <c r="J1079" s="145"/>
      <c r="K1079" s="138"/>
      <c r="L1079" s="114"/>
      <c r="M1079" s="89">
        <v>0</v>
      </c>
      <c r="N1079" s="89">
        <v>0</v>
      </c>
      <c r="O1079" s="89">
        <f t="shared" si="279"/>
        <v>0</v>
      </c>
    </row>
    <row r="1080" spans="1:15" ht="15.75" thickBot="1" x14ac:dyDescent="0.3">
      <c r="A1080" s="91"/>
      <c r="B1080" s="91"/>
      <c r="C1080" s="91"/>
      <c r="D1080" s="91"/>
      <c r="E1080" s="91"/>
      <c r="F1080" s="91"/>
      <c r="G1080" s="92">
        <f>SUM(G1071:G1079)</f>
        <v>0</v>
      </c>
      <c r="I1080" s="91"/>
      <c r="J1080" s="91"/>
      <c r="K1080" s="91"/>
      <c r="L1080" s="91"/>
      <c r="M1080" s="91"/>
      <c r="N1080" s="91"/>
      <c r="O1080" s="92">
        <f>SUM(O1071:O1079)</f>
        <v>0</v>
      </c>
    </row>
    <row r="1081" spans="1:15" x14ac:dyDescent="0.25">
      <c r="A1081" s="133">
        <v>46199</v>
      </c>
      <c r="B1081" s="145"/>
      <c r="C1081" s="137" t="s">
        <v>616</v>
      </c>
      <c r="D1081" s="88"/>
      <c r="E1081" s="89">
        <v>0</v>
      </c>
      <c r="F1081" s="89">
        <v>0</v>
      </c>
      <c r="G1081" s="89">
        <f>F1081-E1081</f>
        <v>0</v>
      </c>
      <c r="I1081" s="133">
        <v>46199</v>
      </c>
      <c r="J1081" s="145"/>
      <c r="K1081" s="137" t="s">
        <v>616</v>
      </c>
      <c r="L1081" s="88"/>
      <c r="M1081" s="89">
        <v>0</v>
      </c>
      <c r="N1081" s="89">
        <v>0</v>
      </c>
      <c r="O1081" s="89">
        <f>N1081-M1081</f>
        <v>0</v>
      </c>
    </row>
    <row r="1082" spans="1:15" x14ac:dyDescent="0.25">
      <c r="A1082" s="134"/>
      <c r="B1082" s="145"/>
      <c r="C1082" s="138"/>
      <c r="D1082" s="88"/>
      <c r="E1082" s="89">
        <v>0</v>
      </c>
      <c r="F1082" s="89">
        <v>0</v>
      </c>
      <c r="G1082" s="89">
        <f t="shared" ref="G1082:G1084" si="280">F1082-E1082</f>
        <v>0</v>
      </c>
      <c r="I1082" s="134"/>
      <c r="J1082" s="145"/>
      <c r="K1082" s="138"/>
      <c r="L1082" s="88"/>
      <c r="M1082" s="89">
        <v>0</v>
      </c>
      <c r="N1082" s="89">
        <v>0</v>
      </c>
      <c r="O1082" s="89">
        <f t="shared" ref="O1082:O1084" si="281">N1082-M1082</f>
        <v>0</v>
      </c>
    </row>
    <row r="1083" spans="1:15" x14ac:dyDescent="0.25">
      <c r="A1083" s="134"/>
      <c r="B1083" s="145"/>
      <c r="C1083" s="138"/>
      <c r="D1083" s="114"/>
      <c r="E1083" s="89">
        <v>0</v>
      </c>
      <c r="F1083" s="89">
        <v>0</v>
      </c>
      <c r="G1083" s="89">
        <f t="shared" si="280"/>
        <v>0</v>
      </c>
      <c r="I1083" s="134"/>
      <c r="J1083" s="145"/>
      <c r="K1083" s="138"/>
      <c r="L1083" s="114"/>
      <c r="M1083" s="89">
        <v>0</v>
      </c>
      <c r="N1083" s="89">
        <v>0</v>
      </c>
      <c r="O1083" s="89">
        <f t="shared" si="281"/>
        <v>0</v>
      </c>
    </row>
    <row r="1084" spans="1:15" x14ac:dyDescent="0.25">
      <c r="A1084" s="134"/>
      <c r="B1084" s="145"/>
      <c r="C1084" s="138"/>
      <c r="D1084" s="114"/>
      <c r="E1084" s="89">
        <v>0</v>
      </c>
      <c r="F1084" s="89">
        <v>0</v>
      </c>
      <c r="G1084" s="89">
        <f t="shared" si="280"/>
        <v>0</v>
      </c>
      <c r="I1084" s="134"/>
      <c r="J1084" s="145"/>
      <c r="K1084" s="138"/>
      <c r="L1084" s="114"/>
      <c r="M1084" s="89">
        <v>0</v>
      </c>
      <c r="N1084" s="89">
        <v>0</v>
      </c>
      <c r="O1084" s="89">
        <f t="shared" si="281"/>
        <v>0</v>
      </c>
    </row>
    <row r="1085" spans="1:15" x14ac:dyDescent="0.25">
      <c r="A1085" s="134"/>
      <c r="B1085" s="145"/>
      <c r="C1085" s="138"/>
      <c r="D1085" s="114"/>
      <c r="E1085" s="89">
        <v>0</v>
      </c>
      <c r="F1085" s="89">
        <v>0</v>
      </c>
      <c r="G1085" s="89">
        <v>0</v>
      </c>
      <c r="I1085" s="134"/>
      <c r="J1085" s="145"/>
      <c r="K1085" s="138"/>
      <c r="L1085" s="114"/>
      <c r="M1085" s="89">
        <v>0</v>
      </c>
      <c r="N1085" s="89">
        <v>0</v>
      </c>
      <c r="O1085" s="89">
        <v>0</v>
      </c>
    </row>
    <row r="1086" spans="1:15" x14ac:dyDescent="0.25">
      <c r="A1086" s="134"/>
      <c r="B1086" s="145"/>
      <c r="C1086" s="138"/>
      <c r="D1086" s="114"/>
      <c r="E1086" s="89">
        <v>0</v>
      </c>
      <c r="F1086" s="89">
        <v>0</v>
      </c>
      <c r="G1086" s="89">
        <f t="shared" ref="G1086:G1089" si="282">F1086-E1086</f>
        <v>0</v>
      </c>
      <c r="I1086" s="134"/>
      <c r="J1086" s="145"/>
      <c r="K1086" s="138"/>
      <c r="L1086" s="114"/>
      <c r="M1086" s="89">
        <v>0</v>
      </c>
      <c r="N1086" s="89">
        <v>0</v>
      </c>
      <c r="O1086" s="89">
        <f t="shared" ref="O1086:O1089" si="283">N1086-M1086</f>
        <v>0</v>
      </c>
    </row>
    <row r="1087" spans="1:15" x14ac:dyDescent="0.25">
      <c r="A1087" s="134"/>
      <c r="B1087" s="145"/>
      <c r="C1087" s="138"/>
      <c r="D1087" s="114"/>
      <c r="E1087" s="89">
        <v>0</v>
      </c>
      <c r="F1087" s="89">
        <v>0</v>
      </c>
      <c r="G1087" s="89">
        <f t="shared" si="282"/>
        <v>0</v>
      </c>
      <c r="I1087" s="134"/>
      <c r="J1087" s="145"/>
      <c r="K1087" s="138"/>
      <c r="L1087" s="114"/>
      <c r="M1087" s="89">
        <v>0</v>
      </c>
      <c r="N1087" s="89">
        <v>0</v>
      </c>
      <c r="O1087" s="89">
        <f t="shared" si="283"/>
        <v>0</v>
      </c>
    </row>
    <row r="1088" spans="1:15" x14ac:dyDescent="0.25">
      <c r="A1088" s="134"/>
      <c r="B1088" s="145"/>
      <c r="C1088" s="138"/>
      <c r="D1088" s="114"/>
      <c r="E1088" s="89">
        <v>0</v>
      </c>
      <c r="F1088" s="89">
        <v>0</v>
      </c>
      <c r="G1088" s="89">
        <f t="shared" si="282"/>
        <v>0</v>
      </c>
      <c r="I1088" s="134"/>
      <c r="J1088" s="145"/>
      <c r="K1088" s="138"/>
      <c r="L1088" s="114"/>
      <c r="M1088" s="89">
        <v>0</v>
      </c>
      <c r="N1088" s="89">
        <v>0</v>
      </c>
      <c r="O1088" s="89">
        <f t="shared" si="283"/>
        <v>0</v>
      </c>
    </row>
    <row r="1089" spans="1:15" x14ac:dyDescent="0.25">
      <c r="A1089" s="134"/>
      <c r="B1089" s="145"/>
      <c r="C1089" s="138"/>
      <c r="D1089" s="114"/>
      <c r="E1089" s="89">
        <v>0</v>
      </c>
      <c r="F1089" s="89">
        <v>0</v>
      </c>
      <c r="G1089" s="89">
        <f t="shared" si="282"/>
        <v>0</v>
      </c>
      <c r="I1089" s="134"/>
      <c r="J1089" s="145"/>
      <c r="K1089" s="138"/>
      <c r="L1089" s="114"/>
      <c r="M1089" s="89">
        <v>0</v>
      </c>
      <c r="N1089" s="89">
        <v>0</v>
      </c>
      <c r="O1089" s="89">
        <f t="shared" si="283"/>
        <v>0</v>
      </c>
    </row>
    <row r="1090" spans="1:15" ht="15.75" thickBot="1" x14ac:dyDescent="0.3">
      <c r="A1090" s="91"/>
      <c r="B1090" s="91"/>
      <c r="C1090" s="91"/>
      <c r="D1090" s="91"/>
      <c r="E1090" s="91"/>
      <c r="F1090" s="91"/>
      <c r="G1090" s="92">
        <f>SUM(G1081:G1089)</f>
        <v>0</v>
      </c>
      <c r="I1090" s="91"/>
      <c r="J1090" s="91"/>
      <c r="K1090" s="91"/>
      <c r="L1090" s="91"/>
      <c r="M1090" s="91"/>
      <c r="N1090" s="91"/>
      <c r="O1090" s="92">
        <f>SUM(O1081:O1089)</f>
        <v>0</v>
      </c>
    </row>
    <row r="1091" spans="1:15" x14ac:dyDescent="0.25">
      <c r="A1091" s="133">
        <v>46200</v>
      </c>
      <c r="B1091" s="145"/>
      <c r="C1091" s="137" t="s">
        <v>616</v>
      </c>
      <c r="D1091" s="88"/>
      <c r="E1091" s="89">
        <v>0</v>
      </c>
      <c r="F1091" s="89">
        <v>0</v>
      </c>
      <c r="G1091" s="89">
        <f>F1091-E1091</f>
        <v>0</v>
      </c>
      <c r="I1091" s="133">
        <v>46200</v>
      </c>
      <c r="J1091" s="145"/>
      <c r="K1091" s="137" t="s">
        <v>616</v>
      </c>
      <c r="L1091" s="88"/>
      <c r="M1091" s="89">
        <v>0</v>
      </c>
      <c r="N1091" s="89">
        <v>0</v>
      </c>
      <c r="O1091" s="89">
        <f>N1091-M1091</f>
        <v>0</v>
      </c>
    </row>
    <row r="1092" spans="1:15" x14ac:dyDescent="0.25">
      <c r="A1092" s="134"/>
      <c r="B1092" s="145"/>
      <c r="C1092" s="138"/>
      <c r="D1092" s="88"/>
      <c r="E1092" s="89">
        <v>0</v>
      </c>
      <c r="F1092" s="89">
        <v>0</v>
      </c>
      <c r="G1092" s="89">
        <f t="shared" ref="G1092:G1094" si="284">F1092-E1092</f>
        <v>0</v>
      </c>
      <c r="I1092" s="134"/>
      <c r="J1092" s="145"/>
      <c r="K1092" s="138"/>
      <c r="L1092" s="88"/>
      <c r="M1092" s="89">
        <v>0</v>
      </c>
      <c r="N1092" s="89">
        <v>0</v>
      </c>
      <c r="O1092" s="89">
        <f t="shared" ref="O1092:O1094" si="285">N1092-M1092</f>
        <v>0</v>
      </c>
    </row>
    <row r="1093" spans="1:15" x14ac:dyDescent="0.25">
      <c r="A1093" s="134"/>
      <c r="B1093" s="145"/>
      <c r="C1093" s="138"/>
      <c r="D1093" s="114"/>
      <c r="E1093" s="89">
        <v>0</v>
      </c>
      <c r="F1093" s="89">
        <v>0</v>
      </c>
      <c r="G1093" s="89">
        <f t="shared" si="284"/>
        <v>0</v>
      </c>
      <c r="I1093" s="134"/>
      <c r="J1093" s="145"/>
      <c r="K1093" s="138"/>
      <c r="L1093" s="114"/>
      <c r="M1093" s="89">
        <v>0</v>
      </c>
      <c r="N1093" s="89">
        <v>0</v>
      </c>
      <c r="O1093" s="89">
        <f t="shared" si="285"/>
        <v>0</v>
      </c>
    </row>
    <row r="1094" spans="1:15" x14ac:dyDescent="0.25">
      <c r="A1094" s="134"/>
      <c r="B1094" s="145"/>
      <c r="C1094" s="138"/>
      <c r="D1094" s="114"/>
      <c r="E1094" s="89">
        <v>0</v>
      </c>
      <c r="F1094" s="89">
        <v>0</v>
      </c>
      <c r="G1094" s="89">
        <f t="shared" si="284"/>
        <v>0</v>
      </c>
      <c r="I1094" s="134"/>
      <c r="J1094" s="145"/>
      <c r="K1094" s="138"/>
      <c r="L1094" s="114"/>
      <c r="M1094" s="89">
        <v>0</v>
      </c>
      <c r="N1094" s="89">
        <v>0</v>
      </c>
      <c r="O1094" s="89">
        <f t="shared" si="285"/>
        <v>0</v>
      </c>
    </row>
    <row r="1095" spans="1:15" x14ac:dyDescent="0.25">
      <c r="A1095" s="134"/>
      <c r="B1095" s="145"/>
      <c r="C1095" s="138"/>
      <c r="D1095" s="114"/>
      <c r="E1095" s="89">
        <v>0</v>
      </c>
      <c r="F1095" s="89">
        <v>0</v>
      </c>
      <c r="G1095" s="89">
        <v>0</v>
      </c>
      <c r="I1095" s="134"/>
      <c r="J1095" s="145"/>
      <c r="K1095" s="138"/>
      <c r="L1095" s="114"/>
      <c r="M1095" s="89">
        <v>0</v>
      </c>
      <c r="N1095" s="89">
        <v>0</v>
      </c>
      <c r="O1095" s="89">
        <v>0</v>
      </c>
    </row>
    <row r="1096" spans="1:15" x14ac:dyDescent="0.25">
      <c r="A1096" s="134"/>
      <c r="B1096" s="145"/>
      <c r="C1096" s="138"/>
      <c r="D1096" s="114"/>
      <c r="E1096" s="89">
        <v>0</v>
      </c>
      <c r="F1096" s="89">
        <v>0</v>
      </c>
      <c r="G1096" s="89">
        <f t="shared" ref="G1096:G1099" si="286">F1096-E1096</f>
        <v>0</v>
      </c>
      <c r="I1096" s="134"/>
      <c r="J1096" s="145"/>
      <c r="K1096" s="138"/>
      <c r="L1096" s="114"/>
      <c r="M1096" s="89">
        <v>0</v>
      </c>
      <c r="N1096" s="89">
        <v>0</v>
      </c>
      <c r="O1096" s="89">
        <f t="shared" ref="O1096:O1099" si="287">N1096-M1096</f>
        <v>0</v>
      </c>
    </row>
    <row r="1097" spans="1:15" x14ac:dyDescent="0.25">
      <c r="A1097" s="134"/>
      <c r="B1097" s="145"/>
      <c r="C1097" s="138"/>
      <c r="D1097" s="114"/>
      <c r="E1097" s="89">
        <v>0</v>
      </c>
      <c r="F1097" s="89">
        <v>0</v>
      </c>
      <c r="G1097" s="89">
        <f t="shared" si="286"/>
        <v>0</v>
      </c>
      <c r="I1097" s="134"/>
      <c r="J1097" s="145"/>
      <c r="K1097" s="138"/>
      <c r="L1097" s="114"/>
      <c r="M1097" s="89">
        <v>0</v>
      </c>
      <c r="N1097" s="89">
        <v>0</v>
      </c>
      <c r="O1097" s="89">
        <f t="shared" si="287"/>
        <v>0</v>
      </c>
    </row>
    <row r="1098" spans="1:15" x14ac:dyDescent="0.25">
      <c r="A1098" s="134"/>
      <c r="B1098" s="145"/>
      <c r="C1098" s="138"/>
      <c r="D1098" s="114"/>
      <c r="E1098" s="89">
        <v>0</v>
      </c>
      <c r="F1098" s="89">
        <v>0</v>
      </c>
      <c r="G1098" s="89">
        <f t="shared" si="286"/>
        <v>0</v>
      </c>
      <c r="I1098" s="134"/>
      <c r="J1098" s="145"/>
      <c r="K1098" s="138"/>
      <c r="L1098" s="114"/>
      <c r="M1098" s="89">
        <v>0</v>
      </c>
      <c r="N1098" s="89">
        <v>0</v>
      </c>
      <c r="O1098" s="89">
        <f t="shared" si="287"/>
        <v>0</v>
      </c>
    </row>
    <row r="1099" spans="1:15" x14ac:dyDescent="0.25">
      <c r="A1099" s="134"/>
      <c r="B1099" s="145"/>
      <c r="C1099" s="138"/>
      <c r="D1099" s="114"/>
      <c r="E1099" s="89">
        <v>0</v>
      </c>
      <c r="F1099" s="89">
        <v>0</v>
      </c>
      <c r="G1099" s="89">
        <f t="shared" si="286"/>
        <v>0</v>
      </c>
      <c r="I1099" s="134"/>
      <c r="J1099" s="145"/>
      <c r="K1099" s="138"/>
      <c r="L1099" s="114"/>
      <c r="M1099" s="89">
        <v>0</v>
      </c>
      <c r="N1099" s="89">
        <v>0</v>
      </c>
      <c r="O1099" s="89">
        <f t="shared" si="287"/>
        <v>0</v>
      </c>
    </row>
    <row r="1100" spans="1:15" ht="15.75" thickBot="1" x14ac:dyDescent="0.3">
      <c r="A1100" s="91"/>
      <c r="B1100" s="91"/>
      <c r="C1100" s="91"/>
      <c r="D1100" s="91"/>
      <c r="E1100" s="91"/>
      <c r="F1100" s="91"/>
      <c r="G1100" s="92">
        <f>SUM(G1091:G1099)</f>
        <v>0</v>
      </c>
      <c r="I1100" s="91"/>
      <c r="J1100" s="91"/>
      <c r="K1100" s="91"/>
      <c r="L1100" s="91"/>
      <c r="M1100" s="91"/>
      <c r="N1100" s="91"/>
      <c r="O1100" s="92">
        <f>SUM(O1091:O1099)</f>
        <v>0</v>
      </c>
    </row>
    <row r="1101" spans="1:15" x14ac:dyDescent="0.25">
      <c r="A1101" s="133">
        <v>46201</v>
      </c>
      <c r="B1101" s="145"/>
      <c r="C1101" s="137" t="s">
        <v>616</v>
      </c>
      <c r="D1101" s="88"/>
      <c r="E1101" s="89">
        <v>0</v>
      </c>
      <c r="F1101" s="89">
        <v>0</v>
      </c>
      <c r="G1101" s="89">
        <f>F1101-E1101</f>
        <v>0</v>
      </c>
      <c r="I1101" s="133">
        <v>46201</v>
      </c>
      <c r="J1101" s="145"/>
      <c r="K1101" s="137" t="s">
        <v>616</v>
      </c>
      <c r="L1101" s="88"/>
      <c r="M1101" s="89">
        <v>0</v>
      </c>
      <c r="N1101" s="89">
        <v>0</v>
      </c>
      <c r="O1101" s="89">
        <f>N1101-M1101</f>
        <v>0</v>
      </c>
    </row>
    <row r="1102" spans="1:15" x14ac:dyDescent="0.25">
      <c r="A1102" s="134"/>
      <c r="B1102" s="145"/>
      <c r="C1102" s="138"/>
      <c r="D1102" s="88"/>
      <c r="E1102" s="89">
        <v>0</v>
      </c>
      <c r="F1102" s="89">
        <v>0</v>
      </c>
      <c r="G1102" s="89">
        <f t="shared" ref="G1102:G1104" si="288">F1102-E1102</f>
        <v>0</v>
      </c>
      <c r="I1102" s="134"/>
      <c r="J1102" s="145"/>
      <c r="K1102" s="138"/>
      <c r="L1102" s="88"/>
      <c r="M1102" s="89">
        <v>0</v>
      </c>
      <c r="N1102" s="89">
        <v>0</v>
      </c>
      <c r="O1102" s="89">
        <f t="shared" ref="O1102:O1104" si="289">N1102-M1102</f>
        <v>0</v>
      </c>
    </row>
    <row r="1103" spans="1:15" x14ac:dyDescent="0.25">
      <c r="A1103" s="134"/>
      <c r="B1103" s="145"/>
      <c r="C1103" s="138"/>
      <c r="D1103" s="114"/>
      <c r="E1103" s="89">
        <v>0</v>
      </c>
      <c r="F1103" s="89">
        <v>0</v>
      </c>
      <c r="G1103" s="89">
        <f t="shared" si="288"/>
        <v>0</v>
      </c>
      <c r="I1103" s="134"/>
      <c r="J1103" s="145"/>
      <c r="K1103" s="138"/>
      <c r="L1103" s="114"/>
      <c r="M1103" s="89">
        <v>0</v>
      </c>
      <c r="N1103" s="89">
        <v>0</v>
      </c>
      <c r="O1103" s="89">
        <f t="shared" si="289"/>
        <v>0</v>
      </c>
    </row>
    <row r="1104" spans="1:15" x14ac:dyDescent="0.25">
      <c r="A1104" s="134"/>
      <c r="B1104" s="145"/>
      <c r="C1104" s="138"/>
      <c r="D1104" s="114"/>
      <c r="E1104" s="89">
        <v>0</v>
      </c>
      <c r="F1104" s="89">
        <v>0</v>
      </c>
      <c r="G1104" s="89">
        <f t="shared" si="288"/>
        <v>0</v>
      </c>
      <c r="I1104" s="134"/>
      <c r="J1104" s="145"/>
      <c r="K1104" s="138"/>
      <c r="L1104" s="114"/>
      <c r="M1104" s="89">
        <v>0</v>
      </c>
      <c r="N1104" s="89">
        <v>0</v>
      </c>
      <c r="O1104" s="89">
        <f t="shared" si="289"/>
        <v>0</v>
      </c>
    </row>
    <row r="1105" spans="1:15" x14ac:dyDescent="0.25">
      <c r="A1105" s="134"/>
      <c r="B1105" s="145"/>
      <c r="C1105" s="138"/>
      <c r="D1105" s="114"/>
      <c r="E1105" s="89">
        <v>0</v>
      </c>
      <c r="F1105" s="89">
        <v>0</v>
      </c>
      <c r="G1105" s="89">
        <v>0</v>
      </c>
      <c r="I1105" s="134"/>
      <c r="J1105" s="145"/>
      <c r="K1105" s="138"/>
      <c r="L1105" s="114"/>
      <c r="M1105" s="89">
        <v>0</v>
      </c>
      <c r="N1105" s="89">
        <v>0</v>
      </c>
      <c r="O1105" s="89">
        <v>0</v>
      </c>
    </row>
    <row r="1106" spans="1:15" x14ac:dyDescent="0.25">
      <c r="A1106" s="134"/>
      <c r="B1106" s="145"/>
      <c r="C1106" s="138"/>
      <c r="D1106" s="114"/>
      <c r="E1106" s="89">
        <v>0</v>
      </c>
      <c r="F1106" s="89">
        <v>0</v>
      </c>
      <c r="G1106" s="89">
        <f t="shared" ref="G1106:G1109" si="290">F1106-E1106</f>
        <v>0</v>
      </c>
      <c r="I1106" s="134"/>
      <c r="J1106" s="145"/>
      <c r="K1106" s="138"/>
      <c r="L1106" s="114"/>
      <c r="M1106" s="89">
        <v>0</v>
      </c>
      <c r="N1106" s="89">
        <v>0</v>
      </c>
      <c r="O1106" s="89">
        <f t="shared" ref="O1106:O1109" si="291">N1106-M1106</f>
        <v>0</v>
      </c>
    </row>
    <row r="1107" spans="1:15" x14ac:dyDescent="0.25">
      <c r="A1107" s="134"/>
      <c r="B1107" s="145"/>
      <c r="C1107" s="138"/>
      <c r="D1107" s="114"/>
      <c r="E1107" s="89">
        <v>0</v>
      </c>
      <c r="F1107" s="89">
        <v>0</v>
      </c>
      <c r="G1107" s="89">
        <f t="shared" si="290"/>
        <v>0</v>
      </c>
      <c r="I1107" s="134"/>
      <c r="J1107" s="145"/>
      <c r="K1107" s="138"/>
      <c r="L1107" s="114"/>
      <c r="M1107" s="89">
        <v>0</v>
      </c>
      <c r="N1107" s="89">
        <v>0</v>
      </c>
      <c r="O1107" s="89">
        <f t="shared" si="291"/>
        <v>0</v>
      </c>
    </row>
    <row r="1108" spans="1:15" x14ac:dyDescent="0.25">
      <c r="A1108" s="134"/>
      <c r="B1108" s="145"/>
      <c r="C1108" s="138"/>
      <c r="D1108" s="114"/>
      <c r="E1108" s="89">
        <v>0</v>
      </c>
      <c r="F1108" s="89">
        <v>0</v>
      </c>
      <c r="G1108" s="89">
        <f t="shared" si="290"/>
        <v>0</v>
      </c>
      <c r="I1108" s="134"/>
      <c r="J1108" s="145"/>
      <c r="K1108" s="138"/>
      <c r="L1108" s="114"/>
      <c r="M1108" s="89">
        <v>0</v>
      </c>
      <c r="N1108" s="89">
        <v>0</v>
      </c>
      <c r="O1108" s="89">
        <f t="shared" si="291"/>
        <v>0</v>
      </c>
    </row>
    <row r="1109" spans="1:15" x14ac:dyDescent="0.25">
      <c r="A1109" s="134"/>
      <c r="B1109" s="145"/>
      <c r="C1109" s="138"/>
      <c r="D1109" s="114"/>
      <c r="E1109" s="89">
        <v>0</v>
      </c>
      <c r="F1109" s="89">
        <v>0</v>
      </c>
      <c r="G1109" s="89">
        <f t="shared" si="290"/>
        <v>0</v>
      </c>
      <c r="I1109" s="134"/>
      <c r="J1109" s="145"/>
      <c r="K1109" s="138"/>
      <c r="L1109" s="114"/>
      <c r="M1109" s="89">
        <v>0</v>
      </c>
      <c r="N1109" s="89">
        <v>0</v>
      </c>
      <c r="O1109" s="89">
        <f t="shared" si="291"/>
        <v>0</v>
      </c>
    </row>
    <row r="1110" spans="1:15" ht="15.75" thickBot="1" x14ac:dyDescent="0.3">
      <c r="A1110" s="91"/>
      <c r="B1110" s="91"/>
      <c r="C1110" s="91"/>
      <c r="D1110" s="91"/>
      <c r="E1110" s="91"/>
      <c r="F1110" s="91"/>
      <c r="G1110" s="92">
        <f>SUM(G1101:G1109)</f>
        <v>0</v>
      </c>
      <c r="I1110" s="91"/>
      <c r="J1110" s="91"/>
      <c r="K1110" s="91"/>
      <c r="L1110" s="91"/>
      <c r="M1110" s="91"/>
      <c r="N1110" s="91"/>
      <c r="O1110" s="92">
        <f>SUM(O1101:O1109)</f>
        <v>0</v>
      </c>
    </row>
    <row r="1111" spans="1:15" x14ac:dyDescent="0.25">
      <c r="A1111" s="133">
        <v>46202</v>
      </c>
      <c r="B1111" s="145"/>
      <c r="C1111" s="137" t="s">
        <v>616</v>
      </c>
      <c r="D1111" s="88"/>
      <c r="E1111" s="89">
        <v>0</v>
      </c>
      <c r="F1111" s="89">
        <v>0</v>
      </c>
      <c r="G1111" s="89">
        <f>F1111-E1111</f>
        <v>0</v>
      </c>
      <c r="I1111" s="133">
        <v>46202</v>
      </c>
      <c r="J1111" s="145"/>
      <c r="K1111" s="137" t="s">
        <v>616</v>
      </c>
      <c r="L1111" s="88"/>
      <c r="M1111" s="89">
        <v>0</v>
      </c>
      <c r="N1111" s="89">
        <v>0</v>
      </c>
      <c r="O1111" s="89">
        <f>N1111-M1111</f>
        <v>0</v>
      </c>
    </row>
    <row r="1112" spans="1:15" x14ac:dyDescent="0.25">
      <c r="A1112" s="134"/>
      <c r="B1112" s="145"/>
      <c r="C1112" s="138"/>
      <c r="D1112" s="88"/>
      <c r="E1112" s="89">
        <v>0</v>
      </c>
      <c r="F1112" s="89">
        <v>0</v>
      </c>
      <c r="G1112" s="89">
        <f t="shared" ref="G1112:G1114" si="292">F1112-E1112</f>
        <v>0</v>
      </c>
      <c r="I1112" s="134"/>
      <c r="J1112" s="145"/>
      <c r="K1112" s="138"/>
      <c r="L1112" s="88"/>
      <c r="M1112" s="89">
        <v>0</v>
      </c>
      <c r="N1112" s="89">
        <v>0</v>
      </c>
      <c r="O1112" s="89">
        <f t="shared" ref="O1112:O1114" si="293">N1112-M1112</f>
        <v>0</v>
      </c>
    </row>
    <row r="1113" spans="1:15" x14ac:dyDescent="0.25">
      <c r="A1113" s="134"/>
      <c r="B1113" s="145"/>
      <c r="C1113" s="138"/>
      <c r="D1113" s="114"/>
      <c r="E1113" s="89">
        <v>0</v>
      </c>
      <c r="F1113" s="89">
        <v>0</v>
      </c>
      <c r="G1113" s="89">
        <f t="shared" si="292"/>
        <v>0</v>
      </c>
      <c r="I1113" s="134"/>
      <c r="J1113" s="145"/>
      <c r="K1113" s="138"/>
      <c r="L1113" s="114"/>
      <c r="M1113" s="89">
        <v>0</v>
      </c>
      <c r="N1113" s="89">
        <v>0</v>
      </c>
      <c r="O1113" s="89">
        <f t="shared" si="293"/>
        <v>0</v>
      </c>
    </row>
    <row r="1114" spans="1:15" x14ac:dyDescent="0.25">
      <c r="A1114" s="134"/>
      <c r="B1114" s="145"/>
      <c r="C1114" s="138"/>
      <c r="D1114" s="114"/>
      <c r="E1114" s="89">
        <v>0</v>
      </c>
      <c r="F1114" s="89">
        <v>0</v>
      </c>
      <c r="G1114" s="89">
        <f t="shared" si="292"/>
        <v>0</v>
      </c>
      <c r="I1114" s="134"/>
      <c r="J1114" s="145"/>
      <c r="K1114" s="138"/>
      <c r="L1114" s="114"/>
      <c r="M1114" s="89">
        <v>0</v>
      </c>
      <c r="N1114" s="89">
        <v>0</v>
      </c>
      <c r="O1114" s="89">
        <f t="shared" si="293"/>
        <v>0</v>
      </c>
    </row>
    <row r="1115" spans="1:15" x14ac:dyDescent="0.25">
      <c r="A1115" s="134"/>
      <c r="B1115" s="145"/>
      <c r="C1115" s="138"/>
      <c r="D1115" s="114"/>
      <c r="E1115" s="89">
        <v>0</v>
      </c>
      <c r="F1115" s="89">
        <v>0</v>
      </c>
      <c r="G1115" s="89">
        <v>0</v>
      </c>
      <c r="I1115" s="134"/>
      <c r="J1115" s="145"/>
      <c r="K1115" s="138"/>
      <c r="L1115" s="114"/>
      <c r="M1115" s="89">
        <v>0</v>
      </c>
      <c r="N1115" s="89">
        <v>0</v>
      </c>
      <c r="O1115" s="89">
        <v>0</v>
      </c>
    </row>
    <row r="1116" spans="1:15" x14ac:dyDescent="0.25">
      <c r="A1116" s="134"/>
      <c r="B1116" s="145"/>
      <c r="C1116" s="138"/>
      <c r="D1116" s="114"/>
      <c r="E1116" s="89">
        <v>0</v>
      </c>
      <c r="F1116" s="89">
        <v>0</v>
      </c>
      <c r="G1116" s="89">
        <f t="shared" ref="G1116:G1119" si="294">F1116-E1116</f>
        <v>0</v>
      </c>
      <c r="I1116" s="134"/>
      <c r="J1116" s="145"/>
      <c r="K1116" s="138"/>
      <c r="L1116" s="114"/>
      <c r="M1116" s="89">
        <v>0</v>
      </c>
      <c r="N1116" s="89">
        <v>0</v>
      </c>
      <c r="O1116" s="89">
        <f t="shared" ref="O1116:O1119" si="295">N1116-M1116</f>
        <v>0</v>
      </c>
    </row>
    <row r="1117" spans="1:15" x14ac:dyDescent="0.25">
      <c r="A1117" s="134"/>
      <c r="B1117" s="145"/>
      <c r="C1117" s="138"/>
      <c r="D1117" s="114"/>
      <c r="E1117" s="89">
        <v>0</v>
      </c>
      <c r="F1117" s="89">
        <v>0</v>
      </c>
      <c r="G1117" s="89">
        <f t="shared" si="294"/>
        <v>0</v>
      </c>
      <c r="I1117" s="134"/>
      <c r="J1117" s="145"/>
      <c r="K1117" s="138"/>
      <c r="L1117" s="114"/>
      <c r="M1117" s="89">
        <v>0</v>
      </c>
      <c r="N1117" s="89">
        <v>0</v>
      </c>
      <c r="O1117" s="89">
        <f t="shared" si="295"/>
        <v>0</v>
      </c>
    </row>
    <row r="1118" spans="1:15" x14ac:dyDescent="0.25">
      <c r="A1118" s="134"/>
      <c r="B1118" s="145"/>
      <c r="C1118" s="138"/>
      <c r="D1118" s="114"/>
      <c r="E1118" s="89">
        <v>0</v>
      </c>
      <c r="F1118" s="89">
        <v>0</v>
      </c>
      <c r="G1118" s="89">
        <f t="shared" si="294"/>
        <v>0</v>
      </c>
      <c r="I1118" s="134"/>
      <c r="J1118" s="145"/>
      <c r="K1118" s="138"/>
      <c r="L1118" s="114"/>
      <c r="M1118" s="89">
        <v>0</v>
      </c>
      <c r="N1118" s="89">
        <v>0</v>
      </c>
      <c r="O1118" s="89">
        <f t="shared" si="295"/>
        <v>0</v>
      </c>
    </row>
    <row r="1119" spans="1:15" x14ac:dyDescent="0.25">
      <c r="A1119" s="134"/>
      <c r="B1119" s="145"/>
      <c r="C1119" s="138"/>
      <c r="D1119" s="114"/>
      <c r="E1119" s="89">
        <v>0</v>
      </c>
      <c r="F1119" s="89">
        <v>0</v>
      </c>
      <c r="G1119" s="89">
        <f t="shared" si="294"/>
        <v>0</v>
      </c>
      <c r="I1119" s="134"/>
      <c r="J1119" s="145"/>
      <c r="K1119" s="138"/>
      <c r="L1119" s="114"/>
      <c r="M1119" s="89">
        <v>0</v>
      </c>
      <c r="N1119" s="89">
        <v>0</v>
      </c>
      <c r="O1119" s="89">
        <f t="shared" si="295"/>
        <v>0</v>
      </c>
    </row>
    <row r="1120" spans="1:15" ht="15.75" thickBot="1" x14ac:dyDescent="0.3">
      <c r="A1120" s="91"/>
      <c r="B1120" s="91"/>
      <c r="C1120" s="91"/>
      <c r="D1120" s="91"/>
      <c r="E1120" s="91"/>
      <c r="F1120" s="91"/>
      <c r="G1120" s="92">
        <f>SUM(G1111:G1119)</f>
        <v>0</v>
      </c>
      <c r="I1120" s="91"/>
      <c r="J1120" s="91"/>
      <c r="K1120" s="91"/>
      <c r="L1120" s="91"/>
      <c r="M1120" s="91"/>
      <c r="N1120" s="91"/>
      <c r="O1120" s="92">
        <f>SUM(O1111:O1119)</f>
        <v>0</v>
      </c>
    </row>
    <row r="1121" spans="1:15" x14ac:dyDescent="0.25">
      <c r="A1121" s="133">
        <v>46203</v>
      </c>
      <c r="B1121" s="145"/>
      <c r="C1121" s="137" t="s">
        <v>616</v>
      </c>
      <c r="D1121" s="88"/>
      <c r="E1121" s="89">
        <v>0</v>
      </c>
      <c r="F1121" s="89">
        <v>0</v>
      </c>
      <c r="G1121" s="89">
        <f>F1121-E1121</f>
        <v>0</v>
      </c>
      <c r="I1121" s="133">
        <v>46203</v>
      </c>
      <c r="J1121" s="145"/>
      <c r="K1121" s="137" t="s">
        <v>616</v>
      </c>
      <c r="L1121" s="88"/>
      <c r="M1121" s="89">
        <v>0</v>
      </c>
      <c r="N1121" s="89">
        <v>0</v>
      </c>
      <c r="O1121" s="89">
        <f>N1121-M1121</f>
        <v>0</v>
      </c>
    </row>
    <row r="1122" spans="1:15" x14ac:dyDescent="0.25">
      <c r="A1122" s="134"/>
      <c r="B1122" s="145"/>
      <c r="C1122" s="138"/>
      <c r="D1122" s="88"/>
      <c r="E1122" s="89">
        <v>0</v>
      </c>
      <c r="F1122" s="89">
        <v>0</v>
      </c>
      <c r="G1122" s="89">
        <f t="shared" ref="G1122:G1124" si="296">F1122-E1122</f>
        <v>0</v>
      </c>
      <c r="I1122" s="134"/>
      <c r="J1122" s="145"/>
      <c r="K1122" s="138"/>
      <c r="L1122" s="88"/>
      <c r="M1122" s="89">
        <v>0</v>
      </c>
      <c r="N1122" s="89">
        <v>0</v>
      </c>
      <c r="O1122" s="89">
        <f t="shared" ref="O1122:O1124" si="297">N1122-M1122</f>
        <v>0</v>
      </c>
    </row>
    <row r="1123" spans="1:15" x14ac:dyDescent="0.25">
      <c r="A1123" s="134"/>
      <c r="B1123" s="145"/>
      <c r="C1123" s="138"/>
      <c r="D1123" s="114"/>
      <c r="E1123" s="89">
        <v>0</v>
      </c>
      <c r="F1123" s="89">
        <v>0</v>
      </c>
      <c r="G1123" s="89">
        <f t="shared" si="296"/>
        <v>0</v>
      </c>
      <c r="I1123" s="134"/>
      <c r="J1123" s="145"/>
      <c r="K1123" s="138"/>
      <c r="L1123" s="114"/>
      <c r="M1123" s="89">
        <v>0</v>
      </c>
      <c r="N1123" s="89">
        <v>0</v>
      </c>
      <c r="O1123" s="89">
        <f t="shared" si="297"/>
        <v>0</v>
      </c>
    </row>
    <row r="1124" spans="1:15" x14ac:dyDescent="0.25">
      <c r="A1124" s="134"/>
      <c r="B1124" s="145"/>
      <c r="C1124" s="138"/>
      <c r="D1124" s="114"/>
      <c r="E1124" s="89">
        <v>0</v>
      </c>
      <c r="F1124" s="89">
        <v>0</v>
      </c>
      <c r="G1124" s="89">
        <f t="shared" si="296"/>
        <v>0</v>
      </c>
      <c r="I1124" s="134"/>
      <c r="J1124" s="145"/>
      <c r="K1124" s="138"/>
      <c r="L1124" s="114"/>
      <c r="M1124" s="89">
        <v>0</v>
      </c>
      <c r="N1124" s="89">
        <v>0</v>
      </c>
      <c r="O1124" s="89">
        <f t="shared" si="297"/>
        <v>0</v>
      </c>
    </row>
    <row r="1125" spans="1:15" x14ac:dyDescent="0.25">
      <c r="A1125" s="134"/>
      <c r="B1125" s="145"/>
      <c r="C1125" s="138"/>
      <c r="D1125" s="114"/>
      <c r="E1125" s="89">
        <v>0</v>
      </c>
      <c r="F1125" s="89">
        <v>0</v>
      </c>
      <c r="G1125" s="89">
        <v>0</v>
      </c>
      <c r="I1125" s="134"/>
      <c r="J1125" s="145"/>
      <c r="K1125" s="138"/>
      <c r="L1125" s="114"/>
      <c r="M1125" s="89">
        <v>0</v>
      </c>
      <c r="N1125" s="89">
        <v>0</v>
      </c>
      <c r="O1125" s="89">
        <v>0</v>
      </c>
    </row>
    <row r="1126" spans="1:15" x14ac:dyDescent="0.25">
      <c r="A1126" s="134"/>
      <c r="B1126" s="145"/>
      <c r="C1126" s="138"/>
      <c r="D1126" s="114"/>
      <c r="E1126" s="89">
        <v>0</v>
      </c>
      <c r="F1126" s="89">
        <v>0</v>
      </c>
      <c r="G1126" s="89">
        <f t="shared" ref="G1126:G1129" si="298">F1126-E1126</f>
        <v>0</v>
      </c>
      <c r="I1126" s="134"/>
      <c r="J1126" s="145"/>
      <c r="K1126" s="138"/>
      <c r="L1126" s="114"/>
      <c r="M1126" s="89">
        <v>0</v>
      </c>
      <c r="N1126" s="89">
        <v>0</v>
      </c>
      <c r="O1126" s="89">
        <f t="shared" ref="O1126:O1129" si="299">N1126-M1126</f>
        <v>0</v>
      </c>
    </row>
    <row r="1127" spans="1:15" x14ac:dyDescent="0.25">
      <c r="A1127" s="134"/>
      <c r="B1127" s="145"/>
      <c r="C1127" s="138"/>
      <c r="D1127" s="114"/>
      <c r="E1127" s="89">
        <v>0</v>
      </c>
      <c r="F1127" s="89">
        <v>0</v>
      </c>
      <c r="G1127" s="89">
        <f t="shared" si="298"/>
        <v>0</v>
      </c>
      <c r="I1127" s="134"/>
      <c r="J1127" s="145"/>
      <c r="K1127" s="138"/>
      <c r="L1127" s="114"/>
      <c r="M1127" s="89">
        <v>0</v>
      </c>
      <c r="N1127" s="89">
        <v>0</v>
      </c>
      <c r="O1127" s="89">
        <f t="shared" si="299"/>
        <v>0</v>
      </c>
    </row>
    <row r="1128" spans="1:15" x14ac:dyDescent="0.25">
      <c r="A1128" s="134"/>
      <c r="B1128" s="145"/>
      <c r="C1128" s="138"/>
      <c r="D1128" s="114"/>
      <c r="E1128" s="89">
        <v>0</v>
      </c>
      <c r="F1128" s="89">
        <v>0</v>
      </c>
      <c r="G1128" s="89">
        <f t="shared" si="298"/>
        <v>0</v>
      </c>
      <c r="I1128" s="134"/>
      <c r="J1128" s="145"/>
      <c r="K1128" s="138"/>
      <c r="L1128" s="114"/>
      <c r="M1128" s="89">
        <v>0</v>
      </c>
      <c r="N1128" s="89">
        <v>0</v>
      </c>
      <c r="O1128" s="89">
        <f t="shared" si="299"/>
        <v>0</v>
      </c>
    </row>
    <row r="1129" spans="1:15" x14ac:dyDescent="0.25">
      <c r="A1129" s="134"/>
      <c r="B1129" s="145"/>
      <c r="C1129" s="138"/>
      <c r="D1129" s="114"/>
      <c r="E1129" s="89">
        <v>0</v>
      </c>
      <c r="F1129" s="89">
        <v>0</v>
      </c>
      <c r="G1129" s="89">
        <f t="shared" si="298"/>
        <v>0</v>
      </c>
      <c r="I1129" s="134"/>
      <c r="J1129" s="145"/>
      <c r="K1129" s="138"/>
      <c r="L1129" s="114"/>
      <c r="M1129" s="89">
        <v>0</v>
      </c>
      <c r="N1129" s="89">
        <v>0</v>
      </c>
      <c r="O1129" s="89">
        <f t="shared" si="299"/>
        <v>0</v>
      </c>
    </row>
    <row r="1130" spans="1:15" ht="15.75" thickBot="1" x14ac:dyDescent="0.3">
      <c r="A1130" s="91"/>
      <c r="B1130" s="91"/>
      <c r="C1130" s="91"/>
      <c r="D1130" s="91"/>
      <c r="E1130" s="91"/>
      <c r="F1130" s="91"/>
      <c r="G1130" s="92">
        <f>SUM(G1121:G1129)</f>
        <v>0</v>
      </c>
      <c r="I1130" s="91"/>
      <c r="J1130" s="91"/>
      <c r="K1130" s="91"/>
      <c r="L1130" s="91"/>
      <c r="M1130" s="91"/>
      <c r="N1130" s="91"/>
      <c r="O1130" s="92">
        <f>SUM(O1121:O1129)</f>
        <v>0</v>
      </c>
    </row>
    <row r="1131" spans="1:15" x14ac:dyDescent="0.25">
      <c r="A1131" s="133" t="s">
        <v>617</v>
      </c>
      <c r="B1131" s="145"/>
      <c r="C1131" s="137" t="s">
        <v>616</v>
      </c>
      <c r="D1131" s="88"/>
      <c r="E1131" s="89">
        <v>0</v>
      </c>
      <c r="F1131" s="89">
        <v>0</v>
      </c>
      <c r="G1131" s="89">
        <f>F1131-E1131</f>
        <v>0</v>
      </c>
      <c r="I1131" s="133" t="s">
        <v>617</v>
      </c>
      <c r="J1131" s="145"/>
      <c r="K1131" s="137" t="s">
        <v>616</v>
      </c>
      <c r="L1131" s="88"/>
      <c r="M1131" s="89">
        <v>0</v>
      </c>
      <c r="N1131" s="89">
        <v>0</v>
      </c>
      <c r="O1131" s="89">
        <f>N1131-M1131</f>
        <v>0</v>
      </c>
    </row>
    <row r="1132" spans="1:15" x14ac:dyDescent="0.25">
      <c r="A1132" s="134"/>
      <c r="B1132" s="145"/>
      <c r="C1132" s="138"/>
      <c r="D1132" s="88"/>
      <c r="E1132" s="89">
        <v>0</v>
      </c>
      <c r="F1132" s="89">
        <v>0</v>
      </c>
      <c r="G1132" s="89">
        <f t="shared" ref="G1132:G1134" si="300">F1132-E1132</f>
        <v>0</v>
      </c>
      <c r="I1132" s="134"/>
      <c r="J1132" s="145"/>
      <c r="K1132" s="138"/>
      <c r="L1132" s="88"/>
      <c r="M1132" s="89">
        <v>0</v>
      </c>
      <c r="N1132" s="89">
        <v>0</v>
      </c>
      <c r="O1132" s="89">
        <f t="shared" ref="O1132:O1133" si="301">N1132-M1132</f>
        <v>0</v>
      </c>
    </row>
    <row r="1133" spans="1:15" x14ac:dyDescent="0.25">
      <c r="A1133" s="134"/>
      <c r="B1133" s="145"/>
      <c r="C1133" s="138"/>
      <c r="D1133" s="114"/>
      <c r="E1133" s="89">
        <v>0</v>
      </c>
      <c r="F1133" s="89">
        <v>0</v>
      </c>
      <c r="G1133" s="89">
        <f t="shared" si="300"/>
        <v>0</v>
      </c>
      <c r="I1133" s="134"/>
      <c r="J1133" s="145"/>
      <c r="K1133" s="138"/>
      <c r="L1133" s="114"/>
      <c r="M1133" s="89">
        <v>0</v>
      </c>
      <c r="N1133" s="89">
        <v>0</v>
      </c>
      <c r="O1133" s="89">
        <f t="shared" si="301"/>
        <v>0</v>
      </c>
    </row>
    <row r="1134" spans="1:15" x14ac:dyDescent="0.25">
      <c r="A1134" s="134"/>
      <c r="B1134" s="145"/>
      <c r="C1134" s="138"/>
      <c r="D1134" s="114"/>
      <c r="E1134" s="89">
        <v>0</v>
      </c>
      <c r="F1134" s="89">
        <v>0</v>
      </c>
      <c r="G1134" s="89">
        <f t="shared" si="300"/>
        <v>0</v>
      </c>
      <c r="I1134" s="134"/>
      <c r="J1134" s="145"/>
      <c r="K1134" s="138"/>
      <c r="L1134" s="114"/>
      <c r="M1134" s="89">
        <v>0</v>
      </c>
      <c r="N1134" s="89">
        <v>0</v>
      </c>
      <c r="O1134" s="89">
        <v>2</v>
      </c>
    </row>
    <row r="1135" spans="1:15" x14ac:dyDescent="0.25">
      <c r="A1135" s="134"/>
      <c r="B1135" s="145"/>
      <c r="C1135" s="138"/>
      <c r="D1135" s="114"/>
      <c r="E1135" s="89">
        <v>0</v>
      </c>
      <c r="F1135" s="89">
        <v>0</v>
      </c>
      <c r="G1135" s="89">
        <v>0</v>
      </c>
      <c r="I1135" s="134"/>
      <c r="J1135" s="145"/>
      <c r="K1135" s="138"/>
      <c r="L1135" s="114"/>
      <c r="M1135" s="89">
        <v>0</v>
      </c>
      <c r="N1135" s="89">
        <v>0</v>
      </c>
      <c r="O1135" s="89">
        <v>3</v>
      </c>
    </row>
    <row r="1136" spans="1:15" x14ac:dyDescent="0.25">
      <c r="A1136" s="134"/>
      <c r="B1136" s="145"/>
      <c r="C1136" s="138"/>
      <c r="D1136" s="114"/>
      <c r="E1136" s="89">
        <v>0</v>
      </c>
      <c r="F1136" s="89">
        <v>0</v>
      </c>
      <c r="G1136" s="89">
        <f t="shared" ref="G1136:G1139" si="302">F1136-E1136</f>
        <v>0</v>
      </c>
      <c r="I1136" s="134"/>
      <c r="J1136" s="145"/>
      <c r="K1136" s="138"/>
      <c r="L1136" s="114"/>
      <c r="M1136" s="89">
        <v>0</v>
      </c>
      <c r="N1136" s="89">
        <v>0</v>
      </c>
      <c r="O1136" s="89">
        <f t="shared" ref="O1136:O1139" si="303">N1136-M1136</f>
        <v>0</v>
      </c>
    </row>
    <row r="1137" spans="1:15" x14ac:dyDescent="0.25">
      <c r="A1137" s="134"/>
      <c r="B1137" s="145"/>
      <c r="C1137" s="138"/>
      <c r="D1137" s="114"/>
      <c r="E1137" s="89">
        <v>0</v>
      </c>
      <c r="F1137" s="89">
        <v>0</v>
      </c>
      <c r="G1137" s="89">
        <f t="shared" si="302"/>
        <v>0</v>
      </c>
      <c r="I1137" s="134"/>
      <c r="J1137" s="145"/>
      <c r="K1137" s="138"/>
      <c r="L1137" s="114"/>
      <c r="M1137" s="89">
        <v>0</v>
      </c>
      <c r="N1137" s="89">
        <v>0</v>
      </c>
      <c r="O1137" s="89">
        <f t="shared" si="303"/>
        <v>0</v>
      </c>
    </row>
    <row r="1138" spans="1:15" x14ac:dyDescent="0.25">
      <c r="A1138" s="134"/>
      <c r="B1138" s="145"/>
      <c r="C1138" s="138"/>
      <c r="D1138" s="114"/>
      <c r="E1138" s="89">
        <v>0</v>
      </c>
      <c r="F1138" s="89">
        <v>0</v>
      </c>
      <c r="G1138" s="89">
        <f t="shared" si="302"/>
        <v>0</v>
      </c>
      <c r="I1138" s="134"/>
      <c r="J1138" s="145"/>
      <c r="K1138" s="138"/>
      <c r="L1138" s="114"/>
      <c r="M1138" s="89">
        <v>0</v>
      </c>
      <c r="N1138" s="89">
        <v>0</v>
      </c>
      <c r="O1138" s="89">
        <f t="shared" si="303"/>
        <v>0</v>
      </c>
    </row>
    <row r="1139" spans="1:15" x14ac:dyDescent="0.25">
      <c r="A1139" s="134"/>
      <c r="B1139" s="145"/>
      <c r="C1139" s="138"/>
      <c r="D1139" s="114"/>
      <c r="E1139" s="89">
        <v>0</v>
      </c>
      <c r="F1139" s="89">
        <v>0</v>
      </c>
      <c r="G1139" s="89">
        <f t="shared" si="302"/>
        <v>0</v>
      </c>
      <c r="I1139" s="134"/>
      <c r="J1139" s="145"/>
      <c r="K1139" s="138"/>
      <c r="L1139" s="114"/>
      <c r="M1139" s="89">
        <v>0</v>
      </c>
      <c r="N1139" s="89">
        <v>0</v>
      </c>
      <c r="O1139" s="89">
        <f t="shared" si="303"/>
        <v>0</v>
      </c>
    </row>
    <row r="1140" spans="1:15" x14ac:dyDescent="0.25">
      <c r="A1140" s="91"/>
      <c r="B1140" s="91"/>
      <c r="C1140" s="91"/>
      <c r="D1140" s="91"/>
      <c r="E1140" s="91"/>
      <c r="F1140" s="91"/>
      <c r="G1140" s="92">
        <f>SUM(G1131:G1139)</f>
        <v>0</v>
      </c>
      <c r="I1140" s="91"/>
      <c r="J1140" s="91"/>
      <c r="K1140" s="91"/>
      <c r="L1140" s="91"/>
      <c r="M1140" s="91"/>
      <c r="N1140" s="91"/>
      <c r="O1140" s="92">
        <f>SUM(O1131:O1139)</f>
        <v>5</v>
      </c>
    </row>
  </sheetData>
  <mergeCells count="740">
    <mergeCell ref="A1131:A1139"/>
    <mergeCell ref="B1131:B1139"/>
    <mergeCell ref="C1131:C1139"/>
    <mergeCell ref="I1131:I1139"/>
    <mergeCell ref="J1131:J1139"/>
    <mergeCell ref="K1131:K1139"/>
    <mergeCell ref="A1111:A1119"/>
    <mergeCell ref="B1111:B1119"/>
    <mergeCell ref="C1111:C1119"/>
    <mergeCell ref="I1111:I1119"/>
    <mergeCell ref="J1111:J1119"/>
    <mergeCell ref="K1111:K1119"/>
    <mergeCell ref="A1121:A1129"/>
    <mergeCell ref="B1121:B1129"/>
    <mergeCell ref="C1121:C1129"/>
    <mergeCell ref="I1121:I1129"/>
    <mergeCell ref="J1121:J1129"/>
    <mergeCell ref="K1121:K1129"/>
    <mergeCell ref="A1091:A1099"/>
    <mergeCell ref="B1091:B1099"/>
    <mergeCell ref="C1091:C1099"/>
    <mergeCell ref="I1091:I1099"/>
    <mergeCell ref="J1091:J1099"/>
    <mergeCell ref="K1091:K1099"/>
    <mergeCell ref="A1101:A1109"/>
    <mergeCell ref="B1101:B1109"/>
    <mergeCell ref="C1101:C1109"/>
    <mergeCell ref="I1101:I1109"/>
    <mergeCell ref="J1101:J1109"/>
    <mergeCell ref="K1101:K1109"/>
    <mergeCell ref="A1071:A1079"/>
    <mergeCell ref="B1071:B1079"/>
    <mergeCell ref="C1071:C1079"/>
    <mergeCell ref="I1071:I1079"/>
    <mergeCell ref="J1071:J1079"/>
    <mergeCell ref="K1071:K1079"/>
    <mergeCell ref="A1081:A1089"/>
    <mergeCell ref="B1081:B1089"/>
    <mergeCell ref="C1081:C1089"/>
    <mergeCell ref="I1081:I1089"/>
    <mergeCell ref="J1081:J1089"/>
    <mergeCell ref="K1081:K1089"/>
    <mergeCell ref="A1051:A1059"/>
    <mergeCell ref="B1051:B1059"/>
    <mergeCell ref="C1051:C1059"/>
    <mergeCell ref="I1051:I1059"/>
    <mergeCell ref="J1051:J1059"/>
    <mergeCell ref="K1051:K1059"/>
    <mergeCell ref="A1061:A1069"/>
    <mergeCell ref="B1061:B1069"/>
    <mergeCell ref="C1061:C1069"/>
    <mergeCell ref="I1061:I1069"/>
    <mergeCell ref="J1061:J1069"/>
    <mergeCell ref="K1061:K1069"/>
    <mergeCell ref="A1031:A1039"/>
    <mergeCell ref="B1031:B1039"/>
    <mergeCell ref="C1031:C1039"/>
    <mergeCell ref="I1031:I1039"/>
    <mergeCell ref="J1031:J1039"/>
    <mergeCell ref="K1031:K1039"/>
    <mergeCell ref="A1041:A1049"/>
    <mergeCell ref="B1041:B1049"/>
    <mergeCell ref="C1041:C1049"/>
    <mergeCell ref="I1041:I1049"/>
    <mergeCell ref="J1041:J1049"/>
    <mergeCell ref="K1041:K1049"/>
    <mergeCell ref="A1011:A1019"/>
    <mergeCell ref="B1011:B1019"/>
    <mergeCell ref="C1011:C1019"/>
    <mergeCell ref="I1011:I1019"/>
    <mergeCell ref="J1011:J1019"/>
    <mergeCell ref="K1011:K1019"/>
    <mergeCell ref="A1021:A1029"/>
    <mergeCell ref="B1021:B1029"/>
    <mergeCell ref="C1021:C1029"/>
    <mergeCell ref="I1021:I1029"/>
    <mergeCell ref="J1021:J1029"/>
    <mergeCell ref="K1021:K1029"/>
    <mergeCell ref="A1001:A1009"/>
    <mergeCell ref="B1001:B1009"/>
    <mergeCell ref="C1001:C1009"/>
    <mergeCell ref="I1001:I1009"/>
    <mergeCell ref="J1001:J1009"/>
    <mergeCell ref="K1001:K1009"/>
    <mergeCell ref="A981:A989"/>
    <mergeCell ref="B981:B989"/>
    <mergeCell ref="C981:C989"/>
    <mergeCell ref="I981:I989"/>
    <mergeCell ref="J981:J989"/>
    <mergeCell ref="K981:K989"/>
    <mergeCell ref="A991:A999"/>
    <mergeCell ref="B991:B999"/>
    <mergeCell ref="C991:C999"/>
    <mergeCell ref="I991:I999"/>
    <mergeCell ref="J991:J999"/>
    <mergeCell ref="K991:K999"/>
    <mergeCell ref="A961:A969"/>
    <mergeCell ref="B961:B969"/>
    <mergeCell ref="C961:C969"/>
    <mergeCell ref="I961:I969"/>
    <mergeCell ref="J961:J969"/>
    <mergeCell ref="K961:K969"/>
    <mergeCell ref="A971:A979"/>
    <mergeCell ref="B971:B979"/>
    <mergeCell ref="C971:C979"/>
    <mergeCell ref="I971:I979"/>
    <mergeCell ref="J971:J979"/>
    <mergeCell ref="K971:K979"/>
    <mergeCell ref="A941:A949"/>
    <mergeCell ref="B941:B949"/>
    <mergeCell ref="C941:C949"/>
    <mergeCell ref="I941:I949"/>
    <mergeCell ref="J941:J949"/>
    <mergeCell ref="K941:K949"/>
    <mergeCell ref="A951:A959"/>
    <mergeCell ref="B951:B959"/>
    <mergeCell ref="C951:C959"/>
    <mergeCell ref="I951:I959"/>
    <mergeCell ref="J951:J959"/>
    <mergeCell ref="K951:K959"/>
    <mergeCell ref="A921:A929"/>
    <mergeCell ref="B921:B929"/>
    <mergeCell ref="C921:C929"/>
    <mergeCell ref="I921:I929"/>
    <mergeCell ref="J921:J929"/>
    <mergeCell ref="K921:K929"/>
    <mergeCell ref="A931:A939"/>
    <mergeCell ref="B931:B939"/>
    <mergeCell ref="C931:C939"/>
    <mergeCell ref="I931:I939"/>
    <mergeCell ref="J931:J939"/>
    <mergeCell ref="K931:K939"/>
    <mergeCell ref="A901:A909"/>
    <mergeCell ref="B901:B909"/>
    <mergeCell ref="C901:C909"/>
    <mergeCell ref="I901:I909"/>
    <mergeCell ref="J901:J909"/>
    <mergeCell ref="K901:K909"/>
    <mergeCell ref="A911:A919"/>
    <mergeCell ref="B911:B919"/>
    <mergeCell ref="C911:C919"/>
    <mergeCell ref="I911:I919"/>
    <mergeCell ref="J911:J919"/>
    <mergeCell ref="K911:K919"/>
    <mergeCell ref="A881:A889"/>
    <mergeCell ref="B881:B889"/>
    <mergeCell ref="C881:C889"/>
    <mergeCell ref="I881:I889"/>
    <mergeCell ref="J881:J889"/>
    <mergeCell ref="K881:K889"/>
    <mergeCell ref="A891:A899"/>
    <mergeCell ref="B891:B899"/>
    <mergeCell ref="C891:C899"/>
    <mergeCell ref="I891:I899"/>
    <mergeCell ref="J891:J899"/>
    <mergeCell ref="K891:K899"/>
    <mergeCell ref="A861:A869"/>
    <mergeCell ref="B861:B869"/>
    <mergeCell ref="C861:C869"/>
    <mergeCell ref="I861:I869"/>
    <mergeCell ref="J861:J869"/>
    <mergeCell ref="K861:K869"/>
    <mergeCell ref="A871:A879"/>
    <mergeCell ref="B871:B879"/>
    <mergeCell ref="C871:C879"/>
    <mergeCell ref="I871:I879"/>
    <mergeCell ref="J871:J879"/>
    <mergeCell ref="K871:K879"/>
    <mergeCell ref="A839:A849"/>
    <mergeCell ref="B839:B849"/>
    <mergeCell ref="C839:C849"/>
    <mergeCell ref="I839:I849"/>
    <mergeCell ref="J839:J849"/>
    <mergeCell ref="K839:K849"/>
    <mergeCell ref="A851:A859"/>
    <mergeCell ref="B851:B859"/>
    <mergeCell ref="C851:C859"/>
    <mergeCell ref="I851:I859"/>
    <mergeCell ref="J851:J859"/>
    <mergeCell ref="K851:K859"/>
    <mergeCell ref="L144:N144"/>
    <mergeCell ref="A2:A9"/>
    <mergeCell ref="C2:C9"/>
    <mergeCell ref="I2:I9"/>
    <mergeCell ref="K2:K9"/>
    <mergeCell ref="A11:A18"/>
    <mergeCell ref="C11:C18"/>
    <mergeCell ref="I11:I18"/>
    <mergeCell ref="K11:K18"/>
    <mergeCell ref="J11:J18"/>
    <mergeCell ref="J2:J9"/>
    <mergeCell ref="A20:A27"/>
    <mergeCell ref="C20:C27"/>
    <mergeCell ref="I20:I27"/>
    <mergeCell ref="K20:K27"/>
    <mergeCell ref="A29:A36"/>
    <mergeCell ref="C29:C36"/>
    <mergeCell ref="I29:I36"/>
    <mergeCell ref="K29:K36"/>
    <mergeCell ref="J29:J36"/>
    <mergeCell ref="A38:A45"/>
    <mergeCell ref="C38:C45"/>
    <mergeCell ref="I38:I45"/>
    <mergeCell ref="K38:K45"/>
    <mergeCell ref="A47:A54"/>
    <mergeCell ref="C47:C54"/>
    <mergeCell ref="I47:I54"/>
    <mergeCell ref="K47:K54"/>
    <mergeCell ref="B47:B54"/>
    <mergeCell ref="J38:J45"/>
    <mergeCell ref="J47:J54"/>
    <mergeCell ref="A56:A63"/>
    <mergeCell ref="C56:C63"/>
    <mergeCell ref="I56:I63"/>
    <mergeCell ref="K56:K63"/>
    <mergeCell ref="A65:A72"/>
    <mergeCell ref="C65:C72"/>
    <mergeCell ref="I65:I72"/>
    <mergeCell ref="K65:K72"/>
    <mergeCell ref="B56:B63"/>
    <mergeCell ref="B65:B72"/>
    <mergeCell ref="J56:J63"/>
    <mergeCell ref="J65:J72"/>
    <mergeCell ref="A74:A83"/>
    <mergeCell ref="C74:C83"/>
    <mergeCell ref="I74:I83"/>
    <mergeCell ref="K74:K83"/>
    <mergeCell ref="A85:A92"/>
    <mergeCell ref="C85:C92"/>
    <mergeCell ref="I85:I92"/>
    <mergeCell ref="K85:K92"/>
    <mergeCell ref="B74:B83"/>
    <mergeCell ref="B85:B92"/>
    <mergeCell ref="J74:J83"/>
    <mergeCell ref="J85:J92"/>
    <mergeCell ref="A94:A101"/>
    <mergeCell ref="C94:C101"/>
    <mergeCell ref="I94:I101"/>
    <mergeCell ref="K94:K101"/>
    <mergeCell ref="A103:A110"/>
    <mergeCell ref="C103:C110"/>
    <mergeCell ref="I103:I110"/>
    <mergeCell ref="K103:K110"/>
    <mergeCell ref="B94:B101"/>
    <mergeCell ref="B103:B110"/>
    <mergeCell ref="J94:J101"/>
    <mergeCell ref="J103:J110"/>
    <mergeCell ref="A112:A119"/>
    <mergeCell ref="C112:C119"/>
    <mergeCell ref="I112:I119"/>
    <mergeCell ref="K112:K119"/>
    <mergeCell ref="A121:A125"/>
    <mergeCell ref="C121:C125"/>
    <mergeCell ref="I121:I125"/>
    <mergeCell ref="K121:K125"/>
    <mergeCell ref="B112:B119"/>
    <mergeCell ref="J112:J119"/>
    <mergeCell ref="J121:J125"/>
    <mergeCell ref="B121:B125"/>
    <mergeCell ref="A127:A134"/>
    <mergeCell ref="C127:C134"/>
    <mergeCell ref="I127:I134"/>
    <mergeCell ref="K127:K134"/>
    <mergeCell ref="A136:A143"/>
    <mergeCell ref="C136:C143"/>
    <mergeCell ref="I136:I143"/>
    <mergeCell ref="K136:K143"/>
    <mergeCell ref="B136:B143"/>
    <mergeCell ref="J136:J143"/>
    <mergeCell ref="J127:J134"/>
    <mergeCell ref="B127:B134"/>
    <mergeCell ref="I135:N135"/>
    <mergeCell ref="A163:A170"/>
    <mergeCell ref="C163:C170"/>
    <mergeCell ref="I163:I170"/>
    <mergeCell ref="K163:K170"/>
    <mergeCell ref="A172:A179"/>
    <mergeCell ref="C172:C179"/>
    <mergeCell ref="I172:I179"/>
    <mergeCell ref="K172:K179"/>
    <mergeCell ref="A145:A152"/>
    <mergeCell ref="C145:C152"/>
    <mergeCell ref="I145:I152"/>
    <mergeCell ref="K145:K152"/>
    <mergeCell ref="A154:A161"/>
    <mergeCell ref="C154:C161"/>
    <mergeCell ref="I154:I161"/>
    <mergeCell ref="K154:K161"/>
    <mergeCell ref="B145:B152"/>
    <mergeCell ref="J145:J152"/>
    <mergeCell ref="B154:B161"/>
    <mergeCell ref="J154:J161"/>
    <mergeCell ref="J163:J170"/>
    <mergeCell ref="B163:B170"/>
    <mergeCell ref="B172:B179"/>
    <mergeCell ref="J172:J179"/>
    <mergeCell ref="A199:A206"/>
    <mergeCell ref="C199:C206"/>
    <mergeCell ref="I199:I206"/>
    <mergeCell ref="K199:K206"/>
    <mergeCell ref="A208:A215"/>
    <mergeCell ref="C208:C215"/>
    <mergeCell ref="I208:I215"/>
    <mergeCell ref="K208:K215"/>
    <mergeCell ref="A181:A188"/>
    <mergeCell ref="C181:C188"/>
    <mergeCell ref="I181:I188"/>
    <mergeCell ref="K181:K188"/>
    <mergeCell ref="A190:A197"/>
    <mergeCell ref="C190:C197"/>
    <mergeCell ref="I190:I197"/>
    <mergeCell ref="K190:K197"/>
    <mergeCell ref="J181:J188"/>
    <mergeCell ref="B181:B188"/>
    <mergeCell ref="K244:K251"/>
    <mergeCell ref="B235:B242"/>
    <mergeCell ref="J235:J242"/>
    <mergeCell ref="A217:A224"/>
    <mergeCell ref="C217:C224"/>
    <mergeCell ref="I217:I224"/>
    <mergeCell ref="K217:K224"/>
    <mergeCell ref="A226:A233"/>
    <mergeCell ref="C226:C233"/>
    <mergeCell ref="I226:I233"/>
    <mergeCell ref="K226:K233"/>
    <mergeCell ref="B226:B233"/>
    <mergeCell ref="J226:J233"/>
    <mergeCell ref="J244:J251"/>
    <mergeCell ref="A271:A278"/>
    <mergeCell ref="C271:C278"/>
    <mergeCell ref="I271:I278"/>
    <mergeCell ref="K271:K278"/>
    <mergeCell ref="B2:B9"/>
    <mergeCell ref="B11:B18"/>
    <mergeCell ref="B20:B27"/>
    <mergeCell ref="B38:B45"/>
    <mergeCell ref="B29:B36"/>
    <mergeCell ref="J20:J27"/>
    <mergeCell ref="A253:A260"/>
    <mergeCell ref="C253:C260"/>
    <mergeCell ref="I253:I260"/>
    <mergeCell ref="K253:K260"/>
    <mergeCell ref="A262:A269"/>
    <mergeCell ref="C262:C269"/>
    <mergeCell ref="I262:I269"/>
    <mergeCell ref="K262:K269"/>
    <mergeCell ref="A235:A242"/>
    <mergeCell ref="C235:C242"/>
    <mergeCell ref="I235:I242"/>
    <mergeCell ref="K235:K242"/>
    <mergeCell ref="A244:A251"/>
    <mergeCell ref="C244:C251"/>
    <mergeCell ref="J253:J260"/>
    <mergeCell ref="B244:B251"/>
    <mergeCell ref="B253:B260"/>
    <mergeCell ref="B262:B269"/>
    <mergeCell ref="B271:B278"/>
    <mergeCell ref="J271:J278"/>
    <mergeCell ref="J262:J269"/>
    <mergeCell ref="B190:B197"/>
    <mergeCell ref="J190:J197"/>
    <mergeCell ref="B199:B206"/>
    <mergeCell ref="J199:J206"/>
    <mergeCell ref="J208:J215"/>
    <mergeCell ref="J217:J224"/>
    <mergeCell ref="B217:B224"/>
    <mergeCell ref="B208:B215"/>
    <mergeCell ref="I244:I251"/>
    <mergeCell ref="A281:A288"/>
    <mergeCell ref="B281:B288"/>
    <mergeCell ref="C281:C288"/>
    <mergeCell ref="I281:I288"/>
    <mergeCell ref="J281:J288"/>
    <mergeCell ref="K281:K288"/>
    <mergeCell ref="A290:A297"/>
    <mergeCell ref="B290:B297"/>
    <mergeCell ref="C290:C297"/>
    <mergeCell ref="I290:I297"/>
    <mergeCell ref="J290:J297"/>
    <mergeCell ref="K290:K297"/>
    <mergeCell ref="A299:A306"/>
    <mergeCell ref="B299:B306"/>
    <mergeCell ref="C299:C306"/>
    <mergeCell ref="I299:I306"/>
    <mergeCell ref="J299:J306"/>
    <mergeCell ref="K299:K306"/>
    <mergeCell ref="A308:A315"/>
    <mergeCell ref="B308:B315"/>
    <mergeCell ref="C308:C315"/>
    <mergeCell ref="I308:I315"/>
    <mergeCell ref="J308:J315"/>
    <mergeCell ref="K308:K315"/>
    <mergeCell ref="A317:A324"/>
    <mergeCell ref="B317:B324"/>
    <mergeCell ref="C317:C324"/>
    <mergeCell ref="I317:I324"/>
    <mergeCell ref="J317:J324"/>
    <mergeCell ref="K317:K324"/>
    <mergeCell ref="A326:A333"/>
    <mergeCell ref="B326:B333"/>
    <mergeCell ref="C326:C333"/>
    <mergeCell ref="I326:I333"/>
    <mergeCell ref="J326:J333"/>
    <mergeCell ref="K326:K333"/>
    <mergeCell ref="A335:A342"/>
    <mergeCell ref="B335:B342"/>
    <mergeCell ref="C335:C342"/>
    <mergeCell ref="I335:I342"/>
    <mergeCell ref="J335:J342"/>
    <mergeCell ref="K335:K342"/>
    <mergeCell ref="A344:A351"/>
    <mergeCell ref="B344:B351"/>
    <mergeCell ref="C344:C351"/>
    <mergeCell ref="I344:I351"/>
    <mergeCell ref="J344:J351"/>
    <mergeCell ref="K344:K351"/>
    <mergeCell ref="A353:A360"/>
    <mergeCell ref="B353:B360"/>
    <mergeCell ref="C353:C360"/>
    <mergeCell ref="I353:I360"/>
    <mergeCell ref="J353:J360"/>
    <mergeCell ref="K353:K360"/>
    <mergeCell ref="A362:A369"/>
    <mergeCell ref="B362:B369"/>
    <mergeCell ref="C362:C369"/>
    <mergeCell ref="I362:I369"/>
    <mergeCell ref="J362:J369"/>
    <mergeCell ref="K362:K369"/>
    <mergeCell ref="A371:A378"/>
    <mergeCell ref="B371:B378"/>
    <mergeCell ref="C371:C378"/>
    <mergeCell ref="I371:I378"/>
    <mergeCell ref="J371:J378"/>
    <mergeCell ref="K371:K378"/>
    <mergeCell ref="A380:A387"/>
    <mergeCell ref="B380:B387"/>
    <mergeCell ref="C380:C387"/>
    <mergeCell ref="I380:I387"/>
    <mergeCell ref="J380:J387"/>
    <mergeCell ref="K380:K387"/>
    <mergeCell ref="A389:A396"/>
    <mergeCell ref="B389:B396"/>
    <mergeCell ref="C389:C396"/>
    <mergeCell ref="I389:I396"/>
    <mergeCell ref="J389:J396"/>
    <mergeCell ref="K389:K396"/>
    <mergeCell ref="A398:A405"/>
    <mergeCell ref="B398:B405"/>
    <mergeCell ref="C398:C405"/>
    <mergeCell ref="I398:I405"/>
    <mergeCell ref="J398:J405"/>
    <mergeCell ref="K398:K405"/>
    <mergeCell ref="A407:A414"/>
    <mergeCell ref="B407:B414"/>
    <mergeCell ref="C407:C414"/>
    <mergeCell ref="I407:I414"/>
    <mergeCell ref="J407:J414"/>
    <mergeCell ref="K407:K414"/>
    <mergeCell ref="A416:A423"/>
    <mergeCell ref="B416:B423"/>
    <mergeCell ref="C416:C423"/>
    <mergeCell ref="I416:I423"/>
    <mergeCell ref="J416:J423"/>
    <mergeCell ref="K416:K423"/>
    <mergeCell ref="A425:A432"/>
    <mergeCell ref="B425:B432"/>
    <mergeCell ref="C425:C432"/>
    <mergeCell ref="I425:I432"/>
    <mergeCell ref="J425:J432"/>
    <mergeCell ref="K425:K432"/>
    <mergeCell ref="A434:A441"/>
    <mergeCell ref="B434:B441"/>
    <mergeCell ref="C434:C441"/>
    <mergeCell ref="I434:I441"/>
    <mergeCell ref="J434:J441"/>
    <mergeCell ref="K434:K441"/>
    <mergeCell ref="A443:A450"/>
    <mergeCell ref="B443:B450"/>
    <mergeCell ref="C443:C450"/>
    <mergeCell ref="I443:I450"/>
    <mergeCell ref="J443:J450"/>
    <mergeCell ref="K443:K450"/>
    <mergeCell ref="A452:A459"/>
    <mergeCell ref="B452:B459"/>
    <mergeCell ref="C452:C459"/>
    <mergeCell ref="I452:I459"/>
    <mergeCell ref="J452:J459"/>
    <mergeCell ref="K452:K459"/>
    <mergeCell ref="A461:A468"/>
    <mergeCell ref="B461:B468"/>
    <mergeCell ref="C461:C468"/>
    <mergeCell ref="I461:I468"/>
    <mergeCell ref="J461:J468"/>
    <mergeCell ref="K461:K468"/>
    <mergeCell ref="A470:A477"/>
    <mergeCell ref="B470:B477"/>
    <mergeCell ref="C470:C477"/>
    <mergeCell ref="I470:I477"/>
    <mergeCell ref="J470:J477"/>
    <mergeCell ref="K470:K477"/>
    <mergeCell ref="A479:A486"/>
    <mergeCell ref="B479:B486"/>
    <mergeCell ref="C479:C486"/>
    <mergeCell ref="I479:I486"/>
    <mergeCell ref="J479:J486"/>
    <mergeCell ref="K479:K486"/>
    <mergeCell ref="A488:A495"/>
    <mergeCell ref="B488:B495"/>
    <mergeCell ref="C488:C495"/>
    <mergeCell ref="I488:I495"/>
    <mergeCell ref="J488:J495"/>
    <mergeCell ref="K488:K495"/>
    <mergeCell ref="A497:A504"/>
    <mergeCell ref="B497:B504"/>
    <mergeCell ref="C497:C504"/>
    <mergeCell ref="I497:I504"/>
    <mergeCell ref="J497:J504"/>
    <mergeCell ref="K497:K504"/>
    <mergeCell ref="A506:A513"/>
    <mergeCell ref="B506:B513"/>
    <mergeCell ref="C506:C513"/>
    <mergeCell ref="I506:I513"/>
    <mergeCell ref="J506:J513"/>
    <mergeCell ref="K506:K513"/>
    <mergeCell ref="A515:A522"/>
    <mergeCell ref="B515:B522"/>
    <mergeCell ref="C515:C522"/>
    <mergeCell ref="I515:I522"/>
    <mergeCell ref="J515:J522"/>
    <mergeCell ref="K515:K522"/>
    <mergeCell ref="A524:A531"/>
    <mergeCell ref="B524:B531"/>
    <mergeCell ref="C524:C531"/>
    <mergeCell ref="I524:I531"/>
    <mergeCell ref="J524:J531"/>
    <mergeCell ref="K524:K531"/>
    <mergeCell ref="A533:A540"/>
    <mergeCell ref="B533:B540"/>
    <mergeCell ref="C533:C540"/>
    <mergeCell ref="I533:I540"/>
    <mergeCell ref="J533:J540"/>
    <mergeCell ref="K533:K540"/>
    <mergeCell ref="A542:A549"/>
    <mergeCell ref="B542:B549"/>
    <mergeCell ref="C542:C549"/>
    <mergeCell ref="I542:I549"/>
    <mergeCell ref="J542:J549"/>
    <mergeCell ref="K542:K549"/>
    <mergeCell ref="A551:A558"/>
    <mergeCell ref="B551:B558"/>
    <mergeCell ref="C551:C558"/>
    <mergeCell ref="I551:I558"/>
    <mergeCell ref="J551:J558"/>
    <mergeCell ref="K551:K558"/>
    <mergeCell ref="A560:A567"/>
    <mergeCell ref="B560:B567"/>
    <mergeCell ref="C560:C567"/>
    <mergeCell ref="I560:I567"/>
    <mergeCell ref="J560:J567"/>
    <mergeCell ref="K560:K567"/>
    <mergeCell ref="A569:A576"/>
    <mergeCell ref="B569:B576"/>
    <mergeCell ref="C569:C576"/>
    <mergeCell ref="I569:I576"/>
    <mergeCell ref="J569:J576"/>
    <mergeCell ref="K569:K576"/>
    <mergeCell ref="A578:A585"/>
    <mergeCell ref="B578:B585"/>
    <mergeCell ref="C578:C585"/>
    <mergeCell ref="I578:I585"/>
    <mergeCell ref="J578:J585"/>
    <mergeCell ref="K578:K585"/>
    <mergeCell ref="A587:A594"/>
    <mergeCell ref="B587:B594"/>
    <mergeCell ref="C587:C594"/>
    <mergeCell ref="I587:I594"/>
    <mergeCell ref="J587:J594"/>
    <mergeCell ref="K587:K594"/>
    <mergeCell ref="A596:A603"/>
    <mergeCell ref="B596:B603"/>
    <mergeCell ref="C596:C603"/>
    <mergeCell ref="I596:I603"/>
    <mergeCell ref="J596:J603"/>
    <mergeCell ref="K596:K603"/>
    <mergeCell ref="A605:A612"/>
    <mergeCell ref="B605:B612"/>
    <mergeCell ref="C605:C612"/>
    <mergeCell ref="I605:I612"/>
    <mergeCell ref="J605:J612"/>
    <mergeCell ref="K605:K612"/>
    <mergeCell ref="A614:A621"/>
    <mergeCell ref="B614:B621"/>
    <mergeCell ref="C614:C621"/>
    <mergeCell ref="I614:I621"/>
    <mergeCell ref="J614:J621"/>
    <mergeCell ref="K614:K621"/>
    <mergeCell ref="A623:A630"/>
    <mergeCell ref="B623:B630"/>
    <mergeCell ref="C623:C630"/>
    <mergeCell ref="I623:I630"/>
    <mergeCell ref="J623:J630"/>
    <mergeCell ref="K623:K630"/>
    <mergeCell ref="A632:A639"/>
    <mergeCell ref="B632:B639"/>
    <mergeCell ref="C632:C639"/>
    <mergeCell ref="I632:I639"/>
    <mergeCell ref="J632:J639"/>
    <mergeCell ref="K632:K639"/>
    <mergeCell ref="A641:A648"/>
    <mergeCell ref="B641:B648"/>
    <mergeCell ref="C641:C648"/>
    <mergeCell ref="I641:I648"/>
    <mergeCell ref="J641:J648"/>
    <mergeCell ref="K641:K648"/>
    <mergeCell ref="A650:A657"/>
    <mergeCell ref="B650:B657"/>
    <mergeCell ref="C650:C657"/>
    <mergeCell ref="I650:I657"/>
    <mergeCell ref="J650:J657"/>
    <mergeCell ref="K650:K657"/>
    <mergeCell ref="A659:A666"/>
    <mergeCell ref="B659:B666"/>
    <mergeCell ref="C659:C666"/>
    <mergeCell ref="I659:I666"/>
    <mergeCell ref="J659:J666"/>
    <mergeCell ref="K659:K666"/>
    <mergeCell ref="A668:A675"/>
    <mergeCell ref="B668:B675"/>
    <mergeCell ref="C668:C675"/>
    <mergeCell ref="I668:I675"/>
    <mergeCell ref="J668:J675"/>
    <mergeCell ref="K668:K675"/>
    <mergeCell ref="A677:A684"/>
    <mergeCell ref="B677:B684"/>
    <mergeCell ref="C677:C684"/>
    <mergeCell ref="I677:I684"/>
    <mergeCell ref="J677:J684"/>
    <mergeCell ref="K677:K684"/>
    <mergeCell ref="A686:A693"/>
    <mergeCell ref="B686:B693"/>
    <mergeCell ref="C686:C693"/>
    <mergeCell ref="I686:I693"/>
    <mergeCell ref="J686:J693"/>
    <mergeCell ref="K686:K693"/>
    <mergeCell ref="A695:A702"/>
    <mergeCell ref="B695:B702"/>
    <mergeCell ref="C695:C702"/>
    <mergeCell ref="I695:I702"/>
    <mergeCell ref="J695:J702"/>
    <mergeCell ref="K695:K702"/>
    <mergeCell ref="A704:A711"/>
    <mergeCell ref="B704:B711"/>
    <mergeCell ref="C704:C711"/>
    <mergeCell ref="I704:I711"/>
    <mergeCell ref="J704:J711"/>
    <mergeCell ref="K704:K711"/>
    <mergeCell ref="A713:A720"/>
    <mergeCell ref="B713:B720"/>
    <mergeCell ref="C713:C720"/>
    <mergeCell ref="I713:I720"/>
    <mergeCell ref="J713:J720"/>
    <mergeCell ref="K713:K720"/>
    <mergeCell ref="A722:A729"/>
    <mergeCell ref="B722:B729"/>
    <mergeCell ref="C722:C729"/>
    <mergeCell ref="I722:I729"/>
    <mergeCell ref="J722:J729"/>
    <mergeCell ref="K722:K729"/>
    <mergeCell ref="A731:A738"/>
    <mergeCell ref="B731:B738"/>
    <mergeCell ref="C731:C738"/>
    <mergeCell ref="I731:I738"/>
    <mergeCell ref="J731:J738"/>
    <mergeCell ref="K731:K738"/>
    <mergeCell ref="A740:A747"/>
    <mergeCell ref="B740:B747"/>
    <mergeCell ref="C740:C747"/>
    <mergeCell ref="I740:I747"/>
    <mergeCell ref="J740:J747"/>
    <mergeCell ref="K740:K747"/>
    <mergeCell ref="A749:A756"/>
    <mergeCell ref="B749:B756"/>
    <mergeCell ref="C749:C756"/>
    <mergeCell ref="I749:I756"/>
    <mergeCell ref="J749:J756"/>
    <mergeCell ref="K749:K756"/>
    <mergeCell ref="A758:A765"/>
    <mergeCell ref="B758:B765"/>
    <mergeCell ref="C758:C765"/>
    <mergeCell ref="I758:I765"/>
    <mergeCell ref="J758:J765"/>
    <mergeCell ref="K758:K765"/>
    <mergeCell ref="A767:A774"/>
    <mergeCell ref="B767:B774"/>
    <mergeCell ref="C767:C774"/>
    <mergeCell ref="I767:I774"/>
    <mergeCell ref="J767:J774"/>
    <mergeCell ref="K767:K774"/>
    <mergeCell ref="A776:A783"/>
    <mergeCell ref="B776:B783"/>
    <mergeCell ref="C776:C783"/>
    <mergeCell ref="I776:I783"/>
    <mergeCell ref="J776:J783"/>
    <mergeCell ref="K776:K783"/>
    <mergeCell ref="A785:A792"/>
    <mergeCell ref="B785:B792"/>
    <mergeCell ref="C785:C792"/>
    <mergeCell ref="I785:I792"/>
    <mergeCell ref="J785:J792"/>
    <mergeCell ref="K785:K792"/>
    <mergeCell ref="A794:A801"/>
    <mergeCell ref="B794:B801"/>
    <mergeCell ref="C794:C801"/>
    <mergeCell ref="I794:I801"/>
    <mergeCell ref="J794:J801"/>
    <mergeCell ref="K794:K801"/>
    <mergeCell ref="A803:A810"/>
    <mergeCell ref="B803:B810"/>
    <mergeCell ref="C803:C810"/>
    <mergeCell ref="I803:I810"/>
    <mergeCell ref="J803:J810"/>
    <mergeCell ref="K803:K810"/>
    <mergeCell ref="A812:A819"/>
    <mergeCell ref="B812:B819"/>
    <mergeCell ref="C812:C819"/>
    <mergeCell ref="I812:I819"/>
    <mergeCell ref="J812:J819"/>
    <mergeCell ref="K812:K819"/>
    <mergeCell ref="A821:A828"/>
    <mergeCell ref="B821:B828"/>
    <mergeCell ref="C821:C828"/>
    <mergeCell ref="I821:I828"/>
    <mergeCell ref="J821:J828"/>
    <mergeCell ref="K821:K828"/>
    <mergeCell ref="A830:A837"/>
    <mergeCell ref="B830:B837"/>
    <mergeCell ref="C830:C837"/>
    <mergeCell ref="I830:I837"/>
    <mergeCell ref="J830:J837"/>
    <mergeCell ref="K830:K837"/>
  </mergeCells>
  <dataValidations count="1">
    <dataValidation type="list" showInputMessage="1" showErrorMessage="1" errorTitle="Ошибка ввода" error="Введите из списка" sqref="B56 J38 B2 B11 J2 J11 B20 J262 J29 B29 B38 B47 J47 J56 J74 J65 B65 B74 B85 J20 J94 B94 B103 J103 J112 B112 B121 J121 J127 B127 B136 J136 J145 B145 B154 J154 J163 B163 B172 J172 J181 B181 B190 J190 B199 J199 J208 J217 B217 B208 B226 B235 J226 J235 J244 J253 B244 B253 B262 B271 J271 J85 B281 J281 B290 J290 B299 J299 B308 J308 B317 J317 B326 J326 B335 J335 B344 J344 B353 J353 B362 J362 B371 J371 B380 J380 B389 J389 B398 J398 B407 J407 B416 J416 B425 J425 B434 J434 B443 J443 B452 J452 B461 J461 B470 J470 B479 J479 B488 J488 B497 J497 B506 J506 B515 J515 B524 J524 B533 J533 B542 J542 B551 J551 B560 J560 B569 J569 B578 J578 B587 J587 B596 J596 B605 J605 B614 J614 B623 J623 B632 J632 B641 J641 B650 J650 B659 J659 B668 J668 B677 J677 B686 J686 B695 J695 B704 J704 B713 J713 B722 J722 B731 J731 B740 J740 B749 J749 B758 J758 B767 J767 B776 J776 B785 J785 B794 J794 B803 J803 B812 J812 B821 J821 B830 J830 B839 J839 B851 B1101 B861 B1001 B871 B1071 B881 B1011 B891 B1121 B901 B1021 B911 B1081 B921 B1031 B931 B1111 B941 B1041 B951 B1091 B961 B1051 B971 B1131 B981 B1061 B991 J851 J1101 J861 J1001 J871 J1071 J881 J1011 J891 J1121 J901 J1021 J911 J1081 J921 J1031 J931 J1111 J941 J1041 J951 J1091 J961 J1051 J971 J1131 J981 J1061 J991" xr:uid="{69A79C6E-105B-4E31-BFE8-66BC84EEF59C}">
      <formula1>Мастер</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FF68A-DD20-4A66-B4AD-18070F29E803}">
  <sheetPr>
    <tabColor rgb="FFFFFF00"/>
  </sheetPr>
  <dimension ref="A1:Y368"/>
  <sheetViews>
    <sheetView workbookViewId="0">
      <pane xSplit="1" ySplit="3" topLeftCell="B166" activePane="bottomRight" state="frozen"/>
      <selection activeCell="F8" sqref="F8"/>
      <selection pane="topRight" activeCell="F8" sqref="F8"/>
      <selection pane="bottomLeft" activeCell="F8" sqref="F8"/>
      <selection pane="bottomRight" activeCell="E176" sqref="E176"/>
    </sheetView>
  </sheetViews>
  <sheetFormatPr defaultColWidth="9.140625" defaultRowHeight="12.75" x14ac:dyDescent="0.2"/>
  <cols>
    <col min="1" max="1" width="9.140625" style="40"/>
    <col min="2" max="9" width="9.42578125" style="54" bestFit="1" customWidth="1"/>
    <col min="10" max="13" width="9.42578125" style="54" customWidth="1"/>
    <col min="14" max="14" width="9.140625" style="44"/>
    <col min="15" max="15" width="9.140625" style="40"/>
    <col min="16" max="19" width="9.42578125" style="54" bestFit="1" customWidth="1"/>
    <col min="20" max="20" width="9.42578125" style="54" customWidth="1"/>
    <col min="21" max="24" width="9.42578125" style="54" bestFit="1" customWidth="1"/>
    <col min="25" max="25" width="9.42578125" style="54" customWidth="1"/>
    <col min="26" max="16384" width="9.140625" style="44"/>
  </cols>
  <sheetData>
    <row r="1" spans="1:25" x14ac:dyDescent="0.2">
      <c r="A1" s="146" t="s">
        <v>0</v>
      </c>
      <c r="B1" s="41" t="s">
        <v>91</v>
      </c>
      <c r="C1" s="42"/>
      <c r="D1" s="42"/>
      <c r="E1" s="43"/>
      <c r="F1" s="149" t="s">
        <v>120</v>
      </c>
      <c r="G1" s="150"/>
      <c r="H1" s="150"/>
      <c r="I1" s="151"/>
      <c r="J1" s="149" t="s">
        <v>110</v>
      </c>
      <c r="K1" s="150"/>
      <c r="L1" s="150"/>
      <c r="M1" s="151"/>
      <c r="O1" s="146" t="s">
        <v>0</v>
      </c>
      <c r="P1" s="41" t="s">
        <v>92</v>
      </c>
      <c r="Q1" s="42"/>
      <c r="R1" s="42"/>
      <c r="S1" s="43"/>
      <c r="T1" s="42"/>
      <c r="U1" s="41" t="s">
        <v>93</v>
      </c>
      <c r="V1" s="42"/>
      <c r="W1" s="42"/>
      <c r="X1" s="43"/>
      <c r="Y1" s="43"/>
    </row>
    <row r="2" spans="1:25" x14ac:dyDescent="0.2">
      <c r="A2" s="147"/>
      <c r="B2" s="57" t="s">
        <v>86</v>
      </c>
      <c r="C2" s="58" t="s">
        <v>87</v>
      </c>
      <c r="D2" s="58" t="s">
        <v>88</v>
      </c>
      <c r="E2" s="59" t="s">
        <v>89</v>
      </c>
      <c r="F2" s="57" t="s">
        <v>86</v>
      </c>
      <c r="G2" s="58" t="s">
        <v>87</v>
      </c>
      <c r="H2" s="58" t="s">
        <v>88</v>
      </c>
      <c r="I2" s="59" t="s">
        <v>89</v>
      </c>
      <c r="J2" s="57" t="s">
        <v>86</v>
      </c>
      <c r="K2" s="58" t="s">
        <v>87</v>
      </c>
      <c r="L2" s="58" t="s">
        <v>88</v>
      </c>
      <c r="M2" s="59" t="s">
        <v>89</v>
      </c>
      <c r="O2" s="147"/>
      <c r="P2" s="57" t="s">
        <v>94</v>
      </c>
      <c r="Q2" s="58" t="s">
        <v>95</v>
      </c>
      <c r="R2" s="58" t="s">
        <v>96</v>
      </c>
      <c r="S2" s="59" t="s">
        <v>97</v>
      </c>
      <c r="T2" s="58" t="s">
        <v>6</v>
      </c>
      <c r="U2" s="57" t="s">
        <v>94</v>
      </c>
      <c r="V2" s="58" t="s">
        <v>95</v>
      </c>
      <c r="W2" s="58" t="s">
        <v>96</v>
      </c>
      <c r="X2" s="59" t="s">
        <v>97</v>
      </c>
      <c r="Y2" s="59" t="s">
        <v>6</v>
      </c>
    </row>
    <row r="3" spans="1:25" x14ac:dyDescent="0.2">
      <c r="A3" s="148"/>
      <c r="B3" s="45"/>
      <c r="C3" s="46"/>
      <c r="D3" s="46"/>
      <c r="E3" s="47"/>
      <c r="F3" s="45">
        <v>1729</v>
      </c>
      <c r="G3" s="46">
        <v>12455</v>
      </c>
      <c r="H3" s="46">
        <v>0</v>
      </c>
      <c r="I3" s="47">
        <v>14417</v>
      </c>
      <c r="J3" s="45">
        <v>1729</v>
      </c>
      <c r="K3" s="46">
        <v>12455</v>
      </c>
      <c r="L3" s="46">
        <v>0</v>
      </c>
      <c r="M3" s="47">
        <v>14417</v>
      </c>
      <c r="O3" s="148"/>
      <c r="P3" s="45"/>
      <c r="Q3" s="46"/>
      <c r="R3" s="46"/>
      <c r="S3" s="47"/>
      <c r="T3" s="46"/>
      <c r="U3" s="45">
        <v>759900</v>
      </c>
      <c r="V3" s="46">
        <v>0</v>
      </c>
      <c r="W3" s="46">
        <v>0</v>
      </c>
      <c r="X3" s="47">
        <v>0</v>
      </c>
      <c r="Y3" s="47">
        <f>SUM(U3:X3)</f>
        <v>759900</v>
      </c>
    </row>
    <row r="4" spans="1:25" x14ac:dyDescent="0.2">
      <c r="A4" s="55">
        <v>46023</v>
      </c>
      <c r="B4" s="48"/>
      <c r="C4" s="49"/>
      <c r="D4" s="49"/>
      <c r="E4" s="50"/>
      <c r="F4" s="48">
        <f t="shared" ref="F4:F35" si="0">F3</f>
        <v>1729</v>
      </c>
      <c r="G4" s="49">
        <f t="shared" ref="G4:G35" si="1">G3</f>
        <v>12455</v>
      </c>
      <c r="H4" s="49">
        <f t="shared" ref="H4:H35" si="2">H3</f>
        <v>0</v>
      </c>
      <c r="I4" s="50">
        <f t="shared" ref="I4:I35" si="3">I3</f>
        <v>14417</v>
      </c>
      <c r="J4" s="48">
        <f>J3+B4-SUMIFS(рапорт!$O:$O,рапорт!$A:$A,A4)-SUMIFS(рапорт!$U:$U,рапорт!$A:$A,A4)/4</f>
        <v>1729</v>
      </c>
      <c r="K4" s="49">
        <f>K3+C4-SUMIFS(рапорт!$P:$P,рапорт!$A:$A,A4)-SUMIFS(рапорт!$U:$U,рапорт!$A:$A,A4)/4</f>
        <v>12455</v>
      </c>
      <c r="L4" s="49">
        <f>L3+D4-SUMIFS(рапорт!$Q:$Q,рапорт!$A:$A,A4)-SUMIFS(рапорт!$U:$U,рапорт!$A:$A,A4)/4</f>
        <v>0</v>
      </c>
      <c r="M4" s="50">
        <f>M3+E4-SUMIFS(рапорт!$R:$R,рапорт!$A:$A,A4)-SUMIFS(рапорт!$U:$U,рапорт!$A:$A,A4)/4</f>
        <v>14417</v>
      </c>
      <c r="O4" s="55">
        <v>46023</v>
      </c>
      <c r="P4" s="48"/>
      <c r="Q4" s="49"/>
      <c r="R4" s="49"/>
      <c r="S4" s="50"/>
      <c r="T4" s="60">
        <f>SUM(P4:S4)</f>
        <v>0</v>
      </c>
      <c r="U4" s="48">
        <f t="shared" ref="U4:X19" si="4">U3</f>
        <v>759900</v>
      </c>
      <c r="V4" s="49">
        <f t="shared" si="4"/>
        <v>0</v>
      </c>
      <c r="W4" s="49">
        <f t="shared" si="4"/>
        <v>0</v>
      </c>
      <c r="X4" s="50">
        <f t="shared" si="4"/>
        <v>0</v>
      </c>
      <c r="Y4" s="73">
        <f>SUM(U4:X4)</f>
        <v>759900</v>
      </c>
    </row>
    <row r="5" spans="1:25" x14ac:dyDescent="0.2">
      <c r="A5" s="55">
        <v>46024</v>
      </c>
      <c r="B5" s="48"/>
      <c r="C5" s="49"/>
      <c r="D5" s="49"/>
      <c r="E5" s="50"/>
      <c r="F5" s="48">
        <f t="shared" si="0"/>
        <v>1729</v>
      </c>
      <c r="G5" s="49">
        <f t="shared" si="1"/>
        <v>12455</v>
      </c>
      <c r="H5" s="49">
        <f t="shared" si="2"/>
        <v>0</v>
      </c>
      <c r="I5" s="50">
        <f t="shared" si="3"/>
        <v>14417</v>
      </c>
      <c r="J5" s="48">
        <f>J4+B5-SUMIFS(рапорт!$O:$O,рапорт!$A:$A,A5)-SUMIFS(рапорт!$U:$U,рапорт!$A:$A,A5)/4</f>
        <v>1729</v>
      </c>
      <c r="K5" s="49">
        <f>K4+C5-SUMIFS(рапорт!$P:$P,рапорт!$A:$A,A5)-SUMIFS(рапорт!$U:$U,рапорт!$A:$A,A5)/4</f>
        <v>12455</v>
      </c>
      <c r="L5" s="49">
        <f>L4+D5-SUMIFS(рапорт!$Q:$Q,рапорт!$A:$A,A5)-SUMIFS(рапорт!$U:$U,рапорт!$A:$A,A5)/4</f>
        <v>0</v>
      </c>
      <c r="M5" s="50">
        <f>M4+E5-SUMIFS(рапорт!$R:$R,рапорт!$A:$A,A5)-SUMIFS(рапорт!$U:$U,рапорт!$A:$A,A5)/4</f>
        <v>14417</v>
      </c>
      <c r="O5" s="55">
        <v>46024</v>
      </c>
      <c r="P5" s="48"/>
      <c r="Q5" s="49"/>
      <c r="R5" s="49"/>
      <c r="S5" s="50"/>
      <c r="T5" s="60">
        <f t="shared" ref="T5:T68" si="5">SUM(P5:S5)</f>
        <v>0</v>
      </c>
      <c r="U5" s="48">
        <f t="shared" si="4"/>
        <v>759900</v>
      </c>
      <c r="V5" s="49">
        <f t="shared" si="4"/>
        <v>0</v>
      </c>
      <c r="W5" s="49">
        <f t="shared" si="4"/>
        <v>0</v>
      </c>
      <c r="X5" s="50">
        <f t="shared" si="4"/>
        <v>0</v>
      </c>
      <c r="Y5" s="73">
        <f t="shared" ref="Y5:Y68" si="6">SUM(U5:X5)</f>
        <v>759900</v>
      </c>
    </row>
    <row r="6" spans="1:25" x14ac:dyDescent="0.2">
      <c r="A6" s="55">
        <v>46025</v>
      </c>
      <c r="B6" s="48"/>
      <c r="C6" s="49"/>
      <c r="D6" s="49"/>
      <c r="E6" s="50"/>
      <c r="F6" s="48">
        <f t="shared" si="0"/>
        <v>1729</v>
      </c>
      <c r="G6" s="49">
        <f t="shared" si="1"/>
        <v>12455</v>
      </c>
      <c r="H6" s="49">
        <f t="shared" si="2"/>
        <v>0</v>
      </c>
      <c r="I6" s="50">
        <f t="shared" si="3"/>
        <v>14417</v>
      </c>
      <c r="J6" s="48">
        <f>J5+B6-SUMIFS(рапорт!$O:$O,рапорт!$A:$A,A6)-SUMIFS(рапорт!$U:$U,рапорт!$A:$A,A6)/4</f>
        <v>1729</v>
      </c>
      <c r="K6" s="49">
        <f>K5+C6-SUMIFS(рапорт!$P:$P,рапорт!$A:$A,A6)-SUMIFS(рапорт!$U:$U,рапорт!$A:$A,A6)/4</f>
        <v>12455</v>
      </c>
      <c r="L6" s="49">
        <f>L5+D6-SUMIFS(рапорт!$Q:$Q,рапорт!$A:$A,A6)-SUMIFS(рапорт!$U:$U,рапорт!$A:$A,A6)/4</f>
        <v>0</v>
      </c>
      <c r="M6" s="50">
        <f>M5+E6-SUMIFS(рапорт!$R:$R,рапорт!$A:$A,A6)-SUMIFS(рапорт!$U:$U,рапорт!$A:$A,A6)/4</f>
        <v>14417</v>
      </c>
      <c r="O6" s="55">
        <v>46025</v>
      </c>
      <c r="P6" s="48"/>
      <c r="Q6" s="49"/>
      <c r="R6" s="49"/>
      <c r="S6" s="50"/>
      <c r="T6" s="60">
        <f t="shared" si="5"/>
        <v>0</v>
      </c>
      <c r="U6" s="48">
        <f t="shared" si="4"/>
        <v>759900</v>
      </c>
      <c r="V6" s="49">
        <f t="shared" si="4"/>
        <v>0</v>
      </c>
      <c r="W6" s="49">
        <f t="shared" si="4"/>
        <v>0</v>
      </c>
      <c r="X6" s="50">
        <f t="shared" si="4"/>
        <v>0</v>
      </c>
      <c r="Y6" s="73">
        <f t="shared" si="6"/>
        <v>759900</v>
      </c>
    </row>
    <row r="7" spans="1:25" x14ac:dyDescent="0.2">
      <c r="A7" s="55">
        <v>46026</v>
      </c>
      <c r="B7" s="48"/>
      <c r="C7" s="49"/>
      <c r="D7" s="49"/>
      <c r="E7" s="50"/>
      <c r="F7" s="48">
        <f t="shared" si="0"/>
        <v>1729</v>
      </c>
      <c r="G7" s="49">
        <f t="shared" si="1"/>
        <v>12455</v>
      </c>
      <c r="H7" s="49">
        <f t="shared" si="2"/>
        <v>0</v>
      </c>
      <c r="I7" s="50">
        <f t="shared" si="3"/>
        <v>14417</v>
      </c>
      <c r="J7" s="48">
        <f>J6+B7-SUMIFS(рапорт!$O:$O,рапорт!$A:$A,A7)-SUMIFS(рапорт!$U:$U,рапорт!$A:$A,A7)/4</f>
        <v>1729</v>
      </c>
      <c r="K7" s="49">
        <f>K6+C7-SUMIFS(рапорт!$P:$P,рапорт!$A:$A,A7)-SUMIFS(рапорт!$U:$U,рапорт!$A:$A,A7)/4</f>
        <v>12455</v>
      </c>
      <c r="L7" s="49">
        <f>L6+D7-SUMIFS(рапорт!$Q:$Q,рапорт!$A:$A,A7)-SUMIFS(рапорт!$U:$U,рапорт!$A:$A,A7)/4</f>
        <v>0</v>
      </c>
      <c r="M7" s="50">
        <f>M6+E7-SUMIFS(рапорт!$R:$R,рапорт!$A:$A,A7)-SUMIFS(рапорт!$U:$U,рапорт!$A:$A,A7)/4</f>
        <v>14417</v>
      </c>
      <c r="O7" s="55">
        <v>46026</v>
      </c>
      <c r="P7" s="48"/>
      <c r="Q7" s="49"/>
      <c r="R7" s="49"/>
      <c r="S7" s="50"/>
      <c r="T7" s="60">
        <f t="shared" si="5"/>
        <v>0</v>
      </c>
      <c r="U7" s="48">
        <f t="shared" si="4"/>
        <v>759900</v>
      </c>
      <c r="V7" s="49">
        <f t="shared" si="4"/>
        <v>0</v>
      </c>
      <c r="W7" s="49">
        <f t="shared" si="4"/>
        <v>0</v>
      </c>
      <c r="X7" s="50">
        <f t="shared" si="4"/>
        <v>0</v>
      </c>
      <c r="Y7" s="73">
        <f t="shared" si="6"/>
        <v>759900</v>
      </c>
    </row>
    <row r="8" spans="1:25" x14ac:dyDescent="0.2">
      <c r="A8" s="55">
        <v>46027</v>
      </c>
      <c r="B8" s="48"/>
      <c r="C8" s="49"/>
      <c r="D8" s="49"/>
      <c r="E8" s="50"/>
      <c r="F8" s="48">
        <f t="shared" si="0"/>
        <v>1729</v>
      </c>
      <c r="G8" s="49">
        <f t="shared" si="1"/>
        <v>12455</v>
      </c>
      <c r="H8" s="49">
        <f t="shared" si="2"/>
        <v>0</v>
      </c>
      <c r="I8" s="50">
        <f t="shared" si="3"/>
        <v>14417</v>
      </c>
      <c r="J8" s="48">
        <f>J7+B8-SUMIFS(рапорт!$O:$O,рапорт!$A:$A,A8)-SUMIFS(рапорт!$U:$U,рапорт!$A:$A,A8)/4</f>
        <v>1729</v>
      </c>
      <c r="K8" s="49">
        <f>K7+C8-SUMIFS(рапорт!$P:$P,рапорт!$A:$A,A8)-SUMIFS(рапорт!$U:$U,рапорт!$A:$A,A8)/4</f>
        <v>12455</v>
      </c>
      <c r="L8" s="49">
        <f>L7+D8-SUMIFS(рапорт!$Q:$Q,рапорт!$A:$A,A8)-SUMIFS(рапорт!$U:$U,рапорт!$A:$A,A8)/4</f>
        <v>0</v>
      </c>
      <c r="M8" s="50">
        <f>M7+E8-SUMIFS(рапорт!$R:$R,рапорт!$A:$A,A8)-SUMIFS(рапорт!$U:$U,рапорт!$A:$A,A8)/4</f>
        <v>14417</v>
      </c>
      <c r="O8" s="55">
        <v>46027</v>
      </c>
      <c r="P8" s="48"/>
      <c r="Q8" s="49"/>
      <c r="R8" s="49"/>
      <c r="S8" s="50"/>
      <c r="T8" s="60">
        <f t="shared" si="5"/>
        <v>0</v>
      </c>
      <c r="U8" s="48">
        <f t="shared" si="4"/>
        <v>759900</v>
      </c>
      <c r="V8" s="49">
        <f t="shared" si="4"/>
        <v>0</v>
      </c>
      <c r="W8" s="49">
        <f t="shared" si="4"/>
        <v>0</v>
      </c>
      <c r="X8" s="50">
        <f t="shared" si="4"/>
        <v>0</v>
      </c>
      <c r="Y8" s="73">
        <f t="shared" si="6"/>
        <v>759900</v>
      </c>
    </row>
    <row r="9" spans="1:25" x14ac:dyDescent="0.2">
      <c r="A9" s="55">
        <v>46028</v>
      </c>
      <c r="B9" s="48"/>
      <c r="C9" s="49"/>
      <c r="D9" s="49"/>
      <c r="E9" s="50"/>
      <c r="F9" s="48">
        <f t="shared" si="0"/>
        <v>1729</v>
      </c>
      <c r="G9" s="49">
        <f t="shared" si="1"/>
        <v>12455</v>
      </c>
      <c r="H9" s="49">
        <f t="shared" si="2"/>
        <v>0</v>
      </c>
      <c r="I9" s="50">
        <f t="shared" si="3"/>
        <v>14417</v>
      </c>
      <c r="J9" s="48">
        <f>J8+B9-SUMIFS(рапорт!$O:$O,рапорт!$A:$A,A9)-SUMIFS(рапорт!$U:$U,рапорт!$A:$A,A9)/4</f>
        <v>1729</v>
      </c>
      <c r="K9" s="49">
        <f>K8+C9-SUMIFS(рапорт!$P:$P,рапорт!$A:$A,A9)-SUMIFS(рапорт!$U:$U,рапорт!$A:$A,A9)/4</f>
        <v>12455</v>
      </c>
      <c r="L9" s="49">
        <f>L8+D9-SUMIFS(рапорт!$Q:$Q,рапорт!$A:$A,A9)-SUMIFS(рапорт!$U:$U,рапорт!$A:$A,A9)/4</f>
        <v>0</v>
      </c>
      <c r="M9" s="50">
        <f>M8+E9-SUMIFS(рапорт!$R:$R,рапорт!$A:$A,A9)-SUMIFS(рапорт!$U:$U,рапорт!$A:$A,A9)/4</f>
        <v>14417</v>
      </c>
      <c r="O9" s="55">
        <v>46028</v>
      </c>
      <c r="P9" s="48"/>
      <c r="Q9" s="49"/>
      <c r="R9" s="49"/>
      <c r="S9" s="50"/>
      <c r="T9" s="60">
        <f t="shared" si="5"/>
        <v>0</v>
      </c>
      <c r="U9" s="48">
        <f t="shared" si="4"/>
        <v>759900</v>
      </c>
      <c r="V9" s="49">
        <f t="shared" si="4"/>
        <v>0</v>
      </c>
      <c r="W9" s="49">
        <f t="shared" si="4"/>
        <v>0</v>
      </c>
      <c r="X9" s="50">
        <f t="shared" si="4"/>
        <v>0</v>
      </c>
      <c r="Y9" s="73">
        <f t="shared" si="6"/>
        <v>759900</v>
      </c>
    </row>
    <row r="10" spans="1:25" x14ac:dyDescent="0.2">
      <c r="A10" s="55">
        <v>46029</v>
      </c>
      <c r="B10" s="48"/>
      <c r="C10" s="49"/>
      <c r="D10" s="49"/>
      <c r="E10" s="50"/>
      <c r="F10" s="48">
        <f t="shared" si="0"/>
        <v>1729</v>
      </c>
      <c r="G10" s="49">
        <f t="shared" si="1"/>
        <v>12455</v>
      </c>
      <c r="H10" s="49">
        <f t="shared" si="2"/>
        <v>0</v>
      </c>
      <c r="I10" s="50">
        <f t="shared" si="3"/>
        <v>14417</v>
      </c>
      <c r="J10" s="48">
        <f>J9+B10-SUMIFS(рапорт!$O:$O,рапорт!$A:$A,A10)-SUMIFS(рапорт!$U:$U,рапорт!$A:$A,A10)/4</f>
        <v>1729</v>
      </c>
      <c r="K10" s="49">
        <f>K9+C10-SUMIFS(рапорт!$P:$P,рапорт!$A:$A,A10)-SUMIFS(рапорт!$U:$U,рапорт!$A:$A,A10)/4</f>
        <v>12455</v>
      </c>
      <c r="L10" s="49">
        <f>L9+D10-SUMIFS(рапорт!$Q:$Q,рапорт!$A:$A,A10)-SUMIFS(рапорт!$U:$U,рапорт!$A:$A,A10)/4</f>
        <v>0</v>
      </c>
      <c r="M10" s="50">
        <f>M9+E10-SUMIFS(рапорт!$R:$R,рапорт!$A:$A,A10)-SUMIFS(рапорт!$U:$U,рапорт!$A:$A,A10)/4</f>
        <v>14417</v>
      </c>
      <c r="O10" s="55">
        <v>46029</v>
      </c>
      <c r="P10" s="48"/>
      <c r="Q10" s="49"/>
      <c r="R10" s="49"/>
      <c r="S10" s="50"/>
      <c r="T10" s="60">
        <f t="shared" si="5"/>
        <v>0</v>
      </c>
      <c r="U10" s="48">
        <f t="shared" si="4"/>
        <v>759900</v>
      </c>
      <c r="V10" s="49">
        <f t="shared" si="4"/>
        <v>0</v>
      </c>
      <c r="W10" s="49">
        <f t="shared" si="4"/>
        <v>0</v>
      </c>
      <c r="X10" s="50">
        <f t="shared" si="4"/>
        <v>0</v>
      </c>
      <c r="Y10" s="73">
        <f t="shared" si="6"/>
        <v>759900</v>
      </c>
    </row>
    <row r="11" spans="1:25" x14ac:dyDescent="0.2">
      <c r="A11" s="55">
        <v>46030</v>
      </c>
      <c r="B11" s="48"/>
      <c r="C11" s="49"/>
      <c r="D11" s="49"/>
      <c r="E11" s="50"/>
      <c r="F11" s="48">
        <f t="shared" si="0"/>
        <v>1729</v>
      </c>
      <c r="G11" s="49">
        <f t="shared" si="1"/>
        <v>12455</v>
      </c>
      <c r="H11" s="49">
        <f t="shared" si="2"/>
        <v>0</v>
      </c>
      <c r="I11" s="50">
        <f t="shared" si="3"/>
        <v>14417</v>
      </c>
      <c r="J11" s="48">
        <f>J10+B11-SUMIFS(рапорт!$O:$O,рапорт!$A:$A,A11)-SUMIFS(рапорт!$U:$U,рапорт!$A:$A,A11)/4</f>
        <v>1729</v>
      </c>
      <c r="K11" s="49">
        <f>K10+C11-SUMIFS(рапорт!$P:$P,рапорт!$A:$A,A11)-SUMIFS(рапорт!$U:$U,рапорт!$A:$A,A11)/4</f>
        <v>12455</v>
      </c>
      <c r="L11" s="49">
        <f>L10+D11-SUMIFS(рапорт!$Q:$Q,рапорт!$A:$A,A11)-SUMIFS(рапорт!$U:$U,рапорт!$A:$A,A11)/4</f>
        <v>0</v>
      </c>
      <c r="M11" s="50">
        <f>M10+E11-SUMIFS(рапорт!$R:$R,рапорт!$A:$A,A11)-SUMIFS(рапорт!$U:$U,рапорт!$A:$A,A11)/4</f>
        <v>14417</v>
      </c>
      <c r="O11" s="55">
        <v>46030</v>
      </c>
      <c r="P11" s="48"/>
      <c r="Q11" s="49"/>
      <c r="R11" s="49"/>
      <c r="S11" s="50"/>
      <c r="T11" s="60">
        <f t="shared" si="5"/>
        <v>0</v>
      </c>
      <c r="U11" s="48">
        <f t="shared" si="4"/>
        <v>759900</v>
      </c>
      <c r="V11" s="49">
        <f t="shared" si="4"/>
        <v>0</v>
      </c>
      <c r="W11" s="49">
        <f t="shared" si="4"/>
        <v>0</v>
      </c>
      <c r="X11" s="50">
        <f t="shared" si="4"/>
        <v>0</v>
      </c>
      <c r="Y11" s="73">
        <f t="shared" si="6"/>
        <v>759900</v>
      </c>
    </row>
    <row r="12" spans="1:25" x14ac:dyDescent="0.2">
      <c r="A12" s="55">
        <v>46031</v>
      </c>
      <c r="B12" s="48"/>
      <c r="C12" s="49"/>
      <c r="D12" s="49"/>
      <c r="E12" s="50"/>
      <c r="F12" s="48">
        <f t="shared" si="0"/>
        <v>1729</v>
      </c>
      <c r="G12" s="49">
        <f t="shared" si="1"/>
        <v>12455</v>
      </c>
      <c r="H12" s="49">
        <f t="shared" si="2"/>
        <v>0</v>
      </c>
      <c r="I12" s="50">
        <f t="shared" si="3"/>
        <v>14417</v>
      </c>
      <c r="J12" s="48">
        <f>J11+B12-SUMIFS(рапорт!$O:$O,рапорт!$A:$A,A12)-SUMIFS(рапорт!$U:$U,рапорт!$A:$A,A12)/4</f>
        <v>1729</v>
      </c>
      <c r="K12" s="49">
        <f>K11+C12-SUMIFS(рапорт!$P:$P,рапорт!$A:$A,A12)-SUMIFS(рапорт!$U:$U,рапорт!$A:$A,A12)/4</f>
        <v>12455</v>
      </c>
      <c r="L12" s="49">
        <f>L11+D12-SUMIFS(рапорт!$Q:$Q,рапорт!$A:$A,A12)-SUMIFS(рапорт!$U:$U,рапорт!$A:$A,A12)/4</f>
        <v>0</v>
      </c>
      <c r="M12" s="50">
        <f>M11+E12-SUMIFS(рапорт!$R:$R,рапорт!$A:$A,A12)-SUMIFS(рапорт!$U:$U,рапорт!$A:$A,A12)/4</f>
        <v>14417</v>
      </c>
      <c r="O12" s="55">
        <v>46031</v>
      </c>
      <c r="P12" s="48"/>
      <c r="Q12" s="49"/>
      <c r="R12" s="49"/>
      <c r="S12" s="50"/>
      <c r="T12" s="60">
        <f t="shared" si="5"/>
        <v>0</v>
      </c>
      <c r="U12" s="48">
        <f t="shared" si="4"/>
        <v>759900</v>
      </c>
      <c r="V12" s="49">
        <f t="shared" si="4"/>
        <v>0</v>
      </c>
      <c r="W12" s="49">
        <f t="shared" si="4"/>
        <v>0</v>
      </c>
      <c r="X12" s="50">
        <f t="shared" si="4"/>
        <v>0</v>
      </c>
      <c r="Y12" s="73">
        <f t="shared" si="6"/>
        <v>759900</v>
      </c>
    </row>
    <row r="13" spans="1:25" x14ac:dyDescent="0.2">
      <c r="A13" s="55">
        <v>46032</v>
      </c>
      <c r="B13" s="48"/>
      <c r="C13" s="49"/>
      <c r="D13" s="49"/>
      <c r="E13" s="50"/>
      <c r="F13" s="48">
        <f t="shared" si="0"/>
        <v>1729</v>
      </c>
      <c r="G13" s="49">
        <f t="shared" si="1"/>
        <v>12455</v>
      </c>
      <c r="H13" s="49">
        <f t="shared" si="2"/>
        <v>0</v>
      </c>
      <c r="I13" s="50">
        <f t="shared" si="3"/>
        <v>14417</v>
      </c>
      <c r="J13" s="48">
        <f>J12+B13-SUMIFS(рапорт!$O:$O,рапорт!$A:$A,A13)-SUMIFS(рапорт!$U:$U,рапорт!$A:$A,A13)/4</f>
        <v>1729</v>
      </c>
      <c r="K13" s="49">
        <f>K12+C13-SUMIFS(рапорт!$P:$P,рапорт!$A:$A,A13)-SUMIFS(рапорт!$U:$U,рапорт!$A:$A,A13)/4</f>
        <v>12455</v>
      </c>
      <c r="L13" s="49">
        <f>L12+D13-SUMIFS(рапорт!$Q:$Q,рапорт!$A:$A,A13)-SUMIFS(рапорт!$U:$U,рапорт!$A:$A,A13)/4</f>
        <v>0</v>
      </c>
      <c r="M13" s="50">
        <f>M12+E13-SUMIFS(рапорт!$R:$R,рапорт!$A:$A,A13)-SUMIFS(рапорт!$U:$U,рапорт!$A:$A,A13)/4</f>
        <v>14417</v>
      </c>
      <c r="O13" s="55">
        <v>46032</v>
      </c>
      <c r="P13" s="48"/>
      <c r="Q13" s="49"/>
      <c r="R13" s="49"/>
      <c r="S13" s="50"/>
      <c r="T13" s="60">
        <f t="shared" si="5"/>
        <v>0</v>
      </c>
      <c r="U13" s="48">
        <f t="shared" si="4"/>
        <v>759900</v>
      </c>
      <c r="V13" s="49">
        <f t="shared" si="4"/>
        <v>0</v>
      </c>
      <c r="W13" s="49">
        <f t="shared" si="4"/>
        <v>0</v>
      </c>
      <c r="X13" s="50">
        <f t="shared" si="4"/>
        <v>0</v>
      </c>
      <c r="Y13" s="73">
        <f t="shared" si="6"/>
        <v>759900</v>
      </c>
    </row>
    <row r="14" spans="1:25" x14ac:dyDescent="0.2">
      <c r="A14" s="55">
        <v>46033</v>
      </c>
      <c r="B14" s="48"/>
      <c r="C14" s="49"/>
      <c r="D14" s="49"/>
      <c r="E14" s="50"/>
      <c r="F14" s="48">
        <f t="shared" si="0"/>
        <v>1729</v>
      </c>
      <c r="G14" s="49">
        <f t="shared" si="1"/>
        <v>12455</v>
      </c>
      <c r="H14" s="49">
        <f t="shared" si="2"/>
        <v>0</v>
      </c>
      <c r="I14" s="50">
        <f t="shared" si="3"/>
        <v>14417</v>
      </c>
      <c r="J14" s="48">
        <f>J13+B14-SUMIFS(рапорт!$O:$O,рапорт!$A:$A,A14)-SUMIFS(рапорт!$U:$U,рапорт!$A:$A,A14)/4</f>
        <v>1729</v>
      </c>
      <c r="K14" s="49">
        <f>K13+C14-SUMIFS(рапорт!$P:$P,рапорт!$A:$A,A14)-SUMIFS(рапорт!$U:$U,рапорт!$A:$A,A14)/4</f>
        <v>12455</v>
      </c>
      <c r="L14" s="49">
        <f>L13+D14-SUMIFS(рапорт!$Q:$Q,рапорт!$A:$A,A14)-SUMIFS(рапорт!$U:$U,рапорт!$A:$A,A14)/4</f>
        <v>0</v>
      </c>
      <c r="M14" s="50">
        <f>M13+E14-SUMIFS(рапорт!$R:$R,рапорт!$A:$A,A14)-SUMIFS(рапорт!$U:$U,рапорт!$A:$A,A14)/4</f>
        <v>14417</v>
      </c>
      <c r="O14" s="55">
        <v>46033</v>
      </c>
      <c r="P14" s="48"/>
      <c r="Q14" s="49"/>
      <c r="R14" s="49"/>
      <c r="S14" s="50"/>
      <c r="T14" s="60">
        <f t="shared" si="5"/>
        <v>0</v>
      </c>
      <c r="U14" s="48">
        <f t="shared" si="4"/>
        <v>759900</v>
      </c>
      <c r="V14" s="49">
        <f t="shared" si="4"/>
        <v>0</v>
      </c>
      <c r="W14" s="49">
        <f t="shared" si="4"/>
        <v>0</v>
      </c>
      <c r="X14" s="50">
        <f t="shared" si="4"/>
        <v>0</v>
      </c>
      <c r="Y14" s="73">
        <f t="shared" si="6"/>
        <v>759900</v>
      </c>
    </row>
    <row r="15" spans="1:25" x14ac:dyDescent="0.2">
      <c r="A15" s="55">
        <v>46034</v>
      </c>
      <c r="B15" s="48"/>
      <c r="C15" s="49"/>
      <c r="D15" s="49"/>
      <c r="E15" s="50"/>
      <c r="F15" s="48">
        <f t="shared" si="0"/>
        <v>1729</v>
      </c>
      <c r="G15" s="49">
        <f t="shared" si="1"/>
        <v>12455</v>
      </c>
      <c r="H15" s="49">
        <f t="shared" si="2"/>
        <v>0</v>
      </c>
      <c r="I15" s="50">
        <f t="shared" si="3"/>
        <v>14417</v>
      </c>
      <c r="J15" s="48">
        <f>J14+B15-SUMIFS(рапорт!$O:$O,рапорт!$A:$A,A15)-SUMIFS(рапорт!$U:$U,рапорт!$A:$A,A15)/4</f>
        <v>1729</v>
      </c>
      <c r="K15" s="49">
        <f>K14+C15-SUMIFS(рапорт!$P:$P,рапорт!$A:$A,A15)-SUMIFS(рапорт!$U:$U,рапорт!$A:$A,A15)/4</f>
        <v>12455</v>
      </c>
      <c r="L15" s="49">
        <f>L14+D15-SUMIFS(рапорт!$Q:$Q,рапорт!$A:$A,A15)-SUMIFS(рапорт!$U:$U,рапорт!$A:$A,A15)/4</f>
        <v>0</v>
      </c>
      <c r="M15" s="50">
        <f>M14+E15-SUMIFS(рапорт!$R:$R,рапорт!$A:$A,A15)-SUMIFS(рапорт!$U:$U,рапорт!$A:$A,A15)/4</f>
        <v>14417</v>
      </c>
      <c r="O15" s="55">
        <v>46034</v>
      </c>
      <c r="P15" s="48"/>
      <c r="Q15" s="49"/>
      <c r="R15" s="49"/>
      <c r="S15" s="50"/>
      <c r="T15" s="60">
        <f t="shared" si="5"/>
        <v>0</v>
      </c>
      <c r="U15" s="48">
        <f t="shared" si="4"/>
        <v>759900</v>
      </c>
      <c r="V15" s="49">
        <f t="shared" si="4"/>
        <v>0</v>
      </c>
      <c r="W15" s="49">
        <f t="shared" si="4"/>
        <v>0</v>
      </c>
      <c r="X15" s="50">
        <f t="shared" si="4"/>
        <v>0</v>
      </c>
      <c r="Y15" s="73">
        <f t="shared" si="6"/>
        <v>759900</v>
      </c>
    </row>
    <row r="16" spans="1:25" x14ac:dyDescent="0.2">
      <c r="A16" s="55">
        <v>46035</v>
      </c>
      <c r="B16" s="48"/>
      <c r="C16" s="49"/>
      <c r="D16" s="49"/>
      <c r="E16" s="50"/>
      <c r="F16" s="48">
        <f t="shared" si="0"/>
        <v>1729</v>
      </c>
      <c r="G16" s="49">
        <f t="shared" si="1"/>
        <v>12455</v>
      </c>
      <c r="H16" s="49">
        <f t="shared" si="2"/>
        <v>0</v>
      </c>
      <c r="I16" s="50">
        <f t="shared" si="3"/>
        <v>14417</v>
      </c>
      <c r="J16" s="48">
        <f>J15+B16-SUMIFS(рапорт!$O:$O,рапорт!$A:$A,A16)-SUMIFS(рапорт!$U:$U,рапорт!$A:$A,A16)/4</f>
        <v>1729</v>
      </c>
      <c r="K16" s="49">
        <f>K15+C16-SUMIFS(рапорт!$P:$P,рапорт!$A:$A,A16)-SUMIFS(рапорт!$U:$U,рапорт!$A:$A,A16)/4</f>
        <v>12455</v>
      </c>
      <c r="L16" s="49">
        <f>L15+D16-SUMIFS(рапорт!$Q:$Q,рапорт!$A:$A,A16)-SUMIFS(рапорт!$U:$U,рапорт!$A:$A,A16)/4</f>
        <v>0</v>
      </c>
      <c r="M16" s="50">
        <f>M15+E16-SUMIFS(рапорт!$R:$R,рапорт!$A:$A,A16)-SUMIFS(рапорт!$U:$U,рапорт!$A:$A,A16)/4</f>
        <v>14417</v>
      </c>
      <c r="O16" s="55">
        <v>46035</v>
      </c>
      <c r="P16" s="48"/>
      <c r="Q16" s="49"/>
      <c r="R16" s="49"/>
      <c r="S16" s="50"/>
      <c r="T16" s="60">
        <f t="shared" si="5"/>
        <v>0</v>
      </c>
      <c r="U16" s="48">
        <f t="shared" si="4"/>
        <v>759900</v>
      </c>
      <c r="V16" s="49">
        <f t="shared" si="4"/>
        <v>0</v>
      </c>
      <c r="W16" s="49">
        <f t="shared" si="4"/>
        <v>0</v>
      </c>
      <c r="X16" s="50">
        <f t="shared" si="4"/>
        <v>0</v>
      </c>
      <c r="Y16" s="73">
        <f t="shared" si="6"/>
        <v>759900</v>
      </c>
    </row>
    <row r="17" spans="1:25" x14ac:dyDescent="0.2">
      <c r="A17" s="55">
        <v>46036</v>
      </c>
      <c r="B17" s="48"/>
      <c r="C17" s="49"/>
      <c r="D17" s="49"/>
      <c r="E17" s="50"/>
      <c r="F17" s="48">
        <f t="shared" si="0"/>
        <v>1729</v>
      </c>
      <c r="G17" s="49">
        <f t="shared" si="1"/>
        <v>12455</v>
      </c>
      <c r="H17" s="49">
        <f t="shared" si="2"/>
        <v>0</v>
      </c>
      <c r="I17" s="50">
        <f t="shared" si="3"/>
        <v>14417</v>
      </c>
      <c r="J17" s="48">
        <f>J16+B17-SUMIFS(рапорт!$O:$O,рапорт!$A:$A,A17)-SUMIFS(рапорт!$U:$U,рапорт!$A:$A,A17)/4</f>
        <v>1729</v>
      </c>
      <c r="K17" s="49">
        <f>K16+C17-SUMIFS(рапорт!$P:$P,рапорт!$A:$A,A17)-SUMIFS(рапорт!$U:$U,рапорт!$A:$A,A17)/4</f>
        <v>12455</v>
      </c>
      <c r="L17" s="49">
        <f>L16+D17-SUMIFS(рапорт!$Q:$Q,рапорт!$A:$A,A17)-SUMIFS(рапорт!$U:$U,рапорт!$A:$A,A17)/4</f>
        <v>0</v>
      </c>
      <c r="M17" s="50">
        <f>M16+E17-SUMIFS(рапорт!$R:$R,рапорт!$A:$A,A17)-SUMIFS(рапорт!$U:$U,рапорт!$A:$A,A17)/4</f>
        <v>14417</v>
      </c>
      <c r="O17" s="55">
        <v>46036</v>
      </c>
      <c r="P17" s="48"/>
      <c r="Q17" s="49"/>
      <c r="R17" s="49"/>
      <c r="S17" s="50"/>
      <c r="T17" s="60">
        <f t="shared" si="5"/>
        <v>0</v>
      </c>
      <c r="U17" s="48">
        <f t="shared" si="4"/>
        <v>759900</v>
      </c>
      <c r="V17" s="49">
        <f t="shared" si="4"/>
        <v>0</v>
      </c>
      <c r="W17" s="49">
        <f t="shared" si="4"/>
        <v>0</v>
      </c>
      <c r="X17" s="50">
        <f t="shared" si="4"/>
        <v>0</v>
      </c>
      <c r="Y17" s="73">
        <f t="shared" si="6"/>
        <v>759900</v>
      </c>
    </row>
    <row r="18" spans="1:25" x14ac:dyDescent="0.2">
      <c r="A18" s="55">
        <v>46037</v>
      </c>
      <c r="B18" s="48"/>
      <c r="C18" s="49"/>
      <c r="D18" s="49"/>
      <c r="E18" s="50"/>
      <c r="F18" s="48">
        <f t="shared" si="0"/>
        <v>1729</v>
      </c>
      <c r="G18" s="49">
        <f t="shared" si="1"/>
        <v>12455</v>
      </c>
      <c r="H18" s="49">
        <f t="shared" si="2"/>
        <v>0</v>
      </c>
      <c r="I18" s="50">
        <f t="shared" si="3"/>
        <v>14417</v>
      </c>
      <c r="J18" s="48">
        <f>J17+B18-SUMIFS(рапорт!$O:$O,рапорт!$A:$A,A18)-SUMIFS(рапорт!$U:$U,рапорт!$A:$A,A18)/4</f>
        <v>1729</v>
      </c>
      <c r="K18" s="49">
        <f>K17+C18-SUMIFS(рапорт!$P:$P,рапорт!$A:$A,A18)-SUMIFS(рапорт!$U:$U,рапорт!$A:$A,A18)/4</f>
        <v>12455</v>
      </c>
      <c r="L18" s="49">
        <f>L17+D18-SUMIFS(рапорт!$Q:$Q,рапорт!$A:$A,A18)-SUMIFS(рапорт!$U:$U,рапорт!$A:$A,A18)/4</f>
        <v>0</v>
      </c>
      <c r="M18" s="50">
        <f>M17+E18-SUMIFS(рапорт!$R:$R,рапорт!$A:$A,A18)-SUMIFS(рапорт!$U:$U,рапорт!$A:$A,A18)/4</f>
        <v>14417</v>
      </c>
      <c r="O18" s="55">
        <v>46037</v>
      </c>
      <c r="P18" s="48"/>
      <c r="Q18" s="49"/>
      <c r="R18" s="49"/>
      <c r="S18" s="50"/>
      <c r="T18" s="60">
        <f t="shared" si="5"/>
        <v>0</v>
      </c>
      <c r="U18" s="48">
        <f t="shared" si="4"/>
        <v>759900</v>
      </c>
      <c r="V18" s="49">
        <f t="shared" si="4"/>
        <v>0</v>
      </c>
      <c r="W18" s="49">
        <f t="shared" si="4"/>
        <v>0</v>
      </c>
      <c r="X18" s="50">
        <f t="shared" si="4"/>
        <v>0</v>
      </c>
      <c r="Y18" s="73">
        <f t="shared" si="6"/>
        <v>759900</v>
      </c>
    </row>
    <row r="19" spans="1:25" x14ac:dyDescent="0.2">
      <c r="A19" s="55">
        <v>46038</v>
      </c>
      <c r="B19" s="48"/>
      <c r="C19" s="49"/>
      <c r="D19" s="49"/>
      <c r="E19" s="50"/>
      <c r="F19" s="48">
        <f t="shared" si="0"/>
        <v>1729</v>
      </c>
      <c r="G19" s="49">
        <f t="shared" si="1"/>
        <v>12455</v>
      </c>
      <c r="H19" s="49">
        <f t="shared" si="2"/>
        <v>0</v>
      </c>
      <c r="I19" s="50">
        <f t="shared" si="3"/>
        <v>14417</v>
      </c>
      <c r="J19" s="48">
        <f>J18+B19-SUMIFS(рапорт!$O:$O,рапорт!$A:$A,A19)-SUMIFS(рапорт!$U:$U,рапорт!$A:$A,A19)/4</f>
        <v>1729</v>
      </c>
      <c r="K19" s="49">
        <f>K18+C19-SUMIFS(рапорт!$P:$P,рапорт!$A:$A,A19)-SUMIFS(рапорт!$U:$U,рапорт!$A:$A,A19)/4</f>
        <v>12455</v>
      </c>
      <c r="L19" s="49">
        <f>L18+D19-SUMIFS(рапорт!$Q:$Q,рапорт!$A:$A,A19)-SUMIFS(рапорт!$U:$U,рапорт!$A:$A,A19)/4</f>
        <v>0</v>
      </c>
      <c r="M19" s="50">
        <f>M18+E19-SUMIFS(рапорт!$R:$R,рапорт!$A:$A,A19)-SUMIFS(рапорт!$U:$U,рапорт!$A:$A,A19)/4</f>
        <v>14417</v>
      </c>
      <c r="O19" s="55">
        <v>46038</v>
      </c>
      <c r="P19" s="48"/>
      <c r="Q19" s="49"/>
      <c r="R19" s="49"/>
      <c r="S19" s="50"/>
      <c r="T19" s="60">
        <f t="shared" si="5"/>
        <v>0</v>
      </c>
      <c r="U19" s="48">
        <f t="shared" si="4"/>
        <v>759900</v>
      </c>
      <c r="V19" s="49">
        <f t="shared" si="4"/>
        <v>0</v>
      </c>
      <c r="W19" s="49">
        <f t="shared" si="4"/>
        <v>0</v>
      </c>
      <c r="X19" s="50">
        <f t="shared" si="4"/>
        <v>0</v>
      </c>
      <c r="Y19" s="73">
        <f t="shared" si="6"/>
        <v>759900</v>
      </c>
    </row>
    <row r="20" spans="1:25" x14ac:dyDescent="0.2">
      <c r="A20" s="55">
        <v>46039</v>
      </c>
      <c r="B20" s="48"/>
      <c r="C20" s="49"/>
      <c r="D20" s="49"/>
      <c r="E20" s="50"/>
      <c r="F20" s="48">
        <f t="shared" si="0"/>
        <v>1729</v>
      </c>
      <c r="G20" s="49">
        <f t="shared" si="1"/>
        <v>12455</v>
      </c>
      <c r="H20" s="49">
        <f t="shared" si="2"/>
        <v>0</v>
      </c>
      <c r="I20" s="50">
        <f t="shared" si="3"/>
        <v>14417</v>
      </c>
      <c r="J20" s="48">
        <f>J19+B20-SUMIFS(рапорт!$O:$O,рапорт!$A:$A,A20)-SUMIFS(рапорт!$U:$U,рапорт!$A:$A,A20)/4</f>
        <v>1729</v>
      </c>
      <c r="K20" s="49">
        <f>K19+C20-SUMIFS(рапорт!$P:$P,рапорт!$A:$A,A20)-SUMIFS(рапорт!$U:$U,рапорт!$A:$A,A20)/4</f>
        <v>12455</v>
      </c>
      <c r="L20" s="49">
        <f>L19+D20-SUMIFS(рапорт!$Q:$Q,рапорт!$A:$A,A20)-SUMIFS(рапорт!$U:$U,рапорт!$A:$A,A20)/4</f>
        <v>0</v>
      </c>
      <c r="M20" s="50">
        <f>M19+E20-SUMIFS(рапорт!$R:$R,рапорт!$A:$A,A20)-SUMIFS(рапорт!$U:$U,рапорт!$A:$A,A20)/4</f>
        <v>14417</v>
      </c>
      <c r="O20" s="55">
        <v>46039</v>
      </c>
      <c r="P20" s="48"/>
      <c r="Q20" s="49"/>
      <c r="R20" s="49"/>
      <c r="S20" s="50"/>
      <c r="T20" s="60">
        <f t="shared" si="5"/>
        <v>0</v>
      </c>
      <c r="U20" s="48">
        <f t="shared" ref="U20:X35" si="7">U19</f>
        <v>759900</v>
      </c>
      <c r="V20" s="49">
        <f t="shared" si="7"/>
        <v>0</v>
      </c>
      <c r="W20" s="49">
        <f t="shared" si="7"/>
        <v>0</v>
      </c>
      <c r="X20" s="50">
        <f t="shared" si="7"/>
        <v>0</v>
      </c>
      <c r="Y20" s="73">
        <f t="shared" si="6"/>
        <v>759900</v>
      </c>
    </row>
    <row r="21" spans="1:25" x14ac:dyDescent="0.2">
      <c r="A21" s="55">
        <v>46040</v>
      </c>
      <c r="B21" s="48"/>
      <c r="C21" s="49"/>
      <c r="D21" s="49"/>
      <c r="E21" s="50"/>
      <c r="F21" s="48">
        <f t="shared" si="0"/>
        <v>1729</v>
      </c>
      <c r="G21" s="49">
        <f t="shared" si="1"/>
        <v>12455</v>
      </c>
      <c r="H21" s="49">
        <f t="shared" si="2"/>
        <v>0</v>
      </c>
      <c r="I21" s="50">
        <f t="shared" si="3"/>
        <v>14417</v>
      </c>
      <c r="J21" s="48">
        <f>J20+B21-SUMIFS(рапорт!$O:$O,рапорт!$A:$A,A21)-SUMIFS(рапорт!$U:$U,рапорт!$A:$A,A21)/4</f>
        <v>1729</v>
      </c>
      <c r="K21" s="49">
        <f>K20+C21-SUMIFS(рапорт!$P:$P,рапорт!$A:$A,A21)-SUMIFS(рапорт!$U:$U,рапорт!$A:$A,A21)/4</f>
        <v>12455</v>
      </c>
      <c r="L21" s="49">
        <f>L20+D21-SUMIFS(рапорт!$Q:$Q,рапорт!$A:$A,A21)-SUMIFS(рапорт!$U:$U,рапорт!$A:$A,A21)/4</f>
        <v>0</v>
      </c>
      <c r="M21" s="50">
        <f>M20+E21-SUMIFS(рапорт!$R:$R,рапорт!$A:$A,A21)-SUMIFS(рапорт!$U:$U,рапорт!$A:$A,A21)/4</f>
        <v>14417</v>
      </c>
      <c r="O21" s="55">
        <v>46040</v>
      </c>
      <c r="P21" s="48"/>
      <c r="Q21" s="49"/>
      <c r="R21" s="49"/>
      <c r="S21" s="50"/>
      <c r="T21" s="60">
        <f t="shared" si="5"/>
        <v>0</v>
      </c>
      <c r="U21" s="48">
        <f t="shared" si="7"/>
        <v>759900</v>
      </c>
      <c r="V21" s="49">
        <f t="shared" si="7"/>
        <v>0</v>
      </c>
      <c r="W21" s="49">
        <f t="shared" si="7"/>
        <v>0</v>
      </c>
      <c r="X21" s="50">
        <f t="shared" si="7"/>
        <v>0</v>
      </c>
      <c r="Y21" s="73">
        <f t="shared" si="6"/>
        <v>759900</v>
      </c>
    </row>
    <row r="22" spans="1:25" x14ac:dyDescent="0.2">
      <c r="A22" s="55">
        <v>46041</v>
      </c>
      <c r="B22" s="48"/>
      <c r="C22" s="49"/>
      <c r="D22" s="49"/>
      <c r="E22" s="50"/>
      <c r="F22" s="48">
        <f t="shared" si="0"/>
        <v>1729</v>
      </c>
      <c r="G22" s="49">
        <f t="shared" si="1"/>
        <v>12455</v>
      </c>
      <c r="H22" s="49">
        <f t="shared" si="2"/>
        <v>0</v>
      </c>
      <c r="I22" s="50">
        <f t="shared" si="3"/>
        <v>14417</v>
      </c>
      <c r="J22" s="48">
        <f>J21+B22-SUMIFS(рапорт!$O:$O,рапорт!$A:$A,A22)-SUMIFS(рапорт!$U:$U,рапорт!$A:$A,A22)/4</f>
        <v>1729</v>
      </c>
      <c r="K22" s="49">
        <f>K21+C22-SUMIFS(рапорт!$P:$P,рапорт!$A:$A,A22)-SUMIFS(рапорт!$U:$U,рапорт!$A:$A,A22)/4</f>
        <v>12455</v>
      </c>
      <c r="L22" s="49">
        <f>L21+D22-SUMIFS(рапорт!$Q:$Q,рапорт!$A:$A,A22)-SUMIFS(рапорт!$U:$U,рапорт!$A:$A,A22)/4</f>
        <v>0</v>
      </c>
      <c r="M22" s="50">
        <f>M21+E22-SUMIFS(рапорт!$R:$R,рапорт!$A:$A,A22)-SUMIFS(рапорт!$U:$U,рапорт!$A:$A,A22)/4</f>
        <v>14417</v>
      </c>
      <c r="O22" s="55">
        <v>46041</v>
      </c>
      <c r="P22" s="48"/>
      <c r="Q22" s="49"/>
      <c r="R22" s="49"/>
      <c r="S22" s="50"/>
      <c r="T22" s="60">
        <f t="shared" si="5"/>
        <v>0</v>
      </c>
      <c r="U22" s="48">
        <f t="shared" si="7"/>
        <v>759900</v>
      </c>
      <c r="V22" s="49">
        <f t="shared" si="7"/>
        <v>0</v>
      </c>
      <c r="W22" s="49">
        <f t="shared" si="7"/>
        <v>0</v>
      </c>
      <c r="X22" s="50">
        <f t="shared" si="7"/>
        <v>0</v>
      </c>
      <c r="Y22" s="73">
        <f t="shared" si="6"/>
        <v>759900</v>
      </c>
    </row>
    <row r="23" spans="1:25" x14ac:dyDescent="0.2">
      <c r="A23" s="55">
        <v>46042</v>
      </c>
      <c r="B23" s="48"/>
      <c r="C23" s="49"/>
      <c r="D23" s="49"/>
      <c r="E23" s="50"/>
      <c r="F23" s="48">
        <f t="shared" si="0"/>
        <v>1729</v>
      </c>
      <c r="G23" s="49">
        <f t="shared" si="1"/>
        <v>12455</v>
      </c>
      <c r="H23" s="49">
        <f t="shared" si="2"/>
        <v>0</v>
      </c>
      <c r="I23" s="50">
        <f t="shared" si="3"/>
        <v>14417</v>
      </c>
      <c r="J23" s="48">
        <f>J22+B23-SUMIFS(рапорт!$O:$O,рапорт!$A:$A,A23)-SUMIFS(рапорт!$U:$U,рапорт!$A:$A,A23)/4</f>
        <v>1729</v>
      </c>
      <c r="K23" s="49">
        <f>K22+C23-SUMIFS(рапорт!$P:$P,рапорт!$A:$A,A23)-SUMIFS(рапорт!$U:$U,рапорт!$A:$A,A23)/4</f>
        <v>12455</v>
      </c>
      <c r="L23" s="49">
        <f>L22+D23-SUMIFS(рапорт!$Q:$Q,рапорт!$A:$A,A23)-SUMIFS(рапорт!$U:$U,рапорт!$A:$A,A23)/4</f>
        <v>0</v>
      </c>
      <c r="M23" s="50">
        <f>M22+E23-SUMIFS(рапорт!$R:$R,рапорт!$A:$A,A23)-SUMIFS(рапорт!$U:$U,рапорт!$A:$A,A23)/4</f>
        <v>14417</v>
      </c>
      <c r="O23" s="55">
        <v>46042</v>
      </c>
      <c r="P23" s="48"/>
      <c r="Q23" s="49"/>
      <c r="R23" s="49"/>
      <c r="S23" s="50"/>
      <c r="T23" s="60">
        <f t="shared" si="5"/>
        <v>0</v>
      </c>
      <c r="U23" s="48">
        <f t="shared" si="7"/>
        <v>759900</v>
      </c>
      <c r="V23" s="49">
        <f t="shared" si="7"/>
        <v>0</v>
      </c>
      <c r="W23" s="49">
        <f t="shared" si="7"/>
        <v>0</v>
      </c>
      <c r="X23" s="50">
        <f t="shared" si="7"/>
        <v>0</v>
      </c>
      <c r="Y23" s="73">
        <f t="shared" si="6"/>
        <v>759900</v>
      </c>
    </row>
    <row r="24" spans="1:25" x14ac:dyDescent="0.2">
      <c r="A24" s="55">
        <v>46043</v>
      </c>
      <c r="B24" s="48"/>
      <c r="C24" s="49"/>
      <c r="D24" s="49"/>
      <c r="E24" s="50"/>
      <c r="F24" s="48">
        <f t="shared" si="0"/>
        <v>1729</v>
      </c>
      <c r="G24" s="49">
        <f t="shared" si="1"/>
        <v>12455</v>
      </c>
      <c r="H24" s="49">
        <f t="shared" si="2"/>
        <v>0</v>
      </c>
      <c r="I24" s="50">
        <f t="shared" si="3"/>
        <v>14417</v>
      </c>
      <c r="J24" s="48">
        <f>J23+B24-SUMIFS(рапорт!$O:$O,рапорт!$A:$A,A24)-SUMIFS(рапорт!$U:$U,рапорт!$A:$A,A24)/4</f>
        <v>1729</v>
      </c>
      <c r="K24" s="49">
        <f>K23+C24-SUMIFS(рапорт!$P:$P,рапорт!$A:$A,A24)-SUMIFS(рапорт!$U:$U,рапорт!$A:$A,A24)/4</f>
        <v>12455</v>
      </c>
      <c r="L24" s="49">
        <f>L23+D24-SUMIFS(рапорт!$Q:$Q,рапорт!$A:$A,A24)-SUMIFS(рапорт!$U:$U,рапорт!$A:$A,A24)/4</f>
        <v>0</v>
      </c>
      <c r="M24" s="50">
        <f>M23+E24-SUMIFS(рапорт!$R:$R,рапорт!$A:$A,A24)-SUMIFS(рапорт!$U:$U,рапорт!$A:$A,A24)/4</f>
        <v>14417</v>
      </c>
      <c r="O24" s="55">
        <v>46043</v>
      </c>
      <c r="P24" s="48"/>
      <c r="Q24" s="49"/>
      <c r="R24" s="49"/>
      <c r="S24" s="50"/>
      <c r="T24" s="60">
        <f t="shared" si="5"/>
        <v>0</v>
      </c>
      <c r="U24" s="48">
        <f t="shared" si="7"/>
        <v>759900</v>
      </c>
      <c r="V24" s="49">
        <f t="shared" si="7"/>
        <v>0</v>
      </c>
      <c r="W24" s="49">
        <f t="shared" si="7"/>
        <v>0</v>
      </c>
      <c r="X24" s="50">
        <f t="shared" si="7"/>
        <v>0</v>
      </c>
      <c r="Y24" s="73">
        <f t="shared" si="6"/>
        <v>759900</v>
      </c>
    </row>
    <row r="25" spans="1:25" x14ac:dyDescent="0.2">
      <c r="A25" s="55">
        <v>46044</v>
      </c>
      <c r="B25" s="48"/>
      <c r="C25" s="49"/>
      <c r="D25" s="49"/>
      <c r="E25" s="50"/>
      <c r="F25" s="48">
        <f t="shared" si="0"/>
        <v>1729</v>
      </c>
      <c r="G25" s="49">
        <f t="shared" si="1"/>
        <v>12455</v>
      </c>
      <c r="H25" s="49">
        <f t="shared" si="2"/>
        <v>0</v>
      </c>
      <c r="I25" s="50">
        <f t="shared" si="3"/>
        <v>14417</v>
      </c>
      <c r="J25" s="48">
        <f>J24+B25-SUMIFS(рапорт!$O:$O,рапорт!$A:$A,A25)-SUMIFS(рапорт!$U:$U,рапорт!$A:$A,A25)/4</f>
        <v>1729</v>
      </c>
      <c r="K25" s="49">
        <f>K24+C25-SUMIFS(рапорт!$P:$P,рапорт!$A:$A,A25)-SUMIFS(рапорт!$U:$U,рапорт!$A:$A,A25)/4</f>
        <v>12455</v>
      </c>
      <c r="L25" s="49">
        <f>L24+D25-SUMIFS(рапорт!$Q:$Q,рапорт!$A:$A,A25)-SUMIFS(рапорт!$U:$U,рапорт!$A:$A,A25)/4</f>
        <v>0</v>
      </c>
      <c r="M25" s="50">
        <f>M24+E25-SUMIFS(рапорт!$R:$R,рапорт!$A:$A,A25)-SUMIFS(рапорт!$U:$U,рапорт!$A:$A,A25)/4</f>
        <v>14417</v>
      </c>
      <c r="O25" s="55">
        <v>46044</v>
      </c>
      <c r="P25" s="48"/>
      <c r="Q25" s="49"/>
      <c r="R25" s="49"/>
      <c r="S25" s="50"/>
      <c r="T25" s="60">
        <f t="shared" si="5"/>
        <v>0</v>
      </c>
      <c r="U25" s="48">
        <f t="shared" si="7"/>
        <v>759900</v>
      </c>
      <c r="V25" s="49">
        <f t="shared" si="7"/>
        <v>0</v>
      </c>
      <c r="W25" s="49">
        <f t="shared" si="7"/>
        <v>0</v>
      </c>
      <c r="X25" s="50">
        <f t="shared" si="7"/>
        <v>0</v>
      </c>
      <c r="Y25" s="73">
        <f t="shared" si="6"/>
        <v>759900</v>
      </c>
    </row>
    <row r="26" spans="1:25" x14ac:dyDescent="0.2">
      <c r="A26" s="55">
        <v>46045</v>
      </c>
      <c r="B26" s="48"/>
      <c r="C26" s="49"/>
      <c r="D26" s="49"/>
      <c r="E26" s="50"/>
      <c r="F26" s="48">
        <f t="shared" si="0"/>
        <v>1729</v>
      </c>
      <c r="G26" s="49">
        <f t="shared" si="1"/>
        <v>12455</v>
      </c>
      <c r="H26" s="49">
        <f t="shared" si="2"/>
        <v>0</v>
      </c>
      <c r="I26" s="50">
        <f t="shared" si="3"/>
        <v>14417</v>
      </c>
      <c r="J26" s="48">
        <f>J25+B26-SUMIFS(рапорт!$O:$O,рапорт!$A:$A,A26)-SUMIFS(рапорт!$U:$U,рапорт!$A:$A,A26)/4</f>
        <v>1729</v>
      </c>
      <c r="K26" s="49">
        <f>K25+C26-SUMIFS(рапорт!$P:$P,рапорт!$A:$A,A26)-SUMIFS(рапорт!$U:$U,рапорт!$A:$A,A26)/4</f>
        <v>12455</v>
      </c>
      <c r="L26" s="49">
        <f>L25+D26-SUMIFS(рапорт!$Q:$Q,рапорт!$A:$A,A26)-SUMIFS(рапорт!$U:$U,рапорт!$A:$A,A26)/4</f>
        <v>0</v>
      </c>
      <c r="M26" s="50">
        <f>M25+E26-SUMIFS(рапорт!$R:$R,рапорт!$A:$A,A26)-SUMIFS(рапорт!$U:$U,рапорт!$A:$A,A26)/4</f>
        <v>14417</v>
      </c>
      <c r="O26" s="55">
        <v>46045</v>
      </c>
      <c r="P26" s="48"/>
      <c r="Q26" s="49"/>
      <c r="R26" s="49"/>
      <c r="S26" s="50"/>
      <c r="T26" s="60">
        <f t="shared" si="5"/>
        <v>0</v>
      </c>
      <c r="U26" s="48">
        <f t="shared" si="7"/>
        <v>759900</v>
      </c>
      <c r="V26" s="49">
        <f t="shared" si="7"/>
        <v>0</v>
      </c>
      <c r="W26" s="49">
        <f t="shared" si="7"/>
        <v>0</v>
      </c>
      <c r="X26" s="50">
        <f t="shared" si="7"/>
        <v>0</v>
      </c>
      <c r="Y26" s="73">
        <f t="shared" si="6"/>
        <v>759900</v>
      </c>
    </row>
    <row r="27" spans="1:25" x14ac:dyDescent="0.2">
      <c r="A27" s="55">
        <v>46046</v>
      </c>
      <c r="B27" s="48"/>
      <c r="C27" s="49"/>
      <c r="D27" s="49"/>
      <c r="E27" s="50"/>
      <c r="F27" s="48">
        <f t="shared" si="0"/>
        <v>1729</v>
      </c>
      <c r="G27" s="49">
        <f t="shared" si="1"/>
        <v>12455</v>
      </c>
      <c r="H27" s="49">
        <f t="shared" si="2"/>
        <v>0</v>
      </c>
      <c r="I27" s="50">
        <f t="shared" si="3"/>
        <v>14417</v>
      </c>
      <c r="J27" s="48">
        <f>J26+B27-SUMIFS(рапорт!$O:$O,рапорт!$A:$A,A27)-SUMIFS(рапорт!$U:$U,рапорт!$A:$A,A27)/4</f>
        <v>1729</v>
      </c>
      <c r="K27" s="49">
        <f>K26+C27-SUMIFS(рапорт!$P:$P,рапорт!$A:$A,A27)-SUMIFS(рапорт!$U:$U,рапорт!$A:$A,A27)/4</f>
        <v>12455</v>
      </c>
      <c r="L27" s="49">
        <f>L26+D27-SUMIFS(рапорт!$Q:$Q,рапорт!$A:$A,A27)-SUMIFS(рапорт!$U:$U,рапорт!$A:$A,A27)/4</f>
        <v>0</v>
      </c>
      <c r="M27" s="50">
        <f>M26+E27-SUMIFS(рапорт!$R:$R,рапорт!$A:$A,A27)-SUMIFS(рапорт!$U:$U,рапорт!$A:$A,A27)/4</f>
        <v>14417</v>
      </c>
      <c r="O27" s="55">
        <v>46046</v>
      </c>
      <c r="P27" s="48"/>
      <c r="Q27" s="49"/>
      <c r="R27" s="49"/>
      <c r="S27" s="50"/>
      <c r="T27" s="60">
        <f t="shared" si="5"/>
        <v>0</v>
      </c>
      <c r="U27" s="48">
        <f t="shared" si="7"/>
        <v>759900</v>
      </c>
      <c r="V27" s="49">
        <f t="shared" si="7"/>
        <v>0</v>
      </c>
      <c r="W27" s="49">
        <f t="shared" si="7"/>
        <v>0</v>
      </c>
      <c r="X27" s="50">
        <f t="shared" si="7"/>
        <v>0</v>
      </c>
      <c r="Y27" s="73">
        <f t="shared" si="6"/>
        <v>759900</v>
      </c>
    </row>
    <row r="28" spans="1:25" x14ac:dyDescent="0.2">
      <c r="A28" s="55">
        <v>46047</v>
      </c>
      <c r="B28" s="48"/>
      <c r="C28" s="49"/>
      <c r="D28" s="49"/>
      <c r="E28" s="50"/>
      <c r="F28" s="48">
        <f t="shared" si="0"/>
        <v>1729</v>
      </c>
      <c r="G28" s="49">
        <f t="shared" si="1"/>
        <v>12455</v>
      </c>
      <c r="H28" s="49">
        <f t="shared" si="2"/>
        <v>0</v>
      </c>
      <c r="I28" s="50">
        <f t="shared" si="3"/>
        <v>14417</v>
      </c>
      <c r="J28" s="48">
        <f>J27+B28-SUMIFS(рапорт!$O:$O,рапорт!$A:$A,A28)-SUMIFS(рапорт!$U:$U,рапорт!$A:$A,A28)/4</f>
        <v>1729</v>
      </c>
      <c r="K28" s="49">
        <f>K27+C28-SUMIFS(рапорт!$P:$P,рапорт!$A:$A,A28)-SUMIFS(рапорт!$U:$U,рапорт!$A:$A,A28)/4</f>
        <v>12455</v>
      </c>
      <c r="L28" s="49">
        <f>L27+D28-SUMIFS(рапорт!$Q:$Q,рапорт!$A:$A,A28)-SUMIFS(рапорт!$U:$U,рапорт!$A:$A,A28)/4</f>
        <v>0</v>
      </c>
      <c r="M28" s="50">
        <f>M27+E28-SUMIFS(рапорт!$R:$R,рапорт!$A:$A,A28)-SUMIFS(рапорт!$U:$U,рапорт!$A:$A,A28)/4</f>
        <v>14417</v>
      </c>
      <c r="O28" s="55">
        <v>46047</v>
      </c>
      <c r="P28" s="48"/>
      <c r="Q28" s="49"/>
      <c r="R28" s="49"/>
      <c r="S28" s="50"/>
      <c r="T28" s="60">
        <f t="shared" si="5"/>
        <v>0</v>
      </c>
      <c r="U28" s="48">
        <f t="shared" si="7"/>
        <v>759900</v>
      </c>
      <c r="V28" s="49">
        <f t="shared" si="7"/>
        <v>0</v>
      </c>
      <c r="W28" s="49">
        <f t="shared" si="7"/>
        <v>0</v>
      </c>
      <c r="X28" s="50">
        <f t="shared" si="7"/>
        <v>0</v>
      </c>
      <c r="Y28" s="73">
        <f t="shared" si="6"/>
        <v>759900</v>
      </c>
    </row>
    <row r="29" spans="1:25" x14ac:dyDescent="0.2">
      <c r="A29" s="55">
        <v>46048</v>
      </c>
      <c r="B29" s="48"/>
      <c r="C29" s="49"/>
      <c r="D29" s="49"/>
      <c r="E29" s="50"/>
      <c r="F29" s="48">
        <f t="shared" si="0"/>
        <v>1729</v>
      </c>
      <c r="G29" s="49">
        <f t="shared" si="1"/>
        <v>12455</v>
      </c>
      <c r="H29" s="49">
        <f t="shared" si="2"/>
        <v>0</v>
      </c>
      <c r="I29" s="50">
        <f t="shared" si="3"/>
        <v>14417</v>
      </c>
      <c r="J29" s="48">
        <f>J28+B29-SUMIFS(рапорт!$O:$O,рапорт!$A:$A,A29)-SUMIFS(рапорт!$U:$U,рапорт!$A:$A,A29)/4</f>
        <v>1729</v>
      </c>
      <c r="K29" s="49">
        <f>K28+C29-SUMIFS(рапорт!$P:$P,рапорт!$A:$A,A29)-SUMIFS(рапорт!$U:$U,рапорт!$A:$A,A29)/4</f>
        <v>12455</v>
      </c>
      <c r="L29" s="49">
        <f>L28+D29-SUMIFS(рапорт!$Q:$Q,рапорт!$A:$A,A29)-SUMIFS(рапорт!$U:$U,рапорт!$A:$A,A29)/4</f>
        <v>0</v>
      </c>
      <c r="M29" s="50">
        <f>M28+E29-SUMIFS(рапорт!$R:$R,рапорт!$A:$A,A29)-SUMIFS(рапорт!$U:$U,рапорт!$A:$A,A29)/4</f>
        <v>14417</v>
      </c>
      <c r="O29" s="55">
        <v>46048</v>
      </c>
      <c r="P29" s="48"/>
      <c r="Q29" s="49"/>
      <c r="R29" s="49"/>
      <c r="S29" s="50"/>
      <c r="T29" s="60">
        <f t="shared" si="5"/>
        <v>0</v>
      </c>
      <c r="U29" s="48">
        <f t="shared" si="7"/>
        <v>759900</v>
      </c>
      <c r="V29" s="49">
        <f t="shared" si="7"/>
        <v>0</v>
      </c>
      <c r="W29" s="49">
        <f t="shared" si="7"/>
        <v>0</v>
      </c>
      <c r="X29" s="50">
        <f t="shared" si="7"/>
        <v>0</v>
      </c>
      <c r="Y29" s="73">
        <f t="shared" si="6"/>
        <v>759900</v>
      </c>
    </row>
    <row r="30" spans="1:25" x14ac:dyDescent="0.2">
      <c r="A30" s="55">
        <v>46049</v>
      </c>
      <c r="B30" s="48"/>
      <c r="C30" s="49"/>
      <c r="D30" s="49"/>
      <c r="E30" s="50"/>
      <c r="F30" s="48">
        <f t="shared" si="0"/>
        <v>1729</v>
      </c>
      <c r="G30" s="49">
        <f t="shared" si="1"/>
        <v>12455</v>
      </c>
      <c r="H30" s="49">
        <f t="shared" si="2"/>
        <v>0</v>
      </c>
      <c r="I30" s="50">
        <f t="shared" si="3"/>
        <v>14417</v>
      </c>
      <c r="J30" s="48">
        <f>J29+B30-SUMIFS(рапорт!$O:$O,рапорт!$A:$A,A30)-SUMIFS(рапорт!$U:$U,рапорт!$A:$A,A30)/4</f>
        <v>1729</v>
      </c>
      <c r="K30" s="49">
        <f>K29+C30-SUMIFS(рапорт!$P:$P,рапорт!$A:$A,A30)-SUMIFS(рапорт!$U:$U,рапорт!$A:$A,A30)/4</f>
        <v>12455</v>
      </c>
      <c r="L30" s="49">
        <f>L29+D30-SUMIFS(рапорт!$Q:$Q,рапорт!$A:$A,A30)-SUMIFS(рапорт!$U:$U,рапорт!$A:$A,A30)/4</f>
        <v>0</v>
      </c>
      <c r="M30" s="50">
        <f>M29+E30-SUMIFS(рапорт!$R:$R,рапорт!$A:$A,A30)-SUMIFS(рапорт!$U:$U,рапорт!$A:$A,A30)/4</f>
        <v>14417</v>
      </c>
      <c r="O30" s="55">
        <v>46049</v>
      </c>
      <c r="P30" s="48"/>
      <c r="Q30" s="49"/>
      <c r="R30" s="49"/>
      <c r="S30" s="50"/>
      <c r="T30" s="60">
        <f t="shared" si="5"/>
        <v>0</v>
      </c>
      <c r="U30" s="48">
        <f t="shared" si="7"/>
        <v>759900</v>
      </c>
      <c r="V30" s="49">
        <f t="shared" si="7"/>
        <v>0</v>
      </c>
      <c r="W30" s="49">
        <f t="shared" si="7"/>
        <v>0</v>
      </c>
      <c r="X30" s="50">
        <f t="shared" si="7"/>
        <v>0</v>
      </c>
      <c r="Y30" s="73">
        <f t="shared" si="6"/>
        <v>759900</v>
      </c>
    </row>
    <row r="31" spans="1:25" x14ac:dyDescent="0.2">
      <c r="A31" s="55">
        <v>46050</v>
      </c>
      <c r="B31" s="48"/>
      <c r="C31" s="49"/>
      <c r="D31" s="49"/>
      <c r="E31" s="50"/>
      <c r="F31" s="48">
        <f t="shared" si="0"/>
        <v>1729</v>
      </c>
      <c r="G31" s="49">
        <f t="shared" si="1"/>
        <v>12455</v>
      </c>
      <c r="H31" s="49">
        <f t="shared" si="2"/>
        <v>0</v>
      </c>
      <c r="I31" s="50">
        <f t="shared" si="3"/>
        <v>14417</v>
      </c>
      <c r="J31" s="48">
        <f>J30+B31-SUMIFS(рапорт!$O:$O,рапорт!$A:$A,A31)-SUMIFS(рапорт!$U:$U,рапорт!$A:$A,A31)/4</f>
        <v>1729</v>
      </c>
      <c r="K31" s="49">
        <f>K30+C31-SUMIFS(рапорт!$P:$P,рапорт!$A:$A,A31)-SUMIFS(рапорт!$U:$U,рапорт!$A:$A,A31)/4</f>
        <v>12455</v>
      </c>
      <c r="L31" s="49">
        <f>L30+D31-SUMIFS(рапорт!$Q:$Q,рапорт!$A:$A,A31)-SUMIFS(рапорт!$U:$U,рапорт!$A:$A,A31)/4</f>
        <v>0</v>
      </c>
      <c r="M31" s="50">
        <f>M30+E31-SUMIFS(рапорт!$R:$R,рапорт!$A:$A,A31)-SUMIFS(рапорт!$U:$U,рапорт!$A:$A,A31)/4</f>
        <v>14417</v>
      </c>
      <c r="O31" s="55">
        <v>46050</v>
      </c>
      <c r="P31" s="48"/>
      <c r="Q31" s="49"/>
      <c r="R31" s="49"/>
      <c r="S31" s="50"/>
      <c r="T31" s="60">
        <f t="shared" si="5"/>
        <v>0</v>
      </c>
      <c r="U31" s="48">
        <f t="shared" si="7"/>
        <v>759900</v>
      </c>
      <c r="V31" s="49">
        <f t="shared" si="7"/>
        <v>0</v>
      </c>
      <c r="W31" s="49">
        <f t="shared" si="7"/>
        <v>0</v>
      </c>
      <c r="X31" s="50">
        <f t="shared" si="7"/>
        <v>0</v>
      </c>
      <c r="Y31" s="73">
        <f t="shared" si="6"/>
        <v>759900</v>
      </c>
    </row>
    <row r="32" spans="1:25" x14ac:dyDescent="0.2">
      <c r="A32" s="55">
        <v>46051</v>
      </c>
      <c r="B32" s="48"/>
      <c r="C32" s="49"/>
      <c r="D32" s="49"/>
      <c r="E32" s="50"/>
      <c r="F32" s="48">
        <f t="shared" si="0"/>
        <v>1729</v>
      </c>
      <c r="G32" s="49">
        <f t="shared" si="1"/>
        <v>12455</v>
      </c>
      <c r="H32" s="49">
        <f t="shared" si="2"/>
        <v>0</v>
      </c>
      <c r="I32" s="50">
        <f t="shared" si="3"/>
        <v>14417</v>
      </c>
      <c r="J32" s="48">
        <f>J31+B32-SUMIFS(рапорт!$O:$O,рапорт!$A:$A,A32)-SUMIFS(рапорт!$U:$U,рапорт!$A:$A,A32)/4</f>
        <v>1729</v>
      </c>
      <c r="K32" s="49">
        <f>K31+C32-SUMIFS(рапорт!$P:$P,рапорт!$A:$A,A32)-SUMIFS(рапорт!$U:$U,рапорт!$A:$A,A32)/4</f>
        <v>12455</v>
      </c>
      <c r="L32" s="49">
        <f>L31+D32-SUMIFS(рапорт!$Q:$Q,рапорт!$A:$A,A32)-SUMIFS(рапорт!$U:$U,рапорт!$A:$A,A32)/4</f>
        <v>0</v>
      </c>
      <c r="M32" s="50">
        <f>M31+E32-SUMIFS(рапорт!$R:$R,рапорт!$A:$A,A32)-SUMIFS(рапорт!$U:$U,рапорт!$A:$A,A32)/4</f>
        <v>14417</v>
      </c>
      <c r="O32" s="55">
        <v>46051</v>
      </c>
      <c r="P32" s="48"/>
      <c r="Q32" s="49"/>
      <c r="R32" s="49"/>
      <c r="S32" s="50"/>
      <c r="T32" s="60">
        <f t="shared" si="5"/>
        <v>0</v>
      </c>
      <c r="U32" s="48">
        <f t="shared" si="7"/>
        <v>759900</v>
      </c>
      <c r="V32" s="49">
        <f t="shared" si="7"/>
        <v>0</v>
      </c>
      <c r="W32" s="49">
        <f t="shared" si="7"/>
        <v>0</v>
      </c>
      <c r="X32" s="50">
        <f t="shared" si="7"/>
        <v>0</v>
      </c>
      <c r="Y32" s="73">
        <f t="shared" si="6"/>
        <v>759900</v>
      </c>
    </row>
    <row r="33" spans="1:25" x14ac:dyDescent="0.2">
      <c r="A33" s="55">
        <v>46052</v>
      </c>
      <c r="B33" s="48"/>
      <c r="C33" s="49"/>
      <c r="D33" s="49"/>
      <c r="E33" s="50"/>
      <c r="F33" s="48">
        <f t="shared" si="0"/>
        <v>1729</v>
      </c>
      <c r="G33" s="49">
        <f t="shared" si="1"/>
        <v>12455</v>
      </c>
      <c r="H33" s="49">
        <f t="shared" si="2"/>
        <v>0</v>
      </c>
      <c r="I33" s="50">
        <f t="shared" si="3"/>
        <v>14417</v>
      </c>
      <c r="J33" s="48">
        <f>J32+B33-SUMIFS(рапорт!$O:$O,рапорт!$A:$A,A33)-SUMIFS(рапорт!$U:$U,рапорт!$A:$A,A33)/4</f>
        <v>1729</v>
      </c>
      <c r="K33" s="49">
        <f>K32+C33-SUMIFS(рапорт!$P:$P,рапорт!$A:$A,A33)-SUMIFS(рапорт!$U:$U,рапорт!$A:$A,A33)/4</f>
        <v>12455</v>
      </c>
      <c r="L33" s="49">
        <f>L32+D33-SUMIFS(рапорт!$Q:$Q,рапорт!$A:$A,A33)-SUMIFS(рапорт!$U:$U,рапорт!$A:$A,A33)/4</f>
        <v>0</v>
      </c>
      <c r="M33" s="50">
        <f>M32+E33-SUMIFS(рапорт!$R:$R,рапорт!$A:$A,A33)-SUMIFS(рапорт!$U:$U,рапорт!$A:$A,A33)/4</f>
        <v>14417</v>
      </c>
      <c r="O33" s="55">
        <v>46052</v>
      </c>
      <c r="P33" s="48"/>
      <c r="Q33" s="49"/>
      <c r="R33" s="49"/>
      <c r="S33" s="50"/>
      <c r="T33" s="60">
        <f t="shared" si="5"/>
        <v>0</v>
      </c>
      <c r="U33" s="48">
        <f t="shared" si="7"/>
        <v>759900</v>
      </c>
      <c r="V33" s="49">
        <f t="shared" si="7"/>
        <v>0</v>
      </c>
      <c r="W33" s="49">
        <f t="shared" si="7"/>
        <v>0</v>
      </c>
      <c r="X33" s="50">
        <f t="shared" si="7"/>
        <v>0</v>
      </c>
      <c r="Y33" s="73">
        <f t="shared" si="6"/>
        <v>759900</v>
      </c>
    </row>
    <row r="34" spans="1:25" x14ac:dyDescent="0.2">
      <c r="A34" s="55">
        <v>46053</v>
      </c>
      <c r="B34" s="48"/>
      <c r="C34" s="49"/>
      <c r="D34" s="49"/>
      <c r="E34" s="50"/>
      <c r="F34" s="48">
        <f t="shared" si="0"/>
        <v>1729</v>
      </c>
      <c r="G34" s="49">
        <f t="shared" si="1"/>
        <v>12455</v>
      </c>
      <c r="H34" s="49">
        <f t="shared" si="2"/>
        <v>0</v>
      </c>
      <c r="I34" s="50">
        <f t="shared" si="3"/>
        <v>14417</v>
      </c>
      <c r="J34" s="48">
        <f>J33+B34-SUMIFS(рапорт!$O:$O,рапорт!$A:$A,A34)-SUMIFS(рапорт!$U:$U,рапорт!$A:$A,A34)/4</f>
        <v>1729</v>
      </c>
      <c r="K34" s="49">
        <f>K33+C34-SUMIFS(рапорт!$P:$P,рапорт!$A:$A,A34)-SUMIFS(рапорт!$U:$U,рапорт!$A:$A,A34)/4</f>
        <v>12455</v>
      </c>
      <c r="L34" s="49">
        <f>L33+D34-SUMIFS(рапорт!$Q:$Q,рапорт!$A:$A,A34)-SUMIFS(рапорт!$U:$U,рапорт!$A:$A,A34)/4</f>
        <v>0</v>
      </c>
      <c r="M34" s="50">
        <f>M33+E34-SUMIFS(рапорт!$R:$R,рапорт!$A:$A,A34)-SUMIFS(рапорт!$U:$U,рапорт!$A:$A,A34)/4</f>
        <v>14417</v>
      </c>
      <c r="O34" s="55">
        <v>46053</v>
      </c>
      <c r="P34" s="48"/>
      <c r="Q34" s="49"/>
      <c r="R34" s="49"/>
      <c r="S34" s="50"/>
      <c r="T34" s="60">
        <f t="shared" si="5"/>
        <v>0</v>
      </c>
      <c r="U34" s="48">
        <f t="shared" si="7"/>
        <v>759900</v>
      </c>
      <c r="V34" s="49">
        <f t="shared" si="7"/>
        <v>0</v>
      </c>
      <c r="W34" s="49">
        <f t="shared" si="7"/>
        <v>0</v>
      </c>
      <c r="X34" s="50">
        <f t="shared" si="7"/>
        <v>0</v>
      </c>
      <c r="Y34" s="73">
        <f t="shared" si="6"/>
        <v>759900</v>
      </c>
    </row>
    <row r="35" spans="1:25" x14ac:dyDescent="0.2">
      <c r="A35" s="55">
        <v>46054</v>
      </c>
      <c r="B35" s="48"/>
      <c r="C35" s="49"/>
      <c r="D35" s="49"/>
      <c r="E35" s="50"/>
      <c r="F35" s="48">
        <f t="shared" si="0"/>
        <v>1729</v>
      </c>
      <c r="G35" s="49">
        <f t="shared" si="1"/>
        <v>12455</v>
      </c>
      <c r="H35" s="49">
        <f t="shared" si="2"/>
        <v>0</v>
      </c>
      <c r="I35" s="50">
        <f t="shared" si="3"/>
        <v>14417</v>
      </c>
      <c r="J35" s="48">
        <f>J34+B35-SUMIFS(рапорт!$O:$O,рапорт!$A:$A,A35)-SUMIFS(рапорт!$U:$U,рапорт!$A:$A,A35)/4</f>
        <v>1729</v>
      </c>
      <c r="K35" s="49">
        <f>K34+C35-SUMIFS(рапорт!$P:$P,рапорт!$A:$A,A35)-SUMIFS(рапорт!$U:$U,рапорт!$A:$A,A35)/4</f>
        <v>12455</v>
      </c>
      <c r="L35" s="49">
        <f>L34+D35-SUMIFS(рапорт!$Q:$Q,рапорт!$A:$A,A35)-SUMIFS(рапорт!$U:$U,рапорт!$A:$A,A35)/4</f>
        <v>0</v>
      </c>
      <c r="M35" s="50">
        <f>M34+E35-SUMIFS(рапорт!$R:$R,рапорт!$A:$A,A35)-SUMIFS(рапорт!$U:$U,рапорт!$A:$A,A35)/4</f>
        <v>14417</v>
      </c>
      <c r="O35" s="55">
        <v>46054</v>
      </c>
      <c r="P35" s="48"/>
      <c r="Q35" s="49"/>
      <c r="R35" s="49"/>
      <c r="S35" s="50"/>
      <c r="T35" s="60">
        <f t="shared" si="5"/>
        <v>0</v>
      </c>
      <c r="U35" s="48">
        <f t="shared" si="7"/>
        <v>759900</v>
      </c>
      <c r="V35" s="49">
        <f t="shared" si="7"/>
        <v>0</v>
      </c>
      <c r="W35" s="49">
        <f t="shared" si="7"/>
        <v>0</v>
      </c>
      <c r="X35" s="50">
        <f t="shared" si="7"/>
        <v>0</v>
      </c>
      <c r="Y35" s="73">
        <f t="shared" si="6"/>
        <v>759900</v>
      </c>
    </row>
    <row r="36" spans="1:25" x14ac:dyDescent="0.2">
      <c r="A36" s="55">
        <v>46055</v>
      </c>
      <c r="B36" s="48"/>
      <c r="C36" s="49"/>
      <c r="D36" s="49"/>
      <c r="E36" s="50"/>
      <c r="F36" s="48">
        <f t="shared" ref="F36:F52" si="8">F35</f>
        <v>1729</v>
      </c>
      <c r="G36" s="49">
        <f t="shared" ref="G36:G52" si="9">G35</f>
        <v>12455</v>
      </c>
      <c r="H36" s="49">
        <f t="shared" ref="H36:H49" si="10">H35</f>
        <v>0</v>
      </c>
      <c r="I36" s="50">
        <f t="shared" ref="I36:I49" si="11">I35</f>
        <v>14417</v>
      </c>
      <c r="J36" s="48">
        <f>J35+B36-SUMIFS(рапорт!$O:$O,рапорт!$A:$A,A36)-SUMIFS(рапорт!$U:$U,рапорт!$A:$A,A36)/4</f>
        <v>1729</v>
      </c>
      <c r="K36" s="49">
        <f>K35+C36-SUMIFS(рапорт!$P:$P,рапорт!$A:$A,A36)-SUMIFS(рапорт!$U:$U,рапорт!$A:$A,A36)/4</f>
        <v>12455</v>
      </c>
      <c r="L36" s="49">
        <f>L35+D36-SUMIFS(рапорт!$Q:$Q,рапорт!$A:$A,A36)-SUMIFS(рапорт!$U:$U,рапорт!$A:$A,A36)/4</f>
        <v>0</v>
      </c>
      <c r="M36" s="50">
        <f>M35+E36-SUMIFS(рапорт!$R:$R,рапорт!$A:$A,A36)-SUMIFS(рапорт!$U:$U,рапорт!$A:$A,A36)/4</f>
        <v>14417</v>
      </c>
      <c r="O36" s="55">
        <v>46055</v>
      </c>
      <c r="P36" s="48"/>
      <c r="Q36" s="49"/>
      <c r="R36" s="49"/>
      <c r="S36" s="50"/>
      <c r="T36" s="60">
        <f t="shared" si="5"/>
        <v>0</v>
      </c>
      <c r="U36" s="48">
        <f t="shared" ref="U36:X46" si="12">U35</f>
        <v>759900</v>
      </c>
      <c r="V36" s="49">
        <f t="shared" si="12"/>
        <v>0</v>
      </c>
      <c r="W36" s="49">
        <f t="shared" si="12"/>
        <v>0</v>
      </c>
      <c r="X36" s="50">
        <f t="shared" si="12"/>
        <v>0</v>
      </c>
      <c r="Y36" s="73">
        <f t="shared" si="6"/>
        <v>759900</v>
      </c>
    </row>
    <row r="37" spans="1:25" x14ac:dyDescent="0.2">
      <c r="A37" s="55">
        <v>46056</v>
      </c>
      <c r="B37" s="48"/>
      <c r="C37" s="49"/>
      <c r="D37" s="49"/>
      <c r="E37" s="50"/>
      <c r="F37" s="48">
        <f t="shared" si="8"/>
        <v>1729</v>
      </c>
      <c r="G37" s="49">
        <f t="shared" si="9"/>
        <v>12455</v>
      </c>
      <c r="H37" s="49">
        <f t="shared" si="10"/>
        <v>0</v>
      </c>
      <c r="I37" s="50">
        <f t="shared" si="11"/>
        <v>14417</v>
      </c>
      <c r="J37" s="48">
        <f>J36+B37-SUMIFS(рапорт!$O:$O,рапорт!$A:$A,A37)-SUMIFS(рапорт!$U:$U,рапорт!$A:$A,A37)/4</f>
        <v>1729</v>
      </c>
      <c r="K37" s="49">
        <f>K36+C37-SUMIFS(рапорт!$P:$P,рапорт!$A:$A,A37)-SUMIFS(рапорт!$U:$U,рапорт!$A:$A,A37)/4</f>
        <v>12455</v>
      </c>
      <c r="L37" s="49">
        <f>L36+D37-SUMIFS(рапорт!$Q:$Q,рапорт!$A:$A,A37)-SUMIFS(рапорт!$U:$U,рапорт!$A:$A,A37)/4</f>
        <v>0</v>
      </c>
      <c r="M37" s="50">
        <f>M36+E37-SUMIFS(рапорт!$R:$R,рапорт!$A:$A,A37)-SUMIFS(рапорт!$U:$U,рапорт!$A:$A,A37)/4</f>
        <v>14417</v>
      </c>
      <c r="O37" s="55">
        <v>46056</v>
      </c>
      <c r="P37" s="48"/>
      <c r="Q37" s="49"/>
      <c r="R37" s="49"/>
      <c r="S37" s="50"/>
      <c r="T37" s="60">
        <f t="shared" si="5"/>
        <v>0</v>
      </c>
      <c r="U37" s="48">
        <f t="shared" si="12"/>
        <v>759900</v>
      </c>
      <c r="V37" s="49">
        <f t="shared" si="12"/>
        <v>0</v>
      </c>
      <c r="W37" s="49">
        <f t="shared" si="12"/>
        <v>0</v>
      </c>
      <c r="X37" s="50">
        <f t="shared" si="12"/>
        <v>0</v>
      </c>
      <c r="Y37" s="73">
        <f t="shared" si="6"/>
        <v>759900</v>
      </c>
    </row>
    <row r="38" spans="1:25" x14ac:dyDescent="0.2">
      <c r="A38" s="55">
        <v>46057</v>
      </c>
      <c r="B38" s="48"/>
      <c r="C38" s="49"/>
      <c r="D38" s="49"/>
      <c r="E38" s="50"/>
      <c r="F38" s="48">
        <f t="shared" si="8"/>
        <v>1729</v>
      </c>
      <c r="G38" s="49">
        <f t="shared" si="9"/>
        <v>12455</v>
      </c>
      <c r="H38" s="49">
        <f t="shared" si="10"/>
        <v>0</v>
      </c>
      <c r="I38" s="50">
        <f t="shared" si="11"/>
        <v>14417</v>
      </c>
      <c r="J38" s="48">
        <f>J37+B38-SUMIFS(рапорт!$O:$O,рапорт!$A:$A,A38)-SUMIFS(рапорт!$U:$U,рапорт!$A:$A,A38)/4</f>
        <v>1729</v>
      </c>
      <c r="K38" s="49">
        <f>K37+C38-SUMIFS(рапорт!$P:$P,рапорт!$A:$A,A38)-SUMIFS(рапорт!$U:$U,рапорт!$A:$A,A38)/4</f>
        <v>12455</v>
      </c>
      <c r="L38" s="49">
        <f>L37+D38-SUMIFS(рапорт!$Q:$Q,рапорт!$A:$A,A38)-SUMIFS(рапорт!$U:$U,рапорт!$A:$A,A38)/4</f>
        <v>0</v>
      </c>
      <c r="M38" s="50">
        <f>M37+E38-SUMIFS(рапорт!$R:$R,рапорт!$A:$A,A38)-SUMIFS(рапорт!$U:$U,рапорт!$A:$A,A38)/4</f>
        <v>14417</v>
      </c>
      <c r="O38" s="55">
        <v>46057</v>
      </c>
      <c r="P38" s="48"/>
      <c r="Q38" s="49"/>
      <c r="R38" s="49"/>
      <c r="S38" s="50"/>
      <c r="T38" s="60">
        <f t="shared" si="5"/>
        <v>0</v>
      </c>
      <c r="U38" s="48">
        <f t="shared" si="12"/>
        <v>759900</v>
      </c>
      <c r="V38" s="49">
        <f t="shared" si="12"/>
        <v>0</v>
      </c>
      <c r="W38" s="49">
        <f t="shared" si="12"/>
        <v>0</v>
      </c>
      <c r="X38" s="50">
        <f t="shared" si="12"/>
        <v>0</v>
      </c>
      <c r="Y38" s="73">
        <f t="shared" si="6"/>
        <v>759900</v>
      </c>
    </row>
    <row r="39" spans="1:25" x14ac:dyDescent="0.2">
      <c r="A39" s="55">
        <v>46058</v>
      </c>
      <c r="B39" s="48"/>
      <c r="C39" s="49"/>
      <c r="D39" s="49"/>
      <c r="E39" s="50"/>
      <c r="F39" s="48">
        <f t="shared" si="8"/>
        <v>1729</v>
      </c>
      <c r="G39" s="49">
        <f t="shared" si="9"/>
        <v>12455</v>
      </c>
      <c r="H39" s="49">
        <f t="shared" si="10"/>
        <v>0</v>
      </c>
      <c r="I39" s="50">
        <f t="shared" si="11"/>
        <v>14417</v>
      </c>
      <c r="J39" s="48">
        <f>J38+B39-SUMIFS(рапорт!$O:$O,рапорт!$A:$A,A39)-SUMIFS(рапорт!$U:$U,рапорт!$A:$A,A39)/4</f>
        <v>1729</v>
      </c>
      <c r="K39" s="49">
        <f>K38+C39-SUMIFS(рапорт!$P:$P,рапорт!$A:$A,A39)-SUMIFS(рапорт!$U:$U,рапорт!$A:$A,A39)/4</f>
        <v>12455</v>
      </c>
      <c r="L39" s="49">
        <f>L38+D39-SUMIFS(рапорт!$Q:$Q,рапорт!$A:$A,A39)-SUMIFS(рапорт!$U:$U,рапорт!$A:$A,A39)/4</f>
        <v>0</v>
      </c>
      <c r="M39" s="50">
        <f>M38+E39-SUMIFS(рапорт!$R:$R,рапорт!$A:$A,A39)-SUMIFS(рапорт!$U:$U,рапорт!$A:$A,A39)/4</f>
        <v>14417</v>
      </c>
      <c r="O39" s="55">
        <v>46058</v>
      </c>
      <c r="P39" s="48"/>
      <c r="Q39" s="49"/>
      <c r="R39" s="49"/>
      <c r="S39" s="50"/>
      <c r="T39" s="60">
        <f t="shared" si="5"/>
        <v>0</v>
      </c>
      <c r="U39" s="48">
        <f t="shared" si="12"/>
        <v>759900</v>
      </c>
      <c r="V39" s="49">
        <f t="shared" si="12"/>
        <v>0</v>
      </c>
      <c r="W39" s="49">
        <f t="shared" si="12"/>
        <v>0</v>
      </c>
      <c r="X39" s="50">
        <f t="shared" si="12"/>
        <v>0</v>
      </c>
      <c r="Y39" s="73">
        <f t="shared" si="6"/>
        <v>759900</v>
      </c>
    </row>
    <row r="40" spans="1:25" x14ac:dyDescent="0.2">
      <c r="A40" s="55">
        <v>46059</v>
      </c>
      <c r="B40" s="48"/>
      <c r="C40" s="49"/>
      <c r="D40" s="49"/>
      <c r="E40" s="50"/>
      <c r="F40" s="48">
        <f t="shared" si="8"/>
        <v>1729</v>
      </c>
      <c r="G40" s="49">
        <f t="shared" si="9"/>
        <v>12455</v>
      </c>
      <c r="H40" s="49">
        <f t="shared" si="10"/>
        <v>0</v>
      </c>
      <c r="I40" s="50">
        <f t="shared" si="11"/>
        <v>14417</v>
      </c>
      <c r="J40" s="48">
        <f>J39+B40-SUMIFS(рапорт!$O:$O,рапорт!$A:$A,A40)-SUMIFS(рапорт!$U:$U,рапорт!$A:$A,A40)/4</f>
        <v>1729</v>
      </c>
      <c r="K40" s="49">
        <f>K39+C40-SUMIFS(рапорт!$P:$P,рапорт!$A:$A,A40)-SUMIFS(рапорт!$U:$U,рапорт!$A:$A,A40)/4</f>
        <v>12455</v>
      </c>
      <c r="L40" s="49">
        <f>L39+D40-SUMIFS(рапорт!$Q:$Q,рапорт!$A:$A,A40)-SUMIFS(рапорт!$U:$U,рапорт!$A:$A,A40)/4</f>
        <v>0</v>
      </c>
      <c r="M40" s="50">
        <f>M39+E40-SUMIFS(рапорт!$R:$R,рапорт!$A:$A,A40)-SUMIFS(рапорт!$U:$U,рапорт!$A:$A,A40)/4</f>
        <v>14417</v>
      </c>
      <c r="O40" s="55">
        <v>46059</v>
      </c>
      <c r="P40" s="48"/>
      <c r="Q40" s="49"/>
      <c r="R40" s="49"/>
      <c r="S40" s="50"/>
      <c r="T40" s="60">
        <f t="shared" si="5"/>
        <v>0</v>
      </c>
      <c r="U40" s="48">
        <f t="shared" si="12"/>
        <v>759900</v>
      </c>
      <c r="V40" s="49">
        <f t="shared" si="12"/>
        <v>0</v>
      </c>
      <c r="W40" s="49">
        <f t="shared" si="12"/>
        <v>0</v>
      </c>
      <c r="X40" s="50">
        <f t="shared" si="12"/>
        <v>0</v>
      </c>
      <c r="Y40" s="73">
        <f t="shared" si="6"/>
        <v>759900</v>
      </c>
    </row>
    <row r="41" spans="1:25" x14ac:dyDescent="0.2">
      <c r="A41" s="55">
        <v>46060</v>
      </c>
      <c r="B41" s="48"/>
      <c r="C41" s="49"/>
      <c r="D41" s="49"/>
      <c r="E41" s="50"/>
      <c r="F41" s="48">
        <f t="shared" si="8"/>
        <v>1729</v>
      </c>
      <c r="G41" s="49">
        <f t="shared" si="9"/>
        <v>12455</v>
      </c>
      <c r="H41" s="49">
        <f t="shared" si="10"/>
        <v>0</v>
      </c>
      <c r="I41" s="50">
        <f t="shared" si="11"/>
        <v>14417</v>
      </c>
      <c r="J41" s="48">
        <f>J40+B41-SUMIFS(рапорт!$O:$O,рапорт!$A:$A,A41)-SUMIFS(рапорт!$U:$U,рапорт!$A:$A,A41)/4</f>
        <v>1729</v>
      </c>
      <c r="K41" s="49">
        <f>K40+C41-SUMIFS(рапорт!$P:$P,рапорт!$A:$A,A41)-SUMIFS(рапорт!$U:$U,рапорт!$A:$A,A41)/4</f>
        <v>12455</v>
      </c>
      <c r="L41" s="49">
        <f>L40+D41-SUMIFS(рапорт!$Q:$Q,рапорт!$A:$A,A41)-SUMIFS(рапорт!$U:$U,рапорт!$A:$A,A41)/4</f>
        <v>0</v>
      </c>
      <c r="M41" s="50">
        <f>M40+E41-SUMIFS(рапорт!$R:$R,рапорт!$A:$A,A41)-SUMIFS(рапорт!$U:$U,рапорт!$A:$A,A41)/4</f>
        <v>14417</v>
      </c>
      <c r="O41" s="55">
        <v>46060</v>
      </c>
      <c r="P41" s="48"/>
      <c r="Q41" s="49"/>
      <c r="R41" s="49"/>
      <c r="S41" s="50"/>
      <c r="T41" s="60">
        <f t="shared" si="5"/>
        <v>0</v>
      </c>
      <c r="U41" s="48">
        <f t="shared" si="12"/>
        <v>759900</v>
      </c>
      <c r="V41" s="49">
        <f t="shared" si="12"/>
        <v>0</v>
      </c>
      <c r="W41" s="49">
        <f t="shared" si="12"/>
        <v>0</v>
      </c>
      <c r="X41" s="50">
        <f t="shared" si="12"/>
        <v>0</v>
      </c>
      <c r="Y41" s="73">
        <f t="shared" si="6"/>
        <v>759900</v>
      </c>
    </row>
    <row r="42" spans="1:25" x14ac:dyDescent="0.2">
      <c r="A42" s="55">
        <v>46061</v>
      </c>
      <c r="B42" s="48"/>
      <c r="C42" s="49"/>
      <c r="D42" s="49"/>
      <c r="E42" s="50"/>
      <c r="F42" s="48">
        <f t="shared" si="8"/>
        <v>1729</v>
      </c>
      <c r="G42" s="49">
        <f t="shared" si="9"/>
        <v>12455</v>
      </c>
      <c r="H42" s="49">
        <f t="shared" si="10"/>
        <v>0</v>
      </c>
      <c r="I42" s="50">
        <f t="shared" si="11"/>
        <v>14417</v>
      </c>
      <c r="J42" s="48">
        <f>J41+B42-SUMIFS(рапорт!$O:$O,рапорт!$A:$A,A42)-SUMIFS(рапорт!$U:$U,рапорт!$A:$A,A42)/4</f>
        <v>1729</v>
      </c>
      <c r="K42" s="49">
        <f>K41+C42-SUMIFS(рапорт!$P:$P,рапорт!$A:$A,A42)-SUMIFS(рапорт!$U:$U,рапорт!$A:$A,A42)/4</f>
        <v>12455</v>
      </c>
      <c r="L42" s="49">
        <f>L41+D42-SUMIFS(рапорт!$Q:$Q,рапорт!$A:$A,A42)-SUMIFS(рапорт!$U:$U,рапорт!$A:$A,A42)/4</f>
        <v>0</v>
      </c>
      <c r="M42" s="50">
        <f>M41+E42-SUMIFS(рапорт!$R:$R,рапорт!$A:$A,A42)-SUMIFS(рапорт!$U:$U,рапорт!$A:$A,A42)/4</f>
        <v>14417</v>
      </c>
      <c r="O42" s="55">
        <v>46061</v>
      </c>
      <c r="P42" s="48"/>
      <c r="Q42" s="49"/>
      <c r="R42" s="49"/>
      <c r="S42" s="50"/>
      <c r="T42" s="60">
        <f t="shared" si="5"/>
        <v>0</v>
      </c>
      <c r="U42" s="48">
        <f t="shared" si="12"/>
        <v>759900</v>
      </c>
      <c r="V42" s="49">
        <f t="shared" si="12"/>
        <v>0</v>
      </c>
      <c r="W42" s="49">
        <f t="shared" si="12"/>
        <v>0</v>
      </c>
      <c r="X42" s="50">
        <f t="shared" si="12"/>
        <v>0</v>
      </c>
      <c r="Y42" s="73">
        <f t="shared" si="6"/>
        <v>759900</v>
      </c>
    </row>
    <row r="43" spans="1:25" x14ac:dyDescent="0.2">
      <c r="A43" s="55">
        <v>46062</v>
      </c>
      <c r="B43" s="48"/>
      <c r="C43" s="49"/>
      <c r="D43" s="49"/>
      <c r="E43" s="50"/>
      <c r="F43" s="48">
        <f t="shared" si="8"/>
        <v>1729</v>
      </c>
      <c r="G43" s="49">
        <f t="shared" si="9"/>
        <v>12455</v>
      </c>
      <c r="H43" s="49">
        <f t="shared" si="10"/>
        <v>0</v>
      </c>
      <c r="I43" s="50">
        <f t="shared" si="11"/>
        <v>14417</v>
      </c>
      <c r="J43" s="48">
        <f>J42+B43-SUMIFS(рапорт!$O:$O,рапорт!$A:$A,A43)-SUMIFS(рапорт!$U:$U,рапорт!$A:$A,A43)/4</f>
        <v>1729</v>
      </c>
      <c r="K43" s="49">
        <f>K42+C43-SUMIFS(рапорт!$P:$P,рапорт!$A:$A,A43)-SUMIFS(рапорт!$U:$U,рапорт!$A:$A,A43)/4</f>
        <v>12455</v>
      </c>
      <c r="L43" s="49">
        <f>L42+D43-SUMIFS(рапорт!$Q:$Q,рапорт!$A:$A,A43)-SUMIFS(рапорт!$U:$U,рапорт!$A:$A,A43)/4</f>
        <v>0</v>
      </c>
      <c r="M43" s="50">
        <f>M42+E43-SUMIFS(рапорт!$R:$R,рапорт!$A:$A,A43)-SUMIFS(рапорт!$U:$U,рапорт!$A:$A,A43)/4</f>
        <v>14417</v>
      </c>
      <c r="O43" s="55">
        <v>46062</v>
      </c>
      <c r="P43" s="48"/>
      <c r="Q43" s="49"/>
      <c r="R43" s="49"/>
      <c r="S43" s="50"/>
      <c r="T43" s="60">
        <f t="shared" si="5"/>
        <v>0</v>
      </c>
      <c r="U43" s="48">
        <f t="shared" si="12"/>
        <v>759900</v>
      </c>
      <c r="V43" s="49">
        <f t="shared" si="12"/>
        <v>0</v>
      </c>
      <c r="W43" s="49">
        <f t="shared" si="12"/>
        <v>0</v>
      </c>
      <c r="X43" s="50">
        <f t="shared" si="12"/>
        <v>0</v>
      </c>
      <c r="Y43" s="73">
        <f t="shared" si="6"/>
        <v>759900</v>
      </c>
    </row>
    <row r="44" spans="1:25" x14ac:dyDescent="0.2">
      <c r="A44" s="55">
        <v>46063</v>
      </c>
      <c r="B44" s="48"/>
      <c r="C44" s="49"/>
      <c r="D44" s="49"/>
      <c r="E44" s="50"/>
      <c r="F44" s="48">
        <f t="shared" si="8"/>
        <v>1729</v>
      </c>
      <c r="G44" s="49">
        <f t="shared" si="9"/>
        <v>12455</v>
      </c>
      <c r="H44" s="49">
        <f t="shared" si="10"/>
        <v>0</v>
      </c>
      <c r="I44" s="50">
        <f t="shared" si="11"/>
        <v>14417</v>
      </c>
      <c r="J44" s="48">
        <f>J43+B44-SUMIFS(рапорт!$O:$O,рапорт!$A:$A,A44)-SUMIFS(рапорт!$U:$U,рапорт!$A:$A,A44)/4</f>
        <v>1729</v>
      </c>
      <c r="K44" s="49">
        <f>K43+C44-SUMIFS(рапорт!$P:$P,рапорт!$A:$A,A44)-SUMIFS(рапорт!$U:$U,рапорт!$A:$A,A44)/4</f>
        <v>12455</v>
      </c>
      <c r="L44" s="49">
        <f>L43+D44-SUMIFS(рапорт!$Q:$Q,рапорт!$A:$A,A44)-SUMIFS(рапорт!$U:$U,рапорт!$A:$A,A44)/4</f>
        <v>0</v>
      </c>
      <c r="M44" s="50">
        <f>M43+E44-SUMIFS(рапорт!$R:$R,рапорт!$A:$A,A44)-SUMIFS(рапорт!$U:$U,рапорт!$A:$A,A44)/4</f>
        <v>14417</v>
      </c>
      <c r="O44" s="55">
        <v>46063</v>
      </c>
      <c r="P44" s="48"/>
      <c r="Q44" s="49"/>
      <c r="R44" s="49"/>
      <c r="S44" s="50"/>
      <c r="T44" s="60">
        <f t="shared" si="5"/>
        <v>0</v>
      </c>
      <c r="U44" s="48">
        <f t="shared" si="12"/>
        <v>759900</v>
      </c>
      <c r="V44" s="49">
        <f t="shared" si="12"/>
        <v>0</v>
      </c>
      <c r="W44" s="49">
        <f t="shared" si="12"/>
        <v>0</v>
      </c>
      <c r="X44" s="50">
        <f t="shared" si="12"/>
        <v>0</v>
      </c>
      <c r="Y44" s="73">
        <f t="shared" si="6"/>
        <v>759900</v>
      </c>
    </row>
    <row r="45" spans="1:25" x14ac:dyDescent="0.2">
      <c r="A45" s="55">
        <v>46064</v>
      </c>
      <c r="B45" s="48"/>
      <c r="C45" s="49"/>
      <c r="D45" s="49"/>
      <c r="E45" s="50"/>
      <c r="F45" s="48">
        <f t="shared" si="8"/>
        <v>1729</v>
      </c>
      <c r="G45" s="49">
        <f t="shared" si="9"/>
        <v>12455</v>
      </c>
      <c r="H45" s="49">
        <f t="shared" si="10"/>
        <v>0</v>
      </c>
      <c r="I45" s="50">
        <f t="shared" si="11"/>
        <v>14417</v>
      </c>
      <c r="J45" s="48">
        <f>J44+B45-SUMIFS(рапорт!$O:$O,рапорт!$A:$A,A45)-SUMIFS(рапорт!$U:$U,рапорт!$A:$A,A45)/4</f>
        <v>1729</v>
      </c>
      <c r="K45" s="49">
        <f>K44+C45-SUMIFS(рапорт!$P:$P,рапорт!$A:$A,A45)-SUMIFS(рапорт!$U:$U,рапорт!$A:$A,A45)/4</f>
        <v>12455</v>
      </c>
      <c r="L45" s="49">
        <f>L44+D45-SUMIFS(рапорт!$Q:$Q,рапорт!$A:$A,A45)-SUMIFS(рапорт!$U:$U,рапорт!$A:$A,A45)/4</f>
        <v>0</v>
      </c>
      <c r="M45" s="50">
        <f>M44+E45-SUMIFS(рапорт!$R:$R,рапорт!$A:$A,A45)-SUMIFS(рапорт!$U:$U,рапорт!$A:$A,A45)/4</f>
        <v>14417</v>
      </c>
      <c r="O45" s="55">
        <v>46064</v>
      </c>
      <c r="P45" s="48"/>
      <c r="Q45" s="49"/>
      <c r="R45" s="49"/>
      <c r="S45" s="50"/>
      <c r="T45" s="60">
        <f t="shared" si="5"/>
        <v>0</v>
      </c>
      <c r="U45" s="48">
        <f t="shared" si="12"/>
        <v>759900</v>
      </c>
      <c r="V45" s="49">
        <f t="shared" si="12"/>
        <v>0</v>
      </c>
      <c r="W45" s="49">
        <f t="shared" si="12"/>
        <v>0</v>
      </c>
      <c r="X45" s="50">
        <f t="shared" si="12"/>
        <v>0</v>
      </c>
      <c r="Y45" s="73">
        <f t="shared" si="6"/>
        <v>759900</v>
      </c>
    </row>
    <row r="46" spans="1:25" x14ac:dyDescent="0.2">
      <c r="A46" s="55">
        <v>46065</v>
      </c>
      <c r="B46" s="48">
        <v>22130</v>
      </c>
      <c r="C46" s="49">
        <v>17870</v>
      </c>
      <c r="D46" s="49"/>
      <c r="E46" s="50"/>
      <c r="F46" s="48">
        <f t="shared" si="8"/>
        <v>1729</v>
      </c>
      <c r="G46" s="49">
        <f t="shared" si="9"/>
        <v>12455</v>
      </c>
      <c r="H46" s="49">
        <f t="shared" si="10"/>
        <v>0</v>
      </c>
      <c r="I46" s="50">
        <f t="shared" si="11"/>
        <v>14417</v>
      </c>
      <c r="J46" s="48">
        <f>J45+B46-SUMIFS(рапорт!$O:$O,рапорт!$A:$A,A46)-SUMIFS(рапорт!$U:$U,рапорт!$A:$A,A46)/4</f>
        <v>23859</v>
      </c>
      <c r="K46" s="49">
        <f>K45+C46-SUMIFS(рапорт!$P:$P,рапорт!$A:$A,A46)-SUMIFS(рапорт!$U:$U,рапорт!$A:$A,A46)/4</f>
        <v>30325</v>
      </c>
      <c r="L46" s="49">
        <f>L45+D46-SUMIFS(рапорт!$Q:$Q,рапорт!$A:$A,A46)-SUMIFS(рапорт!$U:$U,рапорт!$A:$A,A46)/4</f>
        <v>0</v>
      </c>
      <c r="M46" s="50">
        <f>M45+E46-SUMIFS(рапорт!$R:$R,рапорт!$A:$A,A46)-SUMIFS(рапорт!$U:$U,рапорт!$A:$A,A46)/4</f>
        <v>14417</v>
      </c>
      <c r="O46" s="55">
        <v>46065</v>
      </c>
      <c r="P46" s="48"/>
      <c r="Q46" s="49"/>
      <c r="R46" s="49"/>
      <c r="S46" s="50"/>
      <c r="T46" s="60">
        <f t="shared" si="5"/>
        <v>0</v>
      </c>
      <c r="U46" s="48">
        <f t="shared" si="12"/>
        <v>759900</v>
      </c>
      <c r="V46" s="49">
        <f t="shared" si="12"/>
        <v>0</v>
      </c>
      <c r="W46" s="49">
        <f t="shared" si="12"/>
        <v>0</v>
      </c>
      <c r="X46" s="50">
        <f t="shared" si="12"/>
        <v>0</v>
      </c>
      <c r="Y46" s="73">
        <f t="shared" si="6"/>
        <v>759900</v>
      </c>
    </row>
    <row r="47" spans="1:25" x14ac:dyDescent="0.2">
      <c r="A47" s="55">
        <v>46066</v>
      </c>
      <c r="B47" s="48">
        <v>39850</v>
      </c>
      <c r="C47" s="49">
        <v>39400</v>
      </c>
      <c r="D47" s="49"/>
      <c r="E47" s="50"/>
      <c r="F47" s="48">
        <f t="shared" si="8"/>
        <v>1729</v>
      </c>
      <c r="G47" s="49">
        <f t="shared" si="9"/>
        <v>12455</v>
      </c>
      <c r="H47" s="49">
        <v>0</v>
      </c>
      <c r="I47" s="50">
        <f t="shared" si="11"/>
        <v>14417</v>
      </c>
      <c r="J47" s="48">
        <f>J46+B47-SUMIFS(рапорт!$O:$O,рапорт!$A:$A,A47)-SUMIFS(рапорт!$U:$U,рапорт!$A:$A,A47)/4</f>
        <v>63709</v>
      </c>
      <c r="K47" s="49">
        <f>K46+C47-SUMIFS(рапорт!$P:$P,рапорт!$A:$A,A47)-SUMIFS(рапорт!$U:$U,рапорт!$A:$A,A47)/4</f>
        <v>69725</v>
      </c>
      <c r="L47" s="49">
        <f>L46+D47-SUMIFS(рапорт!$Q:$Q,рапорт!$A:$A,A47)-SUMIFS(рапорт!$U:$U,рапорт!$A:$A,A47)/4</f>
        <v>0</v>
      </c>
      <c r="M47" s="50">
        <f>M46+E47-SUMIFS(рапорт!$R:$R,рапорт!$A:$A,A47)-SUMIFS(рапорт!$U:$U,рапорт!$A:$A,A47)/4</f>
        <v>14417</v>
      </c>
      <c r="O47" s="55">
        <v>46066</v>
      </c>
      <c r="P47" s="48"/>
      <c r="Q47" s="49"/>
      <c r="R47" s="49"/>
      <c r="S47" s="50"/>
      <c r="T47" s="60">
        <f t="shared" si="5"/>
        <v>0</v>
      </c>
      <c r="U47" s="48">
        <f t="shared" ref="U47" si="13">U46</f>
        <v>759900</v>
      </c>
      <c r="V47" s="49">
        <f t="shared" ref="V47:X47" si="14">V46</f>
        <v>0</v>
      </c>
      <c r="W47" s="49">
        <f t="shared" si="14"/>
        <v>0</v>
      </c>
      <c r="X47" s="50">
        <f t="shared" si="14"/>
        <v>0</v>
      </c>
      <c r="Y47" s="73">
        <f t="shared" si="6"/>
        <v>759900</v>
      </c>
    </row>
    <row r="48" spans="1:25" x14ac:dyDescent="0.2">
      <c r="A48" s="55">
        <v>46067</v>
      </c>
      <c r="B48" s="48"/>
      <c r="C48" s="49"/>
      <c r="D48" s="49"/>
      <c r="E48" s="50"/>
      <c r="F48" s="48">
        <f t="shared" si="8"/>
        <v>1729</v>
      </c>
      <c r="G48" s="49">
        <f t="shared" si="9"/>
        <v>12455</v>
      </c>
      <c r="H48" s="49">
        <f t="shared" si="10"/>
        <v>0</v>
      </c>
      <c r="I48" s="50">
        <f t="shared" si="11"/>
        <v>14417</v>
      </c>
      <c r="J48" s="48">
        <f>J47+B48-SUMIFS(рапорт!$O:$O,рапорт!$A:$A,A48)-SUMIFS(рапорт!$U:$U,рапорт!$A:$A,A48)/4</f>
        <v>63709</v>
      </c>
      <c r="K48" s="49">
        <f>K47+C48-SUMIFS(рапорт!$P:$P,рапорт!$A:$A,A48)-SUMIFS(рапорт!$U:$U,рапорт!$A:$A,A48)/4</f>
        <v>69725</v>
      </c>
      <c r="L48" s="49">
        <f>L47+D48-SUMIFS(рапорт!$Q:$Q,рапорт!$A:$A,A48)-SUMIFS(рапорт!$U:$U,рапорт!$A:$A,A48)/4</f>
        <v>0</v>
      </c>
      <c r="M48" s="50">
        <f>M47+E48-SUMIFS(рапорт!$R:$R,рапорт!$A:$A,A48)-SUMIFS(рапорт!$U:$U,рапорт!$A:$A,A48)/4</f>
        <v>14417</v>
      </c>
      <c r="O48" s="55">
        <v>46067</v>
      </c>
      <c r="P48" s="48"/>
      <c r="Q48" s="49"/>
      <c r="R48" s="49"/>
      <c r="S48" s="50"/>
      <c r="T48" s="60">
        <f t="shared" si="5"/>
        <v>0</v>
      </c>
      <c r="U48" s="48">
        <f t="shared" ref="U48" si="15">U47</f>
        <v>759900</v>
      </c>
      <c r="V48" s="49">
        <f t="shared" ref="V48:X48" si="16">V47</f>
        <v>0</v>
      </c>
      <c r="W48" s="49">
        <f t="shared" si="16"/>
        <v>0</v>
      </c>
      <c r="X48" s="50">
        <f t="shared" si="16"/>
        <v>0</v>
      </c>
      <c r="Y48" s="73">
        <f t="shared" si="6"/>
        <v>759900</v>
      </c>
    </row>
    <row r="49" spans="1:25" x14ac:dyDescent="0.2">
      <c r="A49" s="55">
        <v>46068</v>
      </c>
      <c r="B49" s="48"/>
      <c r="C49" s="49"/>
      <c r="D49" s="49"/>
      <c r="E49" s="50"/>
      <c r="F49" s="48">
        <f t="shared" si="8"/>
        <v>1729</v>
      </c>
      <c r="G49" s="49">
        <f t="shared" si="9"/>
        <v>12455</v>
      </c>
      <c r="H49" s="49">
        <f t="shared" si="10"/>
        <v>0</v>
      </c>
      <c r="I49" s="50">
        <f t="shared" si="11"/>
        <v>14417</v>
      </c>
      <c r="J49" s="48">
        <f>J48+B49-SUMIFS(рапорт!$O:$O,рапорт!$A:$A,A49)-SUMIFS(рапорт!$U:$U,рапорт!$A:$A,A49)/4</f>
        <v>63709</v>
      </c>
      <c r="K49" s="49">
        <f>K48+C49-SUMIFS(рапорт!$P:$P,рапорт!$A:$A,A49)-SUMIFS(рапорт!$U:$U,рапорт!$A:$A,A49)/4</f>
        <v>69725</v>
      </c>
      <c r="L49" s="49">
        <f>L48+D49-SUMIFS(рапорт!$Q:$Q,рапорт!$A:$A,A49)-SUMIFS(рапорт!$U:$U,рапорт!$A:$A,A49)/4</f>
        <v>0</v>
      </c>
      <c r="M49" s="50">
        <f>M48+E49-SUMIFS(рапорт!$R:$R,рапорт!$A:$A,A49)-SUMIFS(рапорт!$U:$U,рапорт!$A:$A,A49)/4</f>
        <v>14417</v>
      </c>
      <c r="O49" s="55">
        <v>46068</v>
      </c>
      <c r="P49" s="48"/>
      <c r="Q49" s="49"/>
      <c r="R49" s="49"/>
      <c r="S49" s="50"/>
      <c r="T49" s="60">
        <f t="shared" si="5"/>
        <v>0</v>
      </c>
      <c r="U49" s="48">
        <f t="shared" ref="U49" si="17">U48</f>
        <v>759900</v>
      </c>
      <c r="V49" s="49">
        <f t="shared" ref="V49:X49" si="18">V48</f>
        <v>0</v>
      </c>
      <c r="W49" s="49">
        <f t="shared" si="18"/>
        <v>0</v>
      </c>
      <c r="X49" s="50">
        <f t="shared" si="18"/>
        <v>0</v>
      </c>
      <c r="Y49" s="73">
        <f t="shared" si="6"/>
        <v>759900</v>
      </c>
    </row>
    <row r="50" spans="1:25" x14ac:dyDescent="0.2">
      <c r="A50" s="55">
        <v>46069</v>
      </c>
      <c r="B50" s="48"/>
      <c r="C50" s="49"/>
      <c r="D50" s="49"/>
      <c r="E50" s="50"/>
      <c r="F50" s="48">
        <v>42123</v>
      </c>
      <c r="G50" s="49">
        <v>69725</v>
      </c>
      <c r="H50" s="49">
        <v>0</v>
      </c>
      <c r="I50" s="50">
        <v>14417</v>
      </c>
      <c r="J50" s="48">
        <f>J49+B50-SUMIFS(рапорт!$O:$O,рапорт!$A:$A,A50)-SUMIFS(рапорт!$U:$U,рапорт!$A:$A,A50)/4</f>
        <v>42123</v>
      </c>
      <c r="K50" s="49">
        <f>K49+C50-SUMIFS(рапорт!$P:$P,рапорт!$A:$A,A50)-SUMIFS(рапорт!$U:$U,рапорт!$A:$A,A50)/4</f>
        <v>69725</v>
      </c>
      <c r="L50" s="49">
        <f>L49+D50-SUMIFS(рапорт!$Q:$Q,рапорт!$A:$A,A50)-SUMIFS(рапорт!$U:$U,рапорт!$A:$A,A50)/4</f>
        <v>0</v>
      </c>
      <c r="M50" s="50">
        <f>M49+E50-SUMIFS(рапорт!$R:$R,рапорт!$A:$A,A50)-SUMIFS(рапорт!$U:$U,рапорт!$A:$A,A50)/4</f>
        <v>14417</v>
      </c>
      <c r="O50" s="55">
        <v>46069</v>
      </c>
      <c r="P50" s="48"/>
      <c r="Q50" s="49"/>
      <c r="R50" s="49"/>
      <c r="S50" s="50"/>
      <c r="T50" s="60">
        <f t="shared" si="5"/>
        <v>0</v>
      </c>
      <c r="U50" s="48">
        <v>749400</v>
      </c>
      <c r="V50" s="49">
        <f t="shared" ref="V50:X50" si="19">V49</f>
        <v>0</v>
      </c>
      <c r="W50" s="49">
        <f t="shared" si="19"/>
        <v>0</v>
      </c>
      <c r="X50" s="50">
        <f t="shared" si="19"/>
        <v>0</v>
      </c>
      <c r="Y50" s="73">
        <f t="shared" si="6"/>
        <v>749400</v>
      </c>
    </row>
    <row r="51" spans="1:25" x14ac:dyDescent="0.2">
      <c r="A51" s="55">
        <v>46070</v>
      </c>
      <c r="B51" s="48"/>
      <c r="C51" s="49"/>
      <c r="D51" s="49"/>
      <c r="E51" s="50"/>
      <c r="F51" s="48">
        <f t="shared" si="8"/>
        <v>42123</v>
      </c>
      <c r="G51" s="49">
        <f t="shared" si="9"/>
        <v>69725</v>
      </c>
      <c r="H51" s="49">
        <v>0</v>
      </c>
      <c r="I51" s="50">
        <v>14417</v>
      </c>
      <c r="J51" s="48">
        <f>J50+B51-SUMIFS(рапорт!$O:$O,рапорт!$A:$A,A51)-SUMIFS(рапорт!$U:$U,рапорт!$A:$A,A51)/4</f>
        <v>11043</v>
      </c>
      <c r="K51" s="49">
        <f>K50+C51-SUMIFS(рапорт!$P:$P,рапорт!$A:$A,A51)-SUMIFS(рапорт!$U:$U,рапорт!$A:$A,A51)/4</f>
        <v>69725</v>
      </c>
      <c r="L51" s="49">
        <f>L50+D51-SUMIFS(рапорт!$Q:$Q,рапорт!$A:$A,A51)-SUMIFS(рапорт!$U:$U,рапорт!$A:$A,A51)/4</f>
        <v>0</v>
      </c>
      <c r="M51" s="50">
        <f>M50+E51-SUMIFS(рапорт!$R:$R,рапорт!$A:$A,A51)-SUMIFS(рапорт!$U:$U,рапорт!$A:$A,A51)/4</f>
        <v>14417</v>
      </c>
      <c r="O51" s="55">
        <v>46070</v>
      </c>
      <c r="P51" s="48"/>
      <c r="Q51" s="49"/>
      <c r="R51" s="49"/>
      <c r="S51" s="50"/>
      <c r="T51" s="60">
        <f t="shared" si="5"/>
        <v>0</v>
      </c>
      <c r="U51" s="48">
        <f t="shared" ref="U51:U113" si="20">U50</f>
        <v>749400</v>
      </c>
      <c r="V51" s="49">
        <f t="shared" ref="V51:X51" si="21">V50</f>
        <v>0</v>
      </c>
      <c r="W51" s="49">
        <f t="shared" si="21"/>
        <v>0</v>
      </c>
      <c r="X51" s="50">
        <f t="shared" si="21"/>
        <v>0</v>
      </c>
      <c r="Y51" s="73">
        <f t="shared" si="6"/>
        <v>749400</v>
      </c>
    </row>
    <row r="52" spans="1:25" x14ac:dyDescent="0.2">
      <c r="A52" s="55">
        <v>46071</v>
      </c>
      <c r="B52" s="48">
        <v>77520</v>
      </c>
      <c r="C52" s="49">
        <v>38320</v>
      </c>
      <c r="D52" s="49"/>
      <c r="E52" s="50"/>
      <c r="F52" s="48">
        <f t="shared" si="8"/>
        <v>42123</v>
      </c>
      <c r="G52" s="49">
        <f t="shared" si="9"/>
        <v>69725</v>
      </c>
      <c r="H52" s="49">
        <v>0</v>
      </c>
      <c r="I52" s="50">
        <v>14417</v>
      </c>
      <c r="J52" s="48">
        <f>J51+B52-SUMIFS(рапорт!$O:$O,рапорт!$A:$A,A52)-SUMIFS(рапорт!$U:$U,рапорт!$A:$A,A52)/4</f>
        <v>75140</v>
      </c>
      <c r="K52" s="49">
        <f>K51+C52-SUMIFS(рапорт!$P:$P,рапорт!$A:$A,A52)-SUMIFS(рапорт!$U:$U,рапорт!$A:$A,A52)/4</f>
        <v>94709</v>
      </c>
      <c r="L52" s="49">
        <f>L51+D52-SUMIFS(рапорт!$Q:$Q,рапорт!$A:$A,A52)-SUMIFS(рапорт!$U:$U,рапорт!$A:$A,A52)/4</f>
        <v>0</v>
      </c>
      <c r="M52" s="50">
        <f>M51+E52-SUMIFS(рапорт!$R:$R,рапорт!$A:$A,A52)-SUMIFS(рапорт!$U:$U,рапорт!$A:$A,A52)/4</f>
        <v>14417</v>
      </c>
      <c r="O52" s="55">
        <v>46071</v>
      </c>
      <c r="P52" s="48"/>
      <c r="Q52" s="49"/>
      <c r="R52" s="49"/>
      <c r="S52" s="50"/>
      <c r="T52" s="60">
        <f t="shared" si="5"/>
        <v>0</v>
      </c>
      <c r="U52" s="48">
        <f t="shared" si="20"/>
        <v>749400</v>
      </c>
      <c r="V52" s="49">
        <f t="shared" ref="V52:X67" si="22">V51</f>
        <v>0</v>
      </c>
      <c r="W52" s="49">
        <f t="shared" si="22"/>
        <v>0</v>
      </c>
      <c r="X52" s="50">
        <f t="shared" si="22"/>
        <v>0</v>
      </c>
      <c r="Y52" s="73">
        <f t="shared" si="6"/>
        <v>749400</v>
      </c>
    </row>
    <row r="53" spans="1:25" x14ac:dyDescent="0.2">
      <c r="A53" s="55">
        <v>46072</v>
      </c>
      <c r="B53" s="48"/>
      <c r="C53" s="49"/>
      <c r="D53" s="49"/>
      <c r="E53" s="50"/>
      <c r="F53" s="48">
        <f t="shared" ref="F53:F63" si="23">F52</f>
        <v>42123</v>
      </c>
      <c r="G53" s="49">
        <f t="shared" ref="G53:G63" si="24">G52</f>
        <v>69725</v>
      </c>
      <c r="H53" s="49">
        <f t="shared" ref="H53:H63" si="25">H52</f>
        <v>0</v>
      </c>
      <c r="I53" s="50">
        <v>14417</v>
      </c>
      <c r="J53" s="48">
        <f>J52+B53-SUMIFS(рапорт!$O:$O,рапорт!$A:$A,A53)-SUMIFS(рапорт!$U:$U,рапорт!$A:$A,A53)/4</f>
        <v>43307</v>
      </c>
      <c r="K53" s="49">
        <f>K52+C53-SUMIFS(рапорт!$P:$P,рапорт!$A:$A,A53)-SUMIFS(рапорт!$U:$U,рапорт!$A:$A,A53)/4</f>
        <v>85523</v>
      </c>
      <c r="L53" s="49">
        <f>L52+D53-SUMIFS(рапорт!$Q:$Q,рапорт!$A:$A,A53)-SUMIFS(рапорт!$U:$U,рапорт!$A:$A,A53)/4</f>
        <v>0</v>
      </c>
      <c r="M53" s="50">
        <f>M52+E53-SUMIFS(рапорт!$R:$R,рапорт!$A:$A,A53)-SUMIFS(рапорт!$U:$U,рапорт!$A:$A,A53)/4</f>
        <v>14417</v>
      </c>
      <c r="O53" s="55">
        <v>46072</v>
      </c>
      <c r="P53" s="48"/>
      <c r="Q53" s="49"/>
      <c r="R53" s="49"/>
      <c r="S53" s="50"/>
      <c r="T53" s="60">
        <f t="shared" si="5"/>
        <v>0</v>
      </c>
      <c r="U53" s="48">
        <f t="shared" si="20"/>
        <v>749400</v>
      </c>
      <c r="V53" s="49">
        <f t="shared" si="22"/>
        <v>0</v>
      </c>
      <c r="W53" s="49">
        <f t="shared" si="22"/>
        <v>0</v>
      </c>
      <c r="X53" s="50">
        <f t="shared" si="22"/>
        <v>0</v>
      </c>
      <c r="Y53" s="73">
        <f t="shared" si="6"/>
        <v>749400</v>
      </c>
    </row>
    <row r="54" spans="1:25" x14ac:dyDescent="0.2">
      <c r="A54" s="55">
        <v>46073</v>
      </c>
      <c r="B54" s="48">
        <v>57040</v>
      </c>
      <c r="C54" s="49">
        <v>38490</v>
      </c>
      <c r="D54" s="49"/>
      <c r="E54" s="50"/>
      <c r="F54" s="48">
        <f t="shared" si="23"/>
        <v>42123</v>
      </c>
      <c r="G54" s="49">
        <f t="shared" si="24"/>
        <v>69725</v>
      </c>
      <c r="H54" s="49">
        <f t="shared" si="25"/>
        <v>0</v>
      </c>
      <c r="I54" s="50">
        <v>14417</v>
      </c>
      <c r="J54" s="48">
        <f>J53+B54-SUMIFS(рапорт!$O:$O,рапорт!$A:$A,A54)-SUMIFS(рапорт!$U:$U,рапорт!$A:$A,A54)/4</f>
        <v>78357</v>
      </c>
      <c r="K54" s="49">
        <f>K53+C54-SUMIFS(рапорт!$P:$P,рапорт!$A:$A,A54)-SUMIFS(рапорт!$U:$U,рапорт!$A:$A,A54)/4</f>
        <v>102594</v>
      </c>
      <c r="L54" s="49">
        <f>L53+D54-SUMIFS(рапорт!$Q:$Q,рапорт!$A:$A,A54)-SUMIFS(рапорт!$U:$U,рапорт!$A:$A,A54)/4</f>
        <v>0</v>
      </c>
      <c r="M54" s="50">
        <f>M53+E54-SUMIFS(рапорт!$R:$R,рапорт!$A:$A,A54)-SUMIFS(рапорт!$U:$U,рапорт!$A:$A,A54)/4</f>
        <v>14417</v>
      </c>
      <c r="O54" s="55">
        <v>46073</v>
      </c>
      <c r="P54" s="48"/>
      <c r="Q54" s="49"/>
      <c r="R54" s="49"/>
      <c r="S54" s="50"/>
      <c r="T54" s="60">
        <f t="shared" si="5"/>
        <v>0</v>
      </c>
      <c r="U54" s="48">
        <f t="shared" si="20"/>
        <v>749400</v>
      </c>
      <c r="V54" s="49">
        <f t="shared" si="22"/>
        <v>0</v>
      </c>
      <c r="W54" s="49">
        <f t="shared" si="22"/>
        <v>0</v>
      </c>
      <c r="X54" s="50">
        <f t="shared" si="22"/>
        <v>0</v>
      </c>
      <c r="Y54" s="73">
        <f t="shared" si="6"/>
        <v>749400</v>
      </c>
    </row>
    <row r="55" spans="1:25" x14ac:dyDescent="0.2">
      <c r="A55" s="55">
        <v>46074</v>
      </c>
      <c r="B55" s="48"/>
      <c r="C55" s="49"/>
      <c r="D55" s="49"/>
      <c r="E55" s="50"/>
      <c r="F55" s="48">
        <f t="shared" si="23"/>
        <v>42123</v>
      </c>
      <c r="G55" s="49">
        <f t="shared" si="24"/>
        <v>69725</v>
      </c>
      <c r="H55" s="49">
        <f t="shared" si="25"/>
        <v>0</v>
      </c>
      <c r="I55" s="50">
        <v>14417</v>
      </c>
      <c r="J55" s="48">
        <f>J54+B55-SUMIFS(рапорт!$O:$O,рапорт!$A:$A,A55)-SUMIFS(рапорт!$U:$U,рапорт!$A:$A,A55)/4</f>
        <v>53906</v>
      </c>
      <c r="K55" s="49">
        <f>K54+C55-SUMIFS(рапорт!$P:$P,рапорт!$A:$A,A55)-SUMIFS(рапорт!$U:$U,рапорт!$A:$A,A55)/4</f>
        <v>79342</v>
      </c>
      <c r="L55" s="49">
        <f>L54+D55-SUMIFS(рапорт!$Q:$Q,рапорт!$A:$A,A55)-SUMIFS(рапорт!$U:$U,рапорт!$A:$A,A55)/4</f>
        <v>0</v>
      </c>
      <c r="M55" s="50">
        <f>M54+E55-SUMIFS(рапорт!$R:$R,рапорт!$A:$A,A55)-SUMIFS(рапорт!$U:$U,рапорт!$A:$A,A55)/4</f>
        <v>14417</v>
      </c>
      <c r="O55" s="55">
        <v>46074</v>
      </c>
      <c r="P55" s="48"/>
      <c r="Q55" s="49"/>
      <c r="R55" s="49"/>
      <c r="S55" s="50"/>
      <c r="T55" s="60">
        <f t="shared" si="5"/>
        <v>0</v>
      </c>
      <c r="U55" s="48">
        <f t="shared" si="20"/>
        <v>749400</v>
      </c>
      <c r="V55" s="49">
        <f t="shared" si="22"/>
        <v>0</v>
      </c>
      <c r="W55" s="49">
        <f t="shared" si="22"/>
        <v>0</v>
      </c>
      <c r="X55" s="50">
        <f t="shared" si="22"/>
        <v>0</v>
      </c>
      <c r="Y55" s="73">
        <f t="shared" si="6"/>
        <v>749400</v>
      </c>
    </row>
    <row r="56" spans="1:25" x14ac:dyDescent="0.2">
      <c r="A56" s="55">
        <v>46075</v>
      </c>
      <c r="B56" s="48"/>
      <c r="C56" s="49"/>
      <c r="D56" s="49"/>
      <c r="E56" s="50"/>
      <c r="F56" s="48">
        <f t="shared" si="23"/>
        <v>42123</v>
      </c>
      <c r="G56" s="49">
        <f t="shared" si="24"/>
        <v>69725</v>
      </c>
      <c r="H56" s="49">
        <f t="shared" si="25"/>
        <v>0</v>
      </c>
      <c r="I56" s="50">
        <v>14417</v>
      </c>
      <c r="J56" s="48">
        <f>J55+B56-SUMIFS(рапорт!$O:$O,рапорт!$A:$A,A56)-SUMIFS(рапорт!$U:$U,рапорт!$A:$A,A56)/4</f>
        <v>31319</v>
      </c>
      <c r="K56" s="49">
        <f>K55+C56-SUMIFS(рапорт!$P:$P,рапорт!$A:$A,A56)-SUMIFS(рапорт!$U:$U,рапорт!$A:$A,A56)/4</f>
        <v>57299</v>
      </c>
      <c r="L56" s="49">
        <f>L55+D56-SUMIFS(рапорт!$Q:$Q,рапорт!$A:$A,A56)-SUMIFS(рапорт!$U:$U,рапорт!$A:$A,A56)/4</f>
        <v>0</v>
      </c>
      <c r="M56" s="50">
        <f>M55+E56-SUMIFS(рапорт!$R:$R,рапорт!$A:$A,A56)-SUMIFS(рапорт!$U:$U,рапорт!$A:$A,A56)/4</f>
        <v>14417</v>
      </c>
      <c r="O56" s="55">
        <v>46075</v>
      </c>
      <c r="P56" s="48"/>
      <c r="Q56" s="49"/>
      <c r="R56" s="49"/>
      <c r="S56" s="50"/>
      <c r="T56" s="60">
        <f t="shared" si="5"/>
        <v>0</v>
      </c>
      <c r="U56" s="48">
        <f t="shared" si="20"/>
        <v>749400</v>
      </c>
      <c r="V56" s="49">
        <f t="shared" si="22"/>
        <v>0</v>
      </c>
      <c r="W56" s="49">
        <f t="shared" si="22"/>
        <v>0</v>
      </c>
      <c r="X56" s="50">
        <f t="shared" si="22"/>
        <v>0</v>
      </c>
      <c r="Y56" s="73">
        <f t="shared" si="6"/>
        <v>749400</v>
      </c>
    </row>
    <row r="57" spans="1:25" x14ac:dyDescent="0.2">
      <c r="A57" s="55">
        <v>46076</v>
      </c>
      <c r="B57" s="48">
        <v>38670</v>
      </c>
      <c r="C57" s="49">
        <v>27970</v>
      </c>
      <c r="D57" s="49"/>
      <c r="E57" s="50"/>
      <c r="F57" s="48">
        <f t="shared" si="23"/>
        <v>42123</v>
      </c>
      <c r="G57" s="49">
        <f t="shared" si="24"/>
        <v>69725</v>
      </c>
      <c r="H57" s="49">
        <f t="shared" si="25"/>
        <v>0</v>
      </c>
      <c r="I57" s="50">
        <v>14417</v>
      </c>
      <c r="J57" s="48">
        <f>J56+B57-SUMIFS(рапорт!$O:$O,рапорт!$A:$A,A57)-SUMIFS(рапорт!$U:$U,рапорт!$A:$A,A57)/4</f>
        <v>51815</v>
      </c>
      <c r="K57" s="49">
        <f>K56+C57-SUMIFS(рапорт!$P:$P,рапорт!$A:$A,A57)-SUMIFS(рапорт!$U:$U,рапорт!$A:$A,A57)/4</f>
        <v>68293</v>
      </c>
      <c r="L57" s="49">
        <f>L56+D57-SUMIFS(рапорт!$Q:$Q,рапорт!$A:$A,A57)-SUMIFS(рапорт!$U:$U,рапорт!$A:$A,A57)/4</f>
        <v>0</v>
      </c>
      <c r="M57" s="50">
        <f>M56+E57-SUMIFS(рапорт!$R:$R,рапорт!$A:$A,A57)-SUMIFS(рапорт!$U:$U,рапорт!$A:$A,A57)/4</f>
        <v>14417</v>
      </c>
      <c r="O57" s="55">
        <v>46076</v>
      </c>
      <c r="P57" s="48"/>
      <c r="Q57" s="49"/>
      <c r="R57" s="49"/>
      <c r="S57" s="50"/>
      <c r="T57" s="60">
        <f t="shared" si="5"/>
        <v>0</v>
      </c>
      <c r="U57" s="48">
        <f t="shared" si="20"/>
        <v>749400</v>
      </c>
      <c r="V57" s="49">
        <f t="shared" si="22"/>
        <v>0</v>
      </c>
      <c r="W57" s="49">
        <f t="shared" si="22"/>
        <v>0</v>
      </c>
      <c r="X57" s="50">
        <f t="shared" si="22"/>
        <v>0</v>
      </c>
      <c r="Y57" s="73">
        <f t="shared" si="6"/>
        <v>749400</v>
      </c>
    </row>
    <row r="58" spans="1:25" x14ac:dyDescent="0.2">
      <c r="A58" s="55">
        <v>46077</v>
      </c>
      <c r="B58" s="48"/>
      <c r="C58" s="49"/>
      <c r="D58" s="49"/>
      <c r="E58" s="50"/>
      <c r="F58" s="48">
        <f t="shared" si="23"/>
        <v>42123</v>
      </c>
      <c r="G58" s="49">
        <f t="shared" si="24"/>
        <v>69725</v>
      </c>
      <c r="H58" s="49">
        <f t="shared" si="25"/>
        <v>0</v>
      </c>
      <c r="I58" s="50">
        <v>14417</v>
      </c>
      <c r="J58" s="48">
        <f>J57+B58-SUMIFS(рапорт!$O:$O,рапорт!$A:$A,A58)-SUMIFS(рапорт!$U:$U,рапорт!$A:$A,A58)/4</f>
        <v>32564</v>
      </c>
      <c r="K58" s="49">
        <f>K57+C58-SUMIFS(рапорт!$P:$P,рапорт!$A:$A,A58)-SUMIFS(рапорт!$U:$U,рапорт!$A:$A,A58)/4</f>
        <v>49693</v>
      </c>
      <c r="L58" s="49">
        <f>L57+D58-SUMIFS(рапорт!$Q:$Q,рапорт!$A:$A,A58)-SUMIFS(рапорт!$U:$U,рапорт!$A:$A,A58)/4</f>
        <v>0</v>
      </c>
      <c r="M58" s="50">
        <f>M57+E58-SUMIFS(рапорт!$R:$R,рапорт!$A:$A,A58)-SUMIFS(рапорт!$U:$U,рапорт!$A:$A,A58)/4</f>
        <v>14417</v>
      </c>
      <c r="O58" s="55">
        <v>46077</v>
      </c>
      <c r="P58" s="48"/>
      <c r="Q58" s="49"/>
      <c r="R58" s="49"/>
      <c r="S58" s="50"/>
      <c r="T58" s="60">
        <f t="shared" si="5"/>
        <v>0</v>
      </c>
      <c r="U58" s="48">
        <f t="shared" si="20"/>
        <v>749400</v>
      </c>
      <c r="V58" s="49">
        <f t="shared" si="22"/>
        <v>0</v>
      </c>
      <c r="W58" s="49">
        <f t="shared" si="22"/>
        <v>0</v>
      </c>
      <c r="X58" s="50">
        <f t="shared" si="22"/>
        <v>0</v>
      </c>
      <c r="Y58" s="73">
        <f t="shared" si="6"/>
        <v>749400</v>
      </c>
    </row>
    <row r="59" spans="1:25" x14ac:dyDescent="0.2">
      <c r="A59" s="55">
        <v>46078</v>
      </c>
      <c r="B59" s="48">
        <v>38690</v>
      </c>
      <c r="C59" s="49">
        <v>39900</v>
      </c>
      <c r="D59" s="49"/>
      <c r="E59" s="50"/>
      <c r="F59" s="48">
        <f t="shared" si="23"/>
        <v>42123</v>
      </c>
      <c r="G59" s="49">
        <f t="shared" si="24"/>
        <v>69725</v>
      </c>
      <c r="H59" s="49">
        <f t="shared" si="25"/>
        <v>0</v>
      </c>
      <c r="I59" s="50">
        <f t="shared" ref="I59:I63" si="26">I58</f>
        <v>14417</v>
      </c>
      <c r="J59" s="48">
        <f>J58+B59-SUMIFS(рапорт!$O:$O,рапорт!$A:$A,A59)-SUMIFS(рапорт!$U:$U,рапорт!$A:$A,A59)/4</f>
        <v>57787</v>
      </c>
      <c r="K59" s="49">
        <f>K58+C59-SUMIFS(рапорт!$P:$P,рапорт!$A:$A,A59)-SUMIFS(рапорт!$U:$U,рапорт!$A:$A,A59)/4</f>
        <v>85136</v>
      </c>
      <c r="L59" s="49">
        <f>L58+D59-SUMIFS(рапорт!$Q:$Q,рапорт!$A:$A,A59)-SUMIFS(рапорт!$U:$U,рапорт!$A:$A,A59)/4</f>
        <v>0</v>
      </c>
      <c r="M59" s="50">
        <f>M58+E59-SUMIFS(рапорт!$R:$R,рапорт!$A:$A,A59)-SUMIFS(рапорт!$U:$U,рапорт!$A:$A,A59)/4</f>
        <v>14417</v>
      </c>
      <c r="O59" s="55">
        <v>46078</v>
      </c>
      <c r="P59" s="48"/>
      <c r="Q59" s="49"/>
      <c r="R59" s="49"/>
      <c r="S59" s="50"/>
      <c r="T59" s="60">
        <f t="shared" si="5"/>
        <v>0</v>
      </c>
      <c r="U59" s="48">
        <f t="shared" si="20"/>
        <v>749400</v>
      </c>
      <c r="V59" s="49">
        <f t="shared" si="22"/>
        <v>0</v>
      </c>
      <c r="W59" s="49">
        <f t="shared" si="22"/>
        <v>0</v>
      </c>
      <c r="X59" s="50">
        <f t="shared" si="22"/>
        <v>0</v>
      </c>
      <c r="Y59" s="73">
        <f t="shared" si="6"/>
        <v>749400</v>
      </c>
    </row>
    <row r="60" spans="1:25" x14ac:dyDescent="0.2">
      <c r="A60" s="55">
        <v>46079</v>
      </c>
      <c r="B60" s="48">
        <v>79440</v>
      </c>
      <c r="C60" s="49"/>
      <c r="D60" s="49"/>
      <c r="E60" s="50"/>
      <c r="F60" s="48">
        <f t="shared" si="23"/>
        <v>42123</v>
      </c>
      <c r="G60" s="49">
        <f t="shared" si="24"/>
        <v>69725</v>
      </c>
      <c r="H60" s="49">
        <f t="shared" si="25"/>
        <v>0</v>
      </c>
      <c r="I60" s="50">
        <f t="shared" si="26"/>
        <v>14417</v>
      </c>
      <c r="J60" s="48">
        <f>J59+B60-SUMIFS(рапорт!$O:$O,рапорт!$A:$A,A60)-SUMIFS(рапорт!$U:$U,рапорт!$A:$A,A60)/4</f>
        <v>119736</v>
      </c>
      <c r="K60" s="49">
        <f>K59+C60-SUMIFS(рапорт!$P:$P,рапорт!$A:$A,A60)-SUMIFS(рапорт!$U:$U,рапорт!$A:$A,A60)/4</f>
        <v>68299</v>
      </c>
      <c r="L60" s="49">
        <f>L59+D60-SUMIFS(рапорт!$Q:$Q,рапорт!$A:$A,A60)-SUMIFS(рапорт!$U:$U,рапорт!$A:$A,A60)/4</f>
        <v>0</v>
      </c>
      <c r="M60" s="50">
        <f>M59+E60-SUMIFS(рапорт!$R:$R,рапорт!$A:$A,A60)-SUMIFS(рапорт!$U:$U,рапорт!$A:$A,A60)/4</f>
        <v>14417</v>
      </c>
      <c r="O60" s="55">
        <v>46079</v>
      </c>
      <c r="P60" s="48"/>
      <c r="Q60" s="49"/>
      <c r="R60" s="49"/>
      <c r="S60" s="50"/>
      <c r="T60" s="60">
        <f t="shared" si="5"/>
        <v>0</v>
      </c>
      <c r="U60" s="48">
        <f t="shared" si="20"/>
        <v>749400</v>
      </c>
      <c r="V60" s="49">
        <f t="shared" si="22"/>
        <v>0</v>
      </c>
      <c r="W60" s="49">
        <f t="shared" si="22"/>
        <v>0</v>
      </c>
      <c r="X60" s="50">
        <f t="shared" si="22"/>
        <v>0</v>
      </c>
      <c r="Y60" s="73">
        <f t="shared" si="6"/>
        <v>749400</v>
      </c>
    </row>
    <row r="61" spans="1:25" x14ac:dyDescent="0.2">
      <c r="A61" s="55">
        <v>46080</v>
      </c>
      <c r="B61" s="48">
        <v>41200</v>
      </c>
      <c r="C61" s="49">
        <v>41100</v>
      </c>
      <c r="D61" s="49"/>
      <c r="E61" s="50"/>
      <c r="F61" s="48">
        <f t="shared" si="23"/>
        <v>42123</v>
      </c>
      <c r="G61" s="49">
        <f t="shared" si="24"/>
        <v>69725</v>
      </c>
      <c r="H61" s="49">
        <f t="shared" si="25"/>
        <v>0</v>
      </c>
      <c r="I61" s="50">
        <f t="shared" si="26"/>
        <v>14417</v>
      </c>
      <c r="J61" s="48">
        <f>J60+B61-SUMIFS(рапорт!$O:$O,рапорт!$A:$A,A61)-SUMIFS(рапорт!$U:$U,рапорт!$A:$A,A61)/4</f>
        <v>150052</v>
      </c>
      <c r="K61" s="49">
        <f>K60+C61-SUMIFS(рапорт!$P:$P,рапорт!$A:$A,A61)-SUMIFS(рапорт!$U:$U,рапорт!$A:$A,A61)/4</f>
        <v>88372</v>
      </c>
      <c r="L61" s="49">
        <f>L60+D61-SUMIFS(рапорт!$Q:$Q,рапорт!$A:$A,A61)-SUMIFS(рапорт!$U:$U,рапорт!$A:$A,A61)/4</f>
        <v>0</v>
      </c>
      <c r="M61" s="50">
        <f>M60+E61-SUMIFS(рапорт!$R:$R,рапорт!$A:$A,A61)-SUMIFS(рапорт!$U:$U,рапорт!$A:$A,A61)/4</f>
        <v>14417</v>
      </c>
      <c r="O61" s="55">
        <v>46080</v>
      </c>
      <c r="P61" s="48"/>
      <c r="Q61" s="49"/>
      <c r="R61" s="49"/>
      <c r="S61" s="50"/>
      <c r="T61" s="60">
        <f t="shared" si="5"/>
        <v>0</v>
      </c>
      <c r="U61" s="48">
        <f t="shared" si="20"/>
        <v>749400</v>
      </c>
      <c r="V61" s="49">
        <f t="shared" si="22"/>
        <v>0</v>
      </c>
      <c r="W61" s="49">
        <f t="shared" si="22"/>
        <v>0</v>
      </c>
      <c r="X61" s="50">
        <f t="shared" si="22"/>
        <v>0</v>
      </c>
      <c r="Y61" s="73">
        <f t="shared" si="6"/>
        <v>749400</v>
      </c>
    </row>
    <row r="62" spans="1:25" x14ac:dyDescent="0.2">
      <c r="A62" s="55">
        <v>46081</v>
      </c>
      <c r="B62" s="48"/>
      <c r="C62" s="49"/>
      <c r="D62" s="49"/>
      <c r="E62" s="50"/>
      <c r="F62" s="48">
        <f t="shared" si="23"/>
        <v>42123</v>
      </c>
      <c r="G62" s="49">
        <f t="shared" si="24"/>
        <v>69725</v>
      </c>
      <c r="H62" s="49">
        <f t="shared" si="25"/>
        <v>0</v>
      </c>
      <c r="I62" s="50">
        <f t="shared" si="26"/>
        <v>14417</v>
      </c>
      <c r="J62" s="48">
        <f>J61+B62-SUMIFS(рапорт!$O:$O,рапорт!$A:$A,A62)-SUMIFS(рапорт!$U:$U,рапорт!$A:$A,A62)/4</f>
        <v>132110</v>
      </c>
      <c r="K62" s="49">
        <f>K61+C62-SUMIFS(рапорт!$P:$P,рапорт!$A:$A,A62)-SUMIFS(рапорт!$U:$U,рапорт!$A:$A,A62)/4</f>
        <v>69765</v>
      </c>
      <c r="L62" s="49">
        <f>L61+D62-SUMIFS(рапорт!$Q:$Q,рапорт!$A:$A,A62)-SUMIFS(рапорт!$U:$U,рапорт!$A:$A,A62)/4</f>
        <v>0</v>
      </c>
      <c r="M62" s="50">
        <f>M61+E62-SUMIFS(рапорт!$R:$R,рапорт!$A:$A,A62)-SUMIFS(рапорт!$U:$U,рапорт!$A:$A,A62)/4</f>
        <v>14417</v>
      </c>
      <c r="O62" s="55">
        <v>46081</v>
      </c>
      <c r="P62" s="48"/>
      <c r="Q62" s="49"/>
      <c r="R62" s="49"/>
      <c r="S62" s="50"/>
      <c r="T62" s="60">
        <f t="shared" si="5"/>
        <v>0</v>
      </c>
      <c r="U62" s="48">
        <f t="shared" si="20"/>
        <v>749400</v>
      </c>
      <c r="V62" s="49">
        <f t="shared" si="22"/>
        <v>0</v>
      </c>
      <c r="W62" s="49">
        <f t="shared" si="22"/>
        <v>0</v>
      </c>
      <c r="X62" s="50">
        <f t="shared" si="22"/>
        <v>0</v>
      </c>
      <c r="Y62" s="73">
        <f t="shared" si="6"/>
        <v>749400</v>
      </c>
    </row>
    <row r="63" spans="1:25" x14ac:dyDescent="0.2">
      <c r="A63" s="55">
        <v>46082</v>
      </c>
      <c r="B63" s="48"/>
      <c r="C63" s="49"/>
      <c r="D63" s="49"/>
      <c r="E63" s="50"/>
      <c r="F63" s="48">
        <f t="shared" si="23"/>
        <v>42123</v>
      </c>
      <c r="G63" s="49">
        <f t="shared" si="24"/>
        <v>69725</v>
      </c>
      <c r="H63" s="49">
        <f t="shared" si="25"/>
        <v>0</v>
      </c>
      <c r="I63" s="50">
        <f t="shared" si="26"/>
        <v>14417</v>
      </c>
      <c r="J63" s="48">
        <f>J62+B63-SUMIFS(рапорт!$O:$O,рапорт!$A:$A,A63)-SUMIFS(рапорт!$U:$U,рапорт!$A:$A,A63)/4</f>
        <v>111567</v>
      </c>
      <c r="K63" s="49">
        <f>K62+C63-SUMIFS(рапорт!$P:$P,рапорт!$A:$A,A63)-SUMIFS(рапорт!$U:$U,рапорт!$A:$A,A63)/4</f>
        <v>44747</v>
      </c>
      <c r="L63" s="49">
        <f>L62+D63-SUMIFS(рапорт!$Q:$Q,рапорт!$A:$A,A63)-SUMIFS(рапорт!$U:$U,рапорт!$A:$A,A63)/4</f>
        <v>0</v>
      </c>
      <c r="M63" s="50">
        <f>M62+E63-SUMIFS(рапорт!$R:$R,рапорт!$A:$A,A63)-SUMIFS(рапорт!$U:$U,рапорт!$A:$A,A63)/4</f>
        <v>14417</v>
      </c>
      <c r="O63" s="55">
        <v>46082</v>
      </c>
      <c r="P63" s="48"/>
      <c r="Q63" s="49"/>
      <c r="R63" s="49"/>
      <c r="S63" s="50"/>
      <c r="T63" s="60">
        <f t="shared" si="5"/>
        <v>0</v>
      </c>
      <c r="U63" s="48">
        <f t="shared" si="20"/>
        <v>749400</v>
      </c>
      <c r="V63" s="49">
        <f t="shared" si="22"/>
        <v>0</v>
      </c>
      <c r="W63" s="49">
        <f t="shared" si="22"/>
        <v>0</v>
      </c>
      <c r="X63" s="50">
        <f t="shared" si="22"/>
        <v>0</v>
      </c>
      <c r="Y63" s="73">
        <f t="shared" si="6"/>
        <v>749400</v>
      </c>
    </row>
    <row r="64" spans="1:25" x14ac:dyDescent="0.2">
      <c r="A64" s="55">
        <v>46083</v>
      </c>
      <c r="B64" s="48">
        <v>40900</v>
      </c>
      <c r="C64" s="49">
        <v>37890</v>
      </c>
      <c r="D64" s="49"/>
      <c r="E64" s="50"/>
      <c r="F64" s="48">
        <f t="shared" ref="F64:F127" si="27">F63</f>
        <v>42123</v>
      </c>
      <c r="G64" s="49">
        <f t="shared" ref="G64:G127" si="28">G63</f>
        <v>69725</v>
      </c>
      <c r="H64" s="49">
        <f t="shared" ref="H64:H127" si="29">H63</f>
        <v>0</v>
      </c>
      <c r="I64" s="50">
        <f t="shared" ref="I64:I127" si="30">I63</f>
        <v>14417</v>
      </c>
      <c r="J64" s="48">
        <f>J63+B64-SUMIFS(рапорт!$O:$O,рапорт!$A:$A,A64)-SUMIFS(рапорт!$U:$U,рапорт!$A:$A,A64)/4</f>
        <v>144130</v>
      </c>
      <c r="K64" s="49">
        <f>K63+C64-SUMIFS(рапорт!$P:$P,рапорт!$A:$A,A64)-SUMIFS(рапорт!$U:$U,рапорт!$A:$A,A64)/4</f>
        <v>71741</v>
      </c>
      <c r="L64" s="49">
        <f>L63+D64-SUMIFS(рапорт!$Q:$Q,рапорт!$A:$A,A64)-SUMIFS(рапорт!$U:$U,рапорт!$A:$A,A64)/4</f>
        <v>0</v>
      </c>
      <c r="M64" s="50">
        <f>M63+E64-SUMIFS(рапорт!$R:$R,рапорт!$A:$A,A64)-SUMIFS(рапорт!$U:$U,рапорт!$A:$A,A64)/4</f>
        <v>14417</v>
      </c>
      <c r="O64" s="55">
        <v>46083</v>
      </c>
      <c r="P64" s="48"/>
      <c r="Q64" s="49"/>
      <c r="R64" s="49"/>
      <c r="S64" s="50"/>
      <c r="T64" s="60">
        <f t="shared" si="5"/>
        <v>0</v>
      </c>
      <c r="U64" s="48">
        <f t="shared" si="20"/>
        <v>749400</v>
      </c>
      <c r="V64" s="49">
        <f t="shared" si="22"/>
        <v>0</v>
      </c>
      <c r="W64" s="49">
        <f t="shared" si="22"/>
        <v>0</v>
      </c>
      <c r="X64" s="50">
        <f t="shared" si="22"/>
        <v>0</v>
      </c>
      <c r="Y64" s="73">
        <f t="shared" si="6"/>
        <v>749400</v>
      </c>
    </row>
    <row r="65" spans="1:25" x14ac:dyDescent="0.2">
      <c r="A65" s="55">
        <v>46084</v>
      </c>
      <c r="B65" s="48"/>
      <c r="C65" s="49"/>
      <c r="D65" s="49"/>
      <c r="E65" s="50"/>
      <c r="F65" s="48">
        <f t="shared" si="27"/>
        <v>42123</v>
      </c>
      <c r="G65" s="49">
        <f t="shared" si="28"/>
        <v>69725</v>
      </c>
      <c r="H65" s="49">
        <f t="shared" si="29"/>
        <v>0</v>
      </c>
      <c r="I65" s="50">
        <f t="shared" si="30"/>
        <v>14417</v>
      </c>
      <c r="J65" s="48">
        <f>J64+B65-SUMIFS(рапорт!$O:$O,рапорт!$A:$A,A65)-SUMIFS(рапорт!$U:$U,рапорт!$A:$A,A65)/4</f>
        <v>135816</v>
      </c>
      <c r="K65" s="49">
        <f>K64+C65-SUMIFS(рапорт!$P:$P,рапорт!$A:$A,A65)-SUMIFS(рапорт!$U:$U,рапорт!$A:$A,A65)/4</f>
        <v>60813</v>
      </c>
      <c r="L65" s="49">
        <f>L64+D65-SUMIFS(рапорт!$Q:$Q,рапорт!$A:$A,A65)-SUMIFS(рапорт!$U:$U,рапорт!$A:$A,A65)/4</f>
        <v>-160</v>
      </c>
      <c r="M65" s="50">
        <f>M64+E65-SUMIFS(рапорт!$R:$R,рапорт!$A:$A,A65)-SUMIFS(рапорт!$U:$U,рапорт!$A:$A,A65)/4</f>
        <v>14257</v>
      </c>
      <c r="O65" s="55">
        <v>46084</v>
      </c>
      <c r="P65" s="48"/>
      <c r="Q65" s="49"/>
      <c r="R65" s="49"/>
      <c r="S65" s="50"/>
      <c r="T65" s="60">
        <f t="shared" si="5"/>
        <v>0</v>
      </c>
      <c r="U65" s="48">
        <f t="shared" si="20"/>
        <v>749400</v>
      </c>
      <c r="V65" s="49">
        <f t="shared" si="22"/>
        <v>0</v>
      </c>
      <c r="W65" s="49">
        <f t="shared" si="22"/>
        <v>0</v>
      </c>
      <c r="X65" s="50">
        <f t="shared" si="22"/>
        <v>0</v>
      </c>
      <c r="Y65" s="73">
        <f t="shared" si="6"/>
        <v>749400</v>
      </c>
    </row>
    <row r="66" spans="1:25" x14ac:dyDescent="0.2">
      <c r="A66" s="55">
        <v>46085</v>
      </c>
      <c r="B66" s="48"/>
      <c r="C66" s="49"/>
      <c r="D66" s="49">
        <v>40160</v>
      </c>
      <c r="E66" s="50">
        <v>38320</v>
      </c>
      <c r="F66" s="48">
        <f t="shared" si="27"/>
        <v>42123</v>
      </c>
      <c r="G66" s="49">
        <f t="shared" si="28"/>
        <v>69725</v>
      </c>
      <c r="H66" s="49">
        <f t="shared" si="29"/>
        <v>0</v>
      </c>
      <c r="I66" s="50">
        <f t="shared" si="30"/>
        <v>14417</v>
      </c>
      <c r="J66" s="48">
        <f>J65+B66-SUMIFS(рапорт!$O:$O,рапорт!$A:$A,A66)-SUMIFS(рапорт!$U:$U,рапорт!$A:$A,A66)/4</f>
        <v>126864</v>
      </c>
      <c r="K66" s="49">
        <f>K65+C66-SUMIFS(рапорт!$P:$P,рапорт!$A:$A,A66)-SUMIFS(рапорт!$U:$U,рапорт!$A:$A,A66)/4</f>
        <v>49287</v>
      </c>
      <c r="L66" s="49">
        <f>L65+D66-SUMIFS(рапорт!$Q:$Q,рапорт!$A:$A,A66)-SUMIFS(рапорт!$U:$U,рапорт!$A:$A,A66)/4</f>
        <v>40000</v>
      </c>
      <c r="M66" s="50">
        <f>M65+E66-SUMIFS(рапорт!$R:$R,рапорт!$A:$A,A66)-SUMIFS(рапорт!$U:$U,рапорт!$A:$A,A66)/4</f>
        <v>52577</v>
      </c>
      <c r="O66" s="55">
        <v>46085</v>
      </c>
      <c r="P66" s="48"/>
      <c r="Q66" s="49"/>
      <c r="R66" s="49"/>
      <c r="S66" s="50"/>
      <c r="T66" s="60">
        <f t="shared" si="5"/>
        <v>0</v>
      </c>
      <c r="U66" s="48">
        <f t="shared" si="20"/>
        <v>749400</v>
      </c>
      <c r="V66" s="49">
        <f t="shared" si="22"/>
        <v>0</v>
      </c>
      <c r="W66" s="49">
        <f t="shared" si="22"/>
        <v>0</v>
      </c>
      <c r="X66" s="50">
        <f t="shared" si="22"/>
        <v>0</v>
      </c>
      <c r="Y66" s="73">
        <f t="shared" si="6"/>
        <v>749400</v>
      </c>
    </row>
    <row r="67" spans="1:25" x14ac:dyDescent="0.2">
      <c r="A67" s="55">
        <v>46086</v>
      </c>
      <c r="B67" s="48"/>
      <c r="C67" s="49"/>
      <c r="D67" s="49"/>
      <c r="E67" s="50"/>
      <c r="F67" s="48">
        <f t="shared" si="27"/>
        <v>42123</v>
      </c>
      <c r="G67" s="49">
        <f t="shared" si="28"/>
        <v>69725</v>
      </c>
      <c r="H67" s="49">
        <f t="shared" si="29"/>
        <v>0</v>
      </c>
      <c r="I67" s="50">
        <f t="shared" si="30"/>
        <v>14417</v>
      </c>
      <c r="J67" s="48">
        <f>J66+B67-SUMIFS(рапорт!$O:$O,рапорт!$A:$A,A67)-SUMIFS(рапорт!$U:$U,рапорт!$A:$A,A67)/4</f>
        <v>125585</v>
      </c>
      <c r="K67" s="49">
        <f>K66+C67-SUMIFS(рапорт!$P:$P,рапорт!$A:$A,A67)-SUMIFS(рапорт!$U:$U,рапорт!$A:$A,A67)/4</f>
        <v>43525</v>
      </c>
      <c r="L67" s="49">
        <f>L66+D67-SUMIFS(рапорт!$Q:$Q,рапорт!$A:$A,A67)-SUMIFS(рапорт!$U:$U,рапорт!$A:$A,A67)/4</f>
        <v>40000</v>
      </c>
      <c r="M67" s="50">
        <f>M66+E67-SUMIFS(рапорт!$R:$R,рапорт!$A:$A,A67)-SUMIFS(рапорт!$U:$U,рапорт!$A:$A,A67)/4</f>
        <v>52577</v>
      </c>
      <c r="O67" s="55">
        <v>46086</v>
      </c>
      <c r="P67" s="48"/>
      <c r="Q67" s="49"/>
      <c r="R67" s="49"/>
      <c r="S67" s="50"/>
      <c r="T67" s="60">
        <f t="shared" si="5"/>
        <v>0</v>
      </c>
      <c r="U67" s="48">
        <f t="shared" si="20"/>
        <v>749400</v>
      </c>
      <c r="V67" s="49">
        <f t="shared" si="22"/>
        <v>0</v>
      </c>
      <c r="W67" s="49">
        <f t="shared" si="22"/>
        <v>0</v>
      </c>
      <c r="X67" s="50">
        <f t="shared" si="22"/>
        <v>0</v>
      </c>
      <c r="Y67" s="73">
        <f t="shared" si="6"/>
        <v>749400</v>
      </c>
    </row>
    <row r="68" spans="1:25" x14ac:dyDescent="0.2">
      <c r="A68" s="55">
        <v>46087</v>
      </c>
      <c r="B68" s="48"/>
      <c r="C68" s="49">
        <v>38240</v>
      </c>
      <c r="D68" s="49">
        <v>39310</v>
      </c>
      <c r="E68" s="50">
        <v>38420</v>
      </c>
      <c r="F68" s="48">
        <f t="shared" si="27"/>
        <v>42123</v>
      </c>
      <c r="G68" s="49">
        <f t="shared" si="28"/>
        <v>69725</v>
      </c>
      <c r="H68" s="49">
        <f t="shared" si="29"/>
        <v>0</v>
      </c>
      <c r="I68" s="50">
        <f t="shared" si="30"/>
        <v>14417</v>
      </c>
      <c r="J68" s="48">
        <f>J67+B68-SUMIFS(рапорт!$O:$O,рапорт!$A:$A,A68)-SUMIFS(рапорт!$U:$U,рапорт!$A:$A,A68)/4</f>
        <v>98002</v>
      </c>
      <c r="K68" s="49">
        <f>K67+C68-SUMIFS(рапорт!$P:$P,рапорт!$A:$A,A68)-SUMIFS(рапорт!$U:$U,рапорт!$A:$A,A68)/4</f>
        <v>66112</v>
      </c>
      <c r="L68" s="49">
        <f>L67+D68-SUMIFS(рапорт!$Q:$Q,рапорт!$A:$A,A68)-SUMIFS(рапорт!$U:$U,рапорт!$A:$A,A68)/4</f>
        <v>79310</v>
      </c>
      <c r="M68" s="50">
        <f>M67+E68-SUMIFS(рапорт!$R:$R,рапорт!$A:$A,A68)-SUMIFS(рапорт!$U:$U,рапорт!$A:$A,A68)/4</f>
        <v>90997</v>
      </c>
      <c r="O68" s="55">
        <v>46087</v>
      </c>
      <c r="P68" s="48"/>
      <c r="Q68" s="49"/>
      <c r="R68" s="49"/>
      <c r="S68" s="50"/>
      <c r="T68" s="60">
        <f t="shared" si="5"/>
        <v>0</v>
      </c>
      <c r="U68" s="48">
        <f t="shared" si="20"/>
        <v>749400</v>
      </c>
      <c r="V68" s="49">
        <f t="shared" ref="V68:X83" si="31">V67</f>
        <v>0</v>
      </c>
      <c r="W68" s="49">
        <f t="shared" si="31"/>
        <v>0</v>
      </c>
      <c r="X68" s="50">
        <f t="shared" si="31"/>
        <v>0</v>
      </c>
      <c r="Y68" s="73">
        <f t="shared" si="6"/>
        <v>749400</v>
      </c>
    </row>
    <row r="69" spans="1:25" x14ac:dyDescent="0.2">
      <c r="A69" s="55">
        <v>46088</v>
      </c>
      <c r="B69" s="48"/>
      <c r="C69" s="49"/>
      <c r="D69" s="49"/>
      <c r="E69" s="50"/>
      <c r="F69" s="48">
        <f t="shared" si="27"/>
        <v>42123</v>
      </c>
      <c r="G69" s="49">
        <f t="shared" si="28"/>
        <v>69725</v>
      </c>
      <c r="H69" s="49">
        <f t="shared" si="29"/>
        <v>0</v>
      </c>
      <c r="I69" s="50">
        <f t="shared" si="30"/>
        <v>14417</v>
      </c>
      <c r="J69" s="48">
        <f>J68+B69-SUMIFS(рапорт!$O:$O,рапорт!$A:$A,A69)-SUMIFS(рапорт!$U:$U,рапорт!$A:$A,A69)/4</f>
        <v>98002</v>
      </c>
      <c r="K69" s="49">
        <f>K68+C69-SUMIFS(рапорт!$P:$P,рапорт!$A:$A,A69)-SUMIFS(рапорт!$U:$U,рапорт!$A:$A,A69)/4</f>
        <v>21834</v>
      </c>
      <c r="L69" s="49">
        <f>L68+D69-SUMIFS(рапорт!$Q:$Q,рапорт!$A:$A,A69)-SUMIFS(рапорт!$U:$U,рапорт!$A:$A,A69)/4</f>
        <v>79310</v>
      </c>
      <c r="M69" s="50">
        <f>M68+E69-SUMIFS(рапорт!$R:$R,рапорт!$A:$A,A69)-SUMIFS(рапорт!$U:$U,рапорт!$A:$A,A69)/4</f>
        <v>90997</v>
      </c>
      <c r="O69" s="55">
        <v>46088</v>
      </c>
      <c r="P69" s="48"/>
      <c r="Q69" s="49"/>
      <c r="R69" s="49"/>
      <c r="S69" s="50"/>
      <c r="T69" s="60">
        <f t="shared" ref="T69:T132" si="32">SUM(P69:S69)</f>
        <v>0</v>
      </c>
      <c r="U69" s="48">
        <f t="shared" si="20"/>
        <v>749400</v>
      </c>
      <c r="V69" s="49">
        <f t="shared" si="31"/>
        <v>0</v>
      </c>
      <c r="W69" s="49">
        <f t="shared" si="31"/>
        <v>0</v>
      </c>
      <c r="X69" s="50">
        <f t="shared" si="31"/>
        <v>0</v>
      </c>
      <c r="Y69" s="73">
        <f t="shared" ref="Y69:Y132" si="33">SUM(U69:X69)</f>
        <v>749400</v>
      </c>
    </row>
    <row r="70" spans="1:25" x14ac:dyDescent="0.2">
      <c r="A70" s="55">
        <v>46089</v>
      </c>
      <c r="B70" s="48"/>
      <c r="C70" s="49"/>
      <c r="D70" s="49"/>
      <c r="E70" s="50"/>
      <c r="F70" s="48">
        <f t="shared" si="27"/>
        <v>42123</v>
      </c>
      <c r="G70" s="49">
        <f t="shared" si="28"/>
        <v>69725</v>
      </c>
      <c r="H70" s="49">
        <f t="shared" si="29"/>
        <v>0</v>
      </c>
      <c r="I70" s="50">
        <f t="shared" si="30"/>
        <v>14417</v>
      </c>
      <c r="J70" s="48">
        <f>J69+B70-SUMIFS(рапорт!$O:$O,рапорт!$A:$A,A70)-SUMIFS(рапорт!$U:$U,рапорт!$A:$A,A70)/4</f>
        <v>67290</v>
      </c>
      <c r="K70" s="49">
        <f>K69+C70-SUMIFS(рапорт!$P:$P,рапорт!$A:$A,A70)-SUMIFS(рапорт!$U:$U,рапорт!$A:$A,A70)/4</f>
        <v>17984</v>
      </c>
      <c r="L70" s="49">
        <f>L69+D70-SUMIFS(рапорт!$Q:$Q,рапорт!$A:$A,A70)-SUMIFS(рапорт!$U:$U,рапорт!$A:$A,A70)/4</f>
        <v>79310</v>
      </c>
      <c r="M70" s="50">
        <f>M69+E70-SUMIFS(рапорт!$R:$R,рапорт!$A:$A,A70)-SUMIFS(рапорт!$U:$U,рапорт!$A:$A,A70)/4</f>
        <v>90997</v>
      </c>
      <c r="O70" s="55">
        <v>46089</v>
      </c>
      <c r="P70" s="48"/>
      <c r="Q70" s="49"/>
      <c r="R70" s="49"/>
      <c r="S70" s="50"/>
      <c r="T70" s="60">
        <f t="shared" si="32"/>
        <v>0</v>
      </c>
      <c r="U70" s="48">
        <f t="shared" si="20"/>
        <v>749400</v>
      </c>
      <c r="V70" s="49">
        <f t="shared" si="31"/>
        <v>0</v>
      </c>
      <c r="W70" s="49">
        <f t="shared" si="31"/>
        <v>0</v>
      </c>
      <c r="X70" s="50">
        <f t="shared" si="31"/>
        <v>0</v>
      </c>
      <c r="Y70" s="73">
        <f t="shared" si="33"/>
        <v>749400</v>
      </c>
    </row>
    <row r="71" spans="1:25" x14ac:dyDescent="0.2">
      <c r="A71" s="55">
        <v>46090</v>
      </c>
      <c r="B71" s="48"/>
      <c r="C71" s="49">
        <v>40740</v>
      </c>
      <c r="D71" s="49"/>
      <c r="E71" s="50"/>
      <c r="F71" s="48">
        <f t="shared" si="27"/>
        <v>42123</v>
      </c>
      <c r="G71" s="49">
        <f t="shared" si="28"/>
        <v>69725</v>
      </c>
      <c r="H71" s="49">
        <f t="shared" si="29"/>
        <v>0</v>
      </c>
      <c r="I71" s="50">
        <f t="shared" si="30"/>
        <v>14417</v>
      </c>
      <c r="J71" s="48">
        <f>J70+B71-SUMIFS(рапорт!$O:$O,рапорт!$A:$A,A71)-SUMIFS(рапорт!$U:$U,рапорт!$A:$A,A71)/4</f>
        <v>37828</v>
      </c>
      <c r="K71" s="49">
        <f>K70+C71-SUMIFS(рапорт!$P:$P,рапорт!$A:$A,A71)-SUMIFS(рапорт!$U:$U,рапорт!$A:$A,A71)/4</f>
        <v>58085</v>
      </c>
      <c r="L71" s="49">
        <f>L70+D71-SUMIFS(рапорт!$Q:$Q,рапорт!$A:$A,A71)-SUMIFS(рапорт!$U:$U,рапорт!$A:$A,A71)/4</f>
        <v>79310</v>
      </c>
      <c r="M71" s="50">
        <f>M70+E71-SUMIFS(рапорт!$R:$R,рапорт!$A:$A,A71)-SUMIFS(рапорт!$U:$U,рапорт!$A:$A,A71)/4</f>
        <v>90997</v>
      </c>
      <c r="O71" s="55">
        <v>46090</v>
      </c>
      <c r="P71" s="48"/>
      <c r="Q71" s="49"/>
      <c r="R71" s="49"/>
      <c r="S71" s="50"/>
      <c r="T71" s="60">
        <f t="shared" si="32"/>
        <v>0</v>
      </c>
      <c r="U71" s="48">
        <f t="shared" si="20"/>
        <v>749400</v>
      </c>
      <c r="V71" s="49">
        <f t="shared" si="31"/>
        <v>0</v>
      </c>
      <c r="W71" s="49">
        <f t="shared" si="31"/>
        <v>0</v>
      </c>
      <c r="X71" s="50">
        <f t="shared" si="31"/>
        <v>0</v>
      </c>
      <c r="Y71" s="73">
        <f t="shared" si="33"/>
        <v>749400</v>
      </c>
    </row>
    <row r="72" spans="1:25" x14ac:dyDescent="0.2">
      <c r="A72" s="55">
        <v>46091</v>
      </c>
      <c r="B72" s="48"/>
      <c r="C72" s="49"/>
      <c r="D72" s="49"/>
      <c r="E72" s="50"/>
      <c r="F72" s="48">
        <f t="shared" si="27"/>
        <v>42123</v>
      </c>
      <c r="G72" s="49">
        <f t="shared" si="28"/>
        <v>69725</v>
      </c>
      <c r="H72" s="49">
        <f t="shared" si="29"/>
        <v>0</v>
      </c>
      <c r="I72" s="50">
        <f t="shared" si="30"/>
        <v>14417</v>
      </c>
      <c r="J72" s="48">
        <f>J71+B72-SUMIFS(рапорт!$O:$O,рапорт!$A:$A,A72)-SUMIFS(рапорт!$U:$U,рапорт!$A:$A,A72)/4</f>
        <v>26298</v>
      </c>
      <c r="K72" s="49">
        <f>K71+C72-SUMIFS(рапорт!$P:$P,рапорт!$A:$A,A72)-SUMIFS(рапорт!$U:$U,рапорт!$A:$A,A72)/4</f>
        <v>58085</v>
      </c>
      <c r="L72" s="49">
        <f>L71+D72-SUMIFS(рапорт!$Q:$Q,рапорт!$A:$A,A72)-SUMIFS(рапорт!$U:$U,рапорт!$A:$A,A72)/4</f>
        <v>79310</v>
      </c>
      <c r="M72" s="50">
        <f>M71+E72-SUMIFS(рапорт!$R:$R,рапорт!$A:$A,A72)-SUMIFS(рапорт!$U:$U,рапорт!$A:$A,A72)/4</f>
        <v>90997</v>
      </c>
      <c r="O72" s="55">
        <v>46091</v>
      </c>
      <c r="P72" s="48"/>
      <c r="Q72" s="49"/>
      <c r="R72" s="49"/>
      <c r="S72" s="50"/>
      <c r="T72" s="60">
        <f t="shared" si="32"/>
        <v>0</v>
      </c>
      <c r="U72" s="48">
        <f t="shared" si="20"/>
        <v>749400</v>
      </c>
      <c r="V72" s="49">
        <f t="shared" si="31"/>
        <v>0</v>
      </c>
      <c r="W72" s="49">
        <f t="shared" si="31"/>
        <v>0</v>
      </c>
      <c r="X72" s="50">
        <f t="shared" si="31"/>
        <v>0</v>
      </c>
      <c r="Y72" s="73">
        <f t="shared" si="33"/>
        <v>749400</v>
      </c>
    </row>
    <row r="73" spans="1:25" x14ac:dyDescent="0.2">
      <c r="A73" s="55">
        <v>46092</v>
      </c>
      <c r="B73" s="48"/>
      <c r="C73" s="49"/>
      <c r="D73" s="49"/>
      <c r="E73" s="50"/>
      <c r="F73" s="48">
        <f t="shared" si="27"/>
        <v>42123</v>
      </c>
      <c r="G73" s="49">
        <f t="shared" si="28"/>
        <v>69725</v>
      </c>
      <c r="H73" s="49">
        <f t="shared" si="29"/>
        <v>0</v>
      </c>
      <c r="I73" s="50">
        <f t="shared" si="30"/>
        <v>14417</v>
      </c>
      <c r="J73" s="48">
        <f>J72+B73-SUMIFS(рапорт!$O:$O,рапорт!$A:$A,A73)-SUMIFS(рапорт!$U:$U,рапорт!$A:$A,A73)/4</f>
        <v>23737</v>
      </c>
      <c r="K73" s="49">
        <f>K72+C73-SUMIFS(рапорт!$P:$P,рапорт!$A:$A,A73)-SUMIFS(рапорт!$U:$U,рапорт!$A:$A,A73)/4</f>
        <v>45251</v>
      </c>
      <c r="L73" s="49">
        <f>L72+D73-SUMIFS(рапорт!$Q:$Q,рапорт!$A:$A,A73)-SUMIFS(рапорт!$U:$U,рапорт!$A:$A,A73)/4</f>
        <v>79310</v>
      </c>
      <c r="M73" s="50">
        <f>M72+E73-SUMIFS(рапорт!$R:$R,рапорт!$A:$A,A73)-SUMIFS(рапорт!$U:$U,рапорт!$A:$A,A73)/4</f>
        <v>90997</v>
      </c>
      <c r="O73" s="55">
        <v>46092</v>
      </c>
      <c r="P73" s="48"/>
      <c r="Q73" s="49"/>
      <c r="R73" s="49"/>
      <c r="S73" s="50"/>
      <c r="T73" s="60">
        <f t="shared" si="32"/>
        <v>0</v>
      </c>
      <c r="U73" s="48">
        <f t="shared" si="20"/>
        <v>749400</v>
      </c>
      <c r="V73" s="49">
        <f t="shared" si="31"/>
        <v>0</v>
      </c>
      <c r="W73" s="49">
        <f t="shared" si="31"/>
        <v>0</v>
      </c>
      <c r="X73" s="50">
        <f t="shared" si="31"/>
        <v>0</v>
      </c>
      <c r="Y73" s="73">
        <f t="shared" si="33"/>
        <v>749400</v>
      </c>
    </row>
    <row r="74" spans="1:25" x14ac:dyDescent="0.2">
      <c r="A74" s="55">
        <v>46093</v>
      </c>
      <c r="B74" s="48"/>
      <c r="C74" s="49"/>
      <c r="D74" s="49"/>
      <c r="E74" s="50"/>
      <c r="F74" s="48">
        <f t="shared" si="27"/>
        <v>42123</v>
      </c>
      <c r="G74" s="49">
        <f t="shared" si="28"/>
        <v>69725</v>
      </c>
      <c r="H74" s="49">
        <f t="shared" si="29"/>
        <v>0</v>
      </c>
      <c r="I74" s="50">
        <f t="shared" si="30"/>
        <v>14417</v>
      </c>
      <c r="J74" s="48">
        <f>J73+B74-SUMIFS(рапорт!$O:$O,рапорт!$A:$A,A74)-SUMIFS(рапорт!$U:$U,рапорт!$A:$A,A74)/4</f>
        <v>8406</v>
      </c>
      <c r="K74" s="49">
        <f>K73+C74-SUMIFS(рапорт!$P:$P,рапорт!$A:$A,A74)-SUMIFS(рапорт!$U:$U,рапорт!$A:$A,A74)/4</f>
        <v>45251</v>
      </c>
      <c r="L74" s="49">
        <f>L73+D74-SUMIFS(рапорт!$Q:$Q,рапорт!$A:$A,A74)-SUMIFS(рапорт!$U:$U,рапорт!$A:$A,A74)/4</f>
        <v>79310</v>
      </c>
      <c r="M74" s="50">
        <f>M73+E74-SUMIFS(рапорт!$R:$R,рапорт!$A:$A,A74)-SUMIFS(рапорт!$U:$U,рапорт!$A:$A,A74)/4</f>
        <v>90997</v>
      </c>
      <c r="O74" s="55">
        <v>46093</v>
      </c>
      <c r="P74" s="48"/>
      <c r="Q74" s="49"/>
      <c r="R74" s="49"/>
      <c r="S74" s="50"/>
      <c r="T74" s="60">
        <f t="shared" si="32"/>
        <v>0</v>
      </c>
      <c r="U74" s="48">
        <f t="shared" si="20"/>
        <v>749400</v>
      </c>
      <c r="V74" s="49">
        <f t="shared" si="31"/>
        <v>0</v>
      </c>
      <c r="W74" s="49">
        <f t="shared" si="31"/>
        <v>0</v>
      </c>
      <c r="X74" s="50">
        <f t="shared" si="31"/>
        <v>0</v>
      </c>
      <c r="Y74" s="73">
        <f t="shared" si="33"/>
        <v>749400</v>
      </c>
    </row>
    <row r="75" spans="1:25" x14ac:dyDescent="0.2">
      <c r="A75" s="55">
        <v>46094</v>
      </c>
      <c r="B75" s="48"/>
      <c r="C75" s="49"/>
      <c r="D75" s="49"/>
      <c r="E75" s="50"/>
      <c r="F75" s="48">
        <f t="shared" si="27"/>
        <v>42123</v>
      </c>
      <c r="G75" s="49">
        <f t="shared" si="28"/>
        <v>69725</v>
      </c>
      <c r="H75" s="49">
        <f t="shared" si="29"/>
        <v>0</v>
      </c>
      <c r="I75" s="50">
        <f t="shared" si="30"/>
        <v>14417</v>
      </c>
      <c r="J75" s="48">
        <f>J74+B75-SUMIFS(рапорт!$O:$O,рапорт!$A:$A,A75)-SUMIFS(рапорт!$U:$U,рапорт!$A:$A,A75)/4</f>
        <v>706</v>
      </c>
      <c r="K75" s="49">
        <f>K74+C75-SUMIFS(рапорт!$P:$P,рапорт!$A:$A,A75)-SUMIFS(рапорт!$U:$U,рапорт!$A:$A,A75)/4</f>
        <v>45251</v>
      </c>
      <c r="L75" s="49">
        <f>L74+D75-SUMIFS(рапорт!$Q:$Q,рапорт!$A:$A,A75)-SUMIFS(рапорт!$U:$U,рапорт!$A:$A,A75)/4</f>
        <v>79310</v>
      </c>
      <c r="M75" s="50">
        <f>M74+E75-SUMIFS(рапорт!$R:$R,рапорт!$A:$A,A75)-SUMIFS(рапорт!$U:$U,рапорт!$A:$A,A75)/4</f>
        <v>90997</v>
      </c>
      <c r="O75" s="55">
        <v>46094</v>
      </c>
      <c r="P75" s="48"/>
      <c r="Q75" s="49"/>
      <c r="R75" s="49"/>
      <c r="S75" s="50"/>
      <c r="T75" s="60">
        <f t="shared" si="32"/>
        <v>0</v>
      </c>
      <c r="U75" s="48">
        <f t="shared" si="20"/>
        <v>749400</v>
      </c>
      <c r="V75" s="49">
        <f t="shared" si="31"/>
        <v>0</v>
      </c>
      <c r="W75" s="49">
        <f t="shared" si="31"/>
        <v>0</v>
      </c>
      <c r="X75" s="50">
        <f t="shared" si="31"/>
        <v>0</v>
      </c>
      <c r="Y75" s="73">
        <f t="shared" si="33"/>
        <v>749400</v>
      </c>
    </row>
    <row r="76" spans="1:25" x14ac:dyDescent="0.2">
      <c r="A76" s="55">
        <v>46095</v>
      </c>
      <c r="B76" s="48"/>
      <c r="C76" s="49"/>
      <c r="D76" s="49"/>
      <c r="E76" s="50"/>
      <c r="F76" s="48">
        <f t="shared" si="27"/>
        <v>42123</v>
      </c>
      <c r="G76" s="49">
        <f t="shared" si="28"/>
        <v>69725</v>
      </c>
      <c r="H76" s="49">
        <f t="shared" si="29"/>
        <v>0</v>
      </c>
      <c r="I76" s="50">
        <f t="shared" si="30"/>
        <v>14417</v>
      </c>
      <c r="J76" s="48">
        <f>J75+B76-SUMIFS(рапорт!$O:$O,рапорт!$A:$A,A76)-SUMIFS(рапорт!$U:$U,рапорт!$A:$A,A76)/4</f>
        <v>706</v>
      </c>
      <c r="K76" s="49">
        <f>K75+C76-SUMIFS(рапорт!$P:$P,рапорт!$A:$A,A76)-SUMIFS(рапорт!$U:$U,рапорт!$A:$A,A76)/4</f>
        <v>45251</v>
      </c>
      <c r="L76" s="49">
        <f>L75+D76-SUMIFS(рапорт!$Q:$Q,рапорт!$A:$A,A76)-SUMIFS(рапорт!$U:$U,рапорт!$A:$A,A76)/4</f>
        <v>63244</v>
      </c>
      <c r="M76" s="50">
        <f>M75+E76-SUMIFS(рапорт!$R:$R,рапорт!$A:$A,A76)-SUMIFS(рапорт!$U:$U,рапорт!$A:$A,A76)/4</f>
        <v>68531</v>
      </c>
      <c r="O76" s="55">
        <v>46095</v>
      </c>
      <c r="P76" s="48"/>
      <c r="Q76" s="49"/>
      <c r="R76" s="49"/>
      <c r="S76" s="50"/>
      <c r="T76" s="60">
        <f t="shared" si="32"/>
        <v>0</v>
      </c>
      <c r="U76" s="48">
        <f t="shared" si="20"/>
        <v>749400</v>
      </c>
      <c r="V76" s="49">
        <f t="shared" si="31"/>
        <v>0</v>
      </c>
      <c r="W76" s="49">
        <f t="shared" si="31"/>
        <v>0</v>
      </c>
      <c r="X76" s="50">
        <f t="shared" si="31"/>
        <v>0</v>
      </c>
      <c r="Y76" s="73">
        <f t="shared" si="33"/>
        <v>749400</v>
      </c>
    </row>
    <row r="77" spans="1:25" x14ac:dyDescent="0.2">
      <c r="A77" s="55">
        <v>46096</v>
      </c>
      <c r="B77" s="48"/>
      <c r="C77" s="49"/>
      <c r="D77" s="49"/>
      <c r="E77" s="50"/>
      <c r="F77" s="48">
        <f t="shared" si="27"/>
        <v>42123</v>
      </c>
      <c r="G77" s="49">
        <f t="shared" si="28"/>
        <v>69725</v>
      </c>
      <c r="H77" s="49">
        <f t="shared" si="29"/>
        <v>0</v>
      </c>
      <c r="I77" s="50">
        <f t="shared" si="30"/>
        <v>14417</v>
      </c>
      <c r="J77" s="48">
        <f>J76+B77-SUMIFS(рапорт!$O:$O,рапорт!$A:$A,A77)-SUMIFS(рапорт!$U:$U,рапорт!$A:$A,A77)/4</f>
        <v>706</v>
      </c>
      <c r="K77" s="49">
        <f>K76+C77-SUMIFS(рапорт!$P:$P,рапорт!$A:$A,A77)-SUMIFS(рапорт!$U:$U,рапорт!$A:$A,A77)/4</f>
        <v>45251</v>
      </c>
      <c r="L77" s="49">
        <f>L76+D77-SUMIFS(рапорт!$Q:$Q,рапорт!$A:$A,A77)-SUMIFS(рапорт!$U:$U,рапорт!$A:$A,A77)/4</f>
        <v>33498</v>
      </c>
      <c r="M77" s="50">
        <f>M76+E77-SUMIFS(рапорт!$R:$R,рапорт!$A:$A,A77)-SUMIFS(рапорт!$U:$U,рапорт!$A:$A,A77)/4</f>
        <v>42298</v>
      </c>
      <c r="O77" s="55">
        <v>46096</v>
      </c>
      <c r="P77" s="48"/>
      <c r="Q77" s="49"/>
      <c r="R77" s="49"/>
      <c r="S77" s="50"/>
      <c r="T77" s="60">
        <f t="shared" si="32"/>
        <v>0</v>
      </c>
      <c r="U77" s="48">
        <f t="shared" si="20"/>
        <v>749400</v>
      </c>
      <c r="V77" s="49">
        <f t="shared" si="31"/>
        <v>0</v>
      </c>
      <c r="W77" s="49">
        <f t="shared" si="31"/>
        <v>0</v>
      </c>
      <c r="X77" s="50">
        <f t="shared" si="31"/>
        <v>0</v>
      </c>
      <c r="Y77" s="73">
        <f t="shared" si="33"/>
        <v>749400</v>
      </c>
    </row>
    <row r="78" spans="1:25" x14ac:dyDescent="0.2">
      <c r="A78" s="55">
        <v>46097</v>
      </c>
      <c r="B78" s="48"/>
      <c r="C78" s="49"/>
      <c r="D78" s="49"/>
      <c r="E78" s="50"/>
      <c r="F78" s="48">
        <f t="shared" si="27"/>
        <v>42123</v>
      </c>
      <c r="G78" s="49">
        <f t="shared" si="28"/>
        <v>69725</v>
      </c>
      <c r="H78" s="49">
        <f t="shared" si="29"/>
        <v>0</v>
      </c>
      <c r="I78" s="50">
        <f t="shared" si="30"/>
        <v>14417</v>
      </c>
      <c r="J78" s="48">
        <f>J77+B78-SUMIFS(рапорт!$O:$O,рапорт!$A:$A,A78)-SUMIFS(рапорт!$U:$U,рапорт!$A:$A,A78)/4</f>
        <v>706</v>
      </c>
      <c r="K78" s="49">
        <f>K77+C78-SUMIFS(рапорт!$P:$P,рапорт!$A:$A,A78)-SUMIFS(рапорт!$U:$U,рапорт!$A:$A,A78)/4</f>
        <v>45251</v>
      </c>
      <c r="L78" s="49">
        <f>L77+D78-SUMIFS(рапорт!$Q:$Q,рапорт!$A:$A,A78)-SUMIFS(рапорт!$U:$U,рапорт!$A:$A,A78)/4</f>
        <v>33498</v>
      </c>
      <c r="M78" s="50">
        <f>M77+E78-SUMIFS(рапорт!$R:$R,рапорт!$A:$A,A78)-SUMIFS(рапорт!$U:$U,рапорт!$A:$A,A78)/4</f>
        <v>42298</v>
      </c>
      <c r="O78" s="55">
        <v>46097</v>
      </c>
      <c r="P78" s="48"/>
      <c r="Q78" s="49"/>
      <c r="R78" s="49"/>
      <c r="S78" s="50"/>
      <c r="T78" s="60">
        <f t="shared" si="32"/>
        <v>0</v>
      </c>
      <c r="U78" s="48">
        <f t="shared" si="20"/>
        <v>749400</v>
      </c>
      <c r="V78" s="49">
        <f t="shared" si="31"/>
        <v>0</v>
      </c>
      <c r="W78" s="49">
        <f t="shared" si="31"/>
        <v>0</v>
      </c>
      <c r="X78" s="50">
        <f t="shared" si="31"/>
        <v>0</v>
      </c>
      <c r="Y78" s="73">
        <f t="shared" si="33"/>
        <v>749400</v>
      </c>
    </row>
    <row r="79" spans="1:25" x14ac:dyDescent="0.2">
      <c r="A79" s="55">
        <v>46098</v>
      </c>
      <c r="B79" s="48"/>
      <c r="C79" s="49"/>
      <c r="D79" s="49"/>
      <c r="E79" s="50"/>
      <c r="F79" s="48">
        <f t="shared" si="27"/>
        <v>42123</v>
      </c>
      <c r="G79" s="49">
        <f t="shared" si="28"/>
        <v>69725</v>
      </c>
      <c r="H79" s="49">
        <f t="shared" si="29"/>
        <v>0</v>
      </c>
      <c r="I79" s="50">
        <f t="shared" si="30"/>
        <v>14417</v>
      </c>
      <c r="J79" s="48">
        <f>J78+B79-SUMIFS(рапорт!$O:$O,рапорт!$A:$A,A79)-SUMIFS(рапорт!$U:$U,рапорт!$A:$A,A79)/4</f>
        <v>706</v>
      </c>
      <c r="K79" s="49">
        <f>K78+C79-SUMIFS(рапорт!$P:$P,рапорт!$A:$A,A79)-SUMIFS(рапорт!$U:$U,рапорт!$A:$A,A79)/4</f>
        <v>45251</v>
      </c>
      <c r="L79" s="49">
        <f>L78+D79-SUMIFS(рапорт!$Q:$Q,рапорт!$A:$A,A79)-SUMIFS(рапорт!$U:$U,рапорт!$A:$A,A79)/4</f>
        <v>33498</v>
      </c>
      <c r="M79" s="50">
        <f>M78+E79-SUMIFS(рапорт!$R:$R,рапорт!$A:$A,A79)-SUMIFS(рапорт!$U:$U,рапорт!$A:$A,A79)/4</f>
        <v>42298</v>
      </c>
      <c r="O79" s="55">
        <v>46098</v>
      </c>
      <c r="P79" s="48"/>
      <c r="Q79" s="49"/>
      <c r="R79" s="49"/>
      <c r="S79" s="50"/>
      <c r="T79" s="60">
        <f t="shared" si="32"/>
        <v>0</v>
      </c>
      <c r="U79" s="48">
        <f t="shared" si="20"/>
        <v>749400</v>
      </c>
      <c r="V79" s="49">
        <f t="shared" si="31"/>
        <v>0</v>
      </c>
      <c r="W79" s="49">
        <f t="shared" si="31"/>
        <v>0</v>
      </c>
      <c r="X79" s="50">
        <f t="shared" si="31"/>
        <v>0</v>
      </c>
      <c r="Y79" s="73">
        <f t="shared" si="33"/>
        <v>749400</v>
      </c>
    </row>
    <row r="80" spans="1:25" x14ac:dyDescent="0.2">
      <c r="A80" s="55">
        <v>46099</v>
      </c>
      <c r="B80" s="48"/>
      <c r="C80" s="49"/>
      <c r="D80" s="49"/>
      <c r="E80" s="50"/>
      <c r="F80" s="48">
        <f t="shared" si="27"/>
        <v>42123</v>
      </c>
      <c r="G80" s="49">
        <f t="shared" si="28"/>
        <v>69725</v>
      </c>
      <c r="H80" s="49">
        <f t="shared" si="29"/>
        <v>0</v>
      </c>
      <c r="I80" s="50">
        <f t="shared" si="30"/>
        <v>14417</v>
      </c>
      <c r="J80" s="48">
        <f>J79+B80-SUMIFS(рапорт!$O:$O,рапорт!$A:$A,A80)-SUMIFS(рапорт!$U:$U,рапорт!$A:$A,A80)/4</f>
        <v>706</v>
      </c>
      <c r="K80" s="49">
        <f>K79+C80-SUMIFS(рапорт!$P:$P,рапорт!$A:$A,A80)-SUMIFS(рапорт!$U:$U,рапорт!$A:$A,A80)/4</f>
        <v>45251</v>
      </c>
      <c r="L80" s="49">
        <f>L79+D80-SUMIFS(рапорт!$Q:$Q,рапорт!$A:$A,A80)-SUMIFS(рапорт!$U:$U,рапорт!$A:$A,A80)/4</f>
        <v>33498</v>
      </c>
      <c r="M80" s="50">
        <f>M79+E80-SUMIFS(рапорт!$R:$R,рапорт!$A:$A,A80)-SUMIFS(рапорт!$U:$U,рапорт!$A:$A,A80)/4</f>
        <v>42298</v>
      </c>
      <c r="O80" s="55">
        <v>46099</v>
      </c>
      <c r="P80" s="48"/>
      <c r="Q80" s="49"/>
      <c r="R80" s="49"/>
      <c r="S80" s="50"/>
      <c r="T80" s="60">
        <f t="shared" si="32"/>
        <v>0</v>
      </c>
      <c r="U80" s="48">
        <f t="shared" si="20"/>
        <v>749400</v>
      </c>
      <c r="V80" s="49">
        <f t="shared" si="31"/>
        <v>0</v>
      </c>
      <c r="W80" s="49">
        <f t="shared" si="31"/>
        <v>0</v>
      </c>
      <c r="X80" s="50">
        <f t="shared" si="31"/>
        <v>0</v>
      </c>
      <c r="Y80" s="73">
        <f t="shared" si="33"/>
        <v>749400</v>
      </c>
    </row>
    <row r="81" spans="1:25" x14ac:dyDescent="0.2">
      <c r="A81" s="55">
        <v>46100</v>
      </c>
      <c r="B81" s="48"/>
      <c r="C81" s="49"/>
      <c r="D81" s="49"/>
      <c r="E81" s="50"/>
      <c r="F81" s="48">
        <f t="shared" si="27"/>
        <v>42123</v>
      </c>
      <c r="G81" s="49">
        <f t="shared" si="28"/>
        <v>69725</v>
      </c>
      <c r="H81" s="49">
        <f t="shared" si="29"/>
        <v>0</v>
      </c>
      <c r="I81" s="50">
        <f t="shared" si="30"/>
        <v>14417</v>
      </c>
      <c r="J81" s="48">
        <f>J80+B81-SUMIFS(рапорт!$O:$O,рапорт!$A:$A,A81)-SUMIFS(рапорт!$U:$U,рапорт!$A:$A,A81)/4</f>
        <v>706</v>
      </c>
      <c r="K81" s="49">
        <f>K80+C81-SUMIFS(рапорт!$P:$P,рапорт!$A:$A,A81)-SUMIFS(рапорт!$U:$U,рапорт!$A:$A,A81)/4</f>
        <v>45251</v>
      </c>
      <c r="L81" s="49">
        <f>L80+D81-SUMIFS(рапорт!$Q:$Q,рапорт!$A:$A,A81)-SUMIFS(рапорт!$U:$U,рапорт!$A:$A,A81)/4</f>
        <v>33498</v>
      </c>
      <c r="M81" s="50">
        <f>M80+E81-SUMIFS(рапорт!$R:$R,рапорт!$A:$A,A81)-SUMIFS(рапорт!$U:$U,рапорт!$A:$A,A81)/4</f>
        <v>42298</v>
      </c>
      <c r="O81" s="55">
        <v>46100</v>
      </c>
      <c r="P81" s="48"/>
      <c r="Q81" s="49"/>
      <c r="R81" s="49"/>
      <c r="S81" s="50"/>
      <c r="T81" s="60">
        <f t="shared" si="32"/>
        <v>0</v>
      </c>
      <c r="U81" s="48">
        <f t="shared" si="20"/>
        <v>749400</v>
      </c>
      <c r="V81" s="49">
        <f t="shared" si="31"/>
        <v>0</v>
      </c>
      <c r="W81" s="49">
        <f t="shared" si="31"/>
        <v>0</v>
      </c>
      <c r="X81" s="50">
        <f t="shared" si="31"/>
        <v>0</v>
      </c>
      <c r="Y81" s="73">
        <f t="shared" si="33"/>
        <v>749400</v>
      </c>
    </row>
    <row r="82" spans="1:25" x14ac:dyDescent="0.2">
      <c r="A82" s="55">
        <v>46101</v>
      </c>
      <c r="B82" s="48"/>
      <c r="C82" s="49"/>
      <c r="D82" s="49"/>
      <c r="E82" s="50"/>
      <c r="F82" s="48">
        <f t="shared" si="27"/>
        <v>42123</v>
      </c>
      <c r="G82" s="49">
        <f t="shared" si="28"/>
        <v>69725</v>
      </c>
      <c r="H82" s="49">
        <f t="shared" si="29"/>
        <v>0</v>
      </c>
      <c r="I82" s="50">
        <f t="shared" si="30"/>
        <v>14417</v>
      </c>
      <c r="J82" s="48">
        <f>J81+B82-SUMIFS(рапорт!$O:$O,рапорт!$A:$A,A82)-SUMIFS(рапорт!$U:$U,рапорт!$A:$A,A82)/4</f>
        <v>706</v>
      </c>
      <c r="K82" s="49">
        <f>K81+C82-SUMIFS(рапорт!$P:$P,рапорт!$A:$A,A82)-SUMIFS(рапорт!$U:$U,рапорт!$A:$A,A82)/4</f>
        <v>45251</v>
      </c>
      <c r="L82" s="49">
        <f>L81+D82-SUMIFS(рапорт!$Q:$Q,рапорт!$A:$A,A82)-SUMIFS(рапорт!$U:$U,рапорт!$A:$A,A82)/4</f>
        <v>33498</v>
      </c>
      <c r="M82" s="50">
        <f>M81+E82-SUMIFS(рапорт!$R:$R,рапорт!$A:$A,A82)-SUMIFS(рапорт!$U:$U,рапорт!$A:$A,A82)/4</f>
        <v>42298</v>
      </c>
      <c r="O82" s="55">
        <v>46101</v>
      </c>
      <c r="P82" s="48"/>
      <c r="Q82" s="49"/>
      <c r="R82" s="49"/>
      <c r="S82" s="50"/>
      <c r="T82" s="60">
        <f t="shared" si="32"/>
        <v>0</v>
      </c>
      <c r="U82" s="48">
        <f t="shared" si="20"/>
        <v>749400</v>
      </c>
      <c r="V82" s="49">
        <f t="shared" si="31"/>
        <v>0</v>
      </c>
      <c r="W82" s="49">
        <f t="shared" si="31"/>
        <v>0</v>
      </c>
      <c r="X82" s="50">
        <f t="shared" si="31"/>
        <v>0</v>
      </c>
      <c r="Y82" s="73">
        <f t="shared" si="33"/>
        <v>749400</v>
      </c>
    </row>
    <row r="83" spans="1:25" x14ac:dyDescent="0.2">
      <c r="A83" s="55">
        <v>46102</v>
      </c>
      <c r="B83" s="48"/>
      <c r="C83" s="49"/>
      <c r="D83" s="49"/>
      <c r="E83" s="50"/>
      <c r="F83" s="48">
        <f t="shared" si="27"/>
        <v>42123</v>
      </c>
      <c r="G83" s="49">
        <f t="shared" si="28"/>
        <v>69725</v>
      </c>
      <c r="H83" s="49">
        <f t="shared" si="29"/>
        <v>0</v>
      </c>
      <c r="I83" s="50">
        <f t="shared" si="30"/>
        <v>14417</v>
      </c>
      <c r="J83" s="48">
        <f>J82+B83-SUMIFS(рапорт!$O:$O,рапорт!$A:$A,A83)-SUMIFS(рапорт!$U:$U,рапорт!$A:$A,A83)/4</f>
        <v>706</v>
      </c>
      <c r="K83" s="49">
        <f>K82+C83-SUMIFS(рапорт!$P:$P,рапорт!$A:$A,A83)-SUMIFS(рапорт!$U:$U,рапорт!$A:$A,A83)/4</f>
        <v>45251</v>
      </c>
      <c r="L83" s="49">
        <f>L82+D83-SUMIFS(рапорт!$Q:$Q,рапорт!$A:$A,A83)-SUMIFS(рапорт!$U:$U,рапорт!$A:$A,A83)/4</f>
        <v>33498</v>
      </c>
      <c r="M83" s="50">
        <f>M82+E83-SUMIFS(рапорт!$R:$R,рапорт!$A:$A,A83)-SUMIFS(рапорт!$U:$U,рапорт!$A:$A,A83)/4</f>
        <v>42298</v>
      </c>
      <c r="O83" s="55">
        <v>46102</v>
      </c>
      <c r="P83" s="48"/>
      <c r="Q83" s="49"/>
      <c r="R83" s="49"/>
      <c r="S83" s="50"/>
      <c r="T83" s="60">
        <f t="shared" si="32"/>
        <v>0</v>
      </c>
      <c r="U83" s="48">
        <f t="shared" si="20"/>
        <v>749400</v>
      </c>
      <c r="V83" s="49">
        <f t="shared" si="31"/>
        <v>0</v>
      </c>
      <c r="W83" s="49">
        <f t="shared" si="31"/>
        <v>0</v>
      </c>
      <c r="X83" s="50">
        <f t="shared" si="31"/>
        <v>0</v>
      </c>
      <c r="Y83" s="73">
        <f t="shared" si="33"/>
        <v>749400</v>
      </c>
    </row>
    <row r="84" spans="1:25" x14ac:dyDescent="0.2">
      <c r="A84" s="55">
        <v>46103</v>
      </c>
      <c r="B84" s="48"/>
      <c r="C84" s="49"/>
      <c r="D84" s="49"/>
      <c r="E84" s="50"/>
      <c r="F84" s="48">
        <f t="shared" si="27"/>
        <v>42123</v>
      </c>
      <c r="G84" s="49">
        <f t="shared" si="28"/>
        <v>69725</v>
      </c>
      <c r="H84" s="49">
        <f t="shared" si="29"/>
        <v>0</v>
      </c>
      <c r="I84" s="50">
        <f t="shared" si="30"/>
        <v>14417</v>
      </c>
      <c r="J84" s="48">
        <f>J83+B84-SUMIFS(рапорт!$O:$O,рапорт!$A:$A,A84)-SUMIFS(рапорт!$U:$U,рапорт!$A:$A,A84)/4</f>
        <v>706</v>
      </c>
      <c r="K84" s="49">
        <f>K83+C84-SUMIFS(рапорт!$P:$P,рапорт!$A:$A,A84)-SUMIFS(рапорт!$U:$U,рапорт!$A:$A,A84)/4</f>
        <v>45251</v>
      </c>
      <c r="L84" s="49">
        <f>L83+D84-SUMIFS(рапорт!$Q:$Q,рапорт!$A:$A,A84)-SUMIFS(рапорт!$U:$U,рапорт!$A:$A,A84)/4</f>
        <v>33498</v>
      </c>
      <c r="M84" s="50">
        <f>M83+E84-SUMIFS(рапорт!$R:$R,рапорт!$A:$A,A84)-SUMIFS(рапорт!$U:$U,рапорт!$A:$A,A84)/4</f>
        <v>42298</v>
      </c>
      <c r="O84" s="55">
        <v>46103</v>
      </c>
      <c r="P84" s="48"/>
      <c r="Q84" s="49"/>
      <c r="R84" s="49"/>
      <c r="S84" s="50"/>
      <c r="T84" s="60">
        <f t="shared" si="32"/>
        <v>0</v>
      </c>
      <c r="U84" s="48">
        <f t="shared" si="20"/>
        <v>749400</v>
      </c>
      <c r="V84" s="49">
        <f t="shared" ref="V84:X99" si="34">V83</f>
        <v>0</v>
      </c>
      <c r="W84" s="49">
        <f t="shared" si="34"/>
        <v>0</v>
      </c>
      <c r="X84" s="50">
        <f t="shared" si="34"/>
        <v>0</v>
      </c>
      <c r="Y84" s="73">
        <f t="shared" si="33"/>
        <v>749400</v>
      </c>
    </row>
    <row r="85" spans="1:25" x14ac:dyDescent="0.2">
      <c r="A85" s="55">
        <v>46104</v>
      </c>
      <c r="B85" s="48"/>
      <c r="C85" s="49"/>
      <c r="D85" s="49"/>
      <c r="E85" s="50"/>
      <c r="F85" s="48">
        <f t="shared" si="27"/>
        <v>42123</v>
      </c>
      <c r="G85" s="49">
        <f t="shared" si="28"/>
        <v>69725</v>
      </c>
      <c r="H85" s="49">
        <f t="shared" si="29"/>
        <v>0</v>
      </c>
      <c r="I85" s="50">
        <f t="shared" si="30"/>
        <v>14417</v>
      </c>
      <c r="J85" s="48">
        <f>J84+B85-SUMIFS(рапорт!$O:$O,рапорт!$A:$A,A85)-SUMIFS(рапорт!$U:$U,рапорт!$A:$A,A85)/4</f>
        <v>706</v>
      </c>
      <c r="K85" s="49">
        <f>K84+C85-SUMIFS(рапорт!$P:$P,рапорт!$A:$A,A85)-SUMIFS(рапорт!$U:$U,рапорт!$A:$A,A85)/4</f>
        <v>45251</v>
      </c>
      <c r="L85" s="49">
        <f>L84+D85-SUMIFS(рапорт!$Q:$Q,рапорт!$A:$A,A85)-SUMIFS(рапорт!$U:$U,рапорт!$A:$A,A85)/4</f>
        <v>33498</v>
      </c>
      <c r="M85" s="50">
        <f>M84+E85-SUMIFS(рапорт!$R:$R,рапорт!$A:$A,A85)-SUMIFS(рапорт!$U:$U,рапорт!$A:$A,A85)/4</f>
        <v>42298</v>
      </c>
      <c r="O85" s="55">
        <v>46104</v>
      </c>
      <c r="P85" s="48"/>
      <c r="Q85" s="49"/>
      <c r="R85" s="49"/>
      <c r="S85" s="50"/>
      <c r="T85" s="60">
        <f t="shared" si="32"/>
        <v>0</v>
      </c>
      <c r="U85" s="48">
        <f t="shared" si="20"/>
        <v>749400</v>
      </c>
      <c r="V85" s="49">
        <f t="shared" si="34"/>
        <v>0</v>
      </c>
      <c r="W85" s="49">
        <f t="shared" si="34"/>
        <v>0</v>
      </c>
      <c r="X85" s="50">
        <f t="shared" si="34"/>
        <v>0</v>
      </c>
      <c r="Y85" s="73">
        <f t="shared" si="33"/>
        <v>749400</v>
      </c>
    </row>
    <row r="86" spans="1:25" x14ac:dyDescent="0.2">
      <c r="A86" s="55">
        <v>46105</v>
      </c>
      <c r="B86" s="48"/>
      <c r="C86" s="49"/>
      <c r="D86" s="49"/>
      <c r="E86" s="50"/>
      <c r="F86" s="48">
        <f t="shared" si="27"/>
        <v>42123</v>
      </c>
      <c r="G86" s="49">
        <f t="shared" si="28"/>
        <v>69725</v>
      </c>
      <c r="H86" s="49">
        <f t="shared" si="29"/>
        <v>0</v>
      </c>
      <c r="I86" s="50">
        <f t="shared" si="30"/>
        <v>14417</v>
      </c>
      <c r="J86" s="48">
        <f>J85+B86-SUMIFS(рапорт!$O:$O,рапорт!$A:$A,A86)-SUMIFS(рапорт!$U:$U,рапорт!$A:$A,A86)/4</f>
        <v>706</v>
      </c>
      <c r="K86" s="49">
        <f>K85+C86-SUMIFS(рапорт!$P:$P,рапорт!$A:$A,A86)-SUMIFS(рапорт!$U:$U,рапорт!$A:$A,A86)/4</f>
        <v>45251</v>
      </c>
      <c r="L86" s="49">
        <f>L85+D86-SUMIFS(рапорт!$Q:$Q,рапорт!$A:$A,A86)-SUMIFS(рапорт!$U:$U,рапорт!$A:$A,A86)/4</f>
        <v>33498</v>
      </c>
      <c r="M86" s="50">
        <f>M85+E86-SUMIFS(рапорт!$R:$R,рапорт!$A:$A,A86)-SUMIFS(рапорт!$U:$U,рапорт!$A:$A,A86)/4</f>
        <v>42298</v>
      </c>
      <c r="O86" s="55">
        <v>46105</v>
      </c>
      <c r="P86" s="48"/>
      <c r="Q86" s="49"/>
      <c r="R86" s="49"/>
      <c r="S86" s="50"/>
      <c r="T86" s="60">
        <f t="shared" si="32"/>
        <v>0</v>
      </c>
      <c r="U86" s="48">
        <f t="shared" si="20"/>
        <v>749400</v>
      </c>
      <c r="V86" s="49">
        <f t="shared" si="34"/>
        <v>0</v>
      </c>
      <c r="W86" s="49">
        <f t="shared" si="34"/>
        <v>0</v>
      </c>
      <c r="X86" s="50">
        <f t="shared" si="34"/>
        <v>0</v>
      </c>
      <c r="Y86" s="73">
        <f t="shared" si="33"/>
        <v>749400</v>
      </c>
    </row>
    <row r="87" spans="1:25" x14ac:dyDescent="0.2">
      <c r="A87" s="55">
        <v>46106</v>
      </c>
      <c r="B87" s="48"/>
      <c r="C87" s="49"/>
      <c r="D87" s="49"/>
      <c r="E87" s="50"/>
      <c r="F87" s="48">
        <f t="shared" si="27"/>
        <v>42123</v>
      </c>
      <c r="G87" s="49">
        <f t="shared" si="28"/>
        <v>69725</v>
      </c>
      <c r="H87" s="49">
        <f t="shared" si="29"/>
        <v>0</v>
      </c>
      <c r="I87" s="50">
        <f t="shared" si="30"/>
        <v>14417</v>
      </c>
      <c r="J87" s="48">
        <f>J86+B87-SUMIFS(рапорт!$O:$O,рапорт!$A:$A,A87)-SUMIFS(рапорт!$U:$U,рапорт!$A:$A,A87)/4</f>
        <v>706</v>
      </c>
      <c r="K87" s="49">
        <f>K86+C87-SUMIFS(рапорт!$P:$P,рапорт!$A:$A,A87)-SUMIFS(рапорт!$U:$U,рапорт!$A:$A,A87)/4</f>
        <v>45251</v>
      </c>
      <c r="L87" s="49">
        <f>L86+D87-SUMIFS(рапорт!$Q:$Q,рапорт!$A:$A,A87)-SUMIFS(рапорт!$U:$U,рапорт!$A:$A,A87)/4</f>
        <v>33498</v>
      </c>
      <c r="M87" s="50">
        <f>M86+E87-SUMIFS(рапорт!$R:$R,рапорт!$A:$A,A87)-SUMIFS(рапорт!$U:$U,рапорт!$A:$A,A87)/4</f>
        <v>42298</v>
      </c>
      <c r="O87" s="55">
        <v>46106</v>
      </c>
      <c r="P87" s="48"/>
      <c r="Q87" s="49"/>
      <c r="R87" s="49"/>
      <c r="S87" s="50"/>
      <c r="T87" s="60">
        <f t="shared" si="32"/>
        <v>0</v>
      </c>
      <c r="U87" s="48">
        <f t="shared" si="20"/>
        <v>749400</v>
      </c>
      <c r="V87" s="49">
        <f t="shared" si="34"/>
        <v>0</v>
      </c>
      <c r="W87" s="49">
        <f t="shared" si="34"/>
        <v>0</v>
      </c>
      <c r="X87" s="50">
        <f t="shared" si="34"/>
        <v>0</v>
      </c>
      <c r="Y87" s="73">
        <f t="shared" si="33"/>
        <v>749400</v>
      </c>
    </row>
    <row r="88" spans="1:25" x14ac:dyDescent="0.2">
      <c r="A88" s="55">
        <v>46107</v>
      </c>
      <c r="B88" s="48"/>
      <c r="C88" s="49"/>
      <c r="D88" s="49">
        <v>39290</v>
      </c>
      <c r="E88" s="50">
        <v>41460</v>
      </c>
      <c r="F88" s="48">
        <f t="shared" si="27"/>
        <v>42123</v>
      </c>
      <c r="G88" s="49">
        <f t="shared" si="28"/>
        <v>69725</v>
      </c>
      <c r="H88" s="49">
        <f t="shared" si="29"/>
        <v>0</v>
      </c>
      <c r="I88" s="50">
        <f t="shared" si="30"/>
        <v>14417</v>
      </c>
      <c r="J88" s="48">
        <f>J87+B88-SUMIFS(рапорт!$O:$O,рапорт!$A:$A,A88)-SUMIFS(рапорт!$U:$U,рапорт!$A:$A,A88)/4</f>
        <v>706</v>
      </c>
      <c r="K88" s="49">
        <f>K87+C88-SUMIFS(рапорт!$P:$P,рапорт!$A:$A,A88)-SUMIFS(рапорт!$U:$U,рапорт!$A:$A,A88)/4</f>
        <v>45251</v>
      </c>
      <c r="L88" s="49">
        <f>L87+D88-SUMIFS(рапорт!$Q:$Q,рапорт!$A:$A,A88)-SUMIFS(рапорт!$U:$U,рапорт!$A:$A,A88)/4</f>
        <v>35057</v>
      </c>
      <c r="M88" s="50">
        <f>M87+E88-SUMIFS(рапорт!$R:$R,рапорт!$A:$A,A88)-SUMIFS(рапорт!$U:$U,рапорт!$A:$A,A88)/4</f>
        <v>54311</v>
      </c>
      <c r="O88" s="55">
        <v>46107</v>
      </c>
      <c r="P88" s="48"/>
      <c r="Q88" s="49"/>
      <c r="R88" s="49"/>
      <c r="S88" s="50"/>
      <c r="T88" s="60">
        <f t="shared" si="32"/>
        <v>0</v>
      </c>
      <c r="U88" s="48">
        <f t="shared" si="20"/>
        <v>749400</v>
      </c>
      <c r="V88" s="49">
        <f t="shared" si="34"/>
        <v>0</v>
      </c>
      <c r="W88" s="49">
        <f t="shared" si="34"/>
        <v>0</v>
      </c>
      <c r="X88" s="50">
        <f t="shared" si="34"/>
        <v>0</v>
      </c>
      <c r="Y88" s="73">
        <f t="shared" si="33"/>
        <v>749400</v>
      </c>
    </row>
    <row r="89" spans="1:25" x14ac:dyDescent="0.2">
      <c r="A89" s="55">
        <v>46108</v>
      </c>
      <c r="B89" s="48"/>
      <c r="C89" s="49"/>
      <c r="D89" s="49">
        <v>37940</v>
      </c>
      <c r="E89" s="50">
        <v>38740</v>
      </c>
      <c r="F89" s="48">
        <f t="shared" si="27"/>
        <v>42123</v>
      </c>
      <c r="G89" s="49">
        <f t="shared" si="28"/>
        <v>69725</v>
      </c>
      <c r="H89" s="49">
        <f t="shared" si="29"/>
        <v>0</v>
      </c>
      <c r="I89" s="50">
        <f t="shared" si="30"/>
        <v>14417</v>
      </c>
      <c r="J89" s="48">
        <f>J88+B89-SUMIFS(рапорт!$O:$O,рапорт!$A:$A,A89)-SUMIFS(рапорт!$U:$U,рапорт!$A:$A,A89)/4</f>
        <v>706</v>
      </c>
      <c r="K89" s="49">
        <f>K88+C89-SUMIFS(рапорт!$P:$P,рапорт!$A:$A,A89)-SUMIFS(рапорт!$U:$U,рапорт!$A:$A,A89)/4</f>
        <v>45251</v>
      </c>
      <c r="L89" s="49">
        <f>L88+D89-SUMIFS(рапорт!$Q:$Q,рапорт!$A:$A,A89)-SUMIFS(рапорт!$U:$U,рапорт!$A:$A,A89)/4</f>
        <v>44865</v>
      </c>
      <c r="M89" s="50">
        <f>M88+E89-SUMIFS(рапорт!$R:$R,рапорт!$A:$A,A89)-SUMIFS(рапорт!$U:$U,рапорт!$A:$A,A89)/4</f>
        <v>67455</v>
      </c>
      <c r="O89" s="55">
        <v>46108</v>
      </c>
      <c r="P89" s="48"/>
      <c r="Q89" s="49"/>
      <c r="R89" s="49"/>
      <c r="S89" s="50"/>
      <c r="T89" s="60">
        <f t="shared" si="32"/>
        <v>0</v>
      </c>
      <c r="U89" s="48">
        <f t="shared" si="20"/>
        <v>749400</v>
      </c>
      <c r="V89" s="49">
        <f t="shared" si="34"/>
        <v>0</v>
      </c>
      <c r="W89" s="49">
        <f t="shared" si="34"/>
        <v>0</v>
      </c>
      <c r="X89" s="50">
        <f t="shared" si="34"/>
        <v>0</v>
      </c>
      <c r="Y89" s="73">
        <f t="shared" si="33"/>
        <v>749400</v>
      </c>
    </row>
    <row r="90" spans="1:25" x14ac:dyDescent="0.2">
      <c r="A90" s="55">
        <v>46109</v>
      </c>
      <c r="B90" s="48"/>
      <c r="C90" s="49"/>
      <c r="D90" s="49">
        <v>39010</v>
      </c>
      <c r="E90" s="50">
        <v>38150</v>
      </c>
      <c r="F90" s="48">
        <f t="shared" si="27"/>
        <v>42123</v>
      </c>
      <c r="G90" s="49">
        <f t="shared" si="28"/>
        <v>69725</v>
      </c>
      <c r="H90" s="49">
        <f t="shared" si="29"/>
        <v>0</v>
      </c>
      <c r="I90" s="50">
        <f t="shared" si="30"/>
        <v>14417</v>
      </c>
      <c r="J90" s="48">
        <f>J89+B90-SUMIFS(рапорт!$O:$O,рапорт!$A:$A,A90)-SUMIFS(рапорт!$U:$U,рапорт!$A:$A,A90)/4</f>
        <v>706</v>
      </c>
      <c r="K90" s="49">
        <f>K89+C90-SUMIFS(рапорт!$P:$P,рапорт!$A:$A,A90)-SUMIFS(рапорт!$U:$U,рапорт!$A:$A,A90)/4</f>
        <v>45251</v>
      </c>
      <c r="L90" s="49">
        <f>L89+D90-SUMIFS(рапорт!$Q:$Q,рапорт!$A:$A,A90)-SUMIFS(рапорт!$U:$U,рапорт!$A:$A,A90)/4</f>
        <v>52578</v>
      </c>
      <c r="M90" s="50">
        <f>M89+E90-SUMIFS(рапорт!$R:$R,рапорт!$A:$A,A90)-SUMIFS(рапорт!$U:$U,рапорт!$A:$A,A90)/4</f>
        <v>75530</v>
      </c>
      <c r="O90" s="55">
        <v>46109</v>
      </c>
      <c r="P90" s="48"/>
      <c r="Q90" s="49"/>
      <c r="R90" s="49"/>
      <c r="S90" s="50"/>
      <c r="T90" s="60">
        <f t="shared" si="32"/>
        <v>0</v>
      </c>
      <c r="U90" s="48">
        <f t="shared" si="20"/>
        <v>749400</v>
      </c>
      <c r="V90" s="49">
        <f t="shared" si="34"/>
        <v>0</v>
      </c>
      <c r="W90" s="49">
        <f t="shared" si="34"/>
        <v>0</v>
      </c>
      <c r="X90" s="50">
        <f t="shared" si="34"/>
        <v>0</v>
      </c>
      <c r="Y90" s="73">
        <f t="shared" si="33"/>
        <v>749400</v>
      </c>
    </row>
    <row r="91" spans="1:25" x14ac:dyDescent="0.2">
      <c r="A91" s="55">
        <v>46110</v>
      </c>
      <c r="B91" s="48"/>
      <c r="C91" s="49"/>
      <c r="D91" s="49">
        <v>38940</v>
      </c>
      <c r="E91" s="50">
        <v>37610</v>
      </c>
      <c r="F91" s="48">
        <f t="shared" si="27"/>
        <v>42123</v>
      </c>
      <c r="G91" s="49">
        <f t="shared" si="28"/>
        <v>69725</v>
      </c>
      <c r="H91" s="49">
        <f t="shared" si="29"/>
        <v>0</v>
      </c>
      <c r="I91" s="50">
        <f t="shared" si="30"/>
        <v>14417</v>
      </c>
      <c r="J91" s="48">
        <f>J90+B91-SUMIFS(рапорт!$O:$O,рапорт!$A:$A,A91)-SUMIFS(рапорт!$U:$U,рапорт!$A:$A,A91)/4</f>
        <v>706</v>
      </c>
      <c r="K91" s="49">
        <f>K90+C91-SUMIFS(рапорт!$P:$P,рапорт!$A:$A,A91)-SUMIFS(рапорт!$U:$U,рапорт!$A:$A,A91)/4</f>
        <v>45251</v>
      </c>
      <c r="L91" s="49">
        <f>L90+D91-SUMIFS(рапорт!$Q:$Q,рапорт!$A:$A,A91)-SUMIFS(рапорт!$U:$U,рапорт!$A:$A,A91)/4</f>
        <v>61471</v>
      </c>
      <c r="M91" s="50">
        <f>M90+E91-SUMIFS(рапорт!$R:$R,рапорт!$A:$A,A91)-SUMIFS(рапорт!$U:$U,рапорт!$A:$A,A91)/4</f>
        <v>85625</v>
      </c>
      <c r="O91" s="55">
        <v>46110</v>
      </c>
      <c r="P91" s="48"/>
      <c r="Q91" s="49"/>
      <c r="R91" s="49"/>
      <c r="S91" s="50"/>
      <c r="T91" s="60">
        <f t="shared" si="32"/>
        <v>0</v>
      </c>
      <c r="U91" s="48">
        <f t="shared" si="20"/>
        <v>749400</v>
      </c>
      <c r="V91" s="49">
        <f t="shared" si="34"/>
        <v>0</v>
      </c>
      <c r="W91" s="49">
        <f t="shared" si="34"/>
        <v>0</v>
      </c>
      <c r="X91" s="50">
        <f t="shared" si="34"/>
        <v>0</v>
      </c>
      <c r="Y91" s="73">
        <f t="shared" si="33"/>
        <v>749400</v>
      </c>
    </row>
    <row r="92" spans="1:25" x14ac:dyDescent="0.2">
      <c r="A92" s="55">
        <v>46111</v>
      </c>
      <c r="B92" s="48"/>
      <c r="C92" s="49"/>
      <c r="D92" s="49"/>
      <c r="E92" s="50"/>
      <c r="F92" s="48">
        <f t="shared" si="27"/>
        <v>42123</v>
      </c>
      <c r="G92" s="49">
        <f t="shared" si="28"/>
        <v>69725</v>
      </c>
      <c r="H92" s="49">
        <f t="shared" si="29"/>
        <v>0</v>
      </c>
      <c r="I92" s="50">
        <f t="shared" si="30"/>
        <v>14417</v>
      </c>
      <c r="J92" s="48">
        <f>J91+B92-SUMIFS(рапорт!$O:$O,рапорт!$A:$A,A92)-SUMIFS(рапорт!$U:$U,рапорт!$A:$A,A92)/4</f>
        <v>706</v>
      </c>
      <c r="K92" s="49">
        <f>K91+C92-SUMIFS(рапорт!$P:$P,рапорт!$A:$A,A92)-SUMIFS(рапорт!$U:$U,рапорт!$A:$A,A92)/4</f>
        <v>45251</v>
      </c>
      <c r="L92" s="49">
        <f>L91+D92-SUMIFS(рапорт!$Q:$Q,рапорт!$A:$A,A92)-SUMIFS(рапорт!$U:$U,рапорт!$A:$A,A92)/4</f>
        <v>28853</v>
      </c>
      <c r="M92" s="50">
        <f>M91+E92-SUMIFS(рапорт!$R:$R,рапорт!$A:$A,A92)-SUMIFS(рапорт!$U:$U,рапорт!$A:$A,A92)/4</f>
        <v>53633</v>
      </c>
      <c r="O92" s="55">
        <v>46111</v>
      </c>
      <c r="P92" s="48"/>
      <c r="Q92" s="49"/>
      <c r="R92" s="49"/>
      <c r="S92" s="50"/>
      <c r="T92" s="60">
        <f t="shared" si="32"/>
        <v>0</v>
      </c>
      <c r="U92" s="48">
        <f t="shared" si="20"/>
        <v>749400</v>
      </c>
      <c r="V92" s="49">
        <f t="shared" si="34"/>
        <v>0</v>
      </c>
      <c r="W92" s="49">
        <f t="shared" si="34"/>
        <v>0</v>
      </c>
      <c r="X92" s="50">
        <f t="shared" si="34"/>
        <v>0</v>
      </c>
      <c r="Y92" s="73">
        <f t="shared" si="33"/>
        <v>749400</v>
      </c>
    </row>
    <row r="93" spans="1:25" x14ac:dyDescent="0.2">
      <c r="A93" s="55">
        <v>46112</v>
      </c>
      <c r="B93" s="48"/>
      <c r="C93" s="49"/>
      <c r="D93" s="49">
        <v>39550</v>
      </c>
      <c r="E93" s="50">
        <v>40130</v>
      </c>
      <c r="F93" s="48">
        <f t="shared" si="27"/>
        <v>42123</v>
      </c>
      <c r="G93" s="49">
        <f t="shared" si="28"/>
        <v>69725</v>
      </c>
      <c r="H93" s="49">
        <f t="shared" si="29"/>
        <v>0</v>
      </c>
      <c r="I93" s="50">
        <f t="shared" si="30"/>
        <v>14417</v>
      </c>
      <c r="J93" s="48">
        <f>J92+B93-SUMIFS(рапорт!$O:$O,рапорт!$A:$A,A93)-SUMIFS(рапорт!$U:$U,рапорт!$A:$A,A93)/4</f>
        <v>706</v>
      </c>
      <c r="K93" s="49">
        <f>K92+C93-SUMIFS(рапорт!$P:$P,рапорт!$A:$A,A93)-SUMIFS(рапорт!$U:$U,рапорт!$A:$A,A93)/4</f>
        <v>45251</v>
      </c>
      <c r="L93" s="49">
        <f>L92+D93-SUMIFS(рапорт!$Q:$Q,рапорт!$A:$A,A93)-SUMIFS(рапорт!$U:$U,рапорт!$A:$A,A93)/4</f>
        <v>47911</v>
      </c>
      <c r="M93" s="50">
        <f>M92+E93-SUMIFS(рапорт!$R:$R,рапорт!$A:$A,A93)-SUMIFS(рапорт!$U:$U,рапорт!$A:$A,A93)/4</f>
        <v>77131</v>
      </c>
      <c r="O93" s="55">
        <v>46112</v>
      </c>
      <c r="P93" s="48"/>
      <c r="Q93" s="49"/>
      <c r="R93" s="49"/>
      <c r="S93" s="50"/>
      <c r="T93" s="60">
        <f t="shared" si="32"/>
        <v>0</v>
      </c>
      <c r="U93" s="48">
        <f t="shared" si="20"/>
        <v>749400</v>
      </c>
      <c r="V93" s="49">
        <f t="shared" si="34"/>
        <v>0</v>
      </c>
      <c r="W93" s="49">
        <f t="shared" si="34"/>
        <v>0</v>
      </c>
      <c r="X93" s="50">
        <f t="shared" si="34"/>
        <v>0</v>
      </c>
      <c r="Y93" s="73">
        <f t="shared" si="33"/>
        <v>749400</v>
      </c>
    </row>
    <row r="94" spans="1:25" x14ac:dyDescent="0.2">
      <c r="A94" s="55">
        <v>46113</v>
      </c>
      <c r="B94" s="48"/>
      <c r="C94" s="49"/>
      <c r="D94" s="49">
        <v>39480</v>
      </c>
      <c r="E94" s="50"/>
      <c r="F94" s="48">
        <f t="shared" si="27"/>
        <v>42123</v>
      </c>
      <c r="G94" s="49">
        <f t="shared" si="28"/>
        <v>69725</v>
      </c>
      <c r="H94" s="49">
        <f t="shared" si="29"/>
        <v>0</v>
      </c>
      <c r="I94" s="50">
        <f t="shared" si="30"/>
        <v>14417</v>
      </c>
      <c r="J94" s="48">
        <f>J93+B94-SUMIFS(рапорт!$O:$O,рапорт!$A:$A,A94)-SUMIFS(рапорт!$U:$U,рапорт!$A:$A,A94)/4</f>
        <v>706</v>
      </c>
      <c r="K94" s="49">
        <f>K93+C94-SUMIFS(рапорт!$P:$P,рапорт!$A:$A,A94)-SUMIFS(рапорт!$U:$U,рапорт!$A:$A,A94)/4</f>
        <v>45251</v>
      </c>
      <c r="L94" s="49">
        <f>L93+D94-SUMIFS(рапорт!$Q:$Q,рапорт!$A:$A,A94)-SUMIFS(рапорт!$U:$U,рапорт!$A:$A,A94)/4</f>
        <v>51543</v>
      </c>
      <c r="M94" s="50">
        <f>M93+E94-SUMIFS(рапорт!$R:$R,рапорт!$A:$A,A94)-SUMIFS(рапорт!$U:$U,рапорт!$A:$A,A94)/4</f>
        <v>43893</v>
      </c>
      <c r="O94" s="55">
        <v>46113</v>
      </c>
      <c r="P94" s="48"/>
      <c r="Q94" s="49"/>
      <c r="R94" s="49"/>
      <c r="S94" s="50"/>
      <c r="T94" s="60">
        <f t="shared" si="32"/>
        <v>0</v>
      </c>
      <c r="U94" s="48">
        <f t="shared" si="20"/>
        <v>749400</v>
      </c>
      <c r="V94" s="49">
        <f t="shared" si="34"/>
        <v>0</v>
      </c>
      <c r="W94" s="49">
        <f t="shared" si="34"/>
        <v>0</v>
      </c>
      <c r="X94" s="50">
        <f t="shared" si="34"/>
        <v>0</v>
      </c>
      <c r="Y94" s="73">
        <f t="shared" si="33"/>
        <v>749400</v>
      </c>
    </row>
    <row r="95" spans="1:25" x14ac:dyDescent="0.2">
      <c r="A95" s="55">
        <v>46114</v>
      </c>
      <c r="B95" s="48"/>
      <c r="C95" s="49"/>
      <c r="D95" s="49">
        <v>37640</v>
      </c>
      <c r="E95" s="50">
        <v>38590</v>
      </c>
      <c r="F95" s="48">
        <f t="shared" si="27"/>
        <v>42123</v>
      </c>
      <c r="G95" s="49">
        <f t="shared" si="28"/>
        <v>69725</v>
      </c>
      <c r="H95" s="49">
        <f t="shared" si="29"/>
        <v>0</v>
      </c>
      <c r="I95" s="50">
        <f t="shared" si="30"/>
        <v>14417</v>
      </c>
      <c r="J95" s="48">
        <f>J94+B95-SUMIFS(рапорт!$O:$O,рапорт!$A:$A,A95)-SUMIFS(рапорт!$U:$U,рапорт!$A:$A,A95)/4</f>
        <v>706</v>
      </c>
      <c r="K95" s="49">
        <f>K94+C95-SUMIFS(рапорт!$P:$P,рапорт!$A:$A,A95)-SUMIFS(рапорт!$U:$U,рапорт!$A:$A,A95)/4</f>
        <v>45251</v>
      </c>
      <c r="L95" s="49">
        <f>L94+D95-SUMIFS(рапорт!$Q:$Q,рапорт!$A:$A,A95)-SUMIFS(рапорт!$U:$U,рапорт!$A:$A,A95)/4</f>
        <v>57500</v>
      </c>
      <c r="M95" s="50">
        <f>M94+E95-SUMIFS(рапорт!$R:$R,рапорт!$A:$A,A95)-SUMIFS(рапорт!$U:$U,рапорт!$A:$A,A95)/4</f>
        <v>40293</v>
      </c>
      <c r="O95" s="55">
        <v>46114</v>
      </c>
      <c r="P95" s="48"/>
      <c r="Q95" s="49"/>
      <c r="R95" s="49"/>
      <c r="S95" s="50"/>
      <c r="T95" s="60">
        <f t="shared" si="32"/>
        <v>0</v>
      </c>
      <c r="U95" s="48">
        <f t="shared" si="20"/>
        <v>749400</v>
      </c>
      <c r="V95" s="49">
        <f t="shared" si="34"/>
        <v>0</v>
      </c>
      <c r="W95" s="49">
        <f t="shared" si="34"/>
        <v>0</v>
      </c>
      <c r="X95" s="50">
        <f t="shared" si="34"/>
        <v>0</v>
      </c>
      <c r="Y95" s="73">
        <f t="shared" si="33"/>
        <v>749400</v>
      </c>
    </row>
    <row r="96" spans="1:25" x14ac:dyDescent="0.2">
      <c r="A96" s="55">
        <v>46115</v>
      </c>
      <c r="B96" s="48"/>
      <c r="C96" s="49"/>
      <c r="D96" s="49">
        <v>41880</v>
      </c>
      <c r="E96" s="50">
        <v>39220</v>
      </c>
      <c r="F96" s="48">
        <f t="shared" si="27"/>
        <v>42123</v>
      </c>
      <c r="G96" s="49">
        <f t="shared" si="28"/>
        <v>69725</v>
      </c>
      <c r="H96" s="49">
        <f t="shared" si="29"/>
        <v>0</v>
      </c>
      <c r="I96" s="50">
        <f t="shared" si="30"/>
        <v>14417</v>
      </c>
      <c r="J96" s="48">
        <f>J95+B96-SUMIFS(рапорт!$O:$O,рапорт!$A:$A,A96)-SUMIFS(рапорт!$U:$U,рапорт!$A:$A,A96)/4</f>
        <v>706</v>
      </c>
      <c r="K96" s="49">
        <f>K95+C96-SUMIFS(рапорт!$P:$P,рапорт!$A:$A,A96)-SUMIFS(рапорт!$U:$U,рапорт!$A:$A,A96)/4</f>
        <v>45251</v>
      </c>
      <c r="L96" s="49">
        <f>L95+D96-SUMIFS(рапорт!$Q:$Q,рапорт!$A:$A,A96)-SUMIFS(рапорт!$U:$U,рапорт!$A:$A,A96)/4</f>
        <v>84322</v>
      </c>
      <c r="M96" s="50">
        <f>M95+E96-SUMIFS(рапорт!$R:$R,рапорт!$A:$A,A96)-SUMIFS(рапорт!$U:$U,рапорт!$A:$A,A96)/4</f>
        <v>64809</v>
      </c>
      <c r="O96" s="55">
        <v>46115</v>
      </c>
      <c r="P96" s="48"/>
      <c r="Q96" s="49"/>
      <c r="R96" s="49"/>
      <c r="S96" s="50"/>
      <c r="T96" s="60">
        <f t="shared" si="32"/>
        <v>0</v>
      </c>
      <c r="U96" s="48">
        <f t="shared" si="20"/>
        <v>749400</v>
      </c>
      <c r="V96" s="49">
        <f t="shared" si="34"/>
        <v>0</v>
      </c>
      <c r="W96" s="49">
        <f t="shared" si="34"/>
        <v>0</v>
      </c>
      <c r="X96" s="50">
        <f t="shared" si="34"/>
        <v>0</v>
      </c>
      <c r="Y96" s="73">
        <f t="shared" si="33"/>
        <v>749400</v>
      </c>
    </row>
    <row r="97" spans="1:25" x14ac:dyDescent="0.2">
      <c r="A97" s="55">
        <v>46116</v>
      </c>
      <c r="B97" s="48"/>
      <c r="C97" s="49"/>
      <c r="D97" s="49">
        <v>40250</v>
      </c>
      <c r="E97" s="50">
        <v>39960</v>
      </c>
      <c r="F97" s="48">
        <f t="shared" si="27"/>
        <v>42123</v>
      </c>
      <c r="G97" s="49">
        <f t="shared" si="28"/>
        <v>69725</v>
      </c>
      <c r="H97" s="49">
        <f t="shared" si="29"/>
        <v>0</v>
      </c>
      <c r="I97" s="50">
        <f t="shared" si="30"/>
        <v>14417</v>
      </c>
      <c r="J97" s="48">
        <f>J96+B97-SUMIFS(рапорт!$O:$O,рапорт!$A:$A,A97)-SUMIFS(рапорт!$U:$U,рапорт!$A:$A,A97)/4</f>
        <v>706</v>
      </c>
      <c r="K97" s="49">
        <f>K96+C97-SUMIFS(рапорт!$P:$P,рапорт!$A:$A,A97)-SUMIFS(рапорт!$U:$U,рапорт!$A:$A,A97)/4</f>
        <v>45251</v>
      </c>
      <c r="L97" s="49">
        <f>L96+D97-SUMIFS(рапорт!$Q:$Q,рапорт!$A:$A,A97)-SUMIFS(рапорт!$U:$U,рапорт!$A:$A,A97)/4</f>
        <v>83613</v>
      </c>
      <c r="M97" s="50">
        <f>M96+E97-SUMIFS(рапорт!$R:$R,рапорт!$A:$A,A97)-SUMIFS(рапорт!$U:$U,рапорт!$A:$A,A97)/4</f>
        <v>62544</v>
      </c>
      <c r="O97" s="55">
        <v>46116</v>
      </c>
      <c r="P97" s="48"/>
      <c r="Q97" s="49"/>
      <c r="R97" s="49"/>
      <c r="S97" s="50"/>
      <c r="T97" s="60">
        <f t="shared" si="32"/>
        <v>0</v>
      </c>
      <c r="U97" s="48">
        <f t="shared" si="20"/>
        <v>749400</v>
      </c>
      <c r="V97" s="49">
        <f t="shared" si="34"/>
        <v>0</v>
      </c>
      <c r="W97" s="49">
        <f t="shared" si="34"/>
        <v>0</v>
      </c>
      <c r="X97" s="50">
        <f t="shared" si="34"/>
        <v>0</v>
      </c>
      <c r="Y97" s="73">
        <f t="shared" si="33"/>
        <v>749400</v>
      </c>
    </row>
    <row r="98" spans="1:25" x14ac:dyDescent="0.2">
      <c r="A98" s="55">
        <v>46117</v>
      </c>
      <c r="B98" s="48"/>
      <c r="C98" s="49"/>
      <c r="D98" s="49">
        <v>40000</v>
      </c>
      <c r="E98" s="50">
        <v>40210</v>
      </c>
      <c r="F98" s="48">
        <f t="shared" si="27"/>
        <v>42123</v>
      </c>
      <c r="G98" s="49">
        <f t="shared" si="28"/>
        <v>69725</v>
      </c>
      <c r="H98" s="49">
        <f t="shared" si="29"/>
        <v>0</v>
      </c>
      <c r="I98" s="50">
        <f t="shared" si="30"/>
        <v>14417</v>
      </c>
      <c r="J98" s="48">
        <f>J97+B98-SUMIFS(рапорт!$O:$O,рапорт!$A:$A,A98)-SUMIFS(рапорт!$U:$U,рапорт!$A:$A,A98)/4</f>
        <v>706</v>
      </c>
      <c r="K98" s="49">
        <f>K97+C98-SUMIFS(рапорт!$P:$P,рапорт!$A:$A,A98)-SUMIFS(рапорт!$U:$U,рапорт!$A:$A,A98)/4</f>
        <v>45251</v>
      </c>
      <c r="L98" s="49">
        <f>L97+D98-SUMIFS(рапорт!$Q:$Q,рапорт!$A:$A,A98)-SUMIFS(рапорт!$U:$U,рапорт!$A:$A,A98)/4</f>
        <v>83788</v>
      </c>
      <c r="M98" s="50">
        <f>M97+E98-SUMIFS(рапорт!$R:$R,рапорт!$A:$A,A98)-SUMIFS(рапорт!$U:$U,рапорт!$A:$A,A98)/4</f>
        <v>63112</v>
      </c>
      <c r="O98" s="55">
        <v>46117</v>
      </c>
      <c r="P98" s="48"/>
      <c r="Q98" s="49"/>
      <c r="R98" s="49"/>
      <c r="S98" s="50"/>
      <c r="T98" s="60">
        <f t="shared" si="32"/>
        <v>0</v>
      </c>
      <c r="U98" s="48">
        <f t="shared" si="20"/>
        <v>749400</v>
      </c>
      <c r="V98" s="49">
        <f t="shared" si="34"/>
        <v>0</v>
      </c>
      <c r="W98" s="49">
        <f t="shared" si="34"/>
        <v>0</v>
      </c>
      <c r="X98" s="50">
        <f t="shared" si="34"/>
        <v>0</v>
      </c>
      <c r="Y98" s="73">
        <f t="shared" si="33"/>
        <v>749400</v>
      </c>
    </row>
    <row r="99" spans="1:25" x14ac:dyDescent="0.2">
      <c r="A99" s="55">
        <v>46118</v>
      </c>
      <c r="B99" s="48"/>
      <c r="C99" s="49"/>
      <c r="D99" s="49">
        <v>39500</v>
      </c>
      <c r="E99" s="50">
        <v>37930</v>
      </c>
      <c r="F99" s="48">
        <f t="shared" si="27"/>
        <v>42123</v>
      </c>
      <c r="G99" s="49">
        <f t="shared" si="28"/>
        <v>69725</v>
      </c>
      <c r="H99" s="49">
        <f t="shared" si="29"/>
        <v>0</v>
      </c>
      <c r="I99" s="50">
        <f t="shared" si="30"/>
        <v>14417</v>
      </c>
      <c r="J99" s="48">
        <f>J98+B99-SUMIFS(рапорт!$O:$O,рапорт!$A:$A,A99)-SUMIFS(рапорт!$U:$U,рапорт!$A:$A,A99)/4</f>
        <v>706</v>
      </c>
      <c r="K99" s="49">
        <f>K98+C99-SUMIFS(рапорт!$P:$P,рапорт!$A:$A,A99)-SUMIFS(рапорт!$U:$U,рапорт!$A:$A,A99)/4</f>
        <v>45251</v>
      </c>
      <c r="L99" s="49">
        <f>L98+D99-SUMIFS(рапорт!$Q:$Q,рапорт!$A:$A,A99)-SUMIFS(рапорт!$U:$U,рапорт!$A:$A,A99)/4</f>
        <v>88759</v>
      </c>
      <c r="M99" s="50">
        <f>M98+E99-SUMIFS(рапорт!$R:$R,рапорт!$A:$A,A99)-SUMIFS(рапорт!$U:$U,рапорт!$A:$A,A99)/4</f>
        <v>61392</v>
      </c>
      <c r="O99" s="55">
        <v>46118</v>
      </c>
      <c r="P99" s="48"/>
      <c r="Q99" s="49"/>
      <c r="R99" s="49"/>
      <c r="S99" s="50"/>
      <c r="T99" s="60">
        <f t="shared" si="32"/>
        <v>0</v>
      </c>
      <c r="U99" s="48">
        <f t="shared" si="20"/>
        <v>749400</v>
      </c>
      <c r="V99" s="49">
        <f t="shared" si="34"/>
        <v>0</v>
      </c>
      <c r="W99" s="49">
        <f t="shared" si="34"/>
        <v>0</v>
      </c>
      <c r="X99" s="50">
        <f t="shared" si="34"/>
        <v>0</v>
      </c>
      <c r="Y99" s="73">
        <f t="shared" si="33"/>
        <v>749400</v>
      </c>
    </row>
    <row r="100" spans="1:25" x14ac:dyDescent="0.2">
      <c r="A100" s="55">
        <v>46119</v>
      </c>
      <c r="B100" s="48"/>
      <c r="C100" s="49"/>
      <c r="D100" s="49"/>
      <c r="E100" s="50">
        <v>39530</v>
      </c>
      <c r="F100" s="48">
        <f t="shared" si="27"/>
        <v>42123</v>
      </c>
      <c r="G100" s="49">
        <f t="shared" si="28"/>
        <v>69725</v>
      </c>
      <c r="H100" s="49">
        <f t="shared" si="29"/>
        <v>0</v>
      </c>
      <c r="I100" s="50">
        <f t="shared" si="30"/>
        <v>14417</v>
      </c>
      <c r="J100" s="48">
        <f>J99+B100-SUMIFS(рапорт!$O:$O,рапорт!$A:$A,A100)-SUMIFS(рапорт!$U:$U,рапорт!$A:$A,A100)/4</f>
        <v>706</v>
      </c>
      <c r="K100" s="49">
        <f>K99+C100-SUMIFS(рапорт!$P:$P,рапорт!$A:$A,A100)-SUMIFS(рапорт!$U:$U,рапорт!$A:$A,A100)/4</f>
        <v>45251</v>
      </c>
      <c r="L100" s="49">
        <f>L99+D100-SUMIFS(рапорт!$Q:$Q,рапорт!$A:$A,A100)-SUMIFS(рапорт!$U:$U,рапорт!$A:$A,A100)/4</f>
        <v>56770</v>
      </c>
      <c r="M100" s="50">
        <f>M99+E100-SUMIFS(рапорт!$R:$R,рапорт!$A:$A,A100)-SUMIFS(рапорт!$U:$U,рапорт!$A:$A,A100)/4</f>
        <v>68943</v>
      </c>
      <c r="O100" s="55">
        <v>46119</v>
      </c>
      <c r="P100" s="48"/>
      <c r="Q100" s="49"/>
      <c r="R100" s="49"/>
      <c r="S100" s="50"/>
      <c r="T100" s="60">
        <f t="shared" si="32"/>
        <v>0</v>
      </c>
      <c r="U100" s="48">
        <f t="shared" si="20"/>
        <v>749400</v>
      </c>
      <c r="V100" s="49">
        <f t="shared" ref="V100:X115" si="35">V99</f>
        <v>0</v>
      </c>
      <c r="W100" s="49">
        <f t="shared" si="35"/>
        <v>0</v>
      </c>
      <c r="X100" s="50">
        <f t="shared" si="35"/>
        <v>0</v>
      </c>
      <c r="Y100" s="73">
        <f t="shared" si="33"/>
        <v>749400</v>
      </c>
    </row>
    <row r="101" spans="1:25" x14ac:dyDescent="0.2">
      <c r="A101" s="55">
        <v>46120</v>
      </c>
      <c r="B101" s="48"/>
      <c r="C101" s="49"/>
      <c r="D101" s="49">
        <v>39330</v>
      </c>
      <c r="E101" s="50">
        <v>40070</v>
      </c>
      <c r="F101" s="48">
        <f t="shared" si="27"/>
        <v>42123</v>
      </c>
      <c r="G101" s="49">
        <f t="shared" si="28"/>
        <v>69725</v>
      </c>
      <c r="H101" s="49">
        <f t="shared" si="29"/>
        <v>0</v>
      </c>
      <c r="I101" s="50">
        <f t="shared" si="30"/>
        <v>14417</v>
      </c>
      <c r="J101" s="48">
        <f>J100+B101-SUMIFS(рапорт!$O:$O,рапорт!$A:$A,A101)-SUMIFS(рапорт!$U:$U,рапорт!$A:$A,A101)/4</f>
        <v>706</v>
      </c>
      <c r="K101" s="49">
        <f>K100+C101-SUMIFS(рапорт!$P:$P,рапорт!$A:$A,A101)-SUMIFS(рапорт!$U:$U,рапорт!$A:$A,A101)/4</f>
        <v>45251</v>
      </c>
      <c r="L101" s="49">
        <f>L100+D101-SUMIFS(рапорт!$Q:$Q,рапорт!$A:$A,A101)-SUMIFS(рапорт!$U:$U,рапорт!$A:$A,A101)/4</f>
        <v>59007</v>
      </c>
      <c r="M101" s="50">
        <f>M100+E101-SUMIFS(рапорт!$R:$R,рапорт!$A:$A,A101)-SUMIFS(рапорт!$U:$U,рапорт!$A:$A,A101)/4</f>
        <v>71910</v>
      </c>
      <c r="O101" s="55">
        <v>46120</v>
      </c>
      <c r="P101" s="48"/>
      <c r="Q101" s="49"/>
      <c r="R101" s="49"/>
      <c r="S101" s="50"/>
      <c r="T101" s="60">
        <f t="shared" si="32"/>
        <v>0</v>
      </c>
      <c r="U101" s="48">
        <f t="shared" si="20"/>
        <v>749400</v>
      </c>
      <c r="V101" s="49">
        <f t="shared" si="35"/>
        <v>0</v>
      </c>
      <c r="W101" s="49">
        <f t="shared" si="35"/>
        <v>0</v>
      </c>
      <c r="X101" s="50">
        <f t="shared" si="35"/>
        <v>0</v>
      </c>
      <c r="Y101" s="73">
        <f t="shared" si="33"/>
        <v>749400</v>
      </c>
    </row>
    <row r="102" spans="1:25" x14ac:dyDescent="0.2">
      <c r="A102" s="55">
        <v>46121</v>
      </c>
      <c r="B102" s="48"/>
      <c r="C102" s="49"/>
      <c r="D102" s="49">
        <v>39850</v>
      </c>
      <c r="E102" s="50">
        <v>39680</v>
      </c>
      <c r="F102" s="48">
        <f t="shared" si="27"/>
        <v>42123</v>
      </c>
      <c r="G102" s="49">
        <f t="shared" si="28"/>
        <v>69725</v>
      </c>
      <c r="H102" s="49">
        <f t="shared" si="29"/>
        <v>0</v>
      </c>
      <c r="I102" s="50">
        <f t="shared" si="30"/>
        <v>14417</v>
      </c>
      <c r="J102" s="48">
        <f>J101+B102-SUMIFS(рапорт!$O:$O,рапорт!$A:$A,A102)-SUMIFS(рапорт!$U:$U,рапорт!$A:$A,A102)/4</f>
        <v>706</v>
      </c>
      <c r="K102" s="49">
        <f>K101+C102-SUMIFS(рапорт!$P:$P,рапорт!$A:$A,A102)-SUMIFS(рапорт!$U:$U,рапорт!$A:$A,A102)/4</f>
        <v>45251</v>
      </c>
      <c r="L102" s="49">
        <f>L101+D102-SUMIFS(рапорт!$Q:$Q,рапорт!$A:$A,A102)-SUMIFS(рапорт!$U:$U,рапорт!$A:$A,A102)/4</f>
        <v>65593</v>
      </c>
      <c r="M102" s="50">
        <f>M101+E102-SUMIFS(рапорт!$R:$R,рапорт!$A:$A,A102)-SUMIFS(рапорт!$U:$U,рапорт!$A:$A,A102)/4</f>
        <v>78965</v>
      </c>
      <c r="O102" s="55">
        <v>46121</v>
      </c>
      <c r="P102" s="48"/>
      <c r="Q102" s="49"/>
      <c r="R102" s="49"/>
      <c r="S102" s="50"/>
      <c r="T102" s="60">
        <f t="shared" si="32"/>
        <v>0</v>
      </c>
      <c r="U102" s="48">
        <f t="shared" si="20"/>
        <v>749400</v>
      </c>
      <c r="V102" s="49">
        <f t="shared" si="35"/>
        <v>0</v>
      </c>
      <c r="W102" s="49">
        <f t="shared" si="35"/>
        <v>0</v>
      </c>
      <c r="X102" s="50">
        <f t="shared" si="35"/>
        <v>0</v>
      </c>
      <c r="Y102" s="73">
        <f t="shared" si="33"/>
        <v>749400</v>
      </c>
    </row>
    <row r="103" spans="1:25" x14ac:dyDescent="0.2">
      <c r="A103" s="55">
        <v>46122</v>
      </c>
      <c r="B103" s="48"/>
      <c r="C103" s="49"/>
      <c r="D103" s="49">
        <v>42130</v>
      </c>
      <c r="E103" s="50">
        <v>40670</v>
      </c>
      <c r="F103" s="48">
        <f t="shared" si="27"/>
        <v>42123</v>
      </c>
      <c r="G103" s="49">
        <f t="shared" si="28"/>
        <v>69725</v>
      </c>
      <c r="H103" s="49">
        <f t="shared" si="29"/>
        <v>0</v>
      </c>
      <c r="I103" s="50">
        <f t="shared" si="30"/>
        <v>14417</v>
      </c>
      <c r="J103" s="48">
        <f>J102+B103-SUMIFS(рапорт!$O:$O,рапорт!$A:$A,A103)-SUMIFS(рапорт!$U:$U,рапорт!$A:$A,A103)/4</f>
        <v>706</v>
      </c>
      <c r="K103" s="49">
        <f>K102+C103-SUMIFS(рапорт!$P:$P,рапорт!$A:$A,A103)-SUMIFS(рапорт!$U:$U,рапорт!$A:$A,A103)/4</f>
        <v>45251</v>
      </c>
      <c r="L103" s="49">
        <f>L102+D103-SUMIFS(рапорт!$Q:$Q,рапорт!$A:$A,A103)-SUMIFS(рапорт!$U:$U,рапорт!$A:$A,A103)/4</f>
        <v>105803</v>
      </c>
      <c r="M103" s="50">
        <f>M102+E103-SUMIFS(рапорт!$R:$R,рапорт!$A:$A,A103)-SUMIFS(рапорт!$U:$U,рапорт!$A:$A,A103)/4</f>
        <v>118395</v>
      </c>
      <c r="O103" s="55">
        <v>46122</v>
      </c>
      <c r="P103" s="48"/>
      <c r="Q103" s="49"/>
      <c r="R103" s="49"/>
      <c r="S103" s="50"/>
      <c r="T103" s="60">
        <f t="shared" si="32"/>
        <v>0</v>
      </c>
      <c r="U103" s="48">
        <f t="shared" si="20"/>
        <v>749400</v>
      </c>
      <c r="V103" s="49">
        <f t="shared" si="35"/>
        <v>0</v>
      </c>
      <c r="W103" s="49">
        <f t="shared" si="35"/>
        <v>0</v>
      </c>
      <c r="X103" s="50">
        <f t="shared" si="35"/>
        <v>0</v>
      </c>
      <c r="Y103" s="73">
        <f t="shared" si="33"/>
        <v>749400</v>
      </c>
    </row>
    <row r="104" spans="1:25" x14ac:dyDescent="0.2">
      <c r="A104" s="55">
        <v>46123</v>
      </c>
      <c r="B104" s="48"/>
      <c r="C104" s="49"/>
      <c r="D104" s="49"/>
      <c r="E104" s="50"/>
      <c r="F104" s="48">
        <f t="shared" si="27"/>
        <v>42123</v>
      </c>
      <c r="G104" s="49">
        <f t="shared" si="28"/>
        <v>69725</v>
      </c>
      <c r="H104" s="49">
        <f t="shared" si="29"/>
        <v>0</v>
      </c>
      <c r="I104" s="50">
        <f t="shared" si="30"/>
        <v>14417</v>
      </c>
      <c r="J104" s="48">
        <f>J103+B104-SUMIFS(рапорт!$O:$O,рапорт!$A:$A,A104)-SUMIFS(рапорт!$U:$U,рапорт!$A:$A,A104)/4</f>
        <v>706</v>
      </c>
      <c r="K104" s="49">
        <f>K103+C104-SUMIFS(рапорт!$P:$P,рапорт!$A:$A,A104)-SUMIFS(рапорт!$U:$U,рапорт!$A:$A,A104)/4</f>
        <v>45251</v>
      </c>
      <c r="L104" s="49">
        <f>L103+D104-SUMIFS(рапорт!$Q:$Q,рапорт!$A:$A,A104)-SUMIFS(рапорт!$U:$U,рапорт!$A:$A,A104)/4</f>
        <v>105803</v>
      </c>
      <c r="M104" s="50">
        <f>M103+E104-SUMIFS(рапорт!$R:$R,рапорт!$A:$A,A104)-SUMIFS(рапорт!$U:$U,рапорт!$A:$A,A104)/4</f>
        <v>118395</v>
      </c>
      <c r="O104" s="55">
        <v>46123</v>
      </c>
      <c r="P104" s="48"/>
      <c r="Q104" s="49"/>
      <c r="R104" s="49"/>
      <c r="S104" s="50"/>
      <c r="T104" s="60">
        <f t="shared" si="32"/>
        <v>0</v>
      </c>
      <c r="U104" s="48">
        <f t="shared" si="20"/>
        <v>749400</v>
      </c>
      <c r="V104" s="49">
        <f t="shared" si="35"/>
        <v>0</v>
      </c>
      <c r="W104" s="49">
        <f t="shared" si="35"/>
        <v>0</v>
      </c>
      <c r="X104" s="50">
        <f t="shared" si="35"/>
        <v>0</v>
      </c>
      <c r="Y104" s="73">
        <f t="shared" si="33"/>
        <v>749400</v>
      </c>
    </row>
    <row r="105" spans="1:25" x14ac:dyDescent="0.2">
      <c r="A105" s="55">
        <v>46124</v>
      </c>
      <c r="B105" s="48"/>
      <c r="C105" s="49"/>
      <c r="D105" s="49"/>
      <c r="E105" s="50"/>
      <c r="F105" s="48">
        <f t="shared" si="27"/>
        <v>42123</v>
      </c>
      <c r="G105" s="49">
        <f t="shared" si="28"/>
        <v>69725</v>
      </c>
      <c r="H105" s="49">
        <f t="shared" si="29"/>
        <v>0</v>
      </c>
      <c r="I105" s="50">
        <f t="shared" si="30"/>
        <v>14417</v>
      </c>
      <c r="J105" s="48">
        <f>J104+B105-SUMIFS(рапорт!$O:$O,рапорт!$A:$A,A105)-SUMIFS(рапорт!$U:$U,рапорт!$A:$A,A105)/4</f>
        <v>706</v>
      </c>
      <c r="K105" s="49">
        <f>K104+C105-SUMIFS(рапорт!$P:$P,рапорт!$A:$A,A105)-SUMIFS(рапорт!$U:$U,рапорт!$A:$A,A105)/4</f>
        <v>45251</v>
      </c>
      <c r="L105" s="49">
        <f>L104+D105-SUMIFS(рапорт!$Q:$Q,рапорт!$A:$A,A105)-SUMIFS(рапорт!$U:$U,рапорт!$A:$A,A105)/4</f>
        <v>80889</v>
      </c>
      <c r="M105" s="50">
        <f>M104+E105-SUMIFS(рапорт!$R:$R,рапорт!$A:$A,A105)-SUMIFS(рапорт!$U:$U,рапорт!$A:$A,A105)/4</f>
        <v>95380</v>
      </c>
      <c r="O105" s="55">
        <v>46124</v>
      </c>
      <c r="P105" s="48"/>
      <c r="Q105" s="49"/>
      <c r="R105" s="49"/>
      <c r="S105" s="50"/>
      <c r="T105" s="60">
        <f t="shared" si="32"/>
        <v>0</v>
      </c>
      <c r="U105" s="48">
        <f t="shared" si="20"/>
        <v>749400</v>
      </c>
      <c r="V105" s="49">
        <f t="shared" si="35"/>
        <v>0</v>
      </c>
      <c r="W105" s="49">
        <f t="shared" si="35"/>
        <v>0</v>
      </c>
      <c r="X105" s="50">
        <f t="shared" si="35"/>
        <v>0</v>
      </c>
      <c r="Y105" s="73">
        <f t="shared" si="33"/>
        <v>749400</v>
      </c>
    </row>
    <row r="106" spans="1:25" x14ac:dyDescent="0.2">
      <c r="A106" s="55">
        <v>46125</v>
      </c>
      <c r="B106" s="48"/>
      <c r="C106" s="49"/>
      <c r="D106" s="49">
        <v>40730</v>
      </c>
      <c r="E106" s="50"/>
      <c r="F106" s="48">
        <f t="shared" si="27"/>
        <v>42123</v>
      </c>
      <c r="G106" s="49">
        <f t="shared" si="28"/>
        <v>69725</v>
      </c>
      <c r="H106" s="49">
        <f t="shared" si="29"/>
        <v>0</v>
      </c>
      <c r="I106" s="50">
        <f t="shared" si="30"/>
        <v>14417</v>
      </c>
      <c r="J106" s="48">
        <f>J105+B106-SUMIFS(рапорт!$O:$O,рапорт!$A:$A,A106)-SUMIFS(рапорт!$U:$U,рапорт!$A:$A,A106)/4</f>
        <v>706</v>
      </c>
      <c r="K106" s="49">
        <f>K105+C106-SUMIFS(рапорт!$P:$P,рапорт!$A:$A,A106)-SUMIFS(рапорт!$U:$U,рапорт!$A:$A,A106)/4</f>
        <v>45251</v>
      </c>
      <c r="L106" s="49">
        <f>L105+D106-SUMIFS(рапорт!$Q:$Q,рапорт!$A:$A,A106)-SUMIFS(рапорт!$U:$U,рапорт!$A:$A,A106)/4</f>
        <v>83906</v>
      </c>
      <c r="M106" s="50">
        <f>M105+E106-SUMIFS(рапорт!$R:$R,рапорт!$A:$A,A106)-SUMIFS(рапорт!$U:$U,рапорт!$A:$A,A106)/4</f>
        <v>57029</v>
      </c>
      <c r="O106" s="55">
        <v>46125</v>
      </c>
      <c r="P106" s="48"/>
      <c r="Q106" s="49"/>
      <c r="R106" s="49"/>
      <c r="S106" s="50"/>
      <c r="T106" s="60">
        <f t="shared" si="32"/>
        <v>0</v>
      </c>
      <c r="U106" s="48">
        <f t="shared" si="20"/>
        <v>749400</v>
      </c>
      <c r="V106" s="49">
        <f t="shared" si="35"/>
        <v>0</v>
      </c>
      <c r="W106" s="49">
        <f t="shared" si="35"/>
        <v>0</v>
      </c>
      <c r="X106" s="50">
        <f t="shared" si="35"/>
        <v>0</v>
      </c>
      <c r="Y106" s="73">
        <f t="shared" si="33"/>
        <v>749400</v>
      </c>
    </row>
    <row r="107" spans="1:25" x14ac:dyDescent="0.2">
      <c r="A107" s="55">
        <v>46126</v>
      </c>
      <c r="B107" s="48"/>
      <c r="C107" s="49"/>
      <c r="D107" s="49">
        <v>40610</v>
      </c>
      <c r="E107" s="50">
        <v>40360</v>
      </c>
      <c r="F107" s="48">
        <f t="shared" si="27"/>
        <v>42123</v>
      </c>
      <c r="G107" s="49">
        <f t="shared" si="28"/>
        <v>69725</v>
      </c>
      <c r="H107" s="49">
        <f t="shared" si="29"/>
        <v>0</v>
      </c>
      <c r="I107" s="50">
        <f t="shared" si="30"/>
        <v>14417</v>
      </c>
      <c r="J107" s="48">
        <f>J106+B107-SUMIFS(рапорт!$O:$O,рапорт!$A:$A,A107)-SUMIFS(рапорт!$U:$U,рапорт!$A:$A,A107)/4</f>
        <v>706</v>
      </c>
      <c r="K107" s="49">
        <f>K106+C107-SUMIFS(рапорт!$P:$P,рапорт!$A:$A,A107)-SUMIFS(рапорт!$U:$U,рапорт!$A:$A,A107)/4</f>
        <v>45251</v>
      </c>
      <c r="L107" s="49">
        <f>L106+D107-SUMIFS(рапорт!$Q:$Q,рапорт!$A:$A,A107)-SUMIFS(рапорт!$U:$U,рапорт!$A:$A,A107)/4</f>
        <v>89360</v>
      </c>
      <c r="M107" s="50">
        <f>M106+E107-SUMIFS(рапорт!$R:$R,рапорт!$A:$A,A107)-SUMIFS(рапорт!$U:$U,рапорт!$A:$A,A107)/4</f>
        <v>62852</v>
      </c>
      <c r="O107" s="55">
        <v>46126</v>
      </c>
      <c r="P107" s="48"/>
      <c r="Q107" s="49"/>
      <c r="R107" s="49"/>
      <c r="S107" s="50"/>
      <c r="T107" s="60">
        <f t="shared" si="32"/>
        <v>0</v>
      </c>
      <c r="U107" s="48">
        <f t="shared" si="20"/>
        <v>749400</v>
      </c>
      <c r="V107" s="49">
        <f t="shared" si="35"/>
        <v>0</v>
      </c>
      <c r="W107" s="49">
        <f t="shared" si="35"/>
        <v>0</v>
      </c>
      <c r="X107" s="50">
        <f t="shared" si="35"/>
        <v>0</v>
      </c>
      <c r="Y107" s="73">
        <f t="shared" si="33"/>
        <v>749400</v>
      </c>
    </row>
    <row r="108" spans="1:25" x14ac:dyDescent="0.2">
      <c r="A108" s="55">
        <v>46127</v>
      </c>
      <c r="B108" s="48"/>
      <c r="C108" s="49"/>
      <c r="D108" s="49">
        <v>40460</v>
      </c>
      <c r="E108" s="50">
        <v>39700</v>
      </c>
      <c r="F108" s="48">
        <f t="shared" si="27"/>
        <v>42123</v>
      </c>
      <c r="G108" s="49">
        <f t="shared" si="28"/>
        <v>69725</v>
      </c>
      <c r="H108" s="49">
        <f t="shared" si="29"/>
        <v>0</v>
      </c>
      <c r="I108" s="50">
        <f t="shared" si="30"/>
        <v>14417</v>
      </c>
      <c r="J108" s="48">
        <f>J107+B108-SUMIFS(рапорт!$O:$O,рапорт!$A:$A,A108)-SUMIFS(рапорт!$U:$U,рапорт!$A:$A,A108)/4</f>
        <v>706</v>
      </c>
      <c r="K108" s="49">
        <f>K107+C108-SUMIFS(рапорт!$P:$P,рапорт!$A:$A,A108)-SUMIFS(рапорт!$U:$U,рапорт!$A:$A,A108)/4</f>
        <v>45251</v>
      </c>
      <c r="L108" s="49">
        <f>L107+D108-SUMIFS(рапорт!$Q:$Q,рапорт!$A:$A,A108)-SUMIFS(рапорт!$U:$U,рапорт!$A:$A,A108)/4</f>
        <v>92737</v>
      </c>
      <c r="M108" s="50">
        <f>M107+E108-SUMIFS(рапорт!$R:$R,рапорт!$A:$A,A108)-SUMIFS(рапорт!$U:$U,рапорт!$A:$A,A108)/4</f>
        <v>64828</v>
      </c>
      <c r="O108" s="55">
        <v>46127</v>
      </c>
      <c r="P108" s="48"/>
      <c r="Q108" s="49"/>
      <c r="R108" s="49"/>
      <c r="S108" s="50"/>
      <c r="T108" s="60">
        <f t="shared" si="32"/>
        <v>0</v>
      </c>
      <c r="U108" s="48">
        <f t="shared" si="20"/>
        <v>749400</v>
      </c>
      <c r="V108" s="49">
        <f t="shared" si="35"/>
        <v>0</v>
      </c>
      <c r="W108" s="49">
        <f t="shared" si="35"/>
        <v>0</v>
      </c>
      <c r="X108" s="50">
        <f t="shared" si="35"/>
        <v>0</v>
      </c>
      <c r="Y108" s="73">
        <f t="shared" si="33"/>
        <v>749400</v>
      </c>
    </row>
    <row r="109" spans="1:25" x14ac:dyDescent="0.2">
      <c r="A109" s="55">
        <v>46128</v>
      </c>
      <c r="B109" s="48"/>
      <c r="C109" s="49"/>
      <c r="D109" s="49">
        <v>39730</v>
      </c>
      <c r="E109" s="50">
        <v>40480</v>
      </c>
      <c r="F109" s="48">
        <f t="shared" si="27"/>
        <v>42123</v>
      </c>
      <c r="G109" s="49">
        <f t="shared" si="28"/>
        <v>69725</v>
      </c>
      <c r="H109" s="49">
        <f t="shared" si="29"/>
        <v>0</v>
      </c>
      <c r="I109" s="50">
        <f t="shared" si="30"/>
        <v>14417</v>
      </c>
      <c r="J109" s="48">
        <f>J108+B109-SUMIFS(рапорт!$O:$O,рапорт!$A:$A,A109)-SUMIFS(рапорт!$U:$U,рапорт!$A:$A,A109)/4</f>
        <v>706</v>
      </c>
      <c r="K109" s="49">
        <f>K108+C109-SUMIFS(рапорт!$P:$P,рапорт!$A:$A,A109)-SUMIFS(рапорт!$U:$U,рапорт!$A:$A,A109)/4</f>
        <v>45251</v>
      </c>
      <c r="L109" s="49">
        <f>L108+D109-SUMIFS(рапорт!$Q:$Q,рапорт!$A:$A,A109)-SUMIFS(рапорт!$U:$U,рапорт!$A:$A,A109)/4</f>
        <v>93375</v>
      </c>
      <c r="M109" s="50">
        <f>M108+E109-SUMIFS(рапорт!$R:$R,рапорт!$A:$A,A109)-SUMIFS(рапорт!$U:$U,рапорт!$A:$A,A109)/4</f>
        <v>66240</v>
      </c>
      <c r="O109" s="55">
        <v>46128</v>
      </c>
      <c r="P109" s="48"/>
      <c r="Q109" s="49"/>
      <c r="R109" s="49"/>
      <c r="S109" s="50"/>
      <c r="T109" s="60">
        <f t="shared" si="32"/>
        <v>0</v>
      </c>
      <c r="U109" s="48">
        <f t="shared" si="20"/>
        <v>749400</v>
      </c>
      <c r="V109" s="49">
        <f t="shared" si="35"/>
        <v>0</v>
      </c>
      <c r="W109" s="49">
        <f t="shared" si="35"/>
        <v>0</v>
      </c>
      <c r="X109" s="50">
        <f t="shared" si="35"/>
        <v>0</v>
      </c>
      <c r="Y109" s="73">
        <f t="shared" si="33"/>
        <v>749400</v>
      </c>
    </row>
    <row r="110" spans="1:25" x14ac:dyDescent="0.2">
      <c r="A110" s="55">
        <v>46129</v>
      </c>
      <c r="B110" s="48"/>
      <c r="C110" s="49"/>
      <c r="D110" s="49"/>
      <c r="E110" s="50">
        <v>39910</v>
      </c>
      <c r="F110" s="48">
        <f t="shared" si="27"/>
        <v>42123</v>
      </c>
      <c r="G110" s="49">
        <f t="shared" si="28"/>
        <v>69725</v>
      </c>
      <c r="H110" s="49">
        <f t="shared" si="29"/>
        <v>0</v>
      </c>
      <c r="I110" s="50">
        <f t="shared" si="30"/>
        <v>14417</v>
      </c>
      <c r="J110" s="48">
        <f>J109+B110-SUMIFS(рапорт!$O:$O,рапорт!$A:$A,A110)-SUMIFS(рапорт!$U:$U,рапорт!$A:$A,A110)/4</f>
        <v>706</v>
      </c>
      <c r="K110" s="49">
        <f>K109+C110-SUMIFS(рапорт!$P:$P,рапорт!$A:$A,A110)-SUMIFS(рапорт!$U:$U,рапорт!$A:$A,A110)/4</f>
        <v>45251</v>
      </c>
      <c r="L110" s="49">
        <f>L109+D110-SUMIFS(рапорт!$Q:$Q,рапорт!$A:$A,A110)-SUMIFS(рапорт!$U:$U,рапорт!$A:$A,A110)/4</f>
        <v>54942</v>
      </c>
      <c r="M110" s="50">
        <f>M109+E110-SUMIFS(рапорт!$R:$R,рапорт!$A:$A,A110)-SUMIFS(рапорт!$U:$U,рапорт!$A:$A,A110)/4</f>
        <v>69690</v>
      </c>
      <c r="O110" s="55">
        <v>46129</v>
      </c>
      <c r="P110" s="48"/>
      <c r="Q110" s="49"/>
      <c r="R110" s="49"/>
      <c r="S110" s="50"/>
      <c r="T110" s="60">
        <f t="shared" si="32"/>
        <v>0</v>
      </c>
      <c r="U110" s="48">
        <f t="shared" si="20"/>
        <v>749400</v>
      </c>
      <c r="V110" s="49">
        <f t="shared" si="35"/>
        <v>0</v>
      </c>
      <c r="W110" s="49">
        <f t="shared" si="35"/>
        <v>0</v>
      </c>
      <c r="X110" s="50">
        <f t="shared" si="35"/>
        <v>0</v>
      </c>
      <c r="Y110" s="73">
        <f t="shared" si="33"/>
        <v>749400</v>
      </c>
    </row>
    <row r="111" spans="1:25" x14ac:dyDescent="0.2">
      <c r="A111" s="55">
        <v>46130</v>
      </c>
      <c r="B111" s="48"/>
      <c r="C111" s="49"/>
      <c r="D111" s="49">
        <v>39750</v>
      </c>
      <c r="E111" s="50"/>
      <c r="F111" s="48">
        <f t="shared" si="27"/>
        <v>42123</v>
      </c>
      <c r="G111" s="49">
        <f t="shared" si="28"/>
        <v>69725</v>
      </c>
      <c r="H111" s="49">
        <f t="shared" si="29"/>
        <v>0</v>
      </c>
      <c r="I111" s="50">
        <f t="shared" si="30"/>
        <v>14417</v>
      </c>
      <c r="J111" s="48">
        <f>J110+B111-SUMIFS(рапорт!$O:$O,рапорт!$A:$A,A111)-SUMIFS(рапорт!$U:$U,рапорт!$A:$A,A111)/4</f>
        <v>706</v>
      </c>
      <c r="K111" s="49">
        <f>K110+C111-SUMIFS(рапорт!$P:$P,рапорт!$A:$A,A111)-SUMIFS(рапорт!$U:$U,рапорт!$A:$A,A111)/4</f>
        <v>45251</v>
      </c>
      <c r="L111" s="49">
        <f>L110+D111-SUMIFS(рапорт!$Q:$Q,рапорт!$A:$A,A111)-SUMIFS(рапорт!$U:$U,рапорт!$A:$A,A111)/4</f>
        <v>56904</v>
      </c>
      <c r="M111" s="50">
        <f>M110+E111-SUMIFS(рапорт!$R:$R,рапорт!$A:$A,A111)-SUMIFS(рапорт!$U:$U,рапорт!$A:$A,A111)/4</f>
        <v>34269</v>
      </c>
      <c r="O111" s="55">
        <v>46130</v>
      </c>
      <c r="P111" s="48"/>
      <c r="Q111" s="49"/>
      <c r="R111" s="49"/>
      <c r="S111" s="50"/>
      <c r="T111" s="60">
        <f t="shared" si="32"/>
        <v>0</v>
      </c>
      <c r="U111" s="48">
        <f t="shared" si="20"/>
        <v>749400</v>
      </c>
      <c r="V111" s="49">
        <f t="shared" si="35"/>
        <v>0</v>
      </c>
      <c r="W111" s="49">
        <f t="shared" si="35"/>
        <v>0</v>
      </c>
      <c r="X111" s="50">
        <f t="shared" si="35"/>
        <v>0</v>
      </c>
      <c r="Y111" s="73">
        <f t="shared" si="33"/>
        <v>749400</v>
      </c>
    </row>
    <row r="112" spans="1:25" x14ac:dyDescent="0.2">
      <c r="A112" s="55">
        <v>46131</v>
      </c>
      <c r="B112" s="48">
        <v>40090</v>
      </c>
      <c r="C112" s="49">
        <v>40280</v>
      </c>
      <c r="D112" s="49"/>
      <c r="E112" s="50"/>
      <c r="F112" s="48">
        <f t="shared" si="27"/>
        <v>42123</v>
      </c>
      <c r="G112" s="49">
        <f t="shared" si="28"/>
        <v>69725</v>
      </c>
      <c r="H112" s="49">
        <f t="shared" si="29"/>
        <v>0</v>
      </c>
      <c r="I112" s="50">
        <f t="shared" si="30"/>
        <v>14417</v>
      </c>
      <c r="J112" s="48">
        <f>J111+B112-SUMIFS(рапорт!$O:$O,рапорт!$A:$A,A112)-SUMIFS(рапорт!$U:$U,рапорт!$A:$A,A112)/4</f>
        <v>40796</v>
      </c>
      <c r="K112" s="49">
        <f>K111+C112-SUMIFS(рапорт!$P:$P,рапорт!$A:$A,A112)-SUMIFS(рапорт!$U:$U,рапорт!$A:$A,A112)/4</f>
        <v>85531</v>
      </c>
      <c r="L112" s="49">
        <f>L111+D112-SUMIFS(рапорт!$Q:$Q,рапорт!$A:$A,A112)-SUMIFS(рапорт!$U:$U,рапорт!$A:$A,A112)/4</f>
        <v>48580</v>
      </c>
      <c r="M112" s="50">
        <f>M111+E112-SUMIFS(рапорт!$R:$R,рапорт!$A:$A,A112)-SUMIFS(рапорт!$U:$U,рапорт!$A:$A,A112)/4</f>
        <v>15697</v>
      </c>
      <c r="O112" s="55">
        <v>46131</v>
      </c>
      <c r="P112" s="48"/>
      <c r="Q112" s="49"/>
      <c r="R112" s="49"/>
      <c r="S112" s="50"/>
      <c r="T112" s="60">
        <f t="shared" si="32"/>
        <v>0</v>
      </c>
      <c r="U112" s="48">
        <f t="shared" si="20"/>
        <v>749400</v>
      </c>
      <c r="V112" s="49">
        <f t="shared" si="35"/>
        <v>0</v>
      </c>
      <c r="W112" s="49">
        <f t="shared" si="35"/>
        <v>0</v>
      </c>
      <c r="X112" s="50">
        <f t="shared" si="35"/>
        <v>0</v>
      </c>
      <c r="Y112" s="73">
        <f t="shared" si="33"/>
        <v>749400</v>
      </c>
    </row>
    <row r="113" spans="1:25" x14ac:dyDescent="0.2">
      <c r="A113" s="55">
        <v>46132</v>
      </c>
      <c r="B113" s="48"/>
      <c r="C113" s="49"/>
      <c r="D113" s="49"/>
      <c r="E113" s="50"/>
      <c r="F113" s="48">
        <f t="shared" si="27"/>
        <v>42123</v>
      </c>
      <c r="G113" s="49">
        <f t="shared" si="28"/>
        <v>69725</v>
      </c>
      <c r="H113" s="49">
        <f t="shared" si="29"/>
        <v>0</v>
      </c>
      <c r="I113" s="50">
        <f t="shared" si="30"/>
        <v>14417</v>
      </c>
      <c r="J113" s="48">
        <f>J112+B113-SUMIFS(рапорт!$O:$O,рапорт!$A:$A,A113)-SUMIFS(рапорт!$U:$U,рапорт!$A:$A,A113)/4</f>
        <v>40796</v>
      </c>
      <c r="K113" s="49">
        <f>K112+C113-SUMIFS(рапорт!$P:$P,рапорт!$A:$A,A113)-SUMIFS(рапорт!$U:$U,рапорт!$A:$A,A113)/4</f>
        <v>85531</v>
      </c>
      <c r="L113" s="49">
        <f>L112+D113-SUMIFS(рапорт!$Q:$Q,рапорт!$A:$A,A113)-SUMIFS(рапорт!$U:$U,рапорт!$A:$A,A113)/4</f>
        <v>48580</v>
      </c>
      <c r="M113" s="50">
        <f>M112+E113-SUMIFS(рапорт!$R:$R,рапорт!$A:$A,A113)-SUMIFS(рапорт!$U:$U,рапорт!$A:$A,A113)/4</f>
        <v>15697</v>
      </c>
      <c r="O113" s="55">
        <v>46132</v>
      </c>
      <c r="P113" s="48"/>
      <c r="Q113" s="49"/>
      <c r="R113" s="49"/>
      <c r="S113" s="50"/>
      <c r="T113" s="60">
        <f t="shared" si="32"/>
        <v>0</v>
      </c>
      <c r="U113" s="48">
        <f t="shared" si="20"/>
        <v>749400</v>
      </c>
      <c r="V113" s="49">
        <f t="shared" si="35"/>
        <v>0</v>
      </c>
      <c r="W113" s="49">
        <f t="shared" si="35"/>
        <v>0</v>
      </c>
      <c r="X113" s="50">
        <f t="shared" si="35"/>
        <v>0</v>
      </c>
      <c r="Y113" s="73">
        <f t="shared" si="33"/>
        <v>749400</v>
      </c>
    </row>
    <row r="114" spans="1:25" x14ac:dyDescent="0.2">
      <c r="A114" s="55">
        <v>46133</v>
      </c>
      <c r="B114" s="48"/>
      <c r="C114" s="49"/>
      <c r="D114" s="49"/>
      <c r="E114" s="50"/>
      <c r="F114" s="48">
        <f t="shared" si="27"/>
        <v>42123</v>
      </c>
      <c r="G114" s="49">
        <f t="shared" si="28"/>
        <v>69725</v>
      </c>
      <c r="H114" s="49">
        <f t="shared" si="29"/>
        <v>0</v>
      </c>
      <c r="I114" s="50">
        <f t="shared" si="30"/>
        <v>14417</v>
      </c>
      <c r="J114" s="48">
        <f>J113+B114-SUMIFS(рапорт!$O:$O,рапорт!$A:$A,A114)-SUMIFS(рапорт!$U:$U,рапорт!$A:$A,A114)/4</f>
        <v>40796</v>
      </c>
      <c r="K114" s="49">
        <f>K113+C114-SUMIFS(рапорт!$P:$P,рапорт!$A:$A,A114)-SUMIFS(рапорт!$U:$U,рапорт!$A:$A,A114)/4</f>
        <v>85531</v>
      </c>
      <c r="L114" s="49">
        <f>L113+D114-SUMIFS(рапорт!$Q:$Q,рапорт!$A:$A,A114)-SUMIFS(рапорт!$U:$U,рапорт!$A:$A,A114)/4</f>
        <v>48580</v>
      </c>
      <c r="M114" s="50">
        <f>M113+E114-SUMIFS(рапорт!$R:$R,рапорт!$A:$A,A114)-SUMIFS(рапорт!$U:$U,рапорт!$A:$A,A114)/4</f>
        <v>15697</v>
      </c>
      <c r="O114" s="55">
        <v>46133</v>
      </c>
      <c r="P114" s="48"/>
      <c r="Q114" s="49"/>
      <c r="R114" s="49"/>
      <c r="S114" s="50"/>
      <c r="T114" s="60">
        <f t="shared" si="32"/>
        <v>0</v>
      </c>
      <c r="U114" s="48">
        <f t="shared" ref="U114:U177" si="36">U113</f>
        <v>749400</v>
      </c>
      <c r="V114" s="49">
        <f t="shared" si="35"/>
        <v>0</v>
      </c>
      <c r="W114" s="49">
        <f t="shared" si="35"/>
        <v>0</v>
      </c>
      <c r="X114" s="50">
        <f t="shared" si="35"/>
        <v>0</v>
      </c>
      <c r="Y114" s="73">
        <f t="shared" si="33"/>
        <v>749400</v>
      </c>
    </row>
    <row r="115" spans="1:25" x14ac:dyDescent="0.2">
      <c r="A115" s="55">
        <v>46134</v>
      </c>
      <c r="B115" s="48"/>
      <c r="C115" s="49"/>
      <c r="D115" s="49"/>
      <c r="E115" s="50"/>
      <c r="F115" s="48">
        <f t="shared" si="27"/>
        <v>42123</v>
      </c>
      <c r="G115" s="49">
        <f t="shared" si="28"/>
        <v>69725</v>
      </c>
      <c r="H115" s="49">
        <f t="shared" si="29"/>
        <v>0</v>
      </c>
      <c r="I115" s="50">
        <f t="shared" si="30"/>
        <v>14417</v>
      </c>
      <c r="J115" s="48">
        <f>J114+B115-SUMIFS(рапорт!$O:$O,рапорт!$A:$A,A115)-SUMIFS(рапорт!$U:$U,рапорт!$A:$A,A115)/4</f>
        <v>40796</v>
      </c>
      <c r="K115" s="49">
        <f>K114+C115-SUMIFS(рапорт!$P:$P,рапорт!$A:$A,A115)-SUMIFS(рапорт!$U:$U,рапорт!$A:$A,A115)/4</f>
        <v>85531</v>
      </c>
      <c r="L115" s="49">
        <f>L114+D115-SUMIFS(рапорт!$Q:$Q,рапорт!$A:$A,A115)-SUMIFS(рапорт!$U:$U,рапорт!$A:$A,A115)/4</f>
        <v>48580</v>
      </c>
      <c r="M115" s="50">
        <f>M114+E115-SUMIFS(рапорт!$R:$R,рапорт!$A:$A,A115)-SUMIFS(рапорт!$U:$U,рапорт!$A:$A,A115)/4</f>
        <v>15697</v>
      </c>
      <c r="O115" s="55">
        <v>46134</v>
      </c>
      <c r="P115" s="48"/>
      <c r="Q115" s="49"/>
      <c r="R115" s="49"/>
      <c r="S115" s="50"/>
      <c r="T115" s="60">
        <f t="shared" si="32"/>
        <v>0</v>
      </c>
      <c r="U115" s="48">
        <f t="shared" si="36"/>
        <v>749400</v>
      </c>
      <c r="V115" s="49">
        <f t="shared" si="35"/>
        <v>0</v>
      </c>
      <c r="W115" s="49">
        <f t="shared" si="35"/>
        <v>0</v>
      </c>
      <c r="X115" s="50">
        <f t="shared" si="35"/>
        <v>0</v>
      </c>
      <c r="Y115" s="73">
        <f t="shared" si="33"/>
        <v>749400</v>
      </c>
    </row>
    <row r="116" spans="1:25" x14ac:dyDescent="0.2">
      <c r="A116" s="55">
        <v>46135</v>
      </c>
      <c r="B116" s="48"/>
      <c r="C116" s="49"/>
      <c r="D116" s="49"/>
      <c r="E116" s="50"/>
      <c r="F116" s="48">
        <f t="shared" si="27"/>
        <v>42123</v>
      </c>
      <c r="G116" s="49">
        <f t="shared" si="28"/>
        <v>69725</v>
      </c>
      <c r="H116" s="49">
        <f t="shared" si="29"/>
        <v>0</v>
      </c>
      <c r="I116" s="50">
        <f t="shared" si="30"/>
        <v>14417</v>
      </c>
      <c r="J116" s="48">
        <f>J115+B116-SUMIFS(рапорт!$O:$O,рапорт!$A:$A,A116)-SUMIFS(рапорт!$U:$U,рапорт!$A:$A,A116)/4</f>
        <v>40796</v>
      </c>
      <c r="K116" s="49">
        <f>K115+C116-SUMIFS(рапорт!$P:$P,рапорт!$A:$A,A116)-SUMIFS(рапорт!$U:$U,рапорт!$A:$A,A116)/4</f>
        <v>85531</v>
      </c>
      <c r="L116" s="49">
        <f>L115+D116-SUMIFS(рапорт!$Q:$Q,рапорт!$A:$A,A116)-SUMIFS(рапорт!$U:$U,рапорт!$A:$A,A116)/4</f>
        <v>48580</v>
      </c>
      <c r="M116" s="50">
        <f>M115+E116-SUMIFS(рапорт!$R:$R,рапорт!$A:$A,A116)-SUMIFS(рапорт!$U:$U,рапорт!$A:$A,A116)/4</f>
        <v>15697</v>
      </c>
      <c r="O116" s="55">
        <v>46135</v>
      </c>
      <c r="P116" s="48"/>
      <c r="Q116" s="49"/>
      <c r="R116" s="49"/>
      <c r="S116" s="50"/>
      <c r="T116" s="60">
        <f t="shared" si="32"/>
        <v>0</v>
      </c>
      <c r="U116" s="48">
        <f t="shared" si="36"/>
        <v>749400</v>
      </c>
      <c r="V116" s="49">
        <f t="shared" ref="V116:X131" si="37">V115</f>
        <v>0</v>
      </c>
      <c r="W116" s="49">
        <f t="shared" si="37"/>
        <v>0</v>
      </c>
      <c r="X116" s="50">
        <f t="shared" si="37"/>
        <v>0</v>
      </c>
      <c r="Y116" s="73">
        <f t="shared" si="33"/>
        <v>749400</v>
      </c>
    </row>
    <row r="117" spans="1:25" x14ac:dyDescent="0.2">
      <c r="A117" s="55">
        <v>46136</v>
      </c>
      <c r="B117" s="48"/>
      <c r="C117" s="49"/>
      <c r="D117" s="49"/>
      <c r="E117" s="50"/>
      <c r="F117" s="48">
        <f t="shared" si="27"/>
        <v>42123</v>
      </c>
      <c r="G117" s="49">
        <f t="shared" si="28"/>
        <v>69725</v>
      </c>
      <c r="H117" s="49">
        <f t="shared" si="29"/>
        <v>0</v>
      </c>
      <c r="I117" s="50">
        <f t="shared" si="30"/>
        <v>14417</v>
      </c>
      <c r="J117" s="48">
        <f>J116+B117-SUMIFS(рапорт!$O:$O,рапорт!$A:$A,A117)-SUMIFS(рапорт!$U:$U,рапорт!$A:$A,A117)/4</f>
        <v>40796</v>
      </c>
      <c r="K117" s="49">
        <f>K116+C117-SUMIFS(рапорт!$P:$P,рапорт!$A:$A,A117)-SUMIFS(рапорт!$U:$U,рапорт!$A:$A,A117)/4</f>
        <v>85531</v>
      </c>
      <c r="L117" s="49">
        <f>L116+D117-SUMIFS(рапорт!$Q:$Q,рапорт!$A:$A,A117)-SUMIFS(рапорт!$U:$U,рапорт!$A:$A,A117)/4</f>
        <v>48580</v>
      </c>
      <c r="M117" s="50">
        <f>M116+E117-SUMIFS(рапорт!$R:$R,рапорт!$A:$A,A117)-SUMIFS(рапорт!$U:$U,рапорт!$A:$A,A117)/4</f>
        <v>15697</v>
      </c>
      <c r="O117" s="55">
        <v>46136</v>
      </c>
      <c r="P117" s="48"/>
      <c r="Q117" s="49"/>
      <c r="R117" s="49"/>
      <c r="S117" s="50"/>
      <c r="T117" s="60">
        <f t="shared" si="32"/>
        <v>0</v>
      </c>
      <c r="U117" s="48">
        <f t="shared" si="36"/>
        <v>749400</v>
      </c>
      <c r="V117" s="49">
        <f t="shared" si="37"/>
        <v>0</v>
      </c>
      <c r="W117" s="49">
        <f t="shared" si="37"/>
        <v>0</v>
      </c>
      <c r="X117" s="50">
        <f t="shared" si="37"/>
        <v>0</v>
      </c>
      <c r="Y117" s="73">
        <f t="shared" si="33"/>
        <v>749400</v>
      </c>
    </row>
    <row r="118" spans="1:25" x14ac:dyDescent="0.2">
      <c r="A118" s="55">
        <v>46137</v>
      </c>
      <c r="B118" s="48"/>
      <c r="C118" s="49"/>
      <c r="D118" s="49"/>
      <c r="E118" s="50"/>
      <c r="F118" s="48">
        <f t="shared" si="27"/>
        <v>42123</v>
      </c>
      <c r="G118" s="49">
        <f t="shared" si="28"/>
        <v>69725</v>
      </c>
      <c r="H118" s="49">
        <f t="shared" si="29"/>
        <v>0</v>
      </c>
      <c r="I118" s="50">
        <f t="shared" si="30"/>
        <v>14417</v>
      </c>
      <c r="J118" s="48">
        <f>J117+B118-SUMIFS(рапорт!$O:$O,рапорт!$A:$A,A118)-SUMIFS(рапорт!$U:$U,рапорт!$A:$A,A118)/4</f>
        <v>40796</v>
      </c>
      <c r="K118" s="49">
        <f>K117+C118-SUMIFS(рапорт!$P:$P,рапорт!$A:$A,A118)-SUMIFS(рапорт!$U:$U,рапорт!$A:$A,A118)/4</f>
        <v>85531</v>
      </c>
      <c r="L118" s="49">
        <f>L117+D118-SUMIFS(рапорт!$Q:$Q,рапорт!$A:$A,A118)-SUMIFS(рапорт!$U:$U,рапорт!$A:$A,A118)/4</f>
        <v>48580</v>
      </c>
      <c r="M118" s="50">
        <f>M117+E118-SUMIFS(рапорт!$R:$R,рапорт!$A:$A,A118)-SUMIFS(рапорт!$U:$U,рапорт!$A:$A,A118)/4</f>
        <v>15697</v>
      </c>
      <c r="O118" s="55">
        <v>46137</v>
      </c>
      <c r="P118" s="48"/>
      <c r="Q118" s="49"/>
      <c r="R118" s="49"/>
      <c r="S118" s="50"/>
      <c r="T118" s="60">
        <f t="shared" si="32"/>
        <v>0</v>
      </c>
      <c r="U118" s="48">
        <f t="shared" si="36"/>
        <v>749400</v>
      </c>
      <c r="V118" s="49">
        <f t="shared" si="37"/>
        <v>0</v>
      </c>
      <c r="W118" s="49">
        <f t="shared" si="37"/>
        <v>0</v>
      </c>
      <c r="X118" s="50">
        <f t="shared" si="37"/>
        <v>0</v>
      </c>
      <c r="Y118" s="73">
        <f t="shared" si="33"/>
        <v>749400</v>
      </c>
    </row>
    <row r="119" spans="1:25" x14ac:dyDescent="0.2">
      <c r="A119" s="55">
        <v>46138</v>
      </c>
      <c r="B119" s="48"/>
      <c r="C119" s="49"/>
      <c r="D119" s="49"/>
      <c r="E119" s="50"/>
      <c r="F119" s="48">
        <f t="shared" si="27"/>
        <v>42123</v>
      </c>
      <c r="G119" s="49">
        <f t="shared" si="28"/>
        <v>69725</v>
      </c>
      <c r="H119" s="49">
        <f t="shared" si="29"/>
        <v>0</v>
      </c>
      <c r="I119" s="50">
        <f t="shared" si="30"/>
        <v>14417</v>
      </c>
      <c r="J119" s="48">
        <f>J118+B119-SUMIFS(рапорт!$O:$O,рапорт!$A:$A,A119)-SUMIFS(рапорт!$U:$U,рапорт!$A:$A,A119)/4</f>
        <v>40796</v>
      </c>
      <c r="K119" s="49">
        <f>K118+C119-SUMIFS(рапорт!$P:$P,рапорт!$A:$A,A119)-SUMIFS(рапорт!$U:$U,рапорт!$A:$A,A119)/4</f>
        <v>85531</v>
      </c>
      <c r="L119" s="49">
        <f>L118+D119-SUMIFS(рапорт!$Q:$Q,рапорт!$A:$A,A119)-SUMIFS(рапорт!$U:$U,рапорт!$A:$A,A119)/4</f>
        <v>48580</v>
      </c>
      <c r="M119" s="50">
        <f>M118+E119-SUMIFS(рапорт!$R:$R,рапорт!$A:$A,A119)-SUMIFS(рапорт!$U:$U,рапорт!$A:$A,A119)/4</f>
        <v>15697</v>
      </c>
      <c r="O119" s="55">
        <v>46138</v>
      </c>
      <c r="P119" s="48"/>
      <c r="Q119" s="49"/>
      <c r="R119" s="49"/>
      <c r="S119" s="50"/>
      <c r="T119" s="60">
        <f t="shared" si="32"/>
        <v>0</v>
      </c>
      <c r="U119" s="48">
        <f t="shared" si="36"/>
        <v>749400</v>
      </c>
      <c r="V119" s="49">
        <f t="shared" si="37"/>
        <v>0</v>
      </c>
      <c r="W119" s="49">
        <f t="shared" si="37"/>
        <v>0</v>
      </c>
      <c r="X119" s="50">
        <f t="shared" si="37"/>
        <v>0</v>
      </c>
      <c r="Y119" s="73">
        <f t="shared" si="33"/>
        <v>749400</v>
      </c>
    </row>
    <row r="120" spans="1:25" x14ac:dyDescent="0.2">
      <c r="A120" s="55">
        <v>46139</v>
      </c>
      <c r="B120" s="48"/>
      <c r="C120" s="49"/>
      <c r="D120" s="49"/>
      <c r="E120" s="50"/>
      <c r="F120" s="48">
        <f t="shared" si="27"/>
        <v>42123</v>
      </c>
      <c r="G120" s="49">
        <f t="shared" si="28"/>
        <v>69725</v>
      </c>
      <c r="H120" s="49">
        <f t="shared" si="29"/>
        <v>0</v>
      </c>
      <c r="I120" s="50">
        <f t="shared" si="30"/>
        <v>14417</v>
      </c>
      <c r="J120" s="48">
        <f>J119+B120-SUMIFS(рапорт!$O:$O,рапорт!$A:$A,A120)-SUMIFS(рапорт!$U:$U,рапорт!$A:$A,A120)/4</f>
        <v>40796</v>
      </c>
      <c r="K120" s="49">
        <f>K119+C120-SUMIFS(рапорт!$P:$P,рапорт!$A:$A,A120)-SUMIFS(рапорт!$U:$U,рапорт!$A:$A,A120)/4</f>
        <v>85531</v>
      </c>
      <c r="L120" s="49">
        <f>L119+D120-SUMIFS(рапорт!$Q:$Q,рапорт!$A:$A,A120)-SUMIFS(рапорт!$U:$U,рапорт!$A:$A,A120)/4</f>
        <v>48580</v>
      </c>
      <c r="M120" s="50">
        <f>M119+E120-SUMIFS(рапорт!$R:$R,рапорт!$A:$A,A120)-SUMIFS(рапорт!$U:$U,рапорт!$A:$A,A120)/4</f>
        <v>15697</v>
      </c>
      <c r="O120" s="55">
        <v>46139</v>
      </c>
      <c r="P120" s="48"/>
      <c r="Q120" s="49"/>
      <c r="R120" s="49"/>
      <c r="S120" s="50"/>
      <c r="T120" s="60">
        <f t="shared" si="32"/>
        <v>0</v>
      </c>
      <c r="U120" s="48">
        <f t="shared" si="36"/>
        <v>749400</v>
      </c>
      <c r="V120" s="49">
        <f t="shared" si="37"/>
        <v>0</v>
      </c>
      <c r="W120" s="49">
        <f t="shared" si="37"/>
        <v>0</v>
      </c>
      <c r="X120" s="50">
        <f t="shared" si="37"/>
        <v>0</v>
      </c>
      <c r="Y120" s="73">
        <f t="shared" si="33"/>
        <v>749400</v>
      </c>
    </row>
    <row r="121" spans="1:25" x14ac:dyDescent="0.2">
      <c r="A121" s="55">
        <v>46140</v>
      </c>
      <c r="B121" s="48"/>
      <c r="C121" s="49"/>
      <c r="D121" s="49"/>
      <c r="E121" s="50"/>
      <c r="F121" s="48">
        <f t="shared" si="27"/>
        <v>42123</v>
      </c>
      <c r="G121" s="49">
        <f t="shared" si="28"/>
        <v>69725</v>
      </c>
      <c r="H121" s="49">
        <f t="shared" si="29"/>
        <v>0</v>
      </c>
      <c r="I121" s="50">
        <f t="shared" si="30"/>
        <v>14417</v>
      </c>
      <c r="J121" s="48">
        <f>J120+B121-SUMIFS(рапорт!$O:$O,рапорт!$A:$A,A121)-SUMIFS(рапорт!$U:$U,рапорт!$A:$A,A121)/4</f>
        <v>40796</v>
      </c>
      <c r="K121" s="49">
        <f>K120+C121-SUMIFS(рапорт!$P:$P,рапорт!$A:$A,A121)-SUMIFS(рапорт!$U:$U,рапорт!$A:$A,A121)/4</f>
        <v>85531</v>
      </c>
      <c r="L121" s="49">
        <f>L120+D121-SUMIFS(рапорт!$Q:$Q,рапорт!$A:$A,A121)-SUMIFS(рапорт!$U:$U,рапорт!$A:$A,A121)/4</f>
        <v>48580</v>
      </c>
      <c r="M121" s="50">
        <f>M120+E121-SUMIFS(рапорт!$R:$R,рапорт!$A:$A,A121)-SUMIFS(рапорт!$U:$U,рапорт!$A:$A,A121)/4</f>
        <v>15697</v>
      </c>
      <c r="O121" s="55">
        <v>46140</v>
      </c>
      <c r="P121" s="48"/>
      <c r="Q121" s="49"/>
      <c r="R121" s="49"/>
      <c r="S121" s="50"/>
      <c r="T121" s="60">
        <f t="shared" si="32"/>
        <v>0</v>
      </c>
      <c r="U121" s="48">
        <f t="shared" si="36"/>
        <v>749400</v>
      </c>
      <c r="V121" s="49">
        <f t="shared" si="37"/>
        <v>0</v>
      </c>
      <c r="W121" s="49">
        <f t="shared" si="37"/>
        <v>0</v>
      </c>
      <c r="X121" s="50">
        <f t="shared" si="37"/>
        <v>0</v>
      </c>
      <c r="Y121" s="73">
        <f t="shared" si="33"/>
        <v>749400</v>
      </c>
    </row>
    <row r="122" spans="1:25" x14ac:dyDescent="0.2">
      <c r="A122" s="55">
        <v>46141</v>
      </c>
      <c r="B122" s="48"/>
      <c r="C122" s="49"/>
      <c r="D122" s="49"/>
      <c r="E122" s="50"/>
      <c r="F122" s="48">
        <f t="shared" si="27"/>
        <v>42123</v>
      </c>
      <c r="G122" s="49">
        <f t="shared" si="28"/>
        <v>69725</v>
      </c>
      <c r="H122" s="49">
        <f t="shared" si="29"/>
        <v>0</v>
      </c>
      <c r="I122" s="50">
        <f t="shared" si="30"/>
        <v>14417</v>
      </c>
      <c r="J122" s="48">
        <f>J121+B122-SUMIFS(рапорт!$O:$O,рапорт!$A:$A,A122)-SUMIFS(рапорт!$U:$U,рапорт!$A:$A,A122)/4</f>
        <v>40796</v>
      </c>
      <c r="K122" s="49">
        <f>K121+C122-SUMIFS(рапорт!$P:$P,рапорт!$A:$A,A122)-SUMIFS(рапорт!$U:$U,рапорт!$A:$A,A122)/4</f>
        <v>85531</v>
      </c>
      <c r="L122" s="49">
        <f>L121+D122-SUMIFS(рапорт!$Q:$Q,рапорт!$A:$A,A122)-SUMIFS(рапорт!$U:$U,рапорт!$A:$A,A122)/4</f>
        <v>48580</v>
      </c>
      <c r="M122" s="50">
        <f>M121+E122-SUMIFS(рапорт!$R:$R,рапорт!$A:$A,A122)-SUMIFS(рапорт!$U:$U,рапорт!$A:$A,A122)/4</f>
        <v>15697</v>
      </c>
      <c r="O122" s="55">
        <v>46141</v>
      </c>
      <c r="P122" s="48"/>
      <c r="Q122" s="49"/>
      <c r="R122" s="49"/>
      <c r="S122" s="50"/>
      <c r="T122" s="60">
        <f t="shared" si="32"/>
        <v>0</v>
      </c>
      <c r="U122" s="48">
        <f t="shared" si="36"/>
        <v>749400</v>
      </c>
      <c r="V122" s="49">
        <f t="shared" si="37"/>
        <v>0</v>
      </c>
      <c r="W122" s="49">
        <f t="shared" si="37"/>
        <v>0</v>
      </c>
      <c r="X122" s="50">
        <f t="shared" si="37"/>
        <v>0</v>
      </c>
      <c r="Y122" s="73">
        <f t="shared" si="33"/>
        <v>749400</v>
      </c>
    </row>
    <row r="123" spans="1:25" x14ac:dyDescent="0.2">
      <c r="A123" s="55">
        <v>46142</v>
      </c>
      <c r="B123" s="48"/>
      <c r="C123" s="49"/>
      <c r="D123" s="49"/>
      <c r="E123" s="50"/>
      <c r="F123" s="48">
        <f t="shared" si="27"/>
        <v>42123</v>
      </c>
      <c r="G123" s="49">
        <f t="shared" si="28"/>
        <v>69725</v>
      </c>
      <c r="H123" s="49">
        <f t="shared" si="29"/>
        <v>0</v>
      </c>
      <c r="I123" s="50">
        <f t="shared" si="30"/>
        <v>14417</v>
      </c>
      <c r="J123" s="48">
        <f>J122+B123-SUMIFS(рапорт!$O:$O,рапорт!$A:$A,A123)-SUMIFS(рапорт!$U:$U,рапорт!$A:$A,A123)/4</f>
        <v>40796</v>
      </c>
      <c r="K123" s="49">
        <f>K122+C123-SUMIFS(рапорт!$P:$P,рапорт!$A:$A,A123)-SUMIFS(рапорт!$U:$U,рапорт!$A:$A,A123)/4</f>
        <v>85531</v>
      </c>
      <c r="L123" s="49">
        <f>L122+D123-SUMIFS(рапорт!$Q:$Q,рапорт!$A:$A,A123)-SUMIFS(рапорт!$U:$U,рапорт!$A:$A,A123)/4</f>
        <v>48580</v>
      </c>
      <c r="M123" s="50">
        <f>M122+E123-SUMIFS(рапорт!$R:$R,рапорт!$A:$A,A123)-SUMIFS(рапорт!$U:$U,рапорт!$A:$A,A123)/4</f>
        <v>15697</v>
      </c>
      <c r="O123" s="55">
        <v>46142</v>
      </c>
      <c r="P123" s="48"/>
      <c r="Q123" s="49"/>
      <c r="R123" s="49"/>
      <c r="S123" s="50"/>
      <c r="T123" s="60">
        <f t="shared" si="32"/>
        <v>0</v>
      </c>
      <c r="U123" s="48">
        <f t="shared" si="36"/>
        <v>749400</v>
      </c>
      <c r="V123" s="49">
        <f t="shared" si="37"/>
        <v>0</v>
      </c>
      <c r="W123" s="49">
        <f t="shared" si="37"/>
        <v>0</v>
      </c>
      <c r="X123" s="50">
        <f t="shared" si="37"/>
        <v>0</v>
      </c>
      <c r="Y123" s="73">
        <f t="shared" si="33"/>
        <v>749400</v>
      </c>
    </row>
    <row r="124" spans="1:25" x14ac:dyDescent="0.2">
      <c r="A124" s="55">
        <v>46143</v>
      </c>
      <c r="B124" s="48"/>
      <c r="C124" s="49"/>
      <c r="D124" s="49"/>
      <c r="E124" s="50"/>
      <c r="F124" s="48">
        <f t="shared" si="27"/>
        <v>42123</v>
      </c>
      <c r="G124" s="49">
        <f t="shared" si="28"/>
        <v>69725</v>
      </c>
      <c r="H124" s="49">
        <f t="shared" si="29"/>
        <v>0</v>
      </c>
      <c r="I124" s="50">
        <f t="shared" si="30"/>
        <v>14417</v>
      </c>
      <c r="J124" s="48">
        <f>J123+B124-SUMIFS(рапорт!$O:$O,рапорт!$A:$A,A124)-SUMIFS(рапорт!$U:$U,рапорт!$A:$A,A124)/4</f>
        <v>40796</v>
      </c>
      <c r="K124" s="49">
        <f>K123+C124-SUMIFS(рапорт!$P:$P,рапорт!$A:$A,A124)-SUMIFS(рапорт!$U:$U,рапорт!$A:$A,A124)/4</f>
        <v>85531</v>
      </c>
      <c r="L124" s="49">
        <f>L123+D124-SUMIFS(рапорт!$Q:$Q,рапорт!$A:$A,A124)-SUMIFS(рапорт!$U:$U,рапорт!$A:$A,A124)/4</f>
        <v>48580</v>
      </c>
      <c r="M124" s="50">
        <f>M123+E124-SUMIFS(рапорт!$R:$R,рапорт!$A:$A,A124)-SUMIFS(рапорт!$U:$U,рапорт!$A:$A,A124)/4</f>
        <v>15697</v>
      </c>
      <c r="O124" s="55">
        <v>46143</v>
      </c>
      <c r="P124" s="48"/>
      <c r="Q124" s="49"/>
      <c r="R124" s="49"/>
      <c r="S124" s="50"/>
      <c r="T124" s="60">
        <f t="shared" si="32"/>
        <v>0</v>
      </c>
      <c r="U124" s="48">
        <f t="shared" si="36"/>
        <v>749400</v>
      </c>
      <c r="V124" s="49">
        <f t="shared" si="37"/>
        <v>0</v>
      </c>
      <c r="W124" s="49">
        <f t="shared" si="37"/>
        <v>0</v>
      </c>
      <c r="X124" s="50">
        <f t="shared" si="37"/>
        <v>0</v>
      </c>
      <c r="Y124" s="73">
        <f t="shared" si="33"/>
        <v>749400</v>
      </c>
    </row>
    <row r="125" spans="1:25" x14ac:dyDescent="0.2">
      <c r="A125" s="55">
        <v>46144</v>
      </c>
      <c r="B125" s="48"/>
      <c r="C125" s="49"/>
      <c r="D125" s="49"/>
      <c r="E125" s="50"/>
      <c r="F125" s="48">
        <f t="shared" si="27"/>
        <v>42123</v>
      </c>
      <c r="G125" s="49">
        <f t="shared" si="28"/>
        <v>69725</v>
      </c>
      <c r="H125" s="49">
        <f t="shared" si="29"/>
        <v>0</v>
      </c>
      <c r="I125" s="50">
        <f t="shared" si="30"/>
        <v>14417</v>
      </c>
      <c r="J125" s="48">
        <f>J124+B125-SUMIFS(рапорт!$O:$O,рапорт!$A:$A,A125)-SUMIFS(рапорт!$U:$U,рапорт!$A:$A,A125)/4</f>
        <v>40796</v>
      </c>
      <c r="K125" s="49">
        <f>K124+C125-SUMIFS(рапорт!$P:$P,рапорт!$A:$A,A125)-SUMIFS(рапорт!$U:$U,рапорт!$A:$A,A125)/4</f>
        <v>85531</v>
      </c>
      <c r="L125" s="49">
        <f>L124+D125-SUMIFS(рапорт!$Q:$Q,рапорт!$A:$A,A125)-SUMIFS(рапорт!$U:$U,рапорт!$A:$A,A125)/4</f>
        <v>48580</v>
      </c>
      <c r="M125" s="50">
        <f>M124+E125-SUMIFS(рапорт!$R:$R,рапорт!$A:$A,A125)-SUMIFS(рапорт!$U:$U,рапорт!$A:$A,A125)/4</f>
        <v>15697</v>
      </c>
      <c r="O125" s="55">
        <v>46144</v>
      </c>
      <c r="P125" s="48"/>
      <c r="Q125" s="49"/>
      <c r="R125" s="49"/>
      <c r="S125" s="50"/>
      <c r="T125" s="60">
        <f t="shared" si="32"/>
        <v>0</v>
      </c>
      <c r="U125" s="48">
        <f t="shared" si="36"/>
        <v>749400</v>
      </c>
      <c r="V125" s="49">
        <f t="shared" si="37"/>
        <v>0</v>
      </c>
      <c r="W125" s="49">
        <f t="shared" si="37"/>
        <v>0</v>
      </c>
      <c r="X125" s="50">
        <f t="shared" si="37"/>
        <v>0</v>
      </c>
      <c r="Y125" s="73">
        <f t="shared" si="33"/>
        <v>749400</v>
      </c>
    </row>
    <row r="126" spans="1:25" x14ac:dyDescent="0.2">
      <c r="A126" s="55">
        <v>46145</v>
      </c>
      <c r="B126" s="48"/>
      <c r="C126" s="49"/>
      <c r="D126" s="49"/>
      <c r="E126" s="50"/>
      <c r="F126" s="48">
        <f t="shared" si="27"/>
        <v>42123</v>
      </c>
      <c r="G126" s="49">
        <f t="shared" si="28"/>
        <v>69725</v>
      </c>
      <c r="H126" s="49">
        <f t="shared" si="29"/>
        <v>0</v>
      </c>
      <c r="I126" s="50">
        <f t="shared" si="30"/>
        <v>14417</v>
      </c>
      <c r="J126" s="48">
        <f>J125+B126-SUMIFS(рапорт!$O:$O,рапорт!$A:$A,A126)-SUMIFS(рапорт!$U:$U,рапорт!$A:$A,A126)/4</f>
        <v>40796</v>
      </c>
      <c r="K126" s="49">
        <f>K125+C126-SUMIFS(рапорт!$P:$P,рапорт!$A:$A,A126)-SUMIFS(рапорт!$U:$U,рапорт!$A:$A,A126)/4</f>
        <v>85531</v>
      </c>
      <c r="L126" s="49">
        <f>L125+D126-SUMIFS(рапорт!$Q:$Q,рапорт!$A:$A,A126)-SUMIFS(рапорт!$U:$U,рапорт!$A:$A,A126)/4</f>
        <v>48580</v>
      </c>
      <c r="M126" s="50">
        <f>M125+E126-SUMIFS(рапорт!$R:$R,рапорт!$A:$A,A126)-SUMIFS(рапорт!$U:$U,рапорт!$A:$A,A126)/4</f>
        <v>15697</v>
      </c>
      <c r="O126" s="55">
        <v>46145</v>
      </c>
      <c r="P126" s="48"/>
      <c r="Q126" s="49"/>
      <c r="R126" s="49"/>
      <c r="S126" s="50"/>
      <c r="T126" s="60">
        <f t="shared" si="32"/>
        <v>0</v>
      </c>
      <c r="U126" s="48">
        <f t="shared" si="36"/>
        <v>749400</v>
      </c>
      <c r="V126" s="49">
        <f t="shared" si="37"/>
        <v>0</v>
      </c>
      <c r="W126" s="49">
        <f t="shared" si="37"/>
        <v>0</v>
      </c>
      <c r="X126" s="50">
        <f t="shared" si="37"/>
        <v>0</v>
      </c>
      <c r="Y126" s="73">
        <f t="shared" si="33"/>
        <v>749400</v>
      </c>
    </row>
    <row r="127" spans="1:25" x14ac:dyDescent="0.2">
      <c r="A127" s="55">
        <v>46146</v>
      </c>
      <c r="B127" s="48"/>
      <c r="C127" s="49"/>
      <c r="D127" s="49"/>
      <c r="E127" s="50"/>
      <c r="F127" s="48">
        <f t="shared" si="27"/>
        <v>42123</v>
      </c>
      <c r="G127" s="49">
        <f t="shared" si="28"/>
        <v>69725</v>
      </c>
      <c r="H127" s="49">
        <f t="shared" si="29"/>
        <v>0</v>
      </c>
      <c r="I127" s="50">
        <f t="shared" si="30"/>
        <v>14417</v>
      </c>
      <c r="J127" s="48">
        <f>J126+B127-SUMIFS(рапорт!$O:$O,рапорт!$A:$A,A127)-SUMIFS(рапорт!$U:$U,рапорт!$A:$A,A127)/4</f>
        <v>40796</v>
      </c>
      <c r="K127" s="49">
        <f>K126+C127-SUMIFS(рапорт!$P:$P,рапорт!$A:$A,A127)-SUMIFS(рапорт!$U:$U,рапорт!$A:$A,A127)/4</f>
        <v>85531</v>
      </c>
      <c r="L127" s="49">
        <f>L126+D127-SUMIFS(рапорт!$Q:$Q,рапорт!$A:$A,A127)-SUMIFS(рапорт!$U:$U,рапорт!$A:$A,A127)/4</f>
        <v>48580</v>
      </c>
      <c r="M127" s="50">
        <f>M126+E127-SUMIFS(рапорт!$R:$R,рапорт!$A:$A,A127)-SUMIFS(рапорт!$U:$U,рапорт!$A:$A,A127)/4</f>
        <v>15697</v>
      </c>
      <c r="O127" s="55">
        <v>46146</v>
      </c>
      <c r="P127" s="48"/>
      <c r="Q127" s="49"/>
      <c r="R127" s="49"/>
      <c r="S127" s="50"/>
      <c r="T127" s="60">
        <f t="shared" si="32"/>
        <v>0</v>
      </c>
      <c r="U127" s="48">
        <f t="shared" si="36"/>
        <v>749400</v>
      </c>
      <c r="V127" s="49">
        <f t="shared" si="37"/>
        <v>0</v>
      </c>
      <c r="W127" s="49">
        <f t="shared" si="37"/>
        <v>0</v>
      </c>
      <c r="X127" s="50">
        <f t="shared" si="37"/>
        <v>0</v>
      </c>
      <c r="Y127" s="73">
        <f t="shared" si="33"/>
        <v>749400</v>
      </c>
    </row>
    <row r="128" spans="1:25" x14ac:dyDescent="0.2">
      <c r="A128" s="55">
        <v>46147</v>
      </c>
      <c r="B128" s="48"/>
      <c r="C128" s="49"/>
      <c r="D128" s="49"/>
      <c r="E128" s="50"/>
      <c r="F128" s="48">
        <f t="shared" ref="F128:F191" si="38">F127</f>
        <v>42123</v>
      </c>
      <c r="G128" s="49">
        <f t="shared" ref="G128:G191" si="39">G127</f>
        <v>69725</v>
      </c>
      <c r="H128" s="49">
        <f t="shared" ref="H128:H191" si="40">H127</f>
        <v>0</v>
      </c>
      <c r="I128" s="50">
        <f t="shared" ref="I128:I191" si="41">I127</f>
        <v>14417</v>
      </c>
      <c r="J128" s="48">
        <f>J127+B128-SUMIFS(рапорт!$O:$O,рапорт!$A:$A,A128)-SUMIFS(рапорт!$U:$U,рапорт!$A:$A,A128)/4</f>
        <v>40796</v>
      </c>
      <c r="K128" s="49">
        <f>K127+C128-SUMIFS(рапорт!$P:$P,рапорт!$A:$A,A128)-SUMIFS(рапорт!$U:$U,рапорт!$A:$A,A128)/4</f>
        <v>85531</v>
      </c>
      <c r="L128" s="49">
        <f>L127+D128-SUMIFS(рапорт!$Q:$Q,рапорт!$A:$A,A128)-SUMIFS(рапорт!$U:$U,рапорт!$A:$A,A128)/4</f>
        <v>48580</v>
      </c>
      <c r="M128" s="50">
        <f>M127+E128-SUMIFS(рапорт!$R:$R,рапорт!$A:$A,A128)-SUMIFS(рапорт!$U:$U,рапорт!$A:$A,A128)/4</f>
        <v>15697</v>
      </c>
      <c r="O128" s="55">
        <v>46147</v>
      </c>
      <c r="P128" s="48"/>
      <c r="Q128" s="49"/>
      <c r="R128" s="49"/>
      <c r="S128" s="50"/>
      <c r="T128" s="60">
        <f t="shared" si="32"/>
        <v>0</v>
      </c>
      <c r="U128" s="48">
        <f t="shared" si="36"/>
        <v>749400</v>
      </c>
      <c r="V128" s="49">
        <f t="shared" si="37"/>
        <v>0</v>
      </c>
      <c r="W128" s="49">
        <f t="shared" si="37"/>
        <v>0</v>
      </c>
      <c r="X128" s="50">
        <f t="shared" si="37"/>
        <v>0</v>
      </c>
      <c r="Y128" s="73">
        <f t="shared" si="33"/>
        <v>749400</v>
      </c>
    </row>
    <row r="129" spans="1:25" x14ac:dyDescent="0.2">
      <c r="A129" s="55">
        <v>46148</v>
      </c>
      <c r="B129" s="48"/>
      <c r="C129" s="49"/>
      <c r="D129" s="49"/>
      <c r="E129" s="50"/>
      <c r="F129" s="48">
        <f t="shared" si="38"/>
        <v>42123</v>
      </c>
      <c r="G129" s="49">
        <f t="shared" si="39"/>
        <v>69725</v>
      </c>
      <c r="H129" s="49">
        <f t="shared" si="40"/>
        <v>0</v>
      </c>
      <c r="I129" s="50">
        <f t="shared" si="41"/>
        <v>14417</v>
      </c>
      <c r="J129" s="48">
        <f>J128+B129-SUMIFS(рапорт!$O:$O,рапорт!$A:$A,A129)-SUMIFS(рапорт!$U:$U,рапорт!$A:$A,A129)/4</f>
        <v>40796</v>
      </c>
      <c r="K129" s="49">
        <f>K128+C129-SUMIFS(рапорт!$P:$P,рапорт!$A:$A,A129)-SUMIFS(рапорт!$U:$U,рапорт!$A:$A,A129)/4</f>
        <v>85531</v>
      </c>
      <c r="L129" s="49">
        <f>L128+D129-SUMIFS(рапорт!$Q:$Q,рапорт!$A:$A,A129)-SUMIFS(рапорт!$U:$U,рапорт!$A:$A,A129)/4</f>
        <v>48580</v>
      </c>
      <c r="M129" s="50">
        <f>M128+E129-SUMIFS(рапорт!$R:$R,рапорт!$A:$A,A129)-SUMIFS(рапорт!$U:$U,рапорт!$A:$A,A129)/4</f>
        <v>15697</v>
      </c>
      <c r="O129" s="55">
        <v>46148</v>
      </c>
      <c r="P129" s="48"/>
      <c r="Q129" s="49"/>
      <c r="R129" s="49"/>
      <c r="S129" s="50"/>
      <c r="T129" s="60">
        <f t="shared" si="32"/>
        <v>0</v>
      </c>
      <c r="U129" s="48">
        <f t="shared" si="36"/>
        <v>749400</v>
      </c>
      <c r="V129" s="49">
        <f t="shared" si="37"/>
        <v>0</v>
      </c>
      <c r="W129" s="49">
        <f t="shared" si="37"/>
        <v>0</v>
      </c>
      <c r="X129" s="50">
        <f t="shared" si="37"/>
        <v>0</v>
      </c>
      <c r="Y129" s="73">
        <f t="shared" si="33"/>
        <v>749400</v>
      </c>
    </row>
    <row r="130" spans="1:25" x14ac:dyDescent="0.2">
      <c r="A130" s="55">
        <v>46149</v>
      </c>
      <c r="B130" s="48"/>
      <c r="C130" s="49"/>
      <c r="D130" s="49"/>
      <c r="E130" s="50"/>
      <c r="F130" s="48">
        <f t="shared" si="38"/>
        <v>42123</v>
      </c>
      <c r="G130" s="49">
        <f t="shared" si="39"/>
        <v>69725</v>
      </c>
      <c r="H130" s="49">
        <f t="shared" si="40"/>
        <v>0</v>
      </c>
      <c r="I130" s="50">
        <f t="shared" si="41"/>
        <v>14417</v>
      </c>
      <c r="J130" s="48">
        <f>J129+B130-SUMIFS(рапорт!$O:$O,рапорт!$A:$A,A130)-SUMIFS(рапорт!$U:$U,рапорт!$A:$A,A130)/4</f>
        <v>40796</v>
      </c>
      <c r="K130" s="49">
        <f>K129+C130-SUMIFS(рапорт!$P:$P,рапорт!$A:$A,A130)-SUMIFS(рапорт!$U:$U,рапорт!$A:$A,A130)/4</f>
        <v>85531</v>
      </c>
      <c r="L130" s="49">
        <f>L129+D130-SUMIFS(рапорт!$Q:$Q,рапорт!$A:$A,A130)-SUMIFS(рапорт!$U:$U,рапорт!$A:$A,A130)/4</f>
        <v>48580</v>
      </c>
      <c r="M130" s="50">
        <f>M129+E130-SUMIFS(рапорт!$R:$R,рапорт!$A:$A,A130)-SUMIFS(рапорт!$U:$U,рапорт!$A:$A,A130)/4</f>
        <v>15697</v>
      </c>
      <c r="O130" s="55">
        <v>46149</v>
      </c>
      <c r="P130" s="48"/>
      <c r="Q130" s="49"/>
      <c r="R130" s="49"/>
      <c r="S130" s="50"/>
      <c r="T130" s="60">
        <f t="shared" si="32"/>
        <v>0</v>
      </c>
      <c r="U130" s="48">
        <f t="shared" si="36"/>
        <v>749400</v>
      </c>
      <c r="V130" s="49">
        <f t="shared" si="37"/>
        <v>0</v>
      </c>
      <c r="W130" s="49">
        <f t="shared" si="37"/>
        <v>0</v>
      </c>
      <c r="X130" s="50">
        <f t="shared" si="37"/>
        <v>0</v>
      </c>
      <c r="Y130" s="73">
        <f t="shared" si="33"/>
        <v>749400</v>
      </c>
    </row>
    <row r="131" spans="1:25" x14ac:dyDescent="0.2">
      <c r="A131" s="55">
        <v>46150</v>
      </c>
      <c r="B131" s="48"/>
      <c r="C131" s="49"/>
      <c r="D131" s="49"/>
      <c r="E131" s="50"/>
      <c r="F131" s="48">
        <f t="shared" si="38"/>
        <v>42123</v>
      </c>
      <c r="G131" s="49">
        <f t="shared" si="39"/>
        <v>69725</v>
      </c>
      <c r="H131" s="49">
        <f t="shared" si="40"/>
        <v>0</v>
      </c>
      <c r="I131" s="50">
        <f t="shared" si="41"/>
        <v>14417</v>
      </c>
      <c r="J131" s="48">
        <f>J130+B131-SUMIFS(рапорт!$O:$O,рапорт!$A:$A,A131)-SUMIFS(рапорт!$U:$U,рапорт!$A:$A,A131)/4</f>
        <v>40796</v>
      </c>
      <c r="K131" s="49">
        <f>K130+C131-SUMIFS(рапорт!$P:$P,рапорт!$A:$A,A131)-SUMIFS(рапорт!$U:$U,рапорт!$A:$A,A131)/4</f>
        <v>85531</v>
      </c>
      <c r="L131" s="49">
        <f>L130+D131-SUMIFS(рапорт!$Q:$Q,рапорт!$A:$A,A131)-SUMIFS(рапорт!$U:$U,рапорт!$A:$A,A131)/4</f>
        <v>48580</v>
      </c>
      <c r="M131" s="50">
        <f>M130+E131-SUMIFS(рапорт!$R:$R,рапорт!$A:$A,A131)-SUMIFS(рапорт!$U:$U,рапорт!$A:$A,A131)/4</f>
        <v>15697</v>
      </c>
      <c r="O131" s="55">
        <v>46150</v>
      </c>
      <c r="P131" s="48"/>
      <c r="Q131" s="49"/>
      <c r="R131" s="49"/>
      <c r="S131" s="50"/>
      <c r="T131" s="60">
        <f t="shared" si="32"/>
        <v>0</v>
      </c>
      <c r="U131" s="48">
        <f t="shared" si="36"/>
        <v>749400</v>
      </c>
      <c r="V131" s="49">
        <f t="shared" si="37"/>
        <v>0</v>
      </c>
      <c r="W131" s="49">
        <f t="shared" si="37"/>
        <v>0</v>
      </c>
      <c r="X131" s="50">
        <f t="shared" si="37"/>
        <v>0</v>
      </c>
      <c r="Y131" s="73">
        <f t="shared" si="33"/>
        <v>749400</v>
      </c>
    </row>
    <row r="132" spans="1:25" x14ac:dyDescent="0.2">
      <c r="A132" s="55">
        <v>46151</v>
      </c>
      <c r="B132" s="48"/>
      <c r="C132" s="49"/>
      <c r="D132" s="49"/>
      <c r="E132" s="50"/>
      <c r="F132" s="48">
        <f t="shared" si="38"/>
        <v>42123</v>
      </c>
      <c r="G132" s="49">
        <f t="shared" si="39"/>
        <v>69725</v>
      </c>
      <c r="H132" s="49">
        <f t="shared" si="40"/>
        <v>0</v>
      </c>
      <c r="I132" s="50">
        <f t="shared" si="41"/>
        <v>14417</v>
      </c>
      <c r="J132" s="48">
        <f>J131+B132-SUMIFS(рапорт!$O:$O,рапорт!$A:$A,A132)-SUMIFS(рапорт!$U:$U,рапорт!$A:$A,A132)/4</f>
        <v>40796</v>
      </c>
      <c r="K132" s="49">
        <f>K131+C132-SUMIFS(рапорт!$P:$P,рапорт!$A:$A,A132)-SUMIFS(рапорт!$U:$U,рапорт!$A:$A,A132)/4</f>
        <v>85531</v>
      </c>
      <c r="L132" s="49">
        <f>L131+D132-SUMIFS(рапорт!$Q:$Q,рапорт!$A:$A,A132)-SUMIFS(рапорт!$U:$U,рапорт!$A:$A,A132)/4</f>
        <v>48580</v>
      </c>
      <c r="M132" s="50">
        <f>M131+E132-SUMIFS(рапорт!$R:$R,рапорт!$A:$A,A132)-SUMIFS(рапорт!$U:$U,рапорт!$A:$A,A132)/4</f>
        <v>15697</v>
      </c>
      <c r="O132" s="55">
        <v>46151</v>
      </c>
      <c r="P132" s="48"/>
      <c r="Q132" s="49"/>
      <c r="R132" s="49"/>
      <c r="S132" s="50"/>
      <c r="T132" s="60">
        <f t="shared" si="32"/>
        <v>0</v>
      </c>
      <c r="U132" s="48">
        <f t="shared" si="36"/>
        <v>749400</v>
      </c>
      <c r="V132" s="49">
        <f t="shared" ref="V132:X147" si="42">V131</f>
        <v>0</v>
      </c>
      <c r="W132" s="49">
        <f t="shared" si="42"/>
        <v>0</v>
      </c>
      <c r="X132" s="50">
        <f t="shared" si="42"/>
        <v>0</v>
      </c>
      <c r="Y132" s="73">
        <f t="shared" si="33"/>
        <v>749400</v>
      </c>
    </row>
    <row r="133" spans="1:25" x14ac:dyDescent="0.2">
      <c r="A133" s="55">
        <v>46152</v>
      </c>
      <c r="B133" s="48"/>
      <c r="C133" s="49"/>
      <c r="D133" s="49"/>
      <c r="E133" s="50"/>
      <c r="F133" s="48">
        <f t="shared" si="38"/>
        <v>42123</v>
      </c>
      <c r="G133" s="49">
        <f t="shared" si="39"/>
        <v>69725</v>
      </c>
      <c r="H133" s="49">
        <f t="shared" si="40"/>
        <v>0</v>
      </c>
      <c r="I133" s="50">
        <f t="shared" si="41"/>
        <v>14417</v>
      </c>
      <c r="J133" s="48">
        <f>J132+B133-SUMIFS(рапорт!$O:$O,рапорт!$A:$A,A133)-SUMIFS(рапорт!$U:$U,рапорт!$A:$A,A133)/4</f>
        <v>40796</v>
      </c>
      <c r="K133" s="49">
        <f>K132+C133-SUMIFS(рапорт!$P:$P,рапорт!$A:$A,A133)-SUMIFS(рапорт!$U:$U,рапорт!$A:$A,A133)/4</f>
        <v>85531</v>
      </c>
      <c r="L133" s="49">
        <f>L132+D133-SUMIFS(рапорт!$Q:$Q,рапорт!$A:$A,A133)-SUMIFS(рапорт!$U:$U,рапорт!$A:$A,A133)/4</f>
        <v>48580</v>
      </c>
      <c r="M133" s="50">
        <f>M132+E133-SUMIFS(рапорт!$R:$R,рапорт!$A:$A,A133)-SUMIFS(рапорт!$U:$U,рапорт!$A:$A,A133)/4</f>
        <v>15697</v>
      </c>
      <c r="O133" s="55">
        <v>46152</v>
      </c>
      <c r="P133" s="48"/>
      <c r="Q133" s="49"/>
      <c r="R133" s="49"/>
      <c r="S133" s="50"/>
      <c r="T133" s="60">
        <f t="shared" ref="T133:T196" si="43">SUM(P133:S133)</f>
        <v>0</v>
      </c>
      <c r="U133" s="48">
        <f t="shared" si="36"/>
        <v>749400</v>
      </c>
      <c r="V133" s="49">
        <f t="shared" si="42"/>
        <v>0</v>
      </c>
      <c r="W133" s="49">
        <f t="shared" si="42"/>
        <v>0</v>
      </c>
      <c r="X133" s="50">
        <f t="shared" si="42"/>
        <v>0</v>
      </c>
      <c r="Y133" s="73">
        <f t="shared" ref="Y133:Y196" si="44">SUM(U133:X133)</f>
        <v>749400</v>
      </c>
    </row>
    <row r="134" spans="1:25" x14ac:dyDescent="0.2">
      <c r="A134" s="55">
        <v>46153</v>
      </c>
      <c r="B134" s="48"/>
      <c r="C134" s="49"/>
      <c r="D134" s="49"/>
      <c r="E134" s="50"/>
      <c r="F134" s="48">
        <f t="shared" si="38"/>
        <v>42123</v>
      </c>
      <c r="G134" s="49">
        <f t="shared" si="39"/>
        <v>69725</v>
      </c>
      <c r="H134" s="49">
        <f t="shared" si="40"/>
        <v>0</v>
      </c>
      <c r="I134" s="50">
        <f t="shared" si="41"/>
        <v>14417</v>
      </c>
      <c r="J134" s="48">
        <f>J133+B134-SUMIFS(рапорт!$O:$O,рапорт!$A:$A,A134)-SUMIFS(рапорт!$U:$U,рапорт!$A:$A,A134)/4</f>
        <v>40796</v>
      </c>
      <c r="K134" s="49">
        <f>K133+C134-SUMIFS(рапорт!$P:$P,рапорт!$A:$A,A134)-SUMIFS(рапорт!$U:$U,рапорт!$A:$A,A134)/4</f>
        <v>85531</v>
      </c>
      <c r="L134" s="49">
        <f>L133+D134-SUMIFS(рапорт!$Q:$Q,рапорт!$A:$A,A134)-SUMIFS(рапорт!$U:$U,рапорт!$A:$A,A134)/4</f>
        <v>48580</v>
      </c>
      <c r="M134" s="50">
        <f>M133+E134-SUMIFS(рапорт!$R:$R,рапорт!$A:$A,A134)-SUMIFS(рапорт!$U:$U,рапорт!$A:$A,A134)/4</f>
        <v>15697</v>
      </c>
      <c r="O134" s="55">
        <v>46153</v>
      </c>
      <c r="P134" s="48"/>
      <c r="Q134" s="49"/>
      <c r="R134" s="49"/>
      <c r="S134" s="50"/>
      <c r="T134" s="60">
        <f t="shared" si="43"/>
        <v>0</v>
      </c>
      <c r="U134" s="48">
        <f t="shared" si="36"/>
        <v>749400</v>
      </c>
      <c r="V134" s="49">
        <f t="shared" si="42"/>
        <v>0</v>
      </c>
      <c r="W134" s="49">
        <f t="shared" si="42"/>
        <v>0</v>
      </c>
      <c r="X134" s="50">
        <f t="shared" si="42"/>
        <v>0</v>
      </c>
      <c r="Y134" s="73">
        <f t="shared" si="44"/>
        <v>749400</v>
      </c>
    </row>
    <row r="135" spans="1:25" x14ac:dyDescent="0.2">
      <c r="A135" s="55">
        <v>46154</v>
      </c>
      <c r="B135" s="48">
        <v>39830</v>
      </c>
      <c r="C135" s="49"/>
      <c r="D135" s="49"/>
      <c r="E135" s="50"/>
      <c r="F135" s="48">
        <f t="shared" si="38"/>
        <v>42123</v>
      </c>
      <c r="G135" s="49">
        <f t="shared" si="39"/>
        <v>69725</v>
      </c>
      <c r="H135" s="49">
        <f t="shared" si="40"/>
        <v>0</v>
      </c>
      <c r="I135" s="50">
        <f t="shared" si="41"/>
        <v>14417</v>
      </c>
      <c r="J135" s="48">
        <f>J134+B135-SUMIFS(рапорт!$O:$O,рапорт!$A:$A,A135)-SUMIFS(рапорт!$U:$U,рапорт!$A:$A,A135)/4</f>
        <v>80626</v>
      </c>
      <c r="K135" s="49">
        <f>K134+C135-SUMIFS(рапорт!$P:$P,рапорт!$A:$A,A135)-SUMIFS(рапорт!$U:$U,рапорт!$A:$A,A135)/4</f>
        <v>85531</v>
      </c>
      <c r="L135" s="49">
        <f>L134+D135-SUMIFS(рапорт!$Q:$Q,рапорт!$A:$A,A135)-SUMIFS(рапорт!$U:$U,рапорт!$A:$A,A135)/4</f>
        <v>48580</v>
      </c>
      <c r="M135" s="50">
        <f>M134+E135-SUMIFS(рапорт!$R:$R,рапорт!$A:$A,A135)-SUMIFS(рапорт!$U:$U,рапорт!$A:$A,A135)/4</f>
        <v>15697</v>
      </c>
      <c r="O135" s="55">
        <v>46154</v>
      </c>
      <c r="P135" s="48"/>
      <c r="Q135" s="49"/>
      <c r="R135" s="49"/>
      <c r="S135" s="50"/>
      <c r="T135" s="60">
        <f t="shared" si="43"/>
        <v>0</v>
      </c>
      <c r="U135" s="48">
        <f t="shared" si="36"/>
        <v>749400</v>
      </c>
      <c r="V135" s="49">
        <f t="shared" si="42"/>
        <v>0</v>
      </c>
      <c r="W135" s="49">
        <f t="shared" si="42"/>
        <v>0</v>
      </c>
      <c r="X135" s="50">
        <f t="shared" si="42"/>
        <v>0</v>
      </c>
      <c r="Y135" s="73">
        <f t="shared" si="44"/>
        <v>749400</v>
      </c>
    </row>
    <row r="136" spans="1:25" x14ac:dyDescent="0.2">
      <c r="A136" s="55">
        <v>46155</v>
      </c>
      <c r="B136" s="48">
        <v>38670</v>
      </c>
      <c r="C136" s="49">
        <v>39680</v>
      </c>
      <c r="D136" s="49"/>
      <c r="E136" s="50"/>
      <c r="F136" s="48">
        <f t="shared" si="38"/>
        <v>42123</v>
      </c>
      <c r="G136" s="49">
        <f t="shared" si="39"/>
        <v>69725</v>
      </c>
      <c r="H136" s="49">
        <f t="shared" si="40"/>
        <v>0</v>
      </c>
      <c r="I136" s="50">
        <f t="shared" si="41"/>
        <v>14417</v>
      </c>
      <c r="J136" s="48">
        <f>J135+B136-SUMIFS(рапорт!$O:$O,рапорт!$A:$A,A136)-SUMIFS(рапорт!$U:$U,рапорт!$A:$A,A136)/4</f>
        <v>105216</v>
      </c>
      <c r="K136" s="49">
        <f>K135+C136-SUMIFS(рапорт!$P:$P,рапорт!$A:$A,A136)-SUMIFS(рапорт!$U:$U,рапорт!$A:$A,A136)/4</f>
        <v>111923</v>
      </c>
      <c r="L136" s="49">
        <f>L135+D136-SUMIFS(рапорт!$Q:$Q,рапорт!$A:$A,A136)-SUMIFS(рапорт!$U:$U,рапорт!$A:$A,A136)/4</f>
        <v>48580</v>
      </c>
      <c r="M136" s="50">
        <f>M135+E136-SUMIFS(рапорт!$R:$R,рапорт!$A:$A,A136)-SUMIFS(рапорт!$U:$U,рапорт!$A:$A,A136)/4</f>
        <v>15697</v>
      </c>
      <c r="O136" s="55">
        <v>46155</v>
      </c>
      <c r="P136" s="48"/>
      <c r="Q136" s="49"/>
      <c r="R136" s="49"/>
      <c r="S136" s="50"/>
      <c r="T136" s="60">
        <f t="shared" si="43"/>
        <v>0</v>
      </c>
      <c r="U136" s="48">
        <f t="shared" si="36"/>
        <v>749400</v>
      </c>
      <c r="V136" s="49">
        <f t="shared" si="42"/>
        <v>0</v>
      </c>
      <c r="W136" s="49">
        <f t="shared" si="42"/>
        <v>0</v>
      </c>
      <c r="X136" s="50">
        <f t="shared" si="42"/>
        <v>0</v>
      </c>
      <c r="Y136" s="73">
        <f t="shared" si="44"/>
        <v>749400</v>
      </c>
    </row>
    <row r="137" spans="1:25" x14ac:dyDescent="0.2">
      <c r="A137" s="55">
        <v>46156</v>
      </c>
      <c r="B137" s="48"/>
      <c r="C137" s="49"/>
      <c r="D137" s="49"/>
      <c r="E137" s="50"/>
      <c r="F137" s="48">
        <f t="shared" si="38"/>
        <v>42123</v>
      </c>
      <c r="G137" s="49">
        <f t="shared" si="39"/>
        <v>69725</v>
      </c>
      <c r="H137" s="49">
        <f t="shared" si="40"/>
        <v>0</v>
      </c>
      <c r="I137" s="50">
        <f t="shared" si="41"/>
        <v>14417</v>
      </c>
      <c r="J137" s="48">
        <f>J136+B137-SUMIFS(рапорт!$O:$O,рапорт!$A:$A,A137)-SUMIFS(рапорт!$U:$U,рапорт!$A:$A,A137)/4</f>
        <v>90013</v>
      </c>
      <c r="K137" s="49">
        <f>K136+C137-SUMIFS(рапорт!$P:$P,рапорт!$A:$A,A137)-SUMIFS(рапорт!$U:$U,рапорт!$A:$A,A137)/4</f>
        <v>94714</v>
      </c>
      <c r="L137" s="49">
        <f>L136+D137-SUMIFS(рапорт!$Q:$Q,рапорт!$A:$A,A137)-SUMIFS(рапорт!$U:$U,рапорт!$A:$A,A137)/4</f>
        <v>48100</v>
      </c>
      <c r="M137" s="50">
        <f>M136+E137-SUMIFS(рапорт!$R:$R,рапорт!$A:$A,A137)-SUMIFS(рапорт!$U:$U,рапорт!$A:$A,A137)/4</f>
        <v>15217</v>
      </c>
      <c r="O137" s="55">
        <v>46156</v>
      </c>
      <c r="P137" s="48"/>
      <c r="Q137" s="49"/>
      <c r="R137" s="49"/>
      <c r="S137" s="50"/>
      <c r="T137" s="60">
        <f t="shared" si="43"/>
        <v>0</v>
      </c>
      <c r="U137" s="48">
        <f t="shared" si="36"/>
        <v>749400</v>
      </c>
      <c r="V137" s="49">
        <f t="shared" si="42"/>
        <v>0</v>
      </c>
      <c r="W137" s="49">
        <f t="shared" si="42"/>
        <v>0</v>
      </c>
      <c r="X137" s="50">
        <f t="shared" si="42"/>
        <v>0</v>
      </c>
      <c r="Y137" s="73">
        <f t="shared" si="44"/>
        <v>749400</v>
      </c>
    </row>
    <row r="138" spans="1:25" x14ac:dyDescent="0.2">
      <c r="A138" s="55">
        <v>46157</v>
      </c>
      <c r="B138" s="48"/>
      <c r="C138" s="49">
        <v>39590</v>
      </c>
      <c r="D138" s="49"/>
      <c r="E138" s="50"/>
      <c r="F138" s="48">
        <f t="shared" si="38"/>
        <v>42123</v>
      </c>
      <c r="G138" s="49">
        <f t="shared" si="39"/>
        <v>69725</v>
      </c>
      <c r="H138" s="49">
        <f t="shared" si="40"/>
        <v>0</v>
      </c>
      <c r="I138" s="50">
        <f t="shared" si="41"/>
        <v>14417</v>
      </c>
      <c r="J138" s="48">
        <f>J137+B138-SUMIFS(рапорт!$O:$O,рапорт!$A:$A,A138)-SUMIFS(рапорт!$U:$U,рапорт!$A:$A,A138)/4</f>
        <v>71445</v>
      </c>
      <c r="K138" s="49">
        <f>K137+C138-SUMIFS(рапорт!$P:$P,рапорт!$A:$A,A138)-SUMIFS(рапорт!$U:$U,рапорт!$A:$A,A138)/4</f>
        <v>113798</v>
      </c>
      <c r="L138" s="49">
        <f>L137+D138-SUMIFS(рапорт!$Q:$Q,рапорт!$A:$A,A138)-SUMIFS(рапорт!$U:$U,рапорт!$A:$A,A138)/4</f>
        <v>48100</v>
      </c>
      <c r="M138" s="50">
        <f>M137+E138-SUMIFS(рапорт!$R:$R,рапорт!$A:$A,A138)-SUMIFS(рапорт!$U:$U,рапорт!$A:$A,A138)/4</f>
        <v>15217</v>
      </c>
      <c r="O138" s="55">
        <v>46157</v>
      </c>
      <c r="P138" s="48"/>
      <c r="Q138" s="49"/>
      <c r="R138" s="49"/>
      <c r="S138" s="50"/>
      <c r="T138" s="60">
        <f t="shared" si="43"/>
        <v>0</v>
      </c>
      <c r="U138" s="48">
        <f t="shared" si="36"/>
        <v>749400</v>
      </c>
      <c r="V138" s="49">
        <f t="shared" si="42"/>
        <v>0</v>
      </c>
      <c r="W138" s="49">
        <f t="shared" si="42"/>
        <v>0</v>
      </c>
      <c r="X138" s="50">
        <f t="shared" si="42"/>
        <v>0</v>
      </c>
      <c r="Y138" s="73">
        <f t="shared" si="44"/>
        <v>749400</v>
      </c>
    </row>
    <row r="139" spans="1:25" x14ac:dyDescent="0.2">
      <c r="A139" s="55">
        <v>46158</v>
      </c>
      <c r="B139" s="48">
        <v>39610</v>
      </c>
      <c r="C139" s="49"/>
      <c r="D139" s="49"/>
      <c r="E139" s="50"/>
      <c r="F139" s="48">
        <f t="shared" si="38"/>
        <v>42123</v>
      </c>
      <c r="G139" s="49">
        <f t="shared" si="39"/>
        <v>69725</v>
      </c>
      <c r="H139" s="49">
        <f t="shared" si="40"/>
        <v>0</v>
      </c>
      <c r="I139" s="50">
        <f t="shared" si="41"/>
        <v>14417</v>
      </c>
      <c r="J139" s="48">
        <f>J138+B139-SUMIFS(рапорт!$O:$O,рапорт!$A:$A,A139)-SUMIFS(рапорт!$U:$U,рапорт!$A:$A,A139)/4</f>
        <v>86071</v>
      </c>
      <c r="K139" s="49">
        <f>K138+C139-SUMIFS(рапорт!$P:$P,рапорт!$A:$A,A139)-SUMIFS(рапорт!$U:$U,рапорт!$A:$A,A139)/4</f>
        <v>88813</v>
      </c>
      <c r="L139" s="49">
        <f>L138+D139-SUMIFS(рапорт!$Q:$Q,рапорт!$A:$A,A139)-SUMIFS(рапорт!$U:$U,рапорт!$A:$A,A139)/4</f>
        <v>48100</v>
      </c>
      <c r="M139" s="50">
        <f>M138+E139-SUMIFS(рапорт!$R:$R,рапорт!$A:$A,A139)-SUMIFS(рапорт!$U:$U,рапорт!$A:$A,A139)/4</f>
        <v>15217</v>
      </c>
      <c r="O139" s="55">
        <v>46158</v>
      </c>
      <c r="P139" s="48"/>
      <c r="Q139" s="49"/>
      <c r="R139" s="49"/>
      <c r="S139" s="50"/>
      <c r="T139" s="60">
        <f t="shared" si="43"/>
        <v>0</v>
      </c>
      <c r="U139" s="48">
        <f t="shared" si="36"/>
        <v>749400</v>
      </c>
      <c r="V139" s="49">
        <f t="shared" si="42"/>
        <v>0</v>
      </c>
      <c r="W139" s="49">
        <f t="shared" si="42"/>
        <v>0</v>
      </c>
      <c r="X139" s="50">
        <f t="shared" si="42"/>
        <v>0</v>
      </c>
      <c r="Y139" s="73">
        <f t="shared" si="44"/>
        <v>749400</v>
      </c>
    </row>
    <row r="140" spans="1:25" x14ac:dyDescent="0.2">
      <c r="A140" s="55">
        <v>46159</v>
      </c>
      <c r="B140" s="48"/>
      <c r="C140" s="49"/>
      <c r="D140" s="49"/>
      <c r="E140" s="50"/>
      <c r="F140" s="48">
        <f t="shared" si="38"/>
        <v>42123</v>
      </c>
      <c r="G140" s="49">
        <f t="shared" si="39"/>
        <v>69725</v>
      </c>
      <c r="H140" s="49">
        <f t="shared" si="40"/>
        <v>0</v>
      </c>
      <c r="I140" s="50">
        <f t="shared" si="41"/>
        <v>14417</v>
      </c>
      <c r="J140" s="48">
        <f>J139+B140-SUMIFS(рапорт!$O:$O,рапорт!$A:$A,A140)-SUMIFS(рапорт!$U:$U,рапорт!$A:$A,A140)/4</f>
        <v>55961</v>
      </c>
      <c r="K140" s="49">
        <f>K139+C140-SUMIFS(рапорт!$P:$P,рапорт!$A:$A,A140)-SUMIFS(рапорт!$U:$U,рапорт!$A:$A,A140)/4</f>
        <v>59253</v>
      </c>
      <c r="L140" s="49">
        <f>L139+D140-SUMIFS(рапорт!$Q:$Q,рапорт!$A:$A,A140)-SUMIFS(рапорт!$U:$U,рапорт!$A:$A,A140)/4</f>
        <v>48100</v>
      </c>
      <c r="M140" s="50">
        <f>M139+E140-SUMIFS(рапорт!$R:$R,рапорт!$A:$A,A140)-SUMIFS(рапорт!$U:$U,рапорт!$A:$A,A140)/4</f>
        <v>15217</v>
      </c>
      <c r="O140" s="55">
        <v>46159</v>
      </c>
      <c r="P140" s="48"/>
      <c r="Q140" s="49"/>
      <c r="R140" s="49"/>
      <c r="S140" s="50"/>
      <c r="T140" s="60">
        <f t="shared" si="43"/>
        <v>0</v>
      </c>
      <c r="U140" s="48">
        <f t="shared" si="36"/>
        <v>749400</v>
      </c>
      <c r="V140" s="49">
        <f t="shared" si="42"/>
        <v>0</v>
      </c>
      <c r="W140" s="49">
        <f t="shared" si="42"/>
        <v>0</v>
      </c>
      <c r="X140" s="50">
        <f t="shared" si="42"/>
        <v>0</v>
      </c>
      <c r="Y140" s="73">
        <f t="shared" si="44"/>
        <v>749400</v>
      </c>
    </row>
    <row r="141" spans="1:25" x14ac:dyDescent="0.2">
      <c r="A141" s="55">
        <v>46160</v>
      </c>
      <c r="B141" s="48">
        <v>39840</v>
      </c>
      <c r="C141" s="49">
        <v>39800</v>
      </c>
      <c r="D141" s="49"/>
      <c r="E141" s="50"/>
      <c r="F141" s="48">
        <f t="shared" si="38"/>
        <v>42123</v>
      </c>
      <c r="G141" s="49">
        <f t="shared" si="39"/>
        <v>69725</v>
      </c>
      <c r="H141" s="49">
        <f t="shared" si="40"/>
        <v>0</v>
      </c>
      <c r="I141" s="50">
        <f t="shared" si="41"/>
        <v>14417</v>
      </c>
      <c r="J141" s="48">
        <f>J140+B141-SUMIFS(рапорт!$O:$O,рапорт!$A:$A,A141)-SUMIFS(рапорт!$U:$U,рапорт!$A:$A,A141)/4</f>
        <v>72073</v>
      </c>
      <c r="K141" s="49">
        <f>K140+C141-SUMIFS(рапорт!$P:$P,рапорт!$A:$A,A141)-SUMIFS(рапорт!$U:$U,рапорт!$A:$A,A141)/4</f>
        <v>70750</v>
      </c>
      <c r="L141" s="49">
        <f>L140+D141-SUMIFS(рапорт!$Q:$Q,рапорт!$A:$A,A141)-SUMIFS(рапорт!$U:$U,рапорт!$A:$A,A141)/4</f>
        <v>48100</v>
      </c>
      <c r="M141" s="50">
        <f>M140+E141-SUMIFS(рапорт!$R:$R,рапорт!$A:$A,A141)-SUMIFS(рапорт!$U:$U,рапорт!$A:$A,A141)/4</f>
        <v>15217</v>
      </c>
      <c r="O141" s="55">
        <v>46160</v>
      </c>
      <c r="P141" s="48"/>
      <c r="Q141" s="49"/>
      <c r="R141" s="49"/>
      <c r="S141" s="50"/>
      <c r="T141" s="60">
        <f t="shared" si="43"/>
        <v>0</v>
      </c>
      <c r="U141" s="48">
        <f t="shared" si="36"/>
        <v>749400</v>
      </c>
      <c r="V141" s="49">
        <f t="shared" si="42"/>
        <v>0</v>
      </c>
      <c r="W141" s="49">
        <f t="shared" si="42"/>
        <v>0</v>
      </c>
      <c r="X141" s="50">
        <f t="shared" si="42"/>
        <v>0</v>
      </c>
      <c r="Y141" s="73">
        <f t="shared" si="44"/>
        <v>749400</v>
      </c>
    </row>
    <row r="142" spans="1:25" x14ac:dyDescent="0.2">
      <c r="A142" s="55">
        <v>46161</v>
      </c>
      <c r="B142" s="48"/>
      <c r="C142" s="49">
        <v>41780</v>
      </c>
      <c r="D142" s="49"/>
      <c r="E142" s="50"/>
      <c r="F142" s="48">
        <f t="shared" si="38"/>
        <v>42123</v>
      </c>
      <c r="G142" s="49">
        <f t="shared" si="39"/>
        <v>69725</v>
      </c>
      <c r="H142" s="49">
        <f t="shared" si="40"/>
        <v>0</v>
      </c>
      <c r="I142" s="50">
        <f t="shared" si="41"/>
        <v>14417</v>
      </c>
      <c r="J142" s="48">
        <f>J141+B142-SUMIFS(рапорт!$O:$O,рапорт!$A:$A,A142)-SUMIFS(рапорт!$U:$U,рапорт!$A:$A,A142)/4</f>
        <v>63084</v>
      </c>
      <c r="K142" s="49">
        <f>K141+C142-SUMIFS(рапорт!$P:$P,рапорт!$A:$A,A142)-SUMIFS(рапорт!$U:$U,рапорт!$A:$A,A142)/4</f>
        <v>99670</v>
      </c>
      <c r="L142" s="49">
        <f>L141+D142-SUMIFS(рапорт!$Q:$Q,рапорт!$A:$A,A142)-SUMIFS(рапорт!$U:$U,рапорт!$A:$A,A142)/4</f>
        <v>48100</v>
      </c>
      <c r="M142" s="50">
        <f>M141+E142-SUMIFS(рапорт!$R:$R,рапорт!$A:$A,A142)-SUMIFS(рапорт!$U:$U,рапорт!$A:$A,A142)/4</f>
        <v>15217</v>
      </c>
      <c r="O142" s="55">
        <v>46161</v>
      </c>
      <c r="P142" s="48"/>
      <c r="Q142" s="49"/>
      <c r="R142" s="49"/>
      <c r="S142" s="50"/>
      <c r="T142" s="60">
        <f t="shared" si="43"/>
        <v>0</v>
      </c>
      <c r="U142" s="48">
        <f t="shared" si="36"/>
        <v>749400</v>
      </c>
      <c r="V142" s="49">
        <f t="shared" si="42"/>
        <v>0</v>
      </c>
      <c r="W142" s="49">
        <f t="shared" si="42"/>
        <v>0</v>
      </c>
      <c r="X142" s="50">
        <f t="shared" si="42"/>
        <v>0</v>
      </c>
      <c r="Y142" s="73">
        <f t="shared" si="44"/>
        <v>749400</v>
      </c>
    </row>
    <row r="143" spans="1:25" x14ac:dyDescent="0.2">
      <c r="A143" s="55">
        <v>46162</v>
      </c>
      <c r="B143" s="48">
        <v>40310</v>
      </c>
      <c r="C143" s="49">
        <v>41190</v>
      </c>
      <c r="D143" s="49"/>
      <c r="E143" s="50"/>
      <c r="F143" s="48">
        <f t="shared" si="38"/>
        <v>42123</v>
      </c>
      <c r="G143" s="49">
        <f t="shared" si="39"/>
        <v>69725</v>
      </c>
      <c r="H143" s="49">
        <f t="shared" si="40"/>
        <v>0</v>
      </c>
      <c r="I143" s="50">
        <f t="shared" si="41"/>
        <v>14417</v>
      </c>
      <c r="J143" s="48">
        <f>J142+B143-SUMIFS(рапорт!$O:$O,рапорт!$A:$A,A143)-SUMIFS(рапорт!$U:$U,рапорт!$A:$A,A143)/4</f>
        <v>86734.5</v>
      </c>
      <c r="K143" s="49">
        <f>K142+C143-SUMIFS(рапорт!$P:$P,рапорт!$A:$A,A143)-SUMIFS(рапорт!$U:$U,рапорт!$A:$A,A143)/4</f>
        <v>122862.5</v>
      </c>
      <c r="L143" s="49">
        <f>L142+D143-SUMIFS(рапорт!$Q:$Q,рапорт!$A:$A,A143)-SUMIFS(рапорт!$U:$U,рапорт!$A:$A,A143)/4</f>
        <v>48099.5</v>
      </c>
      <c r="M143" s="50">
        <f>M142+E143-SUMIFS(рапорт!$R:$R,рапорт!$A:$A,A143)-SUMIFS(рапорт!$U:$U,рапорт!$A:$A,A143)/4</f>
        <v>15216.5</v>
      </c>
      <c r="O143" s="55">
        <v>46162</v>
      </c>
      <c r="P143" s="48"/>
      <c r="Q143" s="49"/>
      <c r="R143" s="49"/>
      <c r="S143" s="50"/>
      <c r="T143" s="60">
        <f t="shared" si="43"/>
        <v>0</v>
      </c>
      <c r="U143" s="48">
        <f t="shared" si="36"/>
        <v>749400</v>
      </c>
      <c r="V143" s="49">
        <f t="shared" si="42"/>
        <v>0</v>
      </c>
      <c r="W143" s="49">
        <f t="shared" si="42"/>
        <v>0</v>
      </c>
      <c r="X143" s="50">
        <f t="shared" si="42"/>
        <v>0</v>
      </c>
      <c r="Y143" s="73">
        <f t="shared" si="44"/>
        <v>749400</v>
      </c>
    </row>
    <row r="144" spans="1:25" x14ac:dyDescent="0.2">
      <c r="A144" s="55">
        <v>46163</v>
      </c>
      <c r="B144" s="48">
        <v>42450</v>
      </c>
      <c r="C144" s="49"/>
      <c r="D144" s="49"/>
      <c r="E144" s="50"/>
      <c r="F144" s="48">
        <f t="shared" si="38"/>
        <v>42123</v>
      </c>
      <c r="G144" s="49">
        <f t="shared" si="39"/>
        <v>69725</v>
      </c>
      <c r="H144" s="49">
        <f t="shared" si="40"/>
        <v>0</v>
      </c>
      <c r="I144" s="50">
        <f t="shared" si="41"/>
        <v>14417</v>
      </c>
      <c r="J144" s="48">
        <f>J143+B144-SUMIFS(рапорт!$O:$O,рапорт!$A:$A,A144)-SUMIFS(рапорт!$U:$U,рапорт!$A:$A,A144)/4</f>
        <v>100948.5</v>
      </c>
      <c r="K144" s="49">
        <f>K143+C144-SUMIFS(рапорт!$P:$P,рапорт!$A:$A,A144)-SUMIFS(рапорт!$U:$U,рапорт!$A:$A,A144)/4</f>
        <v>96571.5</v>
      </c>
      <c r="L144" s="49">
        <f>L143+D144-SUMIFS(рапорт!$Q:$Q,рапорт!$A:$A,A144)-SUMIFS(рапорт!$U:$U,рапорт!$A:$A,A144)/4</f>
        <v>48099.5</v>
      </c>
      <c r="M144" s="50">
        <f>M143+E144-SUMIFS(рапорт!$R:$R,рапорт!$A:$A,A144)-SUMIFS(рапорт!$U:$U,рапорт!$A:$A,A144)/4</f>
        <v>15216.5</v>
      </c>
      <c r="O144" s="55">
        <v>46163</v>
      </c>
      <c r="P144" s="48"/>
      <c r="Q144" s="49"/>
      <c r="R144" s="49"/>
      <c r="S144" s="50"/>
      <c r="T144" s="60">
        <f t="shared" si="43"/>
        <v>0</v>
      </c>
      <c r="U144" s="48">
        <f t="shared" si="36"/>
        <v>749400</v>
      </c>
      <c r="V144" s="49">
        <f t="shared" si="42"/>
        <v>0</v>
      </c>
      <c r="W144" s="49">
        <f t="shared" si="42"/>
        <v>0</v>
      </c>
      <c r="X144" s="50">
        <f t="shared" si="42"/>
        <v>0</v>
      </c>
      <c r="Y144" s="73">
        <f t="shared" si="44"/>
        <v>749400</v>
      </c>
    </row>
    <row r="145" spans="1:25" x14ac:dyDescent="0.2">
      <c r="A145" s="55">
        <v>46164</v>
      </c>
      <c r="B145" s="48">
        <v>40840</v>
      </c>
      <c r="C145" s="49">
        <v>40310</v>
      </c>
      <c r="D145" s="49"/>
      <c r="E145" s="50"/>
      <c r="F145" s="48">
        <f t="shared" si="38"/>
        <v>42123</v>
      </c>
      <c r="G145" s="49">
        <f t="shared" si="39"/>
        <v>69725</v>
      </c>
      <c r="H145" s="49">
        <f t="shared" si="40"/>
        <v>0</v>
      </c>
      <c r="I145" s="50">
        <f t="shared" si="41"/>
        <v>14417</v>
      </c>
      <c r="J145" s="48">
        <f>J144+B145-SUMIFS(рапорт!$O:$O,рапорт!$A:$A,A145)-SUMIFS(рапорт!$U:$U,рапорт!$A:$A,A145)/4</f>
        <v>117432.5</v>
      </c>
      <c r="K145" s="49">
        <f>K144+C145-SUMIFS(рапорт!$P:$P,рапорт!$A:$A,A145)-SUMIFS(рапорт!$U:$U,рапорт!$A:$A,A145)/4</f>
        <v>115654.5</v>
      </c>
      <c r="L145" s="49">
        <f>L144+D145-SUMIFS(рапорт!$Q:$Q,рапорт!$A:$A,A145)-SUMIFS(рапорт!$U:$U,рапорт!$A:$A,A145)/4</f>
        <v>48099.5</v>
      </c>
      <c r="M145" s="50">
        <f>M144+E145-SUMIFS(рапорт!$R:$R,рапорт!$A:$A,A145)-SUMIFS(рапорт!$U:$U,рапорт!$A:$A,A145)/4</f>
        <v>15216.5</v>
      </c>
      <c r="O145" s="55">
        <v>46164</v>
      </c>
      <c r="P145" s="48"/>
      <c r="Q145" s="49"/>
      <c r="R145" s="49"/>
      <c r="S145" s="50"/>
      <c r="T145" s="60">
        <f t="shared" si="43"/>
        <v>0</v>
      </c>
      <c r="U145" s="48">
        <f t="shared" si="36"/>
        <v>749400</v>
      </c>
      <c r="V145" s="49">
        <f t="shared" si="42"/>
        <v>0</v>
      </c>
      <c r="W145" s="49">
        <f t="shared" si="42"/>
        <v>0</v>
      </c>
      <c r="X145" s="50">
        <f t="shared" si="42"/>
        <v>0</v>
      </c>
      <c r="Y145" s="73">
        <f t="shared" si="44"/>
        <v>749400</v>
      </c>
    </row>
    <row r="146" spans="1:25" x14ac:dyDescent="0.2">
      <c r="A146" s="55">
        <v>46165</v>
      </c>
      <c r="B146" s="48"/>
      <c r="C146" s="49">
        <v>39250</v>
      </c>
      <c r="D146" s="49"/>
      <c r="E146" s="50"/>
      <c r="F146" s="48">
        <f t="shared" si="38"/>
        <v>42123</v>
      </c>
      <c r="G146" s="49">
        <f t="shared" si="39"/>
        <v>69725</v>
      </c>
      <c r="H146" s="49">
        <f t="shared" si="40"/>
        <v>0</v>
      </c>
      <c r="I146" s="50">
        <f t="shared" si="41"/>
        <v>14417</v>
      </c>
      <c r="J146" s="48">
        <f>J145+B146-SUMIFS(рапорт!$O:$O,рапорт!$A:$A,A146)-SUMIFS(рапорт!$U:$U,рапорт!$A:$A,A146)/4</f>
        <v>96899.5</v>
      </c>
      <c r="K146" s="49">
        <f>K145+C146-SUMIFS(рапорт!$P:$P,рапорт!$A:$A,A146)-SUMIFS(рапорт!$U:$U,рапорт!$A:$A,A146)/4</f>
        <v>134363.5</v>
      </c>
      <c r="L146" s="49">
        <f>L145+D146-SUMIFS(рапорт!$Q:$Q,рапорт!$A:$A,A146)-SUMIFS(рапорт!$U:$U,рапорт!$A:$A,A146)/4</f>
        <v>48099.5</v>
      </c>
      <c r="M146" s="50">
        <f>M145+E146-SUMIFS(рапорт!$R:$R,рапорт!$A:$A,A146)-SUMIFS(рапорт!$U:$U,рапорт!$A:$A,A146)/4</f>
        <v>15216.5</v>
      </c>
      <c r="O146" s="55">
        <v>46165</v>
      </c>
      <c r="P146" s="48"/>
      <c r="Q146" s="49"/>
      <c r="R146" s="49"/>
      <c r="S146" s="50"/>
      <c r="T146" s="60">
        <f t="shared" si="43"/>
        <v>0</v>
      </c>
      <c r="U146" s="48">
        <f t="shared" si="36"/>
        <v>749400</v>
      </c>
      <c r="V146" s="49">
        <f t="shared" si="42"/>
        <v>0</v>
      </c>
      <c r="W146" s="49">
        <f t="shared" si="42"/>
        <v>0</v>
      </c>
      <c r="X146" s="50">
        <f t="shared" si="42"/>
        <v>0</v>
      </c>
      <c r="Y146" s="73">
        <f t="shared" si="44"/>
        <v>749400</v>
      </c>
    </row>
    <row r="147" spans="1:25" x14ac:dyDescent="0.2">
      <c r="A147" s="55">
        <v>46166</v>
      </c>
      <c r="B147" s="48"/>
      <c r="C147" s="49"/>
      <c r="D147" s="49"/>
      <c r="E147" s="50"/>
      <c r="F147" s="48">
        <f t="shared" si="38"/>
        <v>42123</v>
      </c>
      <c r="G147" s="49">
        <f t="shared" si="39"/>
        <v>69725</v>
      </c>
      <c r="H147" s="49">
        <f t="shared" si="40"/>
        <v>0</v>
      </c>
      <c r="I147" s="50">
        <f t="shared" si="41"/>
        <v>14417</v>
      </c>
      <c r="J147" s="48">
        <f>J146+B147-SUMIFS(рапорт!$O:$O,рапорт!$A:$A,A147)-SUMIFS(рапорт!$U:$U,рапорт!$A:$A,A147)/4</f>
        <v>70035.5</v>
      </c>
      <c r="K147" s="49">
        <f>K146+C147-SUMIFS(рапорт!$P:$P,рапорт!$A:$A,A147)-SUMIFS(рапорт!$U:$U,рапорт!$A:$A,A147)/4</f>
        <v>109914.5</v>
      </c>
      <c r="L147" s="49">
        <f>L146+D147-SUMIFS(рапорт!$Q:$Q,рапорт!$A:$A,A147)-SUMIFS(рапорт!$U:$U,рапорт!$A:$A,A147)/4</f>
        <v>48099.5</v>
      </c>
      <c r="M147" s="50">
        <f>M146+E147-SUMIFS(рапорт!$R:$R,рапорт!$A:$A,A147)-SUMIFS(рапорт!$U:$U,рапорт!$A:$A,A147)/4</f>
        <v>15216.5</v>
      </c>
      <c r="O147" s="55">
        <v>46166</v>
      </c>
      <c r="P147" s="48"/>
      <c r="Q147" s="49"/>
      <c r="R147" s="49"/>
      <c r="S147" s="50"/>
      <c r="T147" s="60">
        <f t="shared" si="43"/>
        <v>0</v>
      </c>
      <c r="U147" s="48">
        <f t="shared" si="36"/>
        <v>749400</v>
      </c>
      <c r="V147" s="49">
        <f t="shared" si="42"/>
        <v>0</v>
      </c>
      <c r="W147" s="49">
        <f t="shared" si="42"/>
        <v>0</v>
      </c>
      <c r="X147" s="50">
        <f t="shared" si="42"/>
        <v>0</v>
      </c>
      <c r="Y147" s="73">
        <f t="shared" si="44"/>
        <v>749400</v>
      </c>
    </row>
    <row r="148" spans="1:25" x14ac:dyDescent="0.2">
      <c r="A148" s="55">
        <v>46167</v>
      </c>
      <c r="B148" s="48"/>
      <c r="C148" s="49"/>
      <c r="D148" s="49"/>
      <c r="E148" s="50"/>
      <c r="F148" s="48">
        <f t="shared" si="38"/>
        <v>42123</v>
      </c>
      <c r="G148" s="49">
        <f t="shared" si="39"/>
        <v>69725</v>
      </c>
      <c r="H148" s="49">
        <f t="shared" si="40"/>
        <v>0</v>
      </c>
      <c r="I148" s="50">
        <f t="shared" si="41"/>
        <v>14417</v>
      </c>
      <c r="J148" s="48">
        <f>J147+B148-SUMIFS(рапорт!$O:$O,рапорт!$A:$A,A148)-SUMIFS(рапорт!$U:$U,рапорт!$A:$A,A148)/4</f>
        <v>62983.5</v>
      </c>
      <c r="K148" s="49">
        <f>K147+C148-SUMIFS(рапорт!$P:$P,рапорт!$A:$A,A148)-SUMIFS(рапорт!$U:$U,рапорт!$A:$A,A148)/4</f>
        <v>89970.5</v>
      </c>
      <c r="L148" s="49">
        <f>L147+D148-SUMIFS(рапорт!$Q:$Q,рапорт!$A:$A,A148)-SUMIFS(рапорт!$U:$U,рапорт!$A:$A,A148)/4</f>
        <v>48099.5</v>
      </c>
      <c r="M148" s="50">
        <f>M147+E148-SUMIFS(рапорт!$R:$R,рапорт!$A:$A,A148)-SUMIFS(рапорт!$U:$U,рапорт!$A:$A,A148)/4</f>
        <v>15216.5</v>
      </c>
      <c r="O148" s="55">
        <v>46167</v>
      </c>
      <c r="P148" s="48"/>
      <c r="Q148" s="49"/>
      <c r="R148" s="49"/>
      <c r="S148" s="50"/>
      <c r="T148" s="60">
        <f t="shared" si="43"/>
        <v>0</v>
      </c>
      <c r="U148" s="48">
        <f t="shared" si="36"/>
        <v>749400</v>
      </c>
      <c r="V148" s="49">
        <f t="shared" ref="V148:X163" si="45">V147</f>
        <v>0</v>
      </c>
      <c r="W148" s="49">
        <f t="shared" si="45"/>
        <v>0</v>
      </c>
      <c r="X148" s="50">
        <f t="shared" si="45"/>
        <v>0</v>
      </c>
      <c r="Y148" s="73">
        <f t="shared" si="44"/>
        <v>749400</v>
      </c>
    </row>
    <row r="149" spans="1:25" x14ac:dyDescent="0.2">
      <c r="A149" s="55">
        <v>46168</v>
      </c>
      <c r="B149" s="48">
        <v>38640</v>
      </c>
      <c r="C149" s="49">
        <v>42090</v>
      </c>
      <c r="D149" s="49"/>
      <c r="E149" s="50"/>
      <c r="F149" s="48">
        <f t="shared" si="38"/>
        <v>42123</v>
      </c>
      <c r="G149" s="49">
        <f t="shared" si="39"/>
        <v>69725</v>
      </c>
      <c r="H149" s="49">
        <f t="shared" si="40"/>
        <v>0</v>
      </c>
      <c r="I149" s="50">
        <f t="shared" si="41"/>
        <v>14417</v>
      </c>
      <c r="J149" s="48">
        <f>J148+B149-SUMIFS(рапорт!$O:$O,рапорт!$A:$A,A149)-SUMIFS(рапорт!$U:$U,рапорт!$A:$A,A149)/4</f>
        <v>81763.5</v>
      </c>
      <c r="K149" s="49">
        <f>K148+C149-SUMIFS(рапорт!$P:$P,рапорт!$A:$A,A149)-SUMIFS(рапорт!$U:$U,рапорт!$A:$A,A149)/4</f>
        <v>109674.5</v>
      </c>
      <c r="L149" s="49">
        <f>L148+D149-SUMIFS(рапорт!$Q:$Q,рапорт!$A:$A,A149)-SUMIFS(рапорт!$U:$U,рапорт!$A:$A,A149)/4</f>
        <v>48099.5</v>
      </c>
      <c r="M149" s="50">
        <f>M148+E149-SUMIFS(рапорт!$R:$R,рапорт!$A:$A,A149)-SUMIFS(рапорт!$U:$U,рапорт!$A:$A,A149)/4</f>
        <v>15216.5</v>
      </c>
      <c r="O149" s="55">
        <v>46168</v>
      </c>
      <c r="P149" s="48"/>
      <c r="Q149" s="49"/>
      <c r="R149" s="49"/>
      <c r="S149" s="50"/>
      <c r="T149" s="60">
        <f t="shared" si="43"/>
        <v>0</v>
      </c>
      <c r="U149" s="48">
        <f t="shared" si="36"/>
        <v>749400</v>
      </c>
      <c r="V149" s="49">
        <f t="shared" si="45"/>
        <v>0</v>
      </c>
      <c r="W149" s="49">
        <f t="shared" si="45"/>
        <v>0</v>
      </c>
      <c r="X149" s="50">
        <f t="shared" si="45"/>
        <v>0</v>
      </c>
      <c r="Y149" s="73">
        <f t="shared" si="44"/>
        <v>749400</v>
      </c>
    </row>
    <row r="150" spans="1:25" x14ac:dyDescent="0.2">
      <c r="A150" s="55">
        <v>46169</v>
      </c>
      <c r="B150" s="48">
        <v>39610</v>
      </c>
      <c r="C150" s="49"/>
      <c r="D150" s="49"/>
      <c r="E150" s="50"/>
      <c r="F150" s="48">
        <f t="shared" si="38"/>
        <v>42123</v>
      </c>
      <c r="G150" s="49">
        <f t="shared" si="39"/>
        <v>69725</v>
      </c>
      <c r="H150" s="49">
        <f t="shared" si="40"/>
        <v>0</v>
      </c>
      <c r="I150" s="50">
        <f t="shared" si="41"/>
        <v>14417</v>
      </c>
      <c r="J150" s="48">
        <f>J149+B150-SUMIFS(рапорт!$O:$O,рапорт!$A:$A,A150)-SUMIFS(рапорт!$U:$U,рапорт!$A:$A,A150)/4</f>
        <v>103209.5</v>
      </c>
      <c r="K150" s="49">
        <f>K149+C150-SUMIFS(рапорт!$P:$P,рапорт!$A:$A,A150)-SUMIFS(рапорт!$U:$U,рапорт!$A:$A,A150)/4</f>
        <v>89620.5</v>
      </c>
      <c r="L150" s="49">
        <f>L149+D150-SUMIFS(рапорт!$Q:$Q,рапорт!$A:$A,A150)-SUMIFS(рапорт!$U:$U,рапорт!$A:$A,A150)/4</f>
        <v>47859.5</v>
      </c>
      <c r="M150" s="50">
        <f>M149+E150-SUMIFS(рапорт!$R:$R,рапорт!$A:$A,A150)-SUMIFS(рапорт!$U:$U,рапорт!$A:$A,A150)/4</f>
        <v>14976.5</v>
      </c>
      <c r="O150" s="55">
        <v>46169</v>
      </c>
      <c r="P150" s="48"/>
      <c r="Q150" s="49"/>
      <c r="R150" s="49"/>
      <c r="S150" s="50"/>
      <c r="T150" s="60">
        <f t="shared" si="43"/>
        <v>0</v>
      </c>
      <c r="U150" s="48">
        <f t="shared" si="36"/>
        <v>749400</v>
      </c>
      <c r="V150" s="49">
        <f t="shared" si="45"/>
        <v>0</v>
      </c>
      <c r="W150" s="49">
        <f t="shared" si="45"/>
        <v>0</v>
      </c>
      <c r="X150" s="50">
        <f t="shared" si="45"/>
        <v>0</v>
      </c>
      <c r="Y150" s="73">
        <f t="shared" si="44"/>
        <v>749400</v>
      </c>
    </row>
    <row r="151" spans="1:25" x14ac:dyDescent="0.2">
      <c r="A151" s="55">
        <v>46170</v>
      </c>
      <c r="B151" s="48"/>
      <c r="C151" s="49">
        <v>39310</v>
      </c>
      <c r="D151" s="49"/>
      <c r="E151" s="50"/>
      <c r="F151" s="48">
        <f t="shared" si="38"/>
        <v>42123</v>
      </c>
      <c r="G151" s="49">
        <f t="shared" si="39"/>
        <v>69725</v>
      </c>
      <c r="H151" s="49">
        <f t="shared" si="40"/>
        <v>0</v>
      </c>
      <c r="I151" s="50">
        <f t="shared" si="41"/>
        <v>14417</v>
      </c>
      <c r="J151" s="48">
        <f>J150+B151-SUMIFS(рапорт!$O:$O,рапорт!$A:$A,A151)-SUMIFS(рапорт!$U:$U,рапорт!$A:$A,A151)/4</f>
        <v>71833.5</v>
      </c>
      <c r="K151" s="49">
        <f>K150+C151-SUMIFS(рапорт!$P:$P,рапорт!$A:$A,A151)-SUMIFS(рапорт!$U:$U,рапорт!$A:$A,A151)/4</f>
        <v>109093.5</v>
      </c>
      <c r="L151" s="49">
        <f>L150+D151-SUMIFS(рапорт!$Q:$Q,рапорт!$A:$A,A151)-SUMIFS(рапорт!$U:$U,рапорт!$A:$A,A151)/4</f>
        <v>47859.5</v>
      </c>
      <c r="M151" s="50">
        <f>M150+E151-SUMIFS(рапорт!$R:$R,рапорт!$A:$A,A151)-SUMIFS(рапорт!$U:$U,рапорт!$A:$A,A151)/4</f>
        <v>14976.5</v>
      </c>
      <c r="O151" s="55">
        <v>46170</v>
      </c>
      <c r="P151" s="48"/>
      <c r="Q151" s="49"/>
      <c r="R151" s="49"/>
      <c r="S151" s="50"/>
      <c r="T151" s="60">
        <f t="shared" si="43"/>
        <v>0</v>
      </c>
      <c r="U151" s="48">
        <f t="shared" si="36"/>
        <v>749400</v>
      </c>
      <c r="V151" s="49">
        <f t="shared" si="45"/>
        <v>0</v>
      </c>
      <c r="W151" s="49">
        <f t="shared" si="45"/>
        <v>0</v>
      </c>
      <c r="X151" s="50">
        <f t="shared" si="45"/>
        <v>0</v>
      </c>
      <c r="Y151" s="73">
        <f t="shared" si="44"/>
        <v>749400</v>
      </c>
    </row>
    <row r="152" spans="1:25" x14ac:dyDescent="0.2">
      <c r="A152" s="55">
        <v>46171</v>
      </c>
      <c r="B152" s="48">
        <v>38480</v>
      </c>
      <c r="C152" s="49"/>
      <c r="D152" s="49"/>
      <c r="E152" s="50"/>
      <c r="F152" s="48">
        <f t="shared" si="38"/>
        <v>42123</v>
      </c>
      <c r="G152" s="49">
        <f t="shared" si="39"/>
        <v>69725</v>
      </c>
      <c r="H152" s="49">
        <f t="shared" si="40"/>
        <v>0</v>
      </c>
      <c r="I152" s="50">
        <f t="shared" si="41"/>
        <v>14417</v>
      </c>
      <c r="J152" s="48">
        <f>J151+B152-SUMIFS(рапорт!$O:$O,рапорт!$A:$A,A152)-SUMIFS(рапорт!$U:$U,рапорт!$A:$A,A152)/4</f>
        <v>83401.5</v>
      </c>
      <c r="K152" s="49">
        <f>K151+C152-SUMIFS(рапорт!$P:$P,рапорт!$A:$A,A152)-SUMIFS(рапорт!$U:$U,рапорт!$A:$A,A152)/4</f>
        <v>81567.5</v>
      </c>
      <c r="L152" s="49">
        <f>L151+D152-SUMIFS(рапорт!$Q:$Q,рапорт!$A:$A,A152)-SUMIFS(рапорт!$U:$U,рапорт!$A:$A,A152)/4</f>
        <v>47859.5</v>
      </c>
      <c r="M152" s="50">
        <f>M151+E152-SUMIFS(рапорт!$R:$R,рапорт!$A:$A,A152)-SUMIFS(рапорт!$U:$U,рапорт!$A:$A,A152)/4</f>
        <v>14976.5</v>
      </c>
      <c r="O152" s="55">
        <v>46171</v>
      </c>
      <c r="P152" s="48"/>
      <c r="Q152" s="49"/>
      <c r="R152" s="49"/>
      <c r="S152" s="50"/>
      <c r="T152" s="60">
        <f t="shared" si="43"/>
        <v>0</v>
      </c>
      <c r="U152" s="48">
        <f t="shared" si="36"/>
        <v>749400</v>
      </c>
      <c r="V152" s="49">
        <f t="shared" si="45"/>
        <v>0</v>
      </c>
      <c r="W152" s="49">
        <f t="shared" si="45"/>
        <v>0</v>
      </c>
      <c r="X152" s="50">
        <f t="shared" si="45"/>
        <v>0</v>
      </c>
      <c r="Y152" s="73">
        <f t="shared" si="44"/>
        <v>749400</v>
      </c>
    </row>
    <row r="153" spans="1:25" x14ac:dyDescent="0.2">
      <c r="A153" s="55">
        <v>46172</v>
      </c>
      <c r="B153" s="48"/>
      <c r="C153" s="49"/>
      <c r="D153" s="49"/>
      <c r="E153" s="50"/>
      <c r="F153" s="48">
        <f t="shared" si="38"/>
        <v>42123</v>
      </c>
      <c r="G153" s="49">
        <f t="shared" si="39"/>
        <v>69725</v>
      </c>
      <c r="H153" s="49">
        <f t="shared" si="40"/>
        <v>0</v>
      </c>
      <c r="I153" s="50">
        <f t="shared" si="41"/>
        <v>14417</v>
      </c>
      <c r="J153" s="48">
        <f>J152+B153-SUMIFS(рапорт!$O:$O,рапорт!$A:$A,A153)-SUMIFS(рапорт!$U:$U,рапорт!$A:$A,A153)/4</f>
        <v>55228.5</v>
      </c>
      <c r="K153" s="49">
        <f>K152+C153-SUMIFS(рапорт!$P:$P,рапорт!$A:$A,A153)-SUMIFS(рапорт!$U:$U,рапорт!$A:$A,A153)/4</f>
        <v>57921.5</v>
      </c>
      <c r="L153" s="49">
        <f>L152+D153-SUMIFS(рапорт!$Q:$Q,рапорт!$A:$A,A153)-SUMIFS(рапорт!$U:$U,рапорт!$A:$A,A153)/4</f>
        <v>47859.5</v>
      </c>
      <c r="M153" s="50">
        <f>M152+E153-SUMIFS(рапорт!$R:$R,рапорт!$A:$A,A153)-SUMIFS(рапорт!$U:$U,рапорт!$A:$A,A153)/4</f>
        <v>14976.5</v>
      </c>
      <c r="O153" s="55">
        <v>46172</v>
      </c>
      <c r="P153" s="48"/>
      <c r="Q153" s="49"/>
      <c r="R153" s="49"/>
      <c r="S153" s="50"/>
      <c r="T153" s="60">
        <f t="shared" si="43"/>
        <v>0</v>
      </c>
      <c r="U153" s="48">
        <f t="shared" si="36"/>
        <v>749400</v>
      </c>
      <c r="V153" s="49">
        <f t="shared" si="45"/>
        <v>0</v>
      </c>
      <c r="W153" s="49">
        <f t="shared" si="45"/>
        <v>0</v>
      </c>
      <c r="X153" s="50">
        <f t="shared" si="45"/>
        <v>0</v>
      </c>
      <c r="Y153" s="73">
        <f t="shared" si="44"/>
        <v>749400</v>
      </c>
    </row>
    <row r="154" spans="1:25" x14ac:dyDescent="0.2">
      <c r="A154" s="55">
        <v>46173</v>
      </c>
      <c r="B154" s="48"/>
      <c r="C154" s="49"/>
      <c r="D154" s="49"/>
      <c r="E154" s="50"/>
      <c r="F154" s="48">
        <f t="shared" si="38"/>
        <v>42123</v>
      </c>
      <c r="G154" s="49">
        <f t="shared" si="39"/>
        <v>69725</v>
      </c>
      <c r="H154" s="49">
        <f t="shared" si="40"/>
        <v>0</v>
      </c>
      <c r="I154" s="50">
        <f t="shared" si="41"/>
        <v>14417</v>
      </c>
      <c r="J154" s="48">
        <f>J153+B154-SUMIFS(рапорт!$O:$O,рапорт!$A:$A,A154)-SUMIFS(рапорт!$U:$U,рапорт!$A:$A,A154)/4</f>
        <v>32825.5</v>
      </c>
      <c r="K154" s="49">
        <f>K153+C154-SUMIFS(рапорт!$P:$P,рапорт!$A:$A,A154)-SUMIFS(рапорт!$U:$U,рапорт!$A:$A,A154)/4</f>
        <v>36188.5</v>
      </c>
      <c r="L154" s="49">
        <f>L153+D154-SUMIFS(рапорт!$Q:$Q,рапорт!$A:$A,A154)-SUMIFS(рапорт!$U:$U,рапорт!$A:$A,A154)/4</f>
        <v>47859.5</v>
      </c>
      <c r="M154" s="50">
        <f>M153+E154-SUMIFS(рапорт!$R:$R,рапорт!$A:$A,A154)-SUMIFS(рапорт!$U:$U,рапорт!$A:$A,A154)/4</f>
        <v>14976.5</v>
      </c>
      <c r="O154" s="55">
        <v>46173</v>
      </c>
      <c r="P154" s="48"/>
      <c r="Q154" s="49"/>
      <c r="R154" s="49"/>
      <c r="S154" s="50"/>
      <c r="T154" s="60">
        <f t="shared" si="43"/>
        <v>0</v>
      </c>
      <c r="U154" s="48">
        <f t="shared" si="36"/>
        <v>749400</v>
      </c>
      <c r="V154" s="49">
        <f t="shared" si="45"/>
        <v>0</v>
      </c>
      <c r="W154" s="49">
        <f t="shared" si="45"/>
        <v>0</v>
      </c>
      <c r="X154" s="50">
        <f t="shared" si="45"/>
        <v>0</v>
      </c>
      <c r="Y154" s="73">
        <f t="shared" si="44"/>
        <v>749400</v>
      </c>
    </row>
    <row r="155" spans="1:25" x14ac:dyDescent="0.2">
      <c r="A155" s="55">
        <v>46174</v>
      </c>
      <c r="B155" s="48">
        <v>39650</v>
      </c>
      <c r="C155" s="49">
        <v>40010</v>
      </c>
      <c r="D155" s="49">
        <v>39770</v>
      </c>
      <c r="E155" s="50"/>
      <c r="F155" s="48">
        <f t="shared" si="38"/>
        <v>42123</v>
      </c>
      <c r="G155" s="49">
        <f t="shared" si="39"/>
        <v>69725</v>
      </c>
      <c r="H155" s="49">
        <f t="shared" si="40"/>
        <v>0</v>
      </c>
      <c r="I155" s="50">
        <f t="shared" si="41"/>
        <v>14417</v>
      </c>
      <c r="J155" s="48">
        <f>J154+B155-SUMIFS(рапорт!$O:$O,рапорт!$A:$A,A155)-SUMIFS(рапорт!$U:$U,рапорт!$A:$A,A155)/4</f>
        <v>60960.5</v>
      </c>
      <c r="K155" s="49">
        <f>K154+C155-SUMIFS(рапорт!$P:$P,рапорт!$A:$A,A155)-SUMIFS(рапорт!$U:$U,рапорт!$A:$A,A155)/4</f>
        <v>59591.5</v>
      </c>
      <c r="L155" s="49">
        <f>L154+D155-SUMIFS(рапорт!$Q:$Q,рапорт!$A:$A,A155)-SUMIFS(рапорт!$U:$U,рапорт!$A:$A,A155)/4</f>
        <v>87629.5</v>
      </c>
      <c r="M155" s="50">
        <f>M154+E155-SUMIFS(рапорт!$R:$R,рапорт!$A:$A,A155)-SUMIFS(рапорт!$U:$U,рапорт!$A:$A,A155)/4</f>
        <v>14976.5</v>
      </c>
      <c r="O155" s="55">
        <v>46174</v>
      </c>
      <c r="P155" s="48"/>
      <c r="Q155" s="49"/>
      <c r="R155" s="49"/>
      <c r="S155" s="50"/>
      <c r="T155" s="60">
        <f t="shared" si="43"/>
        <v>0</v>
      </c>
      <c r="U155" s="48">
        <f t="shared" si="36"/>
        <v>749400</v>
      </c>
      <c r="V155" s="49">
        <f t="shared" si="45"/>
        <v>0</v>
      </c>
      <c r="W155" s="49">
        <f t="shared" si="45"/>
        <v>0</v>
      </c>
      <c r="X155" s="50">
        <f t="shared" si="45"/>
        <v>0</v>
      </c>
      <c r="Y155" s="73">
        <f t="shared" si="44"/>
        <v>749400</v>
      </c>
    </row>
    <row r="156" spans="1:25" x14ac:dyDescent="0.2">
      <c r="A156" s="55">
        <v>46175</v>
      </c>
      <c r="B156" s="48"/>
      <c r="C156" s="49">
        <v>38870</v>
      </c>
      <c r="D156" s="49">
        <v>38630</v>
      </c>
      <c r="E156" s="50">
        <v>79030</v>
      </c>
      <c r="F156" s="48">
        <f t="shared" si="38"/>
        <v>42123</v>
      </c>
      <c r="G156" s="49">
        <f t="shared" si="39"/>
        <v>69725</v>
      </c>
      <c r="H156" s="49">
        <f t="shared" si="40"/>
        <v>0</v>
      </c>
      <c r="I156" s="50">
        <f t="shared" si="41"/>
        <v>14417</v>
      </c>
      <c r="J156" s="48">
        <f>J155+B156-SUMIFS(рапорт!$O:$O,рапорт!$A:$A,A156)-SUMIFS(рапорт!$U:$U,рапорт!$A:$A,A156)/4</f>
        <v>60960.5</v>
      </c>
      <c r="K156" s="49">
        <f>K155+C156-SUMIFS(рапорт!$P:$P,рапорт!$A:$A,A156)-SUMIFS(рапорт!$U:$U,рапорт!$A:$A,A156)/4</f>
        <v>98461.5</v>
      </c>
      <c r="L156" s="49">
        <f>L155+D156-SUMIFS(рапорт!$Q:$Q,рапорт!$A:$A,A156)-SUMIFS(рапорт!$U:$U,рапорт!$A:$A,A156)/4</f>
        <v>110986.5</v>
      </c>
      <c r="M156" s="50">
        <f>M155+E156-SUMIFS(рапорт!$R:$R,рапорт!$A:$A,A156)-SUMIFS(рапорт!$U:$U,рапорт!$A:$A,A156)/4</f>
        <v>86994.5</v>
      </c>
      <c r="O156" s="55">
        <v>46175</v>
      </c>
      <c r="P156" s="48"/>
      <c r="Q156" s="49"/>
      <c r="R156" s="49"/>
      <c r="S156" s="50"/>
      <c r="T156" s="60">
        <f t="shared" si="43"/>
        <v>0</v>
      </c>
      <c r="U156" s="48">
        <f t="shared" si="36"/>
        <v>749400</v>
      </c>
      <c r="V156" s="49">
        <f t="shared" si="45"/>
        <v>0</v>
      </c>
      <c r="W156" s="49">
        <f t="shared" si="45"/>
        <v>0</v>
      </c>
      <c r="X156" s="50">
        <f t="shared" si="45"/>
        <v>0</v>
      </c>
      <c r="Y156" s="73">
        <f t="shared" si="44"/>
        <v>749400</v>
      </c>
    </row>
    <row r="157" spans="1:25" x14ac:dyDescent="0.2">
      <c r="A157" s="55">
        <v>46176</v>
      </c>
      <c r="B157" s="48"/>
      <c r="C157" s="49"/>
      <c r="D157" s="49"/>
      <c r="E157" s="50"/>
      <c r="F157" s="48">
        <f t="shared" si="38"/>
        <v>42123</v>
      </c>
      <c r="G157" s="49">
        <f t="shared" si="39"/>
        <v>69725</v>
      </c>
      <c r="H157" s="49">
        <f t="shared" si="40"/>
        <v>0</v>
      </c>
      <c r="I157" s="50">
        <f t="shared" si="41"/>
        <v>14417</v>
      </c>
      <c r="J157" s="48">
        <f>J156+B157-SUMIFS(рапорт!$O:$O,рапорт!$A:$A,A157)-SUMIFS(рапорт!$U:$U,рапорт!$A:$A,A157)/4</f>
        <v>60960.5</v>
      </c>
      <c r="K157" s="49">
        <f>K156+C157-SUMIFS(рапорт!$P:$P,рапорт!$A:$A,A157)-SUMIFS(рапорт!$U:$U,рапорт!$A:$A,A157)/4</f>
        <v>98461.5</v>
      </c>
      <c r="L157" s="49">
        <f>L156+D157-SUMIFS(рапорт!$Q:$Q,рапорт!$A:$A,A157)-SUMIFS(рапорт!$U:$U,рапорт!$A:$A,A157)/4</f>
        <v>84086.5</v>
      </c>
      <c r="M157" s="50">
        <f>M156+E157-SUMIFS(рапорт!$R:$R,рапорт!$A:$A,A157)-SUMIFS(рапорт!$U:$U,рапорт!$A:$A,A157)/4</f>
        <v>60799.5</v>
      </c>
      <c r="O157" s="55">
        <v>46176</v>
      </c>
      <c r="P157" s="48"/>
      <c r="Q157" s="49"/>
      <c r="R157" s="49"/>
      <c r="S157" s="50"/>
      <c r="T157" s="60">
        <f t="shared" si="43"/>
        <v>0</v>
      </c>
      <c r="U157" s="48">
        <f t="shared" si="36"/>
        <v>749400</v>
      </c>
      <c r="V157" s="49">
        <f t="shared" si="45"/>
        <v>0</v>
      </c>
      <c r="W157" s="49">
        <f t="shared" si="45"/>
        <v>0</v>
      </c>
      <c r="X157" s="50">
        <f t="shared" si="45"/>
        <v>0</v>
      </c>
      <c r="Y157" s="73">
        <f t="shared" si="44"/>
        <v>749400</v>
      </c>
    </row>
    <row r="158" spans="1:25" x14ac:dyDescent="0.2">
      <c r="A158" s="55">
        <v>46177</v>
      </c>
      <c r="B158" s="48"/>
      <c r="C158" s="49"/>
      <c r="D158" s="49"/>
      <c r="E158" s="50"/>
      <c r="F158" s="48">
        <f t="shared" si="38"/>
        <v>42123</v>
      </c>
      <c r="G158" s="49">
        <f t="shared" si="39"/>
        <v>69725</v>
      </c>
      <c r="H158" s="49">
        <f t="shared" si="40"/>
        <v>0</v>
      </c>
      <c r="I158" s="50">
        <f t="shared" si="41"/>
        <v>14417</v>
      </c>
      <c r="J158" s="48">
        <f>J157+B158-SUMIFS(рапорт!$O:$O,рапорт!$A:$A,A158)-SUMIFS(рапорт!$U:$U,рапорт!$A:$A,A158)/4</f>
        <v>60960.5</v>
      </c>
      <c r="K158" s="49">
        <f>K157+C158-SUMIFS(рапорт!$P:$P,рапорт!$A:$A,A158)-SUMIFS(рапорт!$U:$U,рапорт!$A:$A,A158)/4</f>
        <v>98461.5</v>
      </c>
      <c r="L158" s="49">
        <f>L157+D158-SUMIFS(рапорт!$Q:$Q,рапорт!$A:$A,A158)-SUMIFS(рапорт!$U:$U,рапорт!$A:$A,A158)/4</f>
        <v>69489.5</v>
      </c>
      <c r="M158" s="50">
        <f>M157+E158-SUMIFS(рапорт!$R:$R,рапорт!$A:$A,A158)-SUMIFS(рапорт!$U:$U,рапорт!$A:$A,A158)/4</f>
        <v>44432.5</v>
      </c>
      <c r="O158" s="55">
        <v>46177</v>
      </c>
      <c r="P158" s="48"/>
      <c r="Q158" s="49"/>
      <c r="R158" s="49"/>
      <c r="S158" s="50"/>
      <c r="T158" s="60">
        <f t="shared" si="43"/>
        <v>0</v>
      </c>
      <c r="U158" s="48">
        <f t="shared" si="36"/>
        <v>749400</v>
      </c>
      <c r="V158" s="49">
        <f t="shared" si="45"/>
        <v>0</v>
      </c>
      <c r="W158" s="49">
        <f t="shared" si="45"/>
        <v>0</v>
      </c>
      <c r="X158" s="50">
        <f t="shared" si="45"/>
        <v>0</v>
      </c>
      <c r="Y158" s="73">
        <f t="shared" si="44"/>
        <v>749400</v>
      </c>
    </row>
    <row r="159" spans="1:25" x14ac:dyDescent="0.2">
      <c r="A159" s="55">
        <v>46178</v>
      </c>
      <c r="B159" s="48"/>
      <c r="C159" s="49"/>
      <c r="D159" s="49">
        <v>39990</v>
      </c>
      <c r="E159" s="50">
        <v>41000</v>
      </c>
      <c r="F159" s="48">
        <f t="shared" si="38"/>
        <v>42123</v>
      </c>
      <c r="G159" s="49">
        <f t="shared" si="39"/>
        <v>69725</v>
      </c>
      <c r="H159" s="49">
        <f t="shared" si="40"/>
        <v>0</v>
      </c>
      <c r="I159" s="50">
        <f t="shared" si="41"/>
        <v>14417</v>
      </c>
      <c r="J159" s="48">
        <f>J158+B159-SUMIFS(рапорт!$O:$O,рапорт!$A:$A,A159)-SUMIFS(рапорт!$U:$U,рапорт!$A:$A,A159)/4</f>
        <v>60960.5</v>
      </c>
      <c r="K159" s="49">
        <f>K158+C159-SUMIFS(рапорт!$P:$P,рапорт!$A:$A,A159)-SUMIFS(рапорт!$U:$U,рапорт!$A:$A,A159)/4</f>
        <v>98461.5</v>
      </c>
      <c r="L159" s="49">
        <f>L158+D159-SUMIFS(рапорт!$Q:$Q,рапорт!$A:$A,A159)-SUMIFS(рапорт!$U:$U,рапорт!$A:$A,A159)/4</f>
        <v>71634.5</v>
      </c>
      <c r="M159" s="50">
        <f>M158+E159-SUMIFS(рапорт!$R:$R,рапорт!$A:$A,A159)-SUMIFS(рапорт!$U:$U,рапорт!$A:$A,A159)/4</f>
        <v>50946.5</v>
      </c>
      <c r="O159" s="55">
        <v>46178</v>
      </c>
      <c r="P159" s="48"/>
      <c r="Q159" s="49"/>
      <c r="R159" s="49"/>
      <c r="S159" s="50"/>
      <c r="T159" s="60">
        <f t="shared" si="43"/>
        <v>0</v>
      </c>
      <c r="U159" s="48">
        <f t="shared" si="36"/>
        <v>749400</v>
      </c>
      <c r="V159" s="49">
        <f t="shared" si="45"/>
        <v>0</v>
      </c>
      <c r="W159" s="49">
        <f t="shared" si="45"/>
        <v>0</v>
      </c>
      <c r="X159" s="50">
        <f t="shared" si="45"/>
        <v>0</v>
      </c>
      <c r="Y159" s="73">
        <f t="shared" si="44"/>
        <v>749400</v>
      </c>
    </row>
    <row r="160" spans="1:25" x14ac:dyDescent="0.2">
      <c r="A160" s="55">
        <v>46179</v>
      </c>
      <c r="B160" s="48"/>
      <c r="C160" s="49"/>
      <c r="D160" s="49">
        <v>42540</v>
      </c>
      <c r="E160" s="50">
        <v>40360</v>
      </c>
      <c r="F160" s="48">
        <f t="shared" si="38"/>
        <v>42123</v>
      </c>
      <c r="G160" s="49">
        <f t="shared" si="39"/>
        <v>69725</v>
      </c>
      <c r="H160" s="49">
        <f t="shared" si="40"/>
        <v>0</v>
      </c>
      <c r="I160" s="50">
        <f t="shared" si="41"/>
        <v>14417</v>
      </c>
      <c r="J160" s="48">
        <f>J159+B160-SUMIFS(рапорт!$O:$O,рапорт!$A:$A,A160)-SUMIFS(рапорт!$U:$U,рапорт!$A:$A,A160)/4</f>
        <v>60960.5</v>
      </c>
      <c r="K160" s="49">
        <f>K159+C160-SUMIFS(рапорт!$P:$P,рапорт!$A:$A,A160)-SUMIFS(рапорт!$U:$U,рапорт!$A:$A,A160)/4</f>
        <v>98461.5</v>
      </c>
      <c r="L160" s="49">
        <f>L159+D160-SUMIFS(рапорт!$Q:$Q,рапорт!$A:$A,A160)-SUMIFS(рапорт!$U:$U,рапорт!$A:$A,A160)/4</f>
        <v>74392.5</v>
      </c>
      <c r="M160" s="50">
        <f>M159+E160-SUMIFS(рапорт!$R:$R,рапорт!$A:$A,A160)-SUMIFS(рапорт!$U:$U,рапорт!$A:$A,A160)/4</f>
        <v>54183.5</v>
      </c>
      <c r="O160" s="55">
        <v>46179</v>
      </c>
      <c r="P160" s="48"/>
      <c r="Q160" s="49"/>
      <c r="R160" s="49"/>
      <c r="S160" s="50"/>
      <c r="T160" s="60">
        <f t="shared" si="43"/>
        <v>0</v>
      </c>
      <c r="U160" s="48">
        <f t="shared" si="36"/>
        <v>749400</v>
      </c>
      <c r="V160" s="49">
        <f t="shared" si="45"/>
        <v>0</v>
      </c>
      <c r="W160" s="49">
        <f t="shared" si="45"/>
        <v>0</v>
      </c>
      <c r="X160" s="50">
        <f t="shared" si="45"/>
        <v>0</v>
      </c>
      <c r="Y160" s="73">
        <f t="shared" si="44"/>
        <v>749400</v>
      </c>
    </row>
    <row r="161" spans="1:25" x14ac:dyDescent="0.2">
      <c r="A161" s="55">
        <v>46180</v>
      </c>
      <c r="B161" s="48"/>
      <c r="C161" s="49"/>
      <c r="D161" s="49">
        <v>42760</v>
      </c>
      <c r="E161" s="50">
        <v>43300</v>
      </c>
      <c r="F161" s="48">
        <f t="shared" si="38"/>
        <v>42123</v>
      </c>
      <c r="G161" s="49">
        <f t="shared" si="39"/>
        <v>69725</v>
      </c>
      <c r="H161" s="49">
        <f t="shared" si="40"/>
        <v>0</v>
      </c>
      <c r="I161" s="50">
        <f t="shared" si="41"/>
        <v>14417</v>
      </c>
      <c r="J161" s="48">
        <f>J160+B161-SUMIFS(рапорт!$O:$O,рапорт!$A:$A,A161)-SUMIFS(рапорт!$U:$U,рапорт!$A:$A,A161)/4</f>
        <v>60960.5</v>
      </c>
      <c r="K161" s="49">
        <f>K160+C161-SUMIFS(рапорт!$P:$P,рапорт!$A:$A,A161)-SUMIFS(рапорт!$U:$U,рапорт!$A:$A,A161)/4</f>
        <v>98461.5</v>
      </c>
      <c r="L161" s="49">
        <f>L160+D161-SUMIFS(рапорт!$Q:$Q,рапорт!$A:$A,A161)-SUMIFS(рапорт!$U:$U,рапорт!$A:$A,A161)/4</f>
        <v>86982.5</v>
      </c>
      <c r="M161" s="50">
        <f>M160+E161-SUMIFS(рапорт!$R:$R,рапорт!$A:$A,A161)-SUMIFS(рапорт!$U:$U,рапорт!$A:$A,A161)/4</f>
        <v>65565.5</v>
      </c>
      <c r="O161" s="55">
        <v>46180</v>
      </c>
      <c r="P161" s="48"/>
      <c r="Q161" s="49"/>
      <c r="R161" s="49"/>
      <c r="S161" s="50"/>
      <c r="T161" s="60">
        <f t="shared" si="43"/>
        <v>0</v>
      </c>
      <c r="U161" s="48">
        <f t="shared" si="36"/>
        <v>749400</v>
      </c>
      <c r="V161" s="49">
        <f t="shared" si="45"/>
        <v>0</v>
      </c>
      <c r="W161" s="49">
        <f t="shared" si="45"/>
        <v>0</v>
      </c>
      <c r="X161" s="50">
        <f t="shared" si="45"/>
        <v>0</v>
      </c>
      <c r="Y161" s="73">
        <f t="shared" si="44"/>
        <v>749400</v>
      </c>
    </row>
    <row r="162" spans="1:25" x14ac:dyDescent="0.2">
      <c r="A162" s="55">
        <v>46181</v>
      </c>
      <c r="B162" s="48"/>
      <c r="C162" s="49"/>
      <c r="D162" s="49"/>
      <c r="E162" s="50">
        <v>39520</v>
      </c>
      <c r="F162" s="48">
        <f t="shared" si="38"/>
        <v>42123</v>
      </c>
      <c r="G162" s="49">
        <f t="shared" si="39"/>
        <v>69725</v>
      </c>
      <c r="H162" s="49">
        <f t="shared" si="40"/>
        <v>0</v>
      </c>
      <c r="I162" s="50">
        <f t="shared" si="41"/>
        <v>14417</v>
      </c>
      <c r="J162" s="48">
        <f>J161+B162-SUMIFS(рапорт!$O:$O,рапорт!$A:$A,A162)-SUMIFS(рапорт!$U:$U,рапорт!$A:$A,A162)/4</f>
        <v>60960.5</v>
      </c>
      <c r="K162" s="49">
        <f>K161+C162-SUMIFS(рапорт!$P:$P,рапорт!$A:$A,A162)-SUMIFS(рапорт!$U:$U,рапорт!$A:$A,A162)/4</f>
        <v>98461.5</v>
      </c>
      <c r="L162" s="49">
        <f>L161+D162-SUMIFS(рапорт!$Q:$Q,рапорт!$A:$A,A162)-SUMIFS(рапорт!$U:$U,рапорт!$A:$A,A162)/4</f>
        <v>53601.5</v>
      </c>
      <c r="M162" s="50">
        <f>M161+E162-SUMIFS(рапорт!$R:$R,рапорт!$A:$A,A162)-SUMIFS(рапорт!$U:$U,рапорт!$A:$A,A162)/4</f>
        <v>69329.5</v>
      </c>
      <c r="O162" s="55">
        <v>46181</v>
      </c>
      <c r="P162" s="48"/>
      <c r="Q162" s="49"/>
      <c r="R162" s="49"/>
      <c r="S162" s="50"/>
      <c r="T162" s="60">
        <f t="shared" si="43"/>
        <v>0</v>
      </c>
      <c r="U162" s="48">
        <f t="shared" si="36"/>
        <v>749400</v>
      </c>
      <c r="V162" s="49">
        <f t="shared" si="45"/>
        <v>0</v>
      </c>
      <c r="W162" s="49">
        <f t="shared" si="45"/>
        <v>0</v>
      </c>
      <c r="X162" s="50">
        <f t="shared" si="45"/>
        <v>0</v>
      </c>
      <c r="Y162" s="73">
        <f t="shared" si="44"/>
        <v>749400</v>
      </c>
    </row>
    <row r="163" spans="1:25" x14ac:dyDescent="0.2">
      <c r="A163" s="55">
        <v>46182</v>
      </c>
      <c r="B163" s="48"/>
      <c r="C163" s="49"/>
      <c r="D163" s="49">
        <v>40080</v>
      </c>
      <c r="E163" s="50"/>
      <c r="F163" s="48">
        <f t="shared" si="38"/>
        <v>42123</v>
      </c>
      <c r="G163" s="49">
        <f t="shared" si="39"/>
        <v>69725</v>
      </c>
      <c r="H163" s="49">
        <f t="shared" si="40"/>
        <v>0</v>
      </c>
      <c r="I163" s="50">
        <f t="shared" si="41"/>
        <v>14417</v>
      </c>
      <c r="J163" s="48">
        <f>J162+B163-SUMIFS(рапорт!$O:$O,рапорт!$A:$A,A163)-SUMIFS(рапорт!$U:$U,рапорт!$A:$A,A163)/4</f>
        <v>60960.5</v>
      </c>
      <c r="K163" s="49">
        <f>K162+C163-SUMIFS(рапорт!$P:$P,рапорт!$A:$A,A163)-SUMIFS(рапорт!$U:$U,рапорт!$A:$A,A163)/4</f>
        <v>98461.5</v>
      </c>
      <c r="L163" s="49">
        <f>L162+D163-SUMIFS(рапорт!$Q:$Q,рапорт!$A:$A,A163)-SUMIFS(рапорт!$U:$U,рапорт!$A:$A,A163)/4</f>
        <v>64154.5</v>
      </c>
      <c r="M163" s="50">
        <f>M162+E163-SUMIFS(рапорт!$R:$R,рапорт!$A:$A,A163)-SUMIFS(рапорт!$U:$U,рапорт!$A:$A,A163)/4</f>
        <v>31024.5</v>
      </c>
      <c r="O163" s="55">
        <v>46182</v>
      </c>
      <c r="P163" s="48"/>
      <c r="Q163" s="49"/>
      <c r="R163" s="49"/>
      <c r="S163" s="50"/>
      <c r="T163" s="60">
        <f t="shared" si="43"/>
        <v>0</v>
      </c>
      <c r="U163" s="48">
        <f t="shared" si="36"/>
        <v>749400</v>
      </c>
      <c r="V163" s="49">
        <f t="shared" si="45"/>
        <v>0</v>
      </c>
      <c r="W163" s="49">
        <f t="shared" si="45"/>
        <v>0</v>
      </c>
      <c r="X163" s="50">
        <f t="shared" si="45"/>
        <v>0</v>
      </c>
      <c r="Y163" s="73">
        <f t="shared" si="44"/>
        <v>749400</v>
      </c>
    </row>
    <row r="164" spans="1:25" x14ac:dyDescent="0.2">
      <c r="A164" s="55">
        <v>46183</v>
      </c>
      <c r="B164" s="48"/>
      <c r="C164" s="49"/>
      <c r="D164" s="49">
        <v>39450</v>
      </c>
      <c r="E164" s="50">
        <v>39670</v>
      </c>
      <c r="F164" s="48">
        <f t="shared" si="38"/>
        <v>42123</v>
      </c>
      <c r="G164" s="49">
        <f t="shared" si="39"/>
        <v>69725</v>
      </c>
      <c r="H164" s="49">
        <f t="shared" si="40"/>
        <v>0</v>
      </c>
      <c r="I164" s="50">
        <f t="shared" si="41"/>
        <v>14417</v>
      </c>
      <c r="J164" s="48">
        <f>J163+B164-SUMIFS(рапорт!$O:$O,рапорт!$A:$A,A164)-SUMIFS(рапорт!$U:$U,рапорт!$A:$A,A164)/4</f>
        <v>60640.5</v>
      </c>
      <c r="K164" s="49">
        <f>K163+C164-SUMIFS(рапорт!$P:$P,рапорт!$A:$A,A164)-SUMIFS(рапорт!$U:$U,рапорт!$A:$A,A164)/4</f>
        <v>98141.5</v>
      </c>
      <c r="L164" s="49">
        <f>L163+D164-SUMIFS(рапорт!$Q:$Q,рапорт!$A:$A,A164)-SUMIFS(рапорт!$U:$U,рапорт!$A:$A,A164)/4</f>
        <v>78260.5</v>
      </c>
      <c r="M164" s="50">
        <f>M163+E164-SUMIFS(рапорт!$R:$R,рапорт!$A:$A,A164)-SUMIFS(рапорт!$U:$U,рапорт!$A:$A,A164)/4</f>
        <v>47379.5</v>
      </c>
      <c r="O164" s="55">
        <v>46183</v>
      </c>
      <c r="P164" s="48"/>
      <c r="Q164" s="49"/>
      <c r="R164" s="49"/>
      <c r="S164" s="50"/>
      <c r="T164" s="60">
        <f t="shared" si="43"/>
        <v>0</v>
      </c>
      <c r="U164" s="48">
        <f t="shared" si="36"/>
        <v>749400</v>
      </c>
      <c r="V164" s="49">
        <f t="shared" ref="V164:X179" si="46">V163</f>
        <v>0</v>
      </c>
      <c r="W164" s="49">
        <f t="shared" si="46"/>
        <v>0</v>
      </c>
      <c r="X164" s="50">
        <f t="shared" si="46"/>
        <v>0</v>
      </c>
      <c r="Y164" s="73">
        <f t="shared" si="44"/>
        <v>749400</v>
      </c>
    </row>
    <row r="165" spans="1:25" x14ac:dyDescent="0.2">
      <c r="A165" s="55">
        <v>46184</v>
      </c>
      <c r="B165" s="48"/>
      <c r="C165" s="49"/>
      <c r="D165" s="49">
        <v>41010</v>
      </c>
      <c r="E165" s="50">
        <v>42840</v>
      </c>
      <c r="F165" s="48">
        <f t="shared" si="38"/>
        <v>42123</v>
      </c>
      <c r="G165" s="49">
        <f t="shared" si="39"/>
        <v>69725</v>
      </c>
      <c r="H165" s="49">
        <f t="shared" si="40"/>
        <v>0</v>
      </c>
      <c r="I165" s="50">
        <f t="shared" si="41"/>
        <v>14417</v>
      </c>
      <c r="J165" s="48">
        <f>J164+B165-SUMIFS(рапорт!$O:$O,рапорт!$A:$A,A165)-SUMIFS(рапорт!$U:$U,рапорт!$A:$A,A165)/4</f>
        <v>60640.5</v>
      </c>
      <c r="K165" s="49">
        <f>K164+C165-SUMIFS(рапорт!$P:$P,рапорт!$A:$A,A165)-SUMIFS(рапорт!$U:$U,рапорт!$A:$A,A165)/4</f>
        <v>98141.5</v>
      </c>
      <c r="L165" s="49">
        <f>L164+D165-SUMIFS(рапорт!$Q:$Q,рапорт!$A:$A,A165)-SUMIFS(рапорт!$U:$U,рапорт!$A:$A,A165)/4</f>
        <v>75631.5</v>
      </c>
      <c r="M165" s="50">
        <f>M164+E165-SUMIFS(рапорт!$R:$R,рапорт!$A:$A,A165)-SUMIFS(рапорт!$U:$U,рапорт!$A:$A,A165)/4</f>
        <v>53381.5</v>
      </c>
      <c r="O165" s="55">
        <v>46184</v>
      </c>
      <c r="P165" s="48"/>
      <c r="Q165" s="49"/>
      <c r="R165" s="49"/>
      <c r="S165" s="50"/>
      <c r="T165" s="60">
        <f t="shared" si="43"/>
        <v>0</v>
      </c>
      <c r="U165" s="48">
        <f t="shared" si="36"/>
        <v>749400</v>
      </c>
      <c r="V165" s="49">
        <f t="shared" si="46"/>
        <v>0</v>
      </c>
      <c r="W165" s="49">
        <f t="shared" si="46"/>
        <v>0</v>
      </c>
      <c r="X165" s="50">
        <f t="shared" si="46"/>
        <v>0</v>
      </c>
      <c r="Y165" s="73">
        <f t="shared" si="44"/>
        <v>749400</v>
      </c>
    </row>
    <row r="166" spans="1:25" x14ac:dyDescent="0.2">
      <c r="A166" s="55">
        <v>46185</v>
      </c>
      <c r="B166" s="48"/>
      <c r="C166" s="49"/>
      <c r="D166" s="49">
        <v>39560</v>
      </c>
      <c r="E166" s="50"/>
      <c r="F166" s="48">
        <f t="shared" si="38"/>
        <v>42123</v>
      </c>
      <c r="G166" s="49">
        <f t="shared" si="39"/>
        <v>69725</v>
      </c>
      <c r="H166" s="49">
        <f t="shared" si="40"/>
        <v>0</v>
      </c>
      <c r="I166" s="50">
        <f t="shared" si="41"/>
        <v>14417</v>
      </c>
      <c r="J166" s="48">
        <f>J165+B166-SUMIFS(рапорт!$O:$O,рапорт!$A:$A,A166)-SUMIFS(рапорт!$U:$U,рапорт!$A:$A,A166)/4</f>
        <v>60640.5</v>
      </c>
      <c r="K166" s="49">
        <f>K165+C166-SUMIFS(рапорт!$P:$P,рапорт!$A:$A,A166)-SUMIFS(рапорт!$U:$U,рапорт!$A:$A,A166)/4</f>
        <v>98141.5</v>
      </c>
      <c r="L166" s="49">
        <f>L165+D166-SUMIFS(рапорт!$Q:$Q,рапорт!$A:$A,A166)-SUMIFS(рапорт!$U:$U,рапорт!$A:$A,A166)/4</f>
        <v>84433.5</v>
      </c>
      <c r="M166" s="50">
        <f>M165+E166-SUMIFS(рапорт!$R:$R,рапорт!$A:$A,A166)-SUMIFS(рапорт!$U:$U,рапорт!$A:$A,A166)/4</f>
        <v>28406.5</v>
      </c>
      <c r="O166" s="55">
        <v>46185</v>
      </c>
      <c r="P166" s="48"/>
      <c r="Q166" s="49"/>
      <c r="R166" s="49"/>
      <c r="S166" s="50"/>
      <c r="T166" s="60">
        <f t="shared" si="43"/>
        <v>0</v>
      </c>
      <c r="U166" s="48">
        <f t="shared" si="36"/>
        <v>749400</v>
      </c>
      <c r="V166" s="49">
        <f t="shared" si="46"/>
        <v>0</v>
      </c>
      <c r="W166" s="49">
        <f t="shared" si="46"/>
        <v>0</v>
      </c>
      <c r="X166" s="50">
        <f t="shared" si="46"/>
        <v>0</v>
      </c>
      <c r="Y166" s="73">
        <f t="shared" si="44"/>
        <v>749400</v>
      </c>
    </row>
    <row r="167" spans="1:25" x14ac:dyDescent="0.2">
      <c r="A167" s="55">
        <v>46186</v>
      </c>
      <c r="B167" s="48"/>
      <c r="C167" s="49"/>
      <c r="D167" s="49"/>
      <c r="E167" s="50">
        <v>42680</v>
      </c>
      <c r="F167" s="48">
        <f t="shared" si="38"/>
        <v>42123</v>
      </c>
      <c r="G167" s="49">
        <f t="shared" si="39"/>
        <v>69725</v>
      </c>
      <c r="H167" s="49">
        <f t="shared" si="40"/>
        <v>0</v>
      </c>
      <c r="I167" s="50">
        <f t="shared" si="41"/>
        <v>14417</v>
      </c>
      <c r="J167" s="48">
        <f>J166+B167-SUMIFS(рапорт!$O:$O,рапорт!$A:$A,A167)-SUMIFS(рапорт!$U:$U,рапорт!$A:$A,A167)/4</f>
        <v>60640.5</v>
      </c>
      <c r="K167" s="49">
        <f>K166+C167-SUMIFS(рапорт!$P:$P,рапорт!$A:$A,A167)-SUMIFS(рапорт!$U:$U,рапорт!$A:$A,A167)/4</f>
        <v>98141.5</v>
      </c>
      <c r="L167" s="49">
        <f>L166+D167-SUMIFS(рапорт!$Q:$Q,рапорт!$A:$A,A167)-SUMIFS(рапорт!$U:$U,рапорт!$A:$A,A167)/4</f>
        <v>59410.5</v>
      </c>
      <c r="M167" s="50">
        <f>M166+E167-SUMIFS(рапорт!$R:$R,рапорт!$A:$A,A167)-SUMIFS(рапорт!$U:$U,рапорт!$A:$A,A167)/4</f>
        <v>53698.5</v>
      </c>
      <c r="O167" s="55">
        <v>46186</v>
      </c>
      <c r="P167" s="48"/>
      <c r="Q167" s="49"/>
      <c r="R167" s="49"/>
      <c r="S167" s="50"/>
      <c r="T167" s="60">
        <f t="shared" si="43"/>
        <v>0</v>
      </c>
      <c r="U167" s="48">
        <f t="shared" si="36"/>
        <v>749400</v>
      </c>
      <c r="V167" s="49">
        <f t="shared" si="46"/>
        <v>0</v>
      </c>
      <c r="W167" s="49">
        <f t="shared" si="46"/>
        <v>0</v>
      </c>
      <c r="X167" s="50">
        <f t="shared" si="46"/>
        <v>0</v>
      </c>
      <c r="Y167" s="73">
        <f t="shared" si="44"/>
        <v>749400</v>
      </c>
    </row>
    <row r="168" spans="1:25" x14ac:dyDescent="0.2">
      <c r="A168" s="55">
        <v>46187</v>
      </c>
      <c r="B168" s="48"/>
      <c r="C168" s="49"/>
      <c r="D168" s="49">
        <v>78890</v>
      </c>
      <c r="E168" s="50">
        <v>39570</v>
      </c>
      <c r="F168" s="48">
        <f t="shared" si="38"/>
        <v>42123</v>
      </c>
      <c r="G168" s="49">
        <f t="shared" si="39"/>
        <v>69725</v>
      </c>
      <c r="H168" s="49">
        <f t="shared" si="40"/>
        <v>0</v>
      </c>
      <c r="I168" s="50">
        <f t="shared" si="41"/>
        <v>14417</v>
      </c>
      <c r="J168" s="48">
        <f>J167+B168-SUMIFS(рапорт!$O:$O,рапорт!$A:$A,A168)-SUMIFS(рапорт!$U:$U,рапорт!$A:$A,A168)/4</f>
        <v>60640.5</v>
      </c>
      <c r="K168" s="49">
        <f>K167+C168-SUMIFS(рапорт!$P:$P,рапорт!$A:$A,A168)-SUMIFS(рапорт!$U:$U,рапорт!$A:$A,A168)/4</f>
        <v>98141.5</v>
      </c>
      <c r="L168" s="49">
        <f>L167+D168-SUMIFS(рапорт!$Q:$Q,рапорт!$A:$A,A168)-SUMIFS(рапорт!$U:$U,рапорт!$A:$A,A168)/4</f>
        <v>102438.5</v>
      </c>
      <c r="M168" s="50">
        <f>M167+E168-SUMIFS(рапорт!$R:$R,рапорт!$A:$A,A168)-SUMIFS(рапорт!$U:$U,рапорт!$A:$A,A168)/4</f>
        <v>58112.5</v>
      </c>
      <c r="O168" s="55">
        <v>46187</v>
      </c>
      <c r="P168" s="48"/>
      <c r="Q168" s="49"/>
      <c r="R168" s="49"/>
      <c r="S168" s="50"/>
      <c r="T168" s="60">
        <f t="shared" si="43"/>
        <v>0</v>
      </c>
      <c r="U168" s="48">
        <f t="shared" si="36"/>
        <v>749400</v>
      </c>
      <c r="V168" s="49">
        <f t="shared" si="46"/>
        <v>0</v>
      </c>
      <c r="W168" s="49">
        <f t="shared" si="46"/>
        <v>0</v>
      </c>
      <c r="X168" s="50">
        <f t="shared" si="46"/>
        <v>0</v>
      </c>
      <c r="Y168" s="73">
        <f t="shared" si="44"/>
        <v>749400</v>
      </c>
    </row>
    <row r="169" spans="1:25" x14ac:dyDescent="0.2">
      <c r="A169" s="55">
        <v>46188</v>
      </c>
      <c r="B169" s="48"/>
      <c r="C169" s="49"/>
      <c r="D169" s="49"/>
      <c r="E169" s="50">
        <v>39900</v>
      </c>
      <c r="F169" s="48">
        <f t="shared" si="38"/>
        <v>42123</v>
      </c>
      <c r="G169" s="49">
        <f t="shared" si="39"/>
        <v>69725</v>
      </c>
      <c r="H169" s="49">
        <f t="shared" si="40"/>
        <v>0</v>
      </c>
      <c r="I169" s="50">
        <f t="shared" si="41"/>
        <v>14417</v>
      </c>
      <c r="J169" s="48">
        <f>J168+B169-SUMIFS(рапорт!$O:$O,рапорт!$A:$A,A169)-SUMIFS(рапорт!$U:$U,рапорт!$A:$A,A169)/4</f>
        <v>60640.5</v>
      </c>
      <c r="K169" s="49">
        <f>K168+C169-SUMIFS(рапорт!$P:$P,рапорт!$A:$A,A169)-SUMIFS(рапорт!$U:$U,рапорт!$A:$A,A169)/4</f>
        <v>98141.5</v>
      </c>
      <c r="L169" s="49">
        <f>L168+D169-SUMIFS(рапорт!$Q:$Q,рапорт!$A:$A,A169)-SUMIFS(рапорт!$U:$U,рапорт!$A:$A,A169)/4</f>
        <v>74884.5</v>
      </c>
      <c r="M169" s="50">
        <f>M168+E169-SUMIFS(рапорт!$R:$R,рапорт!$A:$A,A169)-SUMIFS(рапорт!$U:$U,рапорт!$A:$A,A169)/4</f>
        <v>69265.5</v>
      </c>
      <c r="O169" s="55">
        <v>46188</v>
      </c>
      <c r="P169" s="48"/>
      <c r="Q169" s="49"/>
      <c r="R169" s="49"/>
      <c r="S169" s="50"/>
      <c r="T169" s="60">
        <f t="shared" si="43"/>
        <v>0</v>
      </c>
      <c r="U169" s="48">
        <f t="shared" si="36"/>
        <v>749400</v>
      </c>
      <c r="V169" s="49">
        <f t="shared" si="46"/>
        <v>0</v>
      </c>
      <c r="W169" s="49">
        <f t="shared" si="46"/>
        <v>0</v>
      </c>
      <c r="X169" s="50">
        <f t="shared" si="46"/>
        <v>0</v>
      </c>
      <c r="Y169" s="73">
        <f t="shared" si="44"/>
        <v>749400</v>
      </c>
    </row>
    <row r="170" spans="1:25" x14ac:dyDescent="0.2">
      <c r="A170" s="55">
        <v>46189</v>
      </c>
      <c r="B170" s="48"/>
      <c r="C170" s="49"/>
      <c r="D170" s="49">
        <v>41150</v>
      </c>
      <c r="E170" s="50">
        <v>41480</v>
      </c>
      <c r="F170" s="48">
        <f t="shared" si="38"/>
        <v>42123</v>
      </c>
      <c r="G170" s="49">
        <f t="shared" si="39"/>
        <v>69725</v>
      </c>
      <c r="H170" s="49">
        <f t="shared" si="40"/>
        <v>0</v>
      </c>
      <c r="I170" s="50">
        <f t="shared" si="41"/>
        <v>14417</v>
      </c>
      <c r="J170" s="48">
        <f>J169+B170-SUMIFS(рапорт!$O:$O,рапорт!$A:$A,A170)-SUMIFS(рапорт!$U:$U,рапорт!$A:$A,A170)/4</f>
        <v>60640.5</v>
      </c>
      <c r="K170" s="49">
        <f>K169+C170-SUMIFS(рапорт!$P:$P,рапорт!$A:$A,A170)-SUMIFS(рапорт!$U:$U,рапорт!$A:$A,A170)/4</f>
        <v>98141.5</v>
      </c>
      <c r="L170" s="49">
        <f>L169+D170-SUMIFS(рапорт!$Q:$Q,рапорт!$A:$A,A170)-SUMIFS(рапорт!$U:$U,рапорт!$A:$A,A170)/4</f>
        <v>87809.5</v>
      </c>
      <c r="M170" s="50">
        <f>M169+E170-SUMIFS(рапорт!$R:$R,рапорт!$A:$A,A170)-SUMIFS(рапорт!$U:$U,рапорт!$A:$A,A170)/4</f>
        <v>82631.5</v>
      </c>
      <c r="O170" s="55">
        <v>46189</v>
      </c>
      <c r="P170" s="48"/>
      <c r="Q170" s="49"/>
      <c r="R170" s="49"/>
      <c r="S170" s="50"/>
      <c r="T170" s="60">
        <f t="shared" si="43"/>
        <v>0</v>
      </c>
      <c r="U170" s="48">
        <f t="shared" si="36"/>
        <v>749400</v>
      </c>
      <c r="V170" s="49">
        <f t="shared" si="46"/>
        <v>0</v>
      </c>
      <c r="W170" s="49">
        <f t="shared" si="46"/>
        <v>0</v>
      </c>
      <c r="X170" s="50">
        <f t="shared" si="46"/>
        <v>0</v>
      </c>
      <c r="Y170" s="73">
        <f t="shared" si="44"/>
        <v>749400</v>
      </c>
    </row>
    <row r="171" spans="1:25" x14ac:dyDescent="0.2">
      <c r="A171" s="55">
        <v>46190</v>
      </c>
      <c r="B171" s="48"/>
      <c r="C171" s="49"/>
      <c r="D171" s="49">
        <v>42980</v>
      </c>
      <c r="E171" s="50"/>
      <c r="F171" s="48">
        <f t="shared" si="38"/>
        <v>42123</v>
      </c>
      <c r="G171" s="49">
        <f t="shared" si="39"/>
        <v>69725</v>
      </c>
      <c r="H171" s="49">
        <f t="shared" si="40"/>
        <v>0</v>
      </c>
      <c r="I171" s="50">
        <f t="shared" si="41"/>
        <v>14417</v>
      </c>
      <c r="J171" s="48">
        <f>J170+B171-SUMIFS(рапорт!$O:$O,рапорт!$A:$A,A171)-SUMIFS(рапорт!$U:$U,рапорт!$A:$A,A171)/4</f>
        <v>60640.5</v>
      </c>
      <c r="K171" s="49">
        <f>K170+C171-SUMIFS(рапорт!$P:$P,рапорт!$A:$A,A171)-SUMIFS(рапорт!$U:$U,рапорт!$A:$A,A171)/4</f>
        <v>98141.5</v>
      </c>
      <c r="L171" s="49">
        <f>L170+D171-SUMIFS(рапорт!$Q:$Q,рапорт!$A:$A,A171)-SUMIFS(рапорт!$U:$U,рапорт!$A:$A,A171)/4</f>
        <v>90378.5</v>
      </c>
      <c r="M171" s="50">
        <f>M170+E171-SUMIFS(рапорт!$R:$R,рапорт!$A:$A,A171)-SUMIFS(рапорт!$U:$U,рапорт!$A:$A,A171)/4</f>
        <v>43655.5</v>
      </c>
      <c r="O171" s="55">
        <v>46190</v>
      </c>
      <c r="P171" s="48"/>
      <c r="Q171" s="49"/>
      <c r="R171" s="49"/>
      <c r="S171" s="50"/>
      <c r="T171" s="60">
        <f t="shared" si="43"/>
        <v>0</v>
      </c>
      <c r="U171" s="48">
        <f t="shared" si="36"/>
        <v>749400</v>
      </c>
      <c r="V171" s="49">
        <f t="shared" si="46"/>
        <v>0</v>
      </c>
      <c r="W171" s="49">
        <f t="shared" si="46"/>
        <v>0</v>
      </c>
      <c r="X171" s="50">
        <f t="shared" si="46"/>
        <v>0</v>
      </c>
      <c r="Y171" s="73">
        <f t="shared" si="44"/>
        <v>749400</v>
      </c>
    </row>
    <row r="172" spans="1:25" x14ac:dyDescent="0.2">
      <c r="A172" s="55">
        <v>46191</v>
      </c>
      <c r="B172" s="48"/>
      <c r="C172" s="49"/>
      <c r="D172" s="49"/>
      <c r="E172" s="50">
        <v>43140</v>
      </c>
      <c r="F172" s="48">
        <f t="shared" si="38"/>
        <v>42123</v>
      </c>
      <c r="G172" s="49">
        <f t="shared" si="39"/>
        <v>69725</v>
      </c>
      <c r="H172" s="49">
        <f t="shared" si="40"/>
        <v>0</v>
      </c>
      <c r="I172" s="50">
        <f t="shared" si="41"/>
        <v>14417</v>
      </c>
      <c r="J172" s="48">
        <f>J171+B172-SUMIFS(рапорт!$O:$O,рапорт!$A:$A,A172)-SUMIFS(рапорт!$U:$U,рапорт!$A:$A,A172)/4</f>
        <v>60640.5</v>
      </c>
      <c r="K172" s="49">
        <f>K171+C172-SUMIFS(рапорт!$P:$P,рапорт!$A:$A,A172)-SUMIFS(рапорт!$U:$U,рапорт!$A:$A,A172)/4</f>
        <v>98141.5</v>
      </c>
      <c r="L172" s="49">
        <f>L171+D172-SUMIFS(рапорт!$Q:$Q,рапорт!$A:$A,A172)-SUMIFS(рапорт!$U:$U,рапорт!$A:$A,A172)/4</f>
        <v>59658.5</v>
      </c>
      <c r="M172" s="50">
        <f>M171+E172-SUMIFS(рапорт!$R:$R,рапорт!$A:$A,A172)-SUMIFS(рапорт!$U:$U,рапорт!$A:$A,A172)/4</f>
        <v>57398.5</v>
      </c>
      <c r="O172" s="55">
        <v>46191</v>
      </c>
      <c r="P172" s="48"/>
      <c r="Q172" s="49"/>
      <c r="R172" s="49"/>
      <c r="S172" s="50"/>
      <c r="T172" s="60">
        <f t="shared" si="43"/>
        <v>0</v>
      </c>
      <c r="U172" s="48">
        <f t="shared" si="36"/>
        <v>749400</v>
      </c>
      <c r="V172" s="49">
        <f t="shared" si="46"/>
        <v>0</v>
      </c>
      <c r="W172" s="49">
        <f t="shared" si="46"/>
        <v>0</v>
      </c>
      <c r="X172" s="50">
        <f t="shared" si="46"/>
        <v>0</v>
      </c>
      <c r="Y172" s="73">
        <f t="shared" si="44"/>
        <v>749400</v>
      </c>
    </row>
    <row r="173" spans="1:25" x14ac:dyDescent="0.2">
      <c r="A173" s="55">
        <v>46192</v>
      </c>
      <c r="B173" s="48"/>
      <c r="C173" s="49"/>
      <c r="D173" s="49">
        <v>41330</v>
      </c>
      <c r="E173" s="50">
        <v>41010</v>
      </c>
      <c r="F173" s="48">
        <f t="shared" si="38"/>
        <v>42123</v>
      </c>
      <c r="G173" s="49">
        <f t="shared" si="39"/>
        <v>69725</v>
      </c>
      <c r="H173" s="49">
        <f t="shared" si="40"/>
        <v>0</v>
      </c>
      <c r="I173" s="50">
        <f t="shared" si="41"/>
        <v>14417</v>
      </c>
      <c r="J173" s="48">
        <f>J172+B173-SUMIFS(рапорт!$O:$O,рапорт!$A:$A,A173)-SUMIFS(рапорт!$U:$U,рапорт!$A:$A,A173)/4</f>
        <v>60640.5</v>
      </c>
      <c r="K173" s="49">
        <f>K172+C173-SUMIFS(рапорт!$P:$P,рапорт!$A:$A,A173)-SUMIFS(рапорт!$U:$U,рапорт!$A:$A,A173)/4</f>
        <v>98141.5</v>
      </c>
      <c r="L173" s="49">
        <f>L172+D173-SUMIFS(рапорт!$Q:$Q,рапорт!$A:$A,A173)-SUMIFS(рапорт!$U:$U,рапорт!$A:$A,A173)/4</f>
        <v>62588.5</v>
      </c>
      <c r="M173" s="50">
        <f>M172+E173-SUMIFS(рапорт!$R:$R,рапорт!$A:$A,A173)-SUMIFS(рапорт!$U:$U,рапорт!$A:$A,A173)/4</f>
        <v>57512.5</v>
      </c>
      <c r="O173" s="55">
        <v>46192</v>
      </c>
      <c r="P173" s="48"/>
      <c r="Q173" s="49"/>
      <c r="R173" s="49"/>
      <c r="S173" s="50"/>
      <c r="T173" s="60">
        <f t="shared" si="43"/>
        <v>0</v>
      </c>
      <c r="U173" s="48">
        <f t="shared" si="36"/>
        <v>749400</v>
      </c>
      <c r="V173" s="49">
        <f t="shared" si="46"/>
        <v>0</v>
      </c>
      <c r="W173" s="49">
        <f t="shared" si="46"/>
        <v>0</v>
      </c>
      <c r="X173" s="50">
        <f t="shared" si="46"/>
        <v>0</v>
      </c>
      <c r="Y173" s="73">
        <f t="shared" si="44"/>
        <v>749400</v>
      </c>
    </row>
    <row r="174" spans="1:25" x14ac:dyDescent="0.2">
      <c r="A174" s="55">
        <v>46193</v>
      </c>
      <c r="B174" s="48"/>
      <c r="C174" s="49"/>
      <c r="D174" s="49"/>
      <c r="E174" s="50"/>
      <c r="F174" s="48">
        <f t="shared" si="38"/>
        <v>42123</v>
      </c>
      <c r="G174" s="49">
        <f t="shared" si="39"/>
        <v>69725</v>
      </c>
      <c r="H174" s="49">
        <f t="shared" si="40"/>
        <v>0</v>
      </c>
      <c r="I174" s="50">
        <f t="shared" si="41"/>
        <v>14417</v>
      </c>
      <c r="J174" s="48">
        <f>J173+B174-SUMIFS(рапорт!$O:$O,рапорт!$A:$A,A174)-SUMIFS(рапорт!$U:$U,рапорт!$A:$A,A174)/4</f>
        <v>60640.5</v>
      </c>
      <c r="K174" s="49">
        <f>K173+C174-SUMIFS(рапорт!$P:$P,рапорт!$A:$A,A174)-SUMIFS(рапорт!$U:$U,рапорт!$A:$A,A174)/4</f>
        <v>98141.5</v>
      </c>
      <c r="L174" s="49">
        <f>L173+D174-SUMIFS(рапорт!$Q:$Q,рапорт!$A:$A,A174)-SUMIFS(рапорт!$U:$U,рапорт!$A:$A,A174)/4</f>
        <v>19708.5</v>
      </c>
      <c r="M174" s="50">
        <f>M173+E174-SUMIFS(рапорт!$R:$R,рапорт!$A:$A,A174)-SUMIFS(рапорт!$U:$U,рапорт!$A:$A,A174)/4</f>
        <v>13421.5</v>
      </c>
      <c r="O174" s="55">
        <v>46193</v>
      </c>
      <c r="P174" s="48"/>
      <c r="Q174" s="49"/>
      <c r="R174" s="49"/>
      <c r="S174" s="50"/>
      <c r="T174" s="60">
        <f t="shared" si="43"/>
        <v>0</v>
      </c>
      <c r="U174" s="48">
        <f t="shared" si="36"/>
        <v>749400</v>
      </c>
      <c r="V174" s="49">
        <f t="shared" si="46"/>
        <v>0</v>
      </c>
      <c r="W174" s="49">
        <f t="shared" si="46"/>
        <v>0</v>
      </c>
      <c r="X174" s="50">
        <f t="shared" si="46"/>
        <v>0</v>
      </c>
      <c r="Y174" s="73">
        <f t="shared" si="44"/>
        <v>749400</v>
      </c>
    </row>
    <row r="175" spans="1:25" x14ac:dyDescent="0.2">
      <c r="A175" s="55">
        <v>46194</v>
      </c>
      <c r="B175" s="48"/>
      <c r="C175" s="49"/>
      <c r="D175" s="49">
        <v>44410</v>
      </c>
      <c r="E175" s="50">
        <v>85050</v>
      </c>
      <c r="F175" s="48">
        <f t="shared" si="38"/>
        <v>42123</v>
      </c>
      <c r="G175" s="49">
        <f t="shared" si="39"/>
        <v>69725</v>
      </c>
      <c r="H175" s="49">
        <f t="shared" si="40"/>
        <v>0</v>
      </c>
      <c r="I175" s="50">
        <f t="shared" si="41"/>
        <v>14417</v>
      </c>
      <c r="J175" s="48">
        <f>J174+B175-SUMIFS(рапорт!$O:$O,рапорт!$A:$A,A175)-SUMIFS(рапорт!$U:$U,рапорт!$A:$A,A175)/4</f>
        <v>60640.5</v>
      </c>
      <c r="K175" s="49">
        <f>K174+C175-SUMIFS(рапорт!$P:$P,рапорт!$A:$A,A175)-SUMIFS(рапорт!$U:$U,рапорт!$A:$A,A175)/4</f>
        <v>98141.5</v>
      </c>
      <c r="L175" s="49">
        <f>L174+D175-SUMIFS(рапорт!$Q:$Q,рапорт!$A:$A,A175)-SUMIFS(рапорт!$U:$U,рапорт!$A:$A,A175)/4</f>
        <v>20598.5</v>
      </c>
      <c r="M175" s="50">
        <f>M174+E175-SUMIFS(рапорт!$R:$R,рапорт!$A:$A,A175)-SUMIFS(рапорт!$U:$U,рапорт!$A:$A,A175)/4</f>
        <v>59492.5</v>
      </c>
      <c r="O175" s="55">
        <v>46194</v>
      </c>
      <c r="P175" s="48"/>
      <c r="Q175" s="49"/>
      <c r="R175" s="49"/>
      <c r="S175" s="50"/>
      <c r="T175" s="60">
        <f t="shared" si="43"/>
        <v>0</v>
      </c>
      <c r="U175" s="48">
        <f t="shared" si="36"/>
        <v>749400</v>
      </c>
      <c r="V175" s="49">
        <f t="shared" si="46"/>
        <v>0</v>
      </c>
      <c r="W175" s="49">
        <f t="shared" si="46"/>
        <v>0</v>
      </c>
      <c r="X175" s="50">
        <f t="shared" si="46"/>
        <v>0</v>
      </c>
      <c r="Y175" s="73">
        <f t="shared" si="44"/>
        <v>749400</v>
      </c>
    </row>
    <row r="176" spans="1:25" x14ac:dyDescent="0.2">
      <c r="A176" s="55">
        <v>46195</v>
      </c>
      <c r="B176" s="48"/>
      <c r="C176" s="49"/>
      <c r="D176" s="49">
        <v>39490</v>
      </c>
      <c r="E176" s="50">
        <v>41540</v>
      </c>
      <c r="F176" s="48">
        <f t="shared" si="38"/>
        <v>42123</v>
      </c>
      <c r="G176" s="49">
        <f t="shared" si="39"/>
        <v>69725</v>
      </c>
      <c r="H176" s="49">
        <f t="shared" si="40"/>
        <v>0</v>
      </c>
      <c r="I176" s="50">
        <f t="shared" si="41"/>
        <v>14417</v>
      </c>
      <c r="J176" s="48">
        <f>J175+B176-SUMIFS(рапорт!$O:$O,рапорт!$A:$A,A176)-SUMIFS(рапорт!$U:$U,рапорт!$A:$A,A176)/4</f>
        <v>60640.5</v>
      </c>
      <c r="K176" s="49">
        <f>K175+C176-SUMIFS(рапорт!$P:$P,рапорт!$A:$A,A176)-SUMIFS(рапорт!$U:$U,рапорт!$A:$A,A176)/4</f>
        <v>98141.5</v>
      </c>
      <c r="L176" s="49">
        <f>L175+D176-SUMIFS(рапорт!$Q:$Q,рапорт!$A:$A,A176)-SUMIFS(рапорт!$U:$U,рапорт!$A:$A,A176)/4</f>
        <v>45376.5</v>
      </c>
      <c r="M176" s="50">
        <f>M175+E176-SUMIFS(рапорт!$R:$R,рапорт!$A:$A,A176)-SUMIFS(рапорт!$U:$U,рапорт!$A:$A,A176)/4</f>
        <v>86951.5</v>
      </c>
      <c r="O176" s="55">
        <v>46195</v>
      </c>
      <c r="P176" s="48"/>
      <c r="Q176" s="49"/>
      <c r="R176" s="49"/>
      <c r="S176" s="50"/>
      <c r="T176" s="60">
        <f t="shared" si="43"/>
        <v>0</v>
      </c>
      <c r="U176" s="48">
        <f t="shared" si="36"/>
        <v>749400</v>
      </c>
      <c r="V176" s="49">
        <f t="shared" si="46"/>
        <v>0</v>
      </c>
      <c r="W176" s="49">
        <f t="shared" si="46"/>
        <v>0</v>
      </c>
      <c r="X176" s="50">
        <f t="shared" si="46"/>
        <v>0</v>
      </c>
      <c r="Y176" s="73">
        <f t="shared" si="44"/>
        <v>749400</v>
      </c>
    </row>
    <row r="177" spans="1:25" x14ac:dyDescent="0.2">
      <c r="A177" s="55">
        <v>46196</v>
      </c>
      <c r="B177" s="48"/>
      <c r="C177" s="49"/>
      <c r="D177" s="49"/>
      <c r="E177" s="50"/>
      <c r="F177" s="48">
        <f t="shared" si="38"/>
        <v>42123</v>
      </c>
      <c r="G177" s="49">
        <f t="shared" si="39"/>
        <v>69725</v>
      </c>
      <c r="H177" s="49">
        <f t="shared" si="40"/>
        <v>0</v>
      </c>
      <c r="I177" s="50">
        <f t="shared" si="41"/>
        <v>14417</v>
      </c>
      <c r="J177" s="48">
        <f>J176+B177-SUMIFS(рапорт!$O:$O,рапорт!$A:$A,A177)-SUMIFS(рапорт!$U:$U,рапорт!$A:$A,A177)/4</f>
        <v>60640.5</v>
      </c>
      <c r="K177" s="49">
        <f>K176+C177-SUMIFS(рапорт!$P:$P,рапорт!$A:$A,A177)-SUMIFS(рапорт!$U:$U,рапорт!$A:$A,A177)/4</f>
        <v>98141.5</v>
      </c>
      <c r="L177" s="49">
        <f>L176+D177-SUMIFS(рапорт!$Q:$Q,рапорт!$A:$A,A177)-SUMIFS(рапорт!$U:$U,рапорт!$A:$A,A177)/4</f>
        <v>45376.5</v>
      </c>
      <c r="M177" s="50">
        <f>M176+E177-SUMIFS(рапорт!$R:$R,рапорт!$A:$A,A177)-SUMIFS(рапорт!$U:$U,рапорт!$A:$A,A177)/4</f>
        <v>86951.5</v>
      </c>
      <c r="O177" s="55">
        <v>46196</v>
      </c>
      <c r="P177" s="48"/>
      <c r="Q177" s="49"/>
      <c r="R177" s="49"/>
      <c r="S177" s="50"/>
      <c r="T177" s="60">
        <f t="shared" si="43"/>
        <v>0</v>
      </c>
      <c r="U177" s="48">
        <f t="shared" si="36"/>
        <v>749400</v>
      </c>
      <c r="V177" s="49">
        <f t="shared" si="46"/>
        <v>0</v>
      </c>
      <c r="W177" s="49">
        <f t="shared" si="46"/>
        <v>0</v>
      </c>
      <c r="X177" s="50">
        <f t="shared" si="46"/>
        <v>0</v>
      </c>
      <c r="Y177" s="73">
        <f t="shared" si="44"/>
        <v>749400</v>
      </c>
    </row>
    <row r="178" spans="1:25" x14ac:dyDescent="0.2">
      <c r="A178" s="55">
        <v>46197</v>
      </c>
      <c r="B178" s="48"/>
      <c r="C178" s="49"/>
      <c r="D178" s="49"/>
      <c r="E178" s="50"/>
      <c r="F178" s="48">
        <f t="shared" si="38"/>
        <v>42123</v>
      </c>
      <c r="G178" s="49">
        <f t="shared" si="39"/>
        <v>69725</v>
      </c>
      <c r="H178" s="49">
        <f t="shared" si="40"/>
        <v>0</v>
      </c>
      <c r="I178" s="50">
        <f t="shared" si="41"/>
        <v>14417</v>
      </c>
      <c r="J178" s="48">
        <f>J177+B178-SUMIFS(рапорт!$O:$O,рапорт!$A:$A,A178)-SUMIFS(рапорт!$U:$U,рапорт!$A:$A,A178)/4</f>
        <v>60640.5</v>
      </c>
      <c r="K178" s="49">
        <f>K177+C178-SUMIFS(рапорт!$P:$P,рапорт!$A:$A,A178)-SUMIFS(рапорт!$U:$U,рапорт!$A:$A,A178)/4</f>
        <v>98141.5</v>
      </c>
      <c r="L178" s="49">
        <f>L177+D178-SUMIFS(рапорт!$Q:$Q,рапорт!$A:$A,A178)-SUMIFS(рапорт!$U:$U,рапорт!$A:$A,A178)/4</f>
        <v>45376.5</v>
      </c>
      <c r="M178" s="50">
        <f>M177+E178-SUMIFS(рапорт!$R:$R,рапорт!$A:$A,A178)-SUMIFS(рапорт!$U:$U,рапорт!$A:$A,A178)/4</f>
        <v>86951.5</v>
      </c>
      <c r="O178" s="55">
        <v>46197</v>
      </c>
      <c r="P178" s="48"/>
      <c r="Q178" s="49"/>
      <c r="R178" s="49"/>
      <c r="S178" s="50"/>
      <c r="T178" s="60">
        <f t="shared" si="43"/>
        <v>0</v>
      </c>
      <c r="U178" s="48">
        <f t="shared" ref="U178:U241" si="47">U177</f>
        <v>749400</v>
      </c>
      <c r="V178" s="49">
        <f t="shared" si="46"/>
        <v>0</v>
      </c>
      <c r="W178" s="49">
        <f t="shared" si="46"/>
        <v>0</v>
      </c>
      <c r="X178" s="50">
        <f t="shared" si="46"/>
        <v>0</v>
      </c>
      <c r="Y178" s="73">
        <f t="shared" si="44"/>
        <v>749400</v>
      </c>
    </row>
    <row r="179" spans="1:25" x14ac:dyDescent="0.2">
      <c r="A179" s="55">
        <v>46198</v>
      </c>
      <c r="B179" s="48"/>
      <c r="C179" s="49"/>
      <c r="D179" s="49"/>
      <c r="E179" s="50"/>
      <c r="F179" s="48">
        <f t="shared" si="38"/>
        <v>42123</v>
      </c>
      <c r="G179" s="49">
        <f t="shared" si="39"/>
        <v>69725</v>
      </c>
      <c r="H179" s="49">
        <f t="shared" si="40"/>
        <v>0</v>
      </c>
      <c r="I179" s="50">
        <f t="shared" si="41"/>
        <v>14417</v>
      </c>
      <c r="J179" s="48">
        <f>J178+B179-SUMIFS(рапорт!$O:$O,рапорт!$A:$A,A179)-SUMIFS(рапорт!$U:$U,рапорт!$A:$A,A179)/4</f>
        <v>60640.5</v>
      </c>
      <c r="K179" s="49">
        <f>K178+C179-SUMIFS(рапорт!$P:$P,рапорт!$A:$A,A179)-SUMIFS(рапорт!$U:$U,рапорт!$A:$A,A179)/4</f>
        <v>98141.5</v>
      </c>
      <c r="L179" s="49">
        <f>L178+D179-SUMIFS(рапорт!$Q:$Q,рапорт!$A:$A,A179)-SUMIFS(рапорт!$U:$U,рапорт!$A:$A,A179)/4</f>
        <v>45376.5</v>
      </c>
      <c r="M179" s="50">
        <f>M178+E179-SUMIFS(рапорт!$R:$R,рапорт!$A:$A,A179)-SUMIFS(рапорт!$U:$U,рапорт!$A:$A,A179)/4</f>
        <v>86951.5</v>
      </c>
      <c r="O179" s="55">
        <v>46198</v>
      </c>
      <c r="P179" s="48"/>
      <c r="Q179" s="49"/>
      <c r="R179" s="49"/>
      <c r="S179" s="50"/>
      <c r="T179" s="60">
        <f t="shared" si="43"/>
        <v>0</v>
      </c>
      <c r="U179" s="48">
        <f t="shared" si="47"/>
        <v>749400</v>
      </c>
      <c r="V179" s="49">
        <f t="shared" si="46"/>
        <v>0</v>
      </c>
      <c r="W179" s="49">
        <f t="shared" si="46"/>
        <v>0</v>
      </c>
      <c r="X179" s="50">
        <f t="shared" si="46"/>
        <v>0</v>
      </c>
      <c r="Y179" s="73">
        <f t="shared" si="44"/>
        <v>749400</v>
      </c>
    </row>
    <row r="180" spans="1:25" x14ac:dyDescent="0.2">
      <c r="A180" s="55">
        <v>46199</v>
      </c>
      <c r="B180" s="48"/>
      <c r="C180" s="49"/>
      <c r="D180" s="49"/>
      <c r="E180" s="50"/>
      <c r="F180" s="48">
        <f t="shared" si="38"/>
        <v>42123</v>
      </c>
      <c r="G180" s="49">
        <f t="shared" si="39"/>
        <v>69725</v>
      </c>
      <c r="H180" s="49">
        <f t="shared" si="40"/>
        <v>0</v>
      </c>
      <c r="I180" s="50">
        <f t="shared" si="41"/>
        <v>14417</v>
      </c>
      <c r="J180" s="48">
        <f>J179+B180-SUMIFS(рапорт!$O:$O,рапорт!$A:$A,A180)-SUMIFS(рапорт!$U:$U,рапорт!$A:$A,A180)/4</f>
        <v>60640.5</v>
      </c>
      <c r="K180" s="49">
        <f>K179+C180-SUMIFS(рапорт!$P:$P,рапорт!$A:$A,A180)-SUMIFS(рапорт!$U:$U,рапорт!$A:$A,A180)/4</f>
        <v>98141.5</v>
      </c>
      <c r="L180" s="49">
        <f>L179+D180-SUMIFS(рапорт!$Q:$Q,рапорт!$A:$A,A180)-SUMIFS(рапорт!$U:$U,рапорт!$A:$A,A180)/4</f>
        <v>45376.5</v>
      </c>
      <c r="M180" s="50">
        <f>M179+E180-SUMIFS(рапорт!$R:$R,рапорт!$A:$A,A180)-SUMIFS(рапорт!$U:$U,рапорт!$A:$A,A180)/4</f>
        <v>86951.5</v>
      </c>
      <c r="O180" s="55">
        <v>46199</v>
      </c>
      <c r="P180" s="48"/>
      <c r="Q180" s="49"/>
      <c r="R180" s="49"/>
      <c r="S180" s="50"/>
      <c r="T180" s="60">
        <f t="shared" si="43"/>
        <v>0</v>
      </c>
      <c r="U180" s="48">
        <f t="shared" si="47"/>
        <v>749400</v>
      </c>
      <c r="V180" s="49">
        <f t="shared" ref="V180:X195" si="48">V179</f>
        <v>0</v>
      </c>
      <c r="W180" s="49">
        <f t="shared" si="48"/>
        <v>0</v>
      </c>
      <c r="X180" s="50">
        <f t="shared" si="48"/>
        <v>0</v>
      </c>
      <c r="Y180" s="73">
        <f t="shared" si="44"/>
        <v>749400</v>
      </c>
    </row>
    <row r="181" spans="1:25" x14ac:dyDescent="0.2">
      <c r="A181" s="55">
        <v>46200</v>
      </c>
      <c r="B181" s="48"/>
      <c r="C181" s="49"/>
      <c r="D181" s="49"/>
      <c r="E181" s="50"/>
      <c r="F181" s="48">
        <f t="shared" si="38"/>
        <v>42123</v>
      </c>
      <c r="G181" s="49">
        <f t="shared" si="39"/>
        <v>69725</v>
      </c>
      <c r="H181" s="49">
        <f t="shared" si="40"/>
        <v>0</v>
      </c>
      <c r="I181" s="50">
        <f t="shared" si="41"/>
        <v>14417</v>
      </c>
      <c r="J181" s="48">
        <f>J180+B181-SUMIFS(рапорт!$O:$O,рапорт!$A:$A,A181)-SUMIFS(рапорт!$U:$U,рапорт!$A:$A,A181)/4</f>
        <v>60640.5</v>
      </c>
      <c r="K181" s="49">
        <f>K180+C181-SUMIFS(рапорт!$P:$P,рапорт!$A:$A,A181)-SUMIFS(рапорт!$U:$U,рапорт!$A:$A,A181)/4</f>
        <v>98141.5</v>
      </c>
      <c r="L181" s="49">
        <f>L180+D181-SUMIFS(рапорт!$Q:$Q,рапорт!$A:$A,A181)-SUMIFS(рапорт!$U:$U,рапорт!$A:$A,A181)/4</f>
        <v>45376.5</v>
      </c>
      <c r="M181" s="50">
        <f>M180+E181-SUMIFS(рапорт!$R:$R,рапорт!$A:$A,A181)-SUMIFS(рапорт!$U:$U,рапорт!$A:$A,A181)/4</f>
        <v>86951.5</v>
      </c>
      <c r="O181" s="55">
        <v>46200</v>
      </c>
      <c r="P181" s="48"/>
      <c r="Q181" s="49"/>
      <c r="R181" s="49"/>
      <c r="S181" s="50"/>
      <c r="T181" s="60">
        <f t="shared" si="43"/>
        <v>0</v>
      </c>
      <c r="U181" s="48">
        <f t="shared" si="47"/>
        <v>749400</v>
      </c>
      <c r="V181" s="49">
        <f t="shared" si="48"/>
        <v>0</v>
      </c>
      <c r="W181" s="49">
        <f t="shared" si="48"/>
        <v>0</v>
      </c>
      <c r="X181" s="50">
        <f t="shared" si="48"/>
        <v>0</v>
      </c>
      <c r="Y181" s="73">
        <f t="shared" si="44"/>
        <v>749400</v>
      </c>
    </row>
    <row r="182" spans="1:25" x14ac:dyDescent="0.2">
      <c r="A182" s="55">
        <v>46201</v>
      </c>
      <c r="B182" s="48"/>
      <c r="C182" s="49"/>
      <c r="D182" s="49"/>
      <c r="E182" s="50"/>
      <c r="F182" s="48">
        <f t="shared" si="38"/>
        <v>42123</v>
      </c>
      <c r="G182" s="49">
        <f t="shared" si="39"/>
        <v>69725</v>
      </c>
      <c r="H182" s="49">
        <f t="shared" si="40"/>
        <v>0</v>
      </c>
      <c r="I182" s="50">
        <f t="shared" si="41"/>
        <v>14417</v>
      </c>
      <c r="J182" s="48">
        <f>J181+B182-SUMIFS(рапорт!$O:$O,рапорт!$A:$A,A182)-SUMIFS(рапорт!$U:$U,рапорт!$A:$A,A182)/4</f>
        <v>60640.5</v>
      </c>
      <c r="K182" s="49">
        <f>K181+C182-SUMIFS(рапорт!$P:$P,рапорт!$A:$A,A182)-SUMIFS(рапорт!$U:$U,рапорт!$A:$A,A182)/4</f>
        <v>98141.5</v>
      </c>
      <c r="L182" s="49">
        <f>L181+D182-SUMIFS(рапорт!$Q:$Q,рапорт!$A:$A,A182)-SUMIFS(рапорт!$U:$U,рапорт!$A:$A,A182)/4</f>
        <v>45376.5</v>
      </c>
      <c r="M182" s="50">
        <f>M181+E182-SUMIFS(рапорт!$R:$R,рапорт!$A:$A,A182)-SUMIFS(рапорт!$U:$U,рапорт!$A:$A,A182)/4</f>
        <v>86951.5</v>
      </c>
      <c r="O182" s="55">
        <v>46201</v>
      </c>
      <c r="P182" s="48"/>
      <c r="Q182" s="49"/>
      <c r="R182" s="49"/>
      <c r="S182" s="50"/>
      <c r="T182" s="60">
        <f t="shared" si="43"/>
        <v>0</v>
      </c>
      <c r="U182" s="48">
        <f t="shared" si="47"/>
        <v>749400</v>
      </c>
      <c r="V182" s="49">
        <f t="shared" si="48"/>
        <v>0</v>
      </c>
      <c r="W182" s="49">
        <f t="shared" si="48"/>
        <v>0</v>
      </c>
      <c r="X182" s="50">
        <f t="shared" si="48"/>
        <v>0</v>
      </c>
      <c r="Y182" s="73">
        <f t="shared" si="44"/>
        <v>749400</v>
      </c>
    </row>
    <row r="183" spans="1:25" x14ac:dyDescent="0.2">
      <c r="A183" s="55">
        <v>46202</v>
      </c>
      <c r="B183" s="48"/>
      <c r="C183" s="49"/>
      <c r="D183" s="49"/>
      <c r="E183" s="50"/>
      <c r="F183" s="48">
        <f t="shared" si="38"/>
        <v>42123</v>
      </c>
      <c r="G183" s="49">
        <f t="shared" si="39"/>
        <v>69725</v>
      </c>
      <c r="H183" s="49">
        <f t="shared" si="40"/>
        <v>0</v>
      </c>
      <c r="I183" s="50">
        <f t="shared" si="41"/>
        <v>14417</v>
      </c>
      <c r="J183" s="48">
        <f>J182+B183-SUMIFS(рапорт!$O:$O,рапорт!$A:$A,A183)-SUMIFS(рапорт!$U:$U,рапорт!$A:$A,A183)/4</f>
        <v>60640.5</v>
      </c>
      <c r="K183" s="49">
        <f>K182+C183-SUMIFS(рапорт!$P:$P,рапорт!$A:$A,A183)-SUMIFS(рапорт!$U:$U,рапорт!$A:$A,A183)/4</f>
        <v>98141.5</v>
      </c>
      <c r="L183" s="49">
        <f>L182+D183-SUMIFS(рапорт!$Q:$Q,рапорт!$A:$A,A183)-SUMIFS(рапорт!$U:$U,рапорт!$A:$A,A183)/4</f>
        <v>45376.5</v>
      </c>
      <c r="M183" s="50">
        <f>M182+E183-SUMIFS(рапорт!$R:$R,рапорт!$A:$A,A183)-SUMIFS(рапорт!$U:$U,рапорт!$A:$A,A183)/4</f>
        <v>86951.5</v>
      </c>
      <c r="O183" s="55">
        <v>46202</v>
      </c>
      <c r="P183" s="48"/>
      <c r="Q183" s="49"/>
      <c r="R183" s="49"/>
      <c r="S183" s="50"/>
      <c r="T183" s="60">
        <f t="shared" si="43"/>
        <v>0</v>
      </c>
      <c r="U183" s="48">
        <f t="shared" si="47"/>
        <v>749400</v>
      </c>
      <c r="V183" s="49">
        <f t="shared" si="48"/>
        <v>0</v>
      </c>
      <c r="W183" s="49">
        <f t="shared" si="48"/>
        <v>0</v>
      </c>
      <c r="X183" s="50">
        <f t="shared" si="48"/>
        <v>0</v>
      </c>
      <c r="Y183" s="73">
        <f t="shared" si="44"/>
        <v>749400</v>
      </c>
    </row>
    <row r="184" spans="1:25" x14ac:dyDescent="0.2">
      <c r="A184" s="55">
        <v>46203</v>
      </c>
      <c r="B184" s="48"/>
      <c r="C184" s="49"/>
      <c r="D184" s="49"/>
      <c r="E184" s="50"/>
      <c r="F184" s="48">
        <f t="shared" si="38"/>
        <v>42123</v>
      </c>
      <c r="G184" s="49">
        <f t="shared" si="39"/>
        <v>69725</v>
      </c>
      <c r="H184" s="49">
        <f t="shared" si="40"/>
        <v>0</v>
      </c>
      <c r="I184" s="50">
        <f t="shared" si="41"/>
        <v>14417</v>
      </c>
      <c r="J184" s="48">
        <f>J183+B184-SUMIFS(рапорт!$O:$O,рапорт!$A:$A,A184)-SUMIFS(рапорт!$U:$U,рапорт!$A:$A,A184)/4</f>
        <v>60640.5</v>
      </c>
      <c r="K184" s="49">
        <f>K183+C184-SUMIFS(рапорт!$P:$P,рапорт!$A:$A,A184)-SUMIFS(рапорт!$U:$U,рапорт!$A:$A,A184)/4</f>
        <v>98141.5</v>
      </c>
      <c r="L184" s="49">
        <f>L183+D184-SUMIFS(рапорт!$Q:$Q,рапорт!$A:$A,A184)-SUMIFS(рапорт!$U:$U,рапорт!$A:$A,A184)/4</f>
        <v>45376.5</v>
      </c>
      <c r="M184" s="50">
        <f>M183+E184-SUMIFS(рапорт!$R:$R,рапорт!$A:$A,A184)-SUMIFS(рапорт!$U:$U,рапорт!$A:$A,A184)/4</f>
        <v>86951.5</v>
      </c>
      <c r="O184" s="55">
        <v>46203</v>
      </c>
      <c r="P184" s="48"/>
      <c r="Q184" s="49"/>
      <c r="R184" s="49"/>
      <c r="S184" s="50"/>
      <c r="T184" s="60">
        <f t="shared" si="43"/>
        <v>0</v>
      </c>
      <c r="U184" s="48">
        <f t="shared" si="47"/>
        <v>749400</v>
      </c>
      <c r="V184" s="49">
        <f t="shared" si="48"/>
        <v>0</v>
      </c>
      <c r="W184" s="49">
        <f t="shared" si="48"/>
        <v>0</v>
      </c>
      <c r="X184" s="50">
        <f t="shared" si="48"/>
        <v>0</v>
      </c>
      <c r="Y184" s="73">
        <f t="shared" si="44"/>
        <v>749400</v>
      </c>
    </row>
    <row r="185" spans="1:25" x14ac:dyDescent="0.2">
      <c r="A185" s="55">
        <v>46204</v>
      </c>
      <c r="B185" s="48"/>
      <c r="C185" s="49"/>
      <c r="D185" s="49"/>
      <c r="E185" s="50"/>
      <c r="F185" s="48">
        <f t="shared" si="38"/>
        <v>42123</v>
      </c>
      <c r="G185" s="49">
        <f t="shared" si="39"/>
        <v>69725</v>
      </c>
      <c r="H185" s="49">
        <f t="shared" si="40"/>
        <v>0</v>
      </c>
      <c r="I185" s="50">
        <f t="shared" si="41"/>
        <v>14417</v>
      </c>
      <c r="J185" s="48">
        <f>J184+B185-SUMIFS(рапорт!$O:$O,рапорт!$A:$A,A185)-SUMIFS(рапорт!$U:$U,рапорт!$A:$A,A185)/4</f>
        <v>60640.5</v>
      </c>
      <c r="K185" s="49">
        <f>K184+C185-SUMIFS(рапорт!$P:$P,рапорт!$A:$A,A185)-SUMIFS(рапорт!$U:$U,рапорт!$A:$A,A185)/4</f>
        <v>98141.5</v>
      </c>
      <c r="L185" s="49">
        <f>L184+D185-SUMIFS(рапорт!$Q:$Q,рапорт!$A:$A,A185)-SUMIFS(рапорт!$U:$U,рапорт!$A:$A,A185)/4</f>
        <v>45376.5</v>
      </c>
      <c r="M185" s="50">
        <f>M184+E185-SUMIFS(рапорт!$R:$R,рапорт!$A:$A,A185)-SUMIFS(рапорт!$U:$U,рапорт!$A:$A,A185)/4</f>
        <v>86951.5</v>
      </c>
      <c r="O185" s="55">
        <v>46204</v>
      </c>
      <c r="P185" s="48"/>
      <c r="Q185" s="49"/>
      <c r="R185" s="49"/>
      <c r="S185" s="50"/>
      <c r="T185" s="60">
        <f t="shared" si="43"/>
        <v>0</v>
      </c>
      <c r="U185" s="48">
        <f t="shared" si="47"/>
        <v>749400</v>
      </c>
      <c r="V185" s="49">
        <f t="shared" si="48"/>
        <v>0</v>
      </c>
      <c r="W185" s="49">
        <f t="shared" si="48"/>
        <v>0</v>
      </c>
      <c r="X185" s="50">
        <f t="shared" si="48"/>
        <v>0</v>
      </c>
      <c r="Y185" s="73">
        <f t="shared" si="44"/>
        <v>749400</v>
      </c>
    </row>
    <row r="186" spans="1:25" x14ac:dyDescent="0.2">
      <c r="A186" s="55">
        <v>46205</v>
      </c>
      <c r="B186" s="48"/>
      <c r="C186" s="49"/>
      <c r="D186" s="49"/>
      <c r="E186" s="50"/>
      <c r="F186" s="48">
        <f t="shared" si="38"/>
        <v>42123</v>
      </c>
      <c r="G186" s="49">
        <f t="shared" si="39"/>
        <v>69725</v>
      </c>
      <c r="H186" s="49">
        <f t="shared" si="40"/>
        <v>0</v>
      </c>
      <c r="I186" s="50">
        <f t="shared" si="41"/>
        <v>14417</v>
      </c>
      <c r="J186" s="48">
        <f>J185+B186-SUMIFS(рапорт!$O:$O,рапорт!$A:$A,A186)-SUMIFS(рапорт!$U:$U,рапорт!$A:$A,A186)/4</f>
        <v>60640.5</v>
      </c>
      <c r="K186" s="49">
        <f>K185+C186-SUMIFS(рапорт!$P:$P,рапорт!$A:$A,A186)-SUMIFS(рапорт!$U:$U,рапорт!$A:$A,A186)/4</f>
        <v>98141.5</v>
      </c>
      <c r="L186" s="49">
        <f>L185+D186-SUMIFS(рапорт!$Q:$Q,рапорт!$A:$A,A186)-SUMIFS(рапорт!$U:$U,рапорт!$A:$A,A186)/4</f>
        <v>45376.5</v>
      </c>
      <c r="M186" s="50">
        <f>M185+E186-SUMIFS(рапорт!$R:$R,рапорт!$A:$A,A186)-SUMIFS(рапорт!$U:$U,рапорт!$A:$A,A186)/4</f>
        <v>86951.5</v>
      </c>
      <c r="O186" s="55">
        <v>46205</v>
      </c>
      <c r="P186" s="48"/>
      <c r="Q186" s="49"/>
      <c r="R186" s="49"/>
      <c r="S186" s="50"/>
      <c r="T186" s="60">
        <f t="shared" si="43"/>
        <v>0</v>
      </c>
      <c r="U186" s="48">
        <f t="shared" si="47"/>
        <v>749400</v>
      </c>
      <c r="V186" s="49">
        <f t="shared" si="48"/>
        <v>0</v>
      </c>
      <c r="W186" s="49">
        <f t="shared" si="48"/>
        <v>0</v>
      </c>
      <c r="X186" s="50">
        <f t="shared" si="48"/>
        <v>0</v>
      </c>
      <c r="Y186" s="73">
        <f t="shared" si="44"/>
        <v>749400</v>
      </c>
    </row>
    <row r="187" spans="1:25" x14ac:dyDescent="0.2">
      <c r="A187" s="55">
        <v>46206</v>
      </c>
      <c r="B187" s="48"/>
      <c r="C187" s="49"/>
      <c r="D187" s="49"/>
      <c r="E187" s="50"/>
      <c r="F187" s="48">
        <f t="shared" si="38"/>
        <v>42123</v>
      </c>
      <c r="G187" s="49">
        <f t="shared" si="39"/>
        <v>69725</v>
      </c>
      <c r="H187" s="49">
        <f t="shared" si="40"/>
        <v>0</v>
      </c>
      <c r="I187" s="50">
        <f t="shared" si="41"/>
        <v>14417</v>
      </c>
      <c r="J187" s="48">
        <f>J186+B187-SUMIFS(рапорт!$O:$O,рапорт!$A:$A,A187)-SUMIFS(рапорт!$U:$U,рапорт!$A:$A,A187)/4</f>
        <v>60640.5</v>
      </c>
      <c r="K187" s="49">
        <f>K186+C187-SUMIFS(рапорт!$P:$P,рапорт!$A:$A,A187)-SUMIFS(рапорт!$U:$U,рапорт!$A:$A,A187)/4</f>
        <v>98141.5</v>
      </c>
      <c r="L187" s="49">
        <f>L186+D187-SUMIFS(рапорт!$Q:$Q,рапорт!$A:$A,A187)-SUMIFS(рапорт!$U:$U,рапорт!$A:$A,A187)/4</f>
        <v>45376.5</v>
      </c>
      <c r="M187" s="50">
        <f>M186+E187-SUMIFS(рапорт!$R:$R,рапорт!$A:$A,A187)-SUMIFS(рапорт!$U:$U,рапорт!$A:$A,A187)/4</f>
        <v>86951.5</v>
      </c>
      <c r="O187" s="55">
        <v>46206</v>
      </c>
      <c r="P187" s="48"/>
      <c r="Q187" s="49"/>
      <c r="R187" s="49"/>
      <c r="S187" s="50"/>
      <c r="T187" s="60">
        <f t="shared" si="43"/>
        <v>0</v>
      </c>
      <c r="U187" s="48">
        <f t="shared" si="47"/>
        <v>749400</v>
      </c>
      <c r="V187" s="49">
        <f t="shared" si="48"/>
        <v>0</v>
      </c>
      <c r="W187" s="49">
        <f t="shared" si="48"/>
        <v>0</v>
      </c>
      <c r="X187" s="50">
        <f t="shared" si="48"/>
        <v>0</v>
      </c>
      <c r="Y187" s="73">
        <f t="shared" si="44"/>
        <v>749400</v>
      </c>
    </row>
    <row r="188" spans="1:25" x14ac:dyDescent="0.2">
      <c r="A188" s="55">
        <v>46207</v>
      </c>
      <c r="B188" s="48"/>
      <c r="C188" s="49"/>
      <c r="D188" s="49"/>
      <c r="E188" s="50"/>
      <c r="F188" s="48">
        <f t="shared" si="38"/>
        <v>42123</v>
      </c>
      <c r="G188" s="49">
        <f t="shared" si="39"/>
        <v>69725</v>
      </c>
      <c r="H188" s="49">
        <f t="shared" si="40"/>
        <v>0</v>
      </c>
      <c r="I188" s="50">
        <f t="shared" si="41"/>
        <v>14417</v>
      </c>
      <c r="J188" s="48">
        <f>J187+B188-SUMIFS(рапорт!$O:$O,рапорт!$A:$A,A188)-SUMIFS(рапорт!$U:$U,рапорт!$A:$A,A188)/4</f>
        <v>60640.5</v>
      </c>
      <c r="K188" s="49">
        <f>K187+C188-SUMIFS(рапорт!$P:$P,рапорт!$A:$A,A188)-SUMIFS(рапорт!$U:$U,рапорт!$A:$A,A188)/4</f>
        <v>98141.5</v>
      </c>
      <c r="L188" s="49">
        <f>L187+D188-SUMIFS(рапорт!$Q:$Q,рапорт!$A:$A,A188)-SUMIFS(рапорт!$U:$U,рапорт!$A:$A,A188)/4</f>
        <v>45376.5</v>
      </c>
      <c r="M188" s="50">
        <f>M187+E188-SUMIFS(рапорт!$R:$R,рапорт!$A:$A,A188)-SUMIFS(рапорт!$U:$U,рапорт!$A:$A,A188)/4</f>
        <v>86951.5</v>
      </c>
      <c r="O188" s="55">
        <v>46207</v>
      </c>
      <c r="P188" s="48"/>
      <c r="Q188" s="49"/>
      <c r="R188" s="49"/>
      <c r="S188" s="50"/>
      <c r="T188" s="60">
        <f t="shared" si="43"/>
        <v>0</v>
      </c>
      <c r="U188" s="48">
        <f t="shared" si="47"/>
        <v>749400</v>
      </c>
      <c r="V188" s="49">
        <f t="shared" si="48"/>
        <v>0</v>
      </c>
      <c r="W188" s="49">
        <f t="shared" si="48"/>
        <v>0</v>
      </c>
      <c r="X188" s="50">
        <f t="shared" si="48"/>
        <v>0</v>
      </c>
      <c r="Y188" s="73">
        <f t="shared" si="44"/>
        <v>749400</v>
      </c>
    </row>
    <row r="189" spans="1:25" x14ac:dyDescent="0.2">
      <c r="A189" s="55">
        <v>46208</v>
      </c>
      <c r="B189" s="48"/>
      <c r="C189" s="49"/>
      <c r="D189" s="49"/>
      <c r="E189" s="50"/>
      <c r="F189" s="48">
        <f t="shared" si="38"/>
        <v>42123</v>
      </c>
      <c r="G189" s="49">
        <f t="shared" si="39"/>
        <v>69725</v>
      </c>
      <c r="H189" s="49">
        <f t="shared" si="40"/>
        <v>0</v>
      </c>
      <c r="I189" s="50">
        <f t="shared" si="41"/>
        <v>14417</v>
      </c>
      <c r="J189" s="48">
        <f>J188+B189-SUMIFS(рапорт!$O:$O,рапорт!$A:$A,A189)-SUMIFS(рапорт!$U:$U,рапорт!$A:$A,A189)/4</f>
        <v>60640.5</v>
      </c>
      <c r="K189" s="49">
        <f>K188+C189-SUMIFS(рапорт!$P:$P,рапорт!$A:$A,A189)-SUMIFS(рапорт!$U:$U,рапорт!$A:$A,A189)/4</f>
        <v>98141.5</v>
      </c>
      <c r="L189" s="49">
        <f>L188+D189-SUMIFS(рапорт!$Q:$Q,рапорт!$A:$A,A189)-SUMIFS(рапорт!$U:$U,рапорт!$A:$A,A189)/4</f>
        <v>45376.5</v>
      </c>
      <c r="M189" s="50">
        <f>M188+E189-SUMIFS(рапорт!$R:$R,рапорт!$A:$A,A189)-SUMIFS(рапорт!$U:$U,рапорт!$A:$A,A189)/4</f>
        <v>86951.5</v>
      </c>
      <c r="O189" s="55">
        <v>46208</v>
      </c>
      <c r="P189" s="48"/>
      <c r="Q189" s="49"/>
      <c r="R189" s="49"/>
      <c r="S189" s="50"/>
      <c r="T189" s="60">
        <f t="shared" si="43"/>
        <v>0</v>
      </c>
      <c r="U189" s="48">
        <f t="shared" si="47"/>
        <v>749400</v>
      </c>
      <c r="V189" s="49">
        <f t="shared" si="48"/>
        <v>0</v>
      </c>
      <c r="W189" s="49">
        <f t="shared" si="48"/>
        <v>0</v>
      </c>
      <c r="X189" s="50">
        <f t="shared" si="48"/>
        <v>0</v>
      </c>
      <c r="Y189" s="73">
        <f t="shared" si="44"/>
        <v>749400</v>
      </c>
    </row>
    <row r="190" spans="1:25" x14ac:dyDescent="0.2">
      <c r="A190" s="55">
        <v>46209</v>
      </c>
      <c r="B190" s="48"/>
      <c r="C190" s="49"/>
      <c r="D190" s="49"/>
      <c r="E190" s="50"/>
      <c r="F190" s="48">
        <f t="shared" si="38"/>
        <v>42123</v>
      </c>
      <c r="G190" s="49">
        <f t="shared" si="39"/>
        <v>69725</v>
      </c>
      <c r="H190" s="49">
        <f t="shared" si="40"/>
        <v>0</v>
      </c>
      <c r="I190" s="50">
        <f t="shared" si="41"/>
        <v>14417</v>
      </c>
      <c r="J190" s="48">
        <f>J189+B190-SUMIFS(рапорт!$O:$O,рапорт!$A:$A,A190)-SUMIFS(рапорт!$U:$U,рапорт!$A:$A,A190)/4</f>
        <v>60640.5</v>
      </c>
      <c r="K190" s="49">
        <f>K189+C190-SUMIFS(рапорт!$P:$P,рапорт!$A:$A,A190)-SUMIFS(рапорт!$U:$U,рапорт!$A:$A,A190)/4</f>
        <v>98141.5</v>
      </c>
      <c r="L190" s="49">
        <f>L189+D190-SUMIFS(рапорт!$Q:$Q,рапорт!$A:$A,A190)-SUMIFS(рапорт!$U:$U,рапорт!$A:$A,A190)/4</f>
        <v>45376.5</v>
      </c>
      <c r="M190" s="50">
        <f>M189+E190-SUMIFS(рапорт!$R:$R,рапорт!$A:$A,A190)-SUMIFS(рапорт!$U:$U,рапорт!$A:$A,A190)/4</f>
        <v>86951.5</v>
      </c>
      <c r="O190" s="55">
        <v>46209</v>
      </c>
      <c r="P190" s="48"/>
      <c r="Q190" s="49"/>
      <c r="R190" s="49"/>
      <c r="S190" s="50"/>
      <c r="T190" s="60">
        <f t="shared" si="43"/>
        <v>0</v>
      </c>
      <c r="U190" s="48">
        <f t="shared" si="47"/>
        <v>749400</v>
      </c>
      <c r="V190" s="49">
        <f t="shared" si="48"/>
        <v>0</v>
      </c>
      <c r="W190" s="49">
        <f t="shared" si="48"/>
        <v>0</v>
      </c>
      <c r="X190" s="50">
        <f t="shared" si="48"/>
        <v>0</v>
      </c>
      <c r="Y190" s="73">
        <f t="shared" si="44"/>
        <v>749400</v>
      </c>
    </row>
    <row r="191" spans="1:25" x14ac:dyDescent="0.2">
      <c r="A191" s="55">
        <v>46210</v>
      </c>
      <c r="B191" s="48"/>
      <c r="C191" s="49"/>
      <c r="D191" s="49"/>
      <c r="E191" s="50"/>
      <c r="F191" s="48">
        <f t="shared" si="38"/>
        <v>42123</v>
      </c>
      <c r="G191" s="49">
        <f t="shared" si="39"/>
        <v>69725</v>
      </c>
      <c r="H191" s="49">
        <f t="shared" si="40"/>
        <v>0</v>
      </c>
      <c r="I191" s="50">
        <f t="shared" si="41"/>
        <v>14417</v>
      </c>
      <c r="J191" s="48">
        <f>J190+B191-SUMIFS(рапорт!$O:$O,рапорт!$A:$A,A191)-SUMIFS(рапорт!$U:$U,рапорт!$A:$A,A191)/4</f>
        <v>60640.5</v>
      </c>
      <c r="K191" s="49">
        <f>K190+C191-SUMIFS(рапорт!$P:$P,рапорт!$A:$A,A191)-SUMIFS(рапорт!$U:$U,рапорт!$A:$A,A191)/4</f>
        <v>98141.5</v>
      </c>
      <c r="L191" s="49">
        <f>L190+D191-SUMIFS(рапорт!$Q:$Q,рапорт!$A:$A,A191)-SUMIFS(рапорт!$U:$U,рапорт!$A:$A,A191)/4</f>
        <v>45376.5</v>
      </c>
      <c r="M191" s="50">
        <f>M190+E191-SUMIFS(рапорт!$R:$R,рапорт!$A:$A,A191)-SUMIFS(рапорт!$U:$U,рапорт!$A:$A,A191)/4</f>
        <v>86951.5</v>
      </c>
      <c r="O191" s="55">
        <v>46210</v>
      </c>
      <c r="P191" s="48"/>
      <c r="Q191" s="49"/>
      <c r="R191" s="49"/>
      <c r="S191" s="50"/>
      <c r="T191" s="60">
        <f t="shared" si="43"/>
        <v>0</v>
      </c>
      <c r="U191" s="48">
        <f t="shared" si="47"/>
        <v>749400</v>
      </c>
      <c r="V191" s="49">
        <f t="shared" si="48"/>
        <v>0</v>
      </c>
      <c r="W191" s="49">
        <f t="shared" si="48"/>
        <v>0</v>
      </c>
      <c r="X191" s="50">
        <f t="shared" si="48"/>
        <v>0</v>
      </c>
      <c r="Y191" s="73">
        <f t="shared" si="44"/>
        <v>749400</v>
      </c>
    </row>
    <row r="192" spans="1:25" x14ac:dyDescent="0.2">
      <c r="A192" s="55">
        <v>46211</v>
      </c>
      <c r="B192" s="48"/>
      <c r="C192" s="49"/>
      <c r="D192" s="49"/>
      <c r="E192" s="50"/>
      <c r="F192" s="48">
        <f t="shared" ref="F192:F255" si="49">F191</f>
        <v>42123</v>
      </c>
      <c r="G192" s="49">
        <f t="shared" ref="G192:G255" si="50">G191</f>
        <v>69725</v>
      </c>
      <c r="H192" s="49">
        <f t="shared" ref="H192:H255" si="51">H191</f>
        <v>0</v>
      </c>
      <c r="I192" s="50">
        <f t="shared" ref="I192:I255" si="52">I191</f>
        <v>14417</v>
      </c>
      <c r="J192" s="48">
        <f>J191+B192-SUMIFS(рапорт!$O:$O,рапорт!$A:$A,A192)-SUMIFS(рапорт!$U:$U,рапорт!$A:$A,A192)/4</f>
        <v>60640.5</v>
      </c>
      <c r="K192" s="49">
        <f>K191+C192-SUMIFS(рапорт!$P:$P,рапорт!$A:$A,A192)-SUMIFS(рапорт!$U:$U,рапорт!$A:$A,A192)/4</f>
        <v>98141.5</v>
      </c>
      <c r="L192" s="49">
        <f>L191+D192-SUMIFS(рапорт!$Q:$Q,рапорт!$A:$A,A192)-SUMIFS(рапорт!$U:$U,рапорт!$A:$A,A192)/4</f>
        <v>45376.5</v>
      </c>
      <c r="M192" s="50">
        <f>M191+E192-SUMIFS(рапорт!$R:$R,рапорт!$A:$A,A192)-SUMIFS(рапорт!$U:$U,рапорт!$A:$A,A192)/4</f>
        <v>86951.5</v>
      </c>
      <c r="O192" s="55">
        <v>46211</v>
      </c>
      <c r="P192" s="48"/>
      <c r="Q192" s="49"/>
      <c r="R192" s="49"/>
      <c r="S192" s="50"/>
      <c r="T192" s="60">
        <f t="shared" si="43"/>
        <v>0</v>
      </c>
      <c r="U192" s="48">
        <f t="shared" si="47"/>
        <v>749400</v>
      </c>
      <c r="V192" s="49">
        <f t="shared" si="48"/>
        <v>0</v>
      </c>
      <c r="W192" s="49">
        <f t="shared" si="48"/>
        <v>0</v>
      </c>
      <c r="X192" s="50">
        <f t="shared" si="48"/>
        <v>0</v>
      </c>
      <c r="Y192" s="73">
        <f t="shared" si="44"/>
        <v>749400</v>
      </c>
    </row>
    <row r="193" spans="1:25" x14ac:dyDescent="0.2">
      <c r="A193" s="55">
        <v>46212</v>
      </c>
      <c r="B193" s="48"/>
      <c r="C193" s="49"/>
      <c r="D193" s="49"/>
      <c r="E193" s="50"/>
      <c r="F193" s="48">
        <f t="shared" si="49"/>
        <v>42123</v>
      </c>
      <c r="G193" s="49">
        <f t="shared" si="50"/>
        <v>69725</v>
      </c>
      <c r="H193" s="49">
        <f t="shared" si="51"/>
        <v>0</v>
      </c>
      <c r="I193" s="50">
        <f t="shared" si="52"/>
        <v>14417</v>
      </c>
      <c r="J193" s="48">
        <f>J192+B193-SUMIFS(рапорт!$O:$O,рапорт!$A:$A,A193)-SUMIFS(рапорт!$U:$U,рапорт!$A:$A,A193)/4</f>
        <v>60640.5</v>
      </c>
      <c r="K193" s="49">
        <f>K192+C193-SUMIFS(рапорт!$P:$P,рапорт!$A:$A,A193)-SUMIFS(рапорт!$U:$U,рапорт!$A:$A,A193)/4</f>
        <v>98141.5</v>
      </c>
      <c r="L193" s="49">
        <f>L192+D193-SUMIFS(рапорт!$Q:$Q,рапорт!$A:$A,A193)-SUMIFS(рапорт!$U:$U,рапорт!$A:$A,A193)/4</f>
        <v>45376.5</v>
      </c>
      <c r="M193" s="50">
        <f>M192+E193-SUMIFS(рапорт!$R:$R,рапорт!$A:$A,A193)-SUMIFS(рапорт!$U:$U,рапорт!$A:$A,A193)/4</f>
        <v>86951.5</v>
      </c>
      <c r="O193" s="55">
        <v>46212</v>
      </c>
      <c r="P193" s="48"/>
      <c r="Q193" s="49"/>
      <c r="R193" s="49"/>
      <c r="S193" s="50"/>
      <c r="T193" s="60">
        <f t="shared" si="43"/>
        <v>0</v>
      </c>
      <c r="U193" s="48">
        <f t="shared" si="47"/>
        <v>749400</v>
      </c>
      <c r="V193" s="49">
        <f t="shared" si="48"/>
        <v>0</v>
      </c>
      <c r="W193" s="49">
        <f t="shared" si="48"/>
        <v>0</v>
      </c>
      <c r="X193" s="50">
        <f t="shared" si="48"/>
        <v>0</v>
      </c>
      <c r="Y193" s="73">
        <f t="shared" si="44"/>
        <v>749400</v>
      </c>
    </row>
    <row r="194" spans="1:25" x14ac:dyDescent="0.2">
      <c r="A194" s="55">
        <v>46213</v>
      </c>
      <c r="B194" s="48"/>
      <c r="C194" s="49"/>
      <c r="D194" s="49"/>
      <c r="E194" s="50"/>
      <c r="F194" s="48">
        <f t="shared" si="49"/>
        <v>42123</v>
      </c>
      <c r="G194" s="49">
        <f t="shared" si="50"/>
        <v>69725</v>
      </c>
      <c r="H194" s="49">
        <f t="shared" si="51"/>
        <v>0</v>
      </c>
      <c r="I194" s="50">
        <f t="shared" si="52"/>
        <v>14417</v>
      </c>
      <c r="J194" s="48">
        <f>J193+B194-SUMIFS(рапорт!$O:$O,рапорт!$A:$A,A194)-SUMIFS(рапорт!$U:$U,рапорт!$A:$A,A194)/4</f>
        <v>60640.5</v>
      </c>
      <c r="K194" s="49">
        <f>K193+C194-SUMIFS(рапорт!$P:$P,рапорт!$A:$A,A194)-SUMIFS(рапорт!$U:$U,рапорт!$A:$A,A194)/4</f>
        <v>98141.5</v>
      </c>
      <c r="L194" s="49">
        <f>L193+D194-SUMIFS(рапорт!$Q:$Q,рапорт!$A:$A,A194)-SUMIFS(рапорт!$U:$U,рапорт!$A:$A,A194)/4</f>
        <v>45376.5</v>
      </c>
      <c r="M194" s="50">
        <f>M193+E194-SUMIFS(рапорт!$R:$R,рапорт!$A:$A,A194)-SUMIFS(рапорт!$U:$U,рапорт!$A:$A,A194)/4</f>
        <v>86951.5</v>
      </c>
      <c r="O194" s="55">
        <v>46213</v>
      </c>
      <c r="P194" s="48"/>
      <c r="Q194" s="49"/>
      <c r="R194" s="49"/>
      <c r="S194" s="50"/>
      <c r="T194" s="60">
        <f t="shared" si="43"/>
        <v>0</v>
      </c>
      <c r="U194" s="48">
        <f t="shared" si="47"/>
        <v>749400</v>
      </c>
      <c r="V194" s="49">
        <f t="shared" si="48"/>
        <v>0</v>
      </c>
      <c r="W194" s="49">
        <f t="shared" si="48"/>
        <v>0</v>
      </c>
      <c r="X194" s="50">
        <f t="shared" si="48"/>
        <v>0</v>
      </c>
      <c r="Y194" s="73">
        <f t="shared" si="44"/>
        <v>749400</v>
      </c>
    </row>
    <row r="195" spans="1:25" x14ac:dyDescent="0.2">
      <c r="A195" s="55">
        <v>46214</v>
      </c>
      <c r="B195" s="48"/>
      <c r="C195" s="49"/>
      <c r="D195" s="49"/>
      <c r="E195" s="50"/>
      <c r="F195" s="48">
        <f t="shared" si="49"/>
        <v>42123</v>
      </c>
      <c r="G195" s="49">
        <f t="shared" si="50"/>
        <v>69725</v>
      </c>
      <c r="H195" s="49">
        <f t="shared" si="51"/>
        <v>0</v>
      </c>
      <c r="I195" s="50">
        <f t="shared" si="52"/>
        <v>14417</v>
      </c>
      <c r="J195" s="48">
        <f>J194+B195-SUMIFS(рапорт!$O:$O,рапорт!$A:$A,A195)-SUMIFS(рапорт!$U:$U,рапорт!$A:$A,A195)/4</f>
        <v>60640.5</v>
      </c>
      <c r="K195" s="49">
        <f>K194+C195-SUMIFS(рапорт!$P:$P,рапорт!$A:$A,A195)-SUMIFS(рапорт!$U:$U,рапорт!$A:$A,A195)/4</f>
        <v>98141.5</v>
      </c>
      <c r="L195" s="49">
        <f>L194+D195-SUMIFS(рапорт!$Q:$Q,рапорт!$A:$A,A195)-SUMIFS(рапорт!$U:$U,рапорт!$A:$A,A195)/4</f>
        <v>45376.5</v>
      </c>
      <c r="M195" s="50">
        <f>M194+E195-SUMIFS(рапорт!$R:$R,рапорт!$A:$A,A195)-SUMIFS(рапорт!$U:$U,рапорт!$A:$A,A195)/4</f>
        <v>86951.5</v>
      </c>
      <c r="O195" s="55">
        <v>46214</v>
      </c>
      <c r="P195" s="48"/>
      <c r="Q195" s="49"/>
      <c r="R195" s="49"/>
      <c r="S195" s="50"/>
      <c r="T195" s="60">
        <f t="shared" si="43"/>
        <v>0</v>
      </c>
      <c r="U195" s="48">
        <f t="shared" si="47"/>
        <v>749400</v>
      </c>
      <c r="V195" s="49">
        <f t="shared" si="48"/>
        <v>0</v>
      </c>
      <c r="W195" s="49">
        <f t="shared" si="48"/>
        <v>0</v>
      </c>
      <c r="X195" s="50">
        <f t="shared" si="48"/>
        <v>0</v>
      </c>
      <c r="Y195" s="73">
        <f t="shared" si="44"/>
        <v>749400</v>
      </c>
    </row>
    <row r="196" spans="1:25" x14ac:dyDescent="0.2">
      <c r="A196" s="55">
        <v>46215</v>
      </c>
      <c r="B196" s="48"/>
      <c r="C196" s="49"/>
      <c r="D196" s="49"/>
      <c r="E196" s="50"/>
      <c r="F196" s="48">
        <f t="shared" si="49"/>
        <v>42123</v>
      </c>
      <c r="G196" s="49">
        <f t="shared" si="50"/>
        <v>69725</v>
      </c>
      <c r="H196" s="49">
        <f t="shared" si="51"/>
        <v>0</v>
      </c>
      <c r="I196" s="50">
        <f t="shared" si="52"/>
        <v>14417</v>
      </c>
      <c r="J196" s="48">
        <f>J195+B196-SUMIFS(рапорт!$O:$O,рапорт!$A:$A,A196)-SUMIFS(рапорт!$U:$U,рапорт!$A:$A,A196)/4</f>
        <v>60640.5</v>
      </c>
      <c r="K196" s="49">
        <f>K195+C196-SUMIFS(рапорт!$P:$P,рапорт!$A:$A,A196)-SUMIFS(рапорт!$U:$U,рапорт!$A:$A,A196)/4</f>
        <v>98141.5</v>
      </c>
      <c r="L196" s="49">
        <f>L195+D196-SUMIFS(рапорт!$Q:$Q,рапорт!$A:$A,A196)-SUMIFS(рапорт!$U:$U,рапорт!$A:$A,A196)/4</f>
        <v>45376.5</v>
      </c>
      <c r="M196" s="50">
        <f>M195+E196-SUMIFS(рапорт!$R:$R,рапорт!$A:$A,A196)-SUMIFS(рапорт!$U:$U,рапорт!$A:$A,A196)/4</f>
        <v>86951.5</v>
      </c>
      <c r="O196" s="55">
        <v>46215</v>
      </c>
      <c r="P196" s="48"/>
      <c r="Q196" s="49"/>
      <c r="R196" s="49"/>
      <c r="S196" s="50"/>
      <c r="T196" s="60">
        <f t="shared" si="43"/>
        <v>0</v>
      </c>
      <c r="U196" s="48">
        <f t="shared" si="47"/>
        <v>749400</v>
      </c>
      <c r="V196" s="49">
        <f t="shared" ref="V196:X211" si="53">V195</f>
        <v>0</v>
      </c>
      <c r="W196" s="49">
        <f t="shared" si="53"/>
        <v>0</v>
      </c>
      <c r="X196" s="50">
        <f t="shared" si="53"/>
        <v>0</v>
      </c>
      <c r="Y196" s="73">
        <f t="shared" si="44"/>
        <v>749400</v>
      </c>
    </row>
    <row r="197" spans="1:25" x14ac:dyDescent="0.2">
      <c r="A197" s="55">
        <v>46216</v>
      </c>
      <c r="B197" s="48"/>
      <c r="C197" s="49"/>
      <c r="D197" s="49"/>
      <c r="E197" s="50"/>
      <c r="F197" s="48">
        <f t="shared" si="49"/>
        <v>42123</v>
      </c>
      <c r="G197" s="49">
        <f t="shared" si="50"/>
        <v>69725</v>
      </c>
      <c r="H197" s="49">
        <f t="shared" si="51"/>
        <v>0</v>
      </c>
      <c r="I197" s="50">
        <f t="shared" si="52"/>
        <v>14417</v>
      </c>
      <c r="J197" s="48">
        <f>J196+B197-SUMIFS(рапорт!$O:$O,рапорт!$A:$A,A197)-SUMIFS(рапорт!$U:$U,рапорт!$A:$A,A197)/4</f>
        <v>60640.5</v>
      </c>
      <c r="K197" s="49">
        <f>K196+C197-SUMIFS(рапорт!$P:$P,рапорт!$A:$A,A197)-SUMIFS(рапорт!$U:$U,рапорт!$A:$A,A197)/4</f>
        <v>98141.5</v>
      </c>
      <c r="L197" s="49">
        <f>L196+D197-SUMIFS(рапорт!$Q:$Q,рапорт!$A:$A,A197)-SUMIFS(рапорт!$U:$U,рапорт!$A:$A,A197)/4</f>
        <v>45376.5</v>
      </c>
      <c r="M197" s="50">
        <f>M196+E197-SUMIFS(рапорт!$R:$R,рапорт!$A:$A,A197)-SUMIFS(рапорт!$U:$U,рапорт!$A:$A,A197)/4</f>
        <v>86951.5</v>
      </c>
      <c r="O197" s="55">
        <v>46216</v>
      </c>
      <c r="P197" s="48"/>
      <c r="Q197" s="49"/>
      <c r="R197" s="49"/>
      <c r="S197" s="50"/>
      <c r="T197" s="60">
        <f t="shared" ref="T197:T260" si="54">SUM(P197:S197)</f>
        <v>0</v>
      </c>
      <c r="U197" s="48">
        <f t="shared" si="47"/>
        <v>749400</v>
      </c>
      <c r="V197" s="49">
        <f t="shared" si="53"/>
        <v>0</v>
      </c>
      <c r="W197" s="49">
        <f t="shared" si="53"/>
        <v>0</v>
      </c>
      <c r="X197" s="50">
        <f t="shared" si="53"/>
        <v>0</v>
      </c>
      <c r="Y197" s="73">
        <f t="shared" ref="Y197:Y260" si="55">SUM(U197:X197)</f>
        <v>749400</v>
      </c>
    </row>
    <row r="198" spans="1:25" x14ac:dyDescent="0.2">
      <c r="A198" s="55">
        <v>46217</v>
      </c>
      <c r="B198" s="48"/>
      <c r="C198" s="49"/>
      <c r="D198" s="49"/>
      <c r="E198" s="50"/>
      <c r="F198" s="48">
        <f t="shared" si="49"/>
        <v>42123</v>
      </c>
      <c r="G198" s="49">
        <f t="shared" si="50"/>
        <v>69725</v>
      </c>
      <c r="H198" s="49">
        <f t="shared" si="51"/>
        <v>0</v>
      </c>
      <c r="I198" s="50">
        <f t="shared" si="52"/>
        <v>14417</v>
      </c>
      <c r="J198" s="48">
        <f>J197+B198-SUMIFS(рапорт!$O:$O,рапорт!$A:$A,A198)-SUMIFS(рапорт!$U:$U,рапорт!$A:$A,A198)/4</f>
        <v>60640.5</v>
      </c>
      <c r="K198" s="49">
        <f>K197+C198-SUMIFS(рапорт!$P:$P,рапорт!$A:$A,A198)-SUMIFS(рапорт!$U:$U,рапорт!$A:$A,A198)/4</f>
        <v>98141.5</v>
      </c>
      <c r="L198" s="49">
        <f>L197+D198-SUMIFS(рапорт!$Q:$Q,рапорт!$A:$A,A198)-SUMIFS(рапорт!$U:$U,рапорт!$A:$A,A198)/4</f>
        <v>45376.5</v>
      </c>
      <c r="M198" s="50">
        <f>M197+E198-SUMIFS(рапорт!$R:$R,рапорт!$A:$A,A198)-SUMIFS(рапорт!$U:$U,рапорт!$A:$A,A198)/4</f>
        <v>86951.5</v>
      </c>
      <c r="O198" s="55">
        <v>46217</v>
      </c>
      <c r="P198" s="48"/>
      <c r="Q198" s="49"/>
      <c r="R198" s="49"/>
      <c r="S198" s="50"/>
      <c r="T198" s="60">
        <f t="shared" si="54"/>
        <v>0</v>
      </c>
      <c r="U198" s="48">
        <f t="shared" si="47"/>
        <v>749400</v>
      </c>
      <c r="V198" s="49">
        <f t="shared" si="53"/>
        <v>0</v>
      </c>
      <c r="W198" s="49">
        <f t="shared" si="53"/>
        <v>0</v>
      </c>
      <c r="X198" s="50">
        <f t="shared" si="53"/>
        <v>0</v>
      </c>
      <c r="Y198" s="73">
        <f t="shared" si="55"/>
        <v>749400</v>
      </c>
    </row>
    <row r="199" spans="1:25" x14ac:dyDescent="0.2">
      <c r="A199" s="55">
        <v>46218</v>
      </c>
      <c r="B199" s="48"/>
      <c r="C199" s="49"/>
      <c r="D199" s="49"/>
      <c r="E199" s="50"/>
      <c r="F199" s="48">
        <f t="shared" si="49"/>
        <v>42123</v>
      </c>
      <c r="G199" s="49">
        <f t="shared" si="50"/>
        <v>69725</v>
      </c>
      <c r="H199" s="49">
        <f t="shared" si="51"/>
        <v>0</v>
      </c>
      <c r="I199" s="50">
        <f t="shared" si="52"/>
        <v>14417</v>
      </c>
      <c r="J199" s="48">
        <f>J198+B199-SUMIFS(рапорт!$O:$O,рапорт!$A:$A,A199)-SUMIFS(рапорт!$U:$U,рапорт!$A:$A,A199)/4</f>
        <v>60640.5</v>
      </c>
      <c r="K199" s="49">
        <f>K198+C199-SUMIFS(рапорт!$P:$P,рапорт!$A:$A,A199)-SUMIFS(рапорт!$U:$U,рапорт!$A:$A,A199)/4</f>
        <v>98141.5</v>
      </c>
      <c r="L199" s="49">
        <f>L198+D199-SUMIFS(рапорт!$Q:$Q,рапорт!$A:$A,A199)-SUMIFS(рапорт!$U:$U,рапорт!$A:$A,A199)/4</f>
        <v>45376.5</v>
      </c>
      <c r="M199" s="50">
        <f>M198+E199-SUMIFS(рапорт!$R:$R,рапорт!$A:$A,A199)-SUMIFS(рапорт!$U:$U,рапорт!$A:$A,A199)/4</f>
        <v>86951.5</v>
      </c>
      <c r="O199" s="55">
        <v>46218</v>
      </c>
      <c r="P199" s="48"/>
      <c r="Q199" s="49"/>
      <c r="R199" s="49"/>
      <c r="S199" s="50"/>
      <c r="T199" s="60">
        <f t="shared" si="54"/>
        <v>0</v>
      </c>
      <c r="U199" s="48">
        <f t="shared" si="47"/>
        <v>749400</v>
      </c>
      <c r="V199" s="49">
        <f t="shared" si="53"/>
        <v>0</v>
      </c>
      <c r="W199" s="49">
        <f t="shared" si="53"/>
        <v>0</v>
      </c>
      <c r="X199" s="50">
        <f t="shared" si="53"/>
        <v>0</v>
      </c>
      <c r="Y199" s="73">
        <f t="shared" si="55"/>
        <v>749400</v>
      </c>
    </row>
    <row r="200" spans="1:25" x14ac:dyDescent="0.2">
      <c r="A200" s="55">
        <v>46219</v>
      </c>
      <c r="B200" s="48"/>
      <c r="C200" s="49"/>
      <c r="D200" s="49"/>
      <c r="E200" s="50"/>
      <c r="F200" s="48">
        <f t="shared" si="49"/>
        <v>42123</v>
      </c>
      <c r="G200" s="49">
        <f t="shared" si="50"/>
        <v>69725</v>
      </c>
      <c r="H200" s="49">
        <f t="shared" si="51"/>
        <v>0</v>
      </c>
      <c r="I200" s="50">
        <f t="shared" si="52"/>
        <v>14417</v>
      </c>
      <c r="J200" s="48">
        <f>J199+B200-SUMIFS(рапорт!$O:$O,рапорт!$A:$A,A200)-SUMIFS(рапорт!$U:$U,рапорт!$A:$A,A200)/4</f>
        <v>60640.5</v>
      </c>
      <c r="K200" s="49">
        <f>K199+C200-SUMIFS(рапорт!$P:$P,рапорт!$A:$A,A200)-SUMIFS(рапорт!$U:$U,рапорт!$A:$A,A200)/4</f>
        <v>98141.5</v>
      </c>
      <c r="L200" s="49">
        <f>L199+D200-SUMIFS(рапорт!$Q:$Q,рапорт!$A:$A,A200)-SUMIFS(рапорт!$U:$U,рапорт!$A:$A,A200)/4</f>
        <v>45376.5</v>
      </c>
      <c r="M200" s="50">
        <f>M199+E200-SUMIFS(рапорт!$R:$R,рапорт!$A:$A,A200)-SUMIFS(рапорт!$U:$U,рапорт!$A:$A,A200)/4</f>
        <v>86951.5</v>
      </c>
      <c r="O200" s="55">
        <v>46219</v>
      </c>
      <c r="P200" s="48"/>
      <c r="Q200" s="49"/>
      <c r="R200" s="49"/>
      <c r="S200" s="50"/>
      <c r="T200" s="60">
        <f t="shared" si="54"/>
        <v>0</v>
      </c>
      <c r="U200" s="48">
        <f t="shared" si="47"/>
        <v>749400</v>
      </c>
      <c r="V200" s="49">
        <f t="shared" si="53"/>
        <v>0</v>
      </c>
      <c r="W200" s="49">
        <f t="shared" si="53"/>
        <v>0</v>
      </c>
      <c r="X200" s="50">
        <f t="shared" si="53"/>
        <v>0</v>
      </c>
      <c r="Y200" s="73">
        <f t="shared" si="55"/>
        <v>749400</v>
      </c>
    </row>
    <row r="201" spans="1:25" x14ac:dyDescent="0.2">
      <c r="A201" s="55">
        <v>46220</v>
      </c>
      <c r="B201" s="48"/>
      <c r="C201" s="49"/>
      <c r="D201" s="49"/>
      <c r="E201" s="50"/>
      <c r="F201" s="48">
        <f t="shared" si="49"/>
        <v>42123</v>
      </c>
      <c r="G201" s="49">
        <f t="shared" si="50"/>
        <v>69725</v>
      </c>
      <c r="H201" s="49">
        <f t="shared" si="51"/>
        <v>0</v>
      </c>
      <c r="I201" s="50">
        <f t="shared" si="52"/>
        <v>14417</v>
      </c>
      <c r="J201" s="48">
        <f>J200+B201-SUMIFS(рапорт!$O:$O,рапорт!$A:$A,A201)-SUMIFS(рапорт!$U:$U,рапорт!$A:$A,A201)/4</f>
        <v>60640.5</v>
      </c>
      <c r="K201" s="49">
        <f>K200+C201-SUMIFS(рапорт!$P:$P,рапорт!$A:$A,A201)-SUMIFS(рапорт!$U:$U,рапорт!$A:$A,A201)/4</f>
        <v>98141.5</v>
      </c>
      <c r="L201" s="49">
        <f>L200+D201-SUMIFS(рапорт!$Q:$Q,рапорт!$A:$A,A201)-SUMIFS(рапорт!$U:$U,рапорт!$A:$A,A201)/4</f>
        <v>45376.5</v>
      </c>
      <c r="M201" s="50">
        <f>M200+E201-SUMIFS(рапорт!$R:$R,рапорт!$A:$A,A201)-SUMIFS(рапорт!$U:$U,рапорт!$A:$A,A201)/4</f>
        <v>86951.5</v>
      </c>
      <c r="O201" s="55">
        <v>46220</v>
      </c>
      <c r="P201" s="48"/>
      <c r="Q201" s="49"/>
      <c r="R201" s="49"/>
      <c r="S201" s="50"/>
      <c r="T201" s="60">
        <f t="shared" si="54"/>
        <v>0</v>
      </c>
      <c r="U201" s="48">
        <f t="shared" si="47"/>
        <v>749400</v>
      </c>
      <c r="V201" s="49">
        <f t="shared" si="53"/>
        <v>0</v>
      </c>
      <c r="W201" s="49">
        <f t="shared" si="53"/>
        <v>0</v>
      </c>
      <c r="X201" s="50">
        <f t="shared" si="53"/>
        <v>0</v>
      </c>
      <c r="Y201" s="73">
        <f t="shared" si="55"/>
        <v>749400</v>
      </c>
    </row>
    <row r="202" spans="1:25" x14ac:dyDescent="0.2">
      <c r="A202" s="55">
        <v>46221</v>
      </c>
      <c r="B202" s="48"/>
      <c r="C202" s="49"/>
      <c r="D202" s="49"/>
      <c r="E202" s="50"/>
      <c r="F202" s="48">
        <f t="shared" si="49"/>
        <v>42123</v>
      </c>
      <c r="G202" s="49">
        <f t="shared" si="50"/>
        <v>69725</v>
      </c>
      <c r="H202" s="49">
        <f t="shared" si="51"/>
        <v>0</v>
      </c>
      <c r="I202" s="50">
        <f t="shared" si="52"/>
        <v>14417</v>
      </c>
      <c r="J202" s="48">
        <f>J201+B202-SUMIFS(рапорт!$O:$O,рапорт!$A:$A,A202)-SUMIFS(рапорт!$U:$U,рапорт!$A:$A,A202)/4</f>
        <v>60640.5</v>
      </c>
      <c r="K202" s="49">
        <f>K201+C202-SUMIFS(рапорт!$P:$P,рапорт!$A:$A,A202)-SUMIFS(рапорт!$U:$U,рапорт!$A:$A,A202)/4</f>
        <v>98141.5</v>
      </c>
      <c r="L202" s="49">
        <f>L201+D202-SUMIFS(рапорт!$Q:$Q,рапорт!$A:$A,A202)-SUMIFS(рапорт!$U:$U,рапорт!$A:$A,A202)/4</f>
        <v>45376.5</v>
      </c>
      <c r="M202" s="50">
        <f>M201+E202-SUMIFS(рапорт!$R:$R,рапорт!$A:$A,A202)-SUMIFS(рапорт!$U:$U,рапорт!$A:$A,A202)/4</f>
        <v>86951.5</v>
      </c>
      <c r="O202" s="55">
        <v>46221</v>
      </c>
      <c r="P202" s="48"/>
      <c r="Q202" s="49"/>
      <c r="R202" s="49"/>
      <c r="S202" s="50"/>
      <c r="T202" s="60">
        <f t="shared" si="54"/>
        <v>0</v>
      </c>
      <c r="U202" s="48">
        <f t="shared" si="47"/>
        <v>749400</v>
      </c>
      <c r="V202" s="49">
        <f t="shared" si="53"/>
        <v>0</v>
      </c>
      <c r="W202" s="49">
        <f t="shared" si="53"/>
        <v>0</v>
      </c>
      <c r="X202" s="50">
        <f t="shared" si="53"/>
        <v>0</v>
      </c>
      <c r="Y202" s="73">
        <f t="shared" si="55"/>
        <v>749400</v>
      </c>
    </row>
    <row r="203" spans="1:25" x14ac:dyDescent="0.2">
      <c r="A203" s="55">
        <v>46222</v>
      </c>
      <c r="B203" s="48"/>
      <c r="C203" s="49"/>
      <c r="D203" s="49"/>
      <c r="E203" s="50"/>
      <c r="F203" s="48">
        <f t="shared" si="49"/>
        <v>42123</v>
      </c>
      <c r="G203" s="49">
        <f t="shared" si="50"/>
        <v>69725</v>
      </c>
      <c r="H203" s="49">
        <f t="shared" si="51"/>
        <v>0</v>
      </c>
      <c r="I203" s="50">
        <f t="shared" si="52"/>
        <v>14417</v>
      </c>
      <c r="J203" s="48">
        <f>J202+B203-SUMIFS(рапорт!$O:$O,рапорт!$A:$A,A203)-SUMIFS(рапорт!$U:$U,рапорт!$A:$A,A203)/4</f>
        <v>60640.5</v>
      </c>
      <c r="K203" s="49">
        <f>K202+C203-SUMIFS(рапорт!$P:$P,рапорт!$A:$A,A203)-SUMIFS(рапорт!$U:$U,рапорт!$A:$A,A203)/4</f>
        <v>98141.5</v>
      </c>
      <c r="L203" s="49">
        <f>L202+D203-SUMIFS(рапорт!$Q:$Q,рапорт!$A:$A,A203)-SUMIFS(рапорт!$U:$U,рапорт!$A:$A,A203)/4</f>
        <v>45376.5</v>
      </c>
      <c r="M203" s="50">
        <f>M202+E203-SUMIFS(рапорт!$R:$R,рапорт!$A:$A,A203)-SUMIFS(рапорт!$U:$U,рапорт!$A:$A,A203)/4</f>
        <v>86951.5</v>
      </c>
      <c r="O203" s="55">
        <v>46222</v>
      </c>
      <c r="P203" s="48"/>
      <c r="Q203" s="49"/>
      <c r="R203" s="49"/>
      <c r="S203" s="50"/>
      <c r="T203" s="60">
        <f t="shared" si="54"/>
        <v>0</v>
      </c>
      <c r="U203" s="48">
        <f t="shared" si="47"/>
        <v>749400</v>
      </c>
      <c r="V203" s="49">
        <f t="shared" si="53"/>
        <v>0</v>
      </c>
      <c r="W203" s="49">
        <f t="shared" si="53"/>
        <v>0</v>
      </c>
      <c r="X203" s="50">
        <f t="shared" si="53"/>
        <v>0</v>
      </c>
      <c r="Y203" s="73">
        <f t="shared" si="55"/>
        <v>749400</v>
      </c>
    </row>
    <row r="204" spans="1:25" x14ac:dyDescent="0.2">
      <c r="A204" s="55">
        <v>46223</v>
      </c>
      <c r="B204" s="48"/>
      <c r="C204" s="49"/>
      <c r="D204" s="49"/>
      <c r="E204" s="50"/>
      <c r="F204" s="48">
        <f t="shared" si="49"/>
        <v>42123</v>
      </c>
      <c r="G204" s="49">
        <f t="shared" si="50"/>
        <v>69725</v>
      </c>
      <c r="H204" s="49">
        <f t="shared" si="51"/>
        <v>0</v>
      </c>
      <c r="I204" s="50">
        <f t="shared" si="52"/>
        <v>14417</v>
      </c>
      <c r="J204" s="48">
        <f>J203+B204-SUMIFS(рапорт!$O:$O,рапорт!$A:$A,A204)-SUMIFS(рапорт!$U:$U,рапорт!$A:$A,A204)/4</f>
        <v>60640.5</v>
      </c>
      <c r="K204" s="49">
        <f>K203+C204-SUMIFS(рапорт!$P:$P,рапорт!$A:$A,A204)-SUMIFS(рапорт!$U:$U,рапорт!$A:$A,A204)/4</f>
        <v>98141.5</v>
      </c>
      <c r="L204" s="49">
        <f>L203+D204-SUMIFS(рапорт!$Q:$Q,рапорт!$A:$A,A204)-SUMIFS(рапорт!$U:$U,рапорт!$A:$A,A204)/4</f>
        <v>45376.5</v>
      </c>
      <c r="M204" s="50">
        <f>M203+E204-SUMIFS(рапорт!$R:$R,рапорт!$A:$A,A204)-SUMIFS(рапорт!$U:$U,рапорт!$A:$A,A204)/4</f>
        <v>86951.5</v>
      </c>
      <c r="O204" s="55">
        <v>46223</v>
      </c>
      <c r="P204" s="48"/>
      <c r="Q204" s="49"/>
      <c r="R204" s="49"/>
      <c r="S204" s="50"/>
      <c r="T204" s="60">
        <f t="shared" si="54"/>
        <v>0</v>
      </c>
      <c r="U204" s="48">
        <f t="shared" si="47"/>
        <v>749400</v>
      </c>
      <c r="V204" s="49">
        <f t="shared" si="53"/>
        <v>0</v>
      </c>
      <c r="W204" s="49">
        <f t="shared" si="53"/>
        <v>0</v>
      </c>
      <c r="X204" s="50">
        <f t="shared" si="53"/>
        <v>0</v>
      </c>
      <c r="Y204" s="73">
        <f t="shared" si="55"/>
        <v>749400</v>
      </c>
    </row>
    <row r="205" spans="1:25" x14ac:dyDescent="0.2">
      <c r="A205" s="55">
        <v>46224</v>
      </c>
      <c r="B205" s="48"/>
      <c r="C205" s="49"/>
      <c r="D205" s="49"/>
      <c r="E205" s="50"/>
      <c r="F205" s="48">
        <f t="shared" si="49"/>
        <v>42123</v>
      </c>
      <c r="G205" s="49">
        <f t="shared" si="50"/>
        <v>69725</v>
      </c>
      <c r="H205" s="49">
        <f t="shared" si="51"/>
        <v>0</v>
      </c>
      <c r="I205" s="50">
        <f t="shared" si="52"/>
        <v>14417</v>
      </c>
      <c r="J205" s="48">
        <f>J204+B205-SUMIFS(рапорт!$O:$O,рапорт!$A:$A,A205)-SUMIFS(рапорт!$U:$U,рапорт!$A:$A,A205)/4</f>
        <v>60640.5</v>
      </c>
      <c r="K205" s="49">
        <f>K204+C205-SUMIFS(рапорт!$P:$P,рапорт!$A:$A,A205)-SUMIFS(рапорт!$U:$U,рапорт!$A:$A,A205)/4</f>
        <v>98141.5</v>
      </c>
      <c r="L205" s="49">
        <f>L204+D205-SUMIFS(рапорт!$Q:$Q,рапорт!$A:$A,A205)-SUMIFS(рапорт!$U:$U,рапорт!$A:$A,A205)/4</f>
        <v>45376.5</v>
      </c>
      <c r="M205" s="50">
        <f>M204+E205-SUMIFS(рапорт!$R:$R,рапорт!$A:$A,A205)-SUMIFS(рапорт!$U:$U,рапорт!$A:$A,A205)/4</f>
        <v>86951.5</v>
      </c>
      <c r="O205" s="55">
        <v>46224</v>
      </c>
      <c r="P205" s="48"/>
      <c r="Q205" s="49"/>
      <c r="R205" s="49"/>
      <c r="S205" s="50"/>
      <c r="T205" s="60">
        <f t="shared" si="54"/>
        <v>0</v>
      </c>
      <c r="U205" s="48">
        <f t="shared" si="47"/>
        <v>749400</v>
      </c>
      <c r="V205" s="49">
        <f t="shared" si="53"/>
        <v>0</v>
      </c>
      <c r="W205" s="49">
        <f t="shared" si="53"/>
        <v>0</v>
      </c>
      <c r="X205" s="50">
        <f t="shared" si="53"/>
        <v>0</v>
      </c>
      <c r="Y205" s="73">
        <f t="shared" si="55"/>
        <v>749400</v>
      </c>
    </row>
    <row r="206" spans="1:25" x14ac:dyDescent="0.2">
      <c r="A206" s="55">
        <v>46225</v>
      </c>
      <c r="B206" s="48"/>
      <c r="C206" s="49"/>
      <c r="D206" s="49"/>
      <c r="E206" s="50"/>
      <c r="F206" s="48">
        <f t="shared" si="49"/>
        <v>42123</v>
      </c>
      <c r="G206" s="49">
        <f t="shared" si="50"/>
        <v>69725</v>
      </c>
      <c r="H206" s="49">
        <f t="shared" si="51"/>
        <v>0</v>
      </c>
      <c r="I206" s="50">
        <f t="shared" si="52"/>
        <v>14417</v>
      </c>
      <c r="J206" s="48">
        <f>J205+B206-SUMIFS(рапорт!$O:$O,рапорт!$A:$A,A206)-SUMIFS(рапорт!$U:$U,рапорт!$A:$A,A206)/4</f>
        <v>60640.5</v>
      </c>
      <c r="K206" s="49">
        <f>K205+C206-SUMIFS(рапорт!$P:$P,рапорт!$A:$A,A206)-SUMIFS(рапорт!$U:$U,рапорт!$A:$A,A206)/4</f>
        <v>98141.5</v>
      </c>
      <c r="L206" s="49">
        <f>L205+D206-SUMIFS(рапорт!$Q:$Q,рапорт!$A:$A,A206)-SUMIFS(рапорт!$U:$U,рапорт!$A:$A,A206)/4</f>
        <v>45376.5</v>
      </c>
      <c r="M206" s="50">
        <f>M205+E206-SUMIFS(рапорт!$R:$R,рапорт!$A:$A,A206)-SUMIFS(рапорт!$U:$U,рапорт!$A:$A,A206)/4</f>
        <v>86951.5</v>
      </c>
      <c r="O206" s="55">
        <v>46225</v>
      </c>
      <c r="P206" s="48"/>
      <c r="Q206" s="49"/>
      <c r="R206" s="49"/>
      <c r="S206" s="50"/>
      <c r="T206" s="60">
        <f t="shared" si="54"/>
        <v>0</v>
      </c>
      <c r="U206" s="48">
        <f t="shared" si="47"/>
        <v>749400</v>
      </c>
      <c r="V206" s="49">
        <f t="shared" si="53"/>
        <v>0</v>
      </c>
      <c r="W206" s="49">
        <f t="shared" si="53"/>
        <v>0</v>
      </c>
      <c r="X206" s="50">
        <f t="shared" si="53"/>
        <v>0</v>
      </c>
      <c r="Y206" s="73">
        <f t="shared" si="55"/>
        <v>749400</v>
      </c>
    </row>
    <row r="207" spans="1:25" x14ac:dyDescent="0.2">
      <c r="A207" s="55">
        <v>46226</v>
      </c>
      <c r="B207" s="48"/>
      <c r="C207" s="49"/>
      <c r="D207" s="49"/>
      <c r="E207" s="50"/>
      <c r="F207" s="48">
        <f t="shared" si="49"/>
        <v>42123</v>
      </c>
      <c r="G207" s="49">
        <f t="shared" si="50"/>
        <v>69725</v>
      </c>
      <c r="H207" s="49">
        <f t="shared" si="51"/>
        <v>0</v>
      </c>
      <c r="I207" s="50">
        <f t="shared" si="52"/>
        <v>14417</v>
      </c>
      <c r="J207" s="48">
        <f>J206+B207-SUMIFS(рапорт!$O:$O,рапорт!$A:$A,A207)-SUMIFS(рапорт!$U:$U,рапорт!$A:$A,A207)/4</f>
        <v>60640.5</v>
      </c>
      <c r="K207" s="49">
        <f>K206+C207-SUMIFS(рапорт!$P:$P,рапорт!$A:$A,A207)-SUMIFS(рапорт!$U:$U,рапорт!$A:$A,A207)/4</f>
        <v>98141.5</v>
      </c>
      <c r="L207" s="49">
        <f>L206+D207-SUMIFS(рапорт!$Q:$Q,рапорт!$A:$A,A207)-SUMIFS(рапорт!$U:$U,рапорт!$A:$A,A207)/4</f>
        <v>45376.5</v>
      </c>
      <c r="M207" s="50">
        <f>M206+E207-SUMIFS(рапорт!$R:$R,рапорт!$A:$A,A207)-SUMIFS(рапорт!$U:$U,рапорт!$A:$A,A207)/4</f>
        <v>86951.5</v>
      </c>
      <c r="O207" s="55">
        <v>46226</v>
      </c>
      <c r="P207" s="48"/>
      <c r="Q207" s="49"/>
      <c r="R207" s="49"/>
      <c r="S207" s="50"/>
      <c r="T207" s="60">
        <f t="shared" si="54"/>
        <v>0</v>
      </c>
      <c r="U207" s="48">
        <f t="shared" si="47"/>
        <v>749400</v>
      </c>
      <c r="V207" s="49">
        <f t="shared" si="53"/>
        <v>0</v>
      </c>
      <c r="W207" s="49">
        <f t="shared" si="53"/>
        <v>0</v>
      </c>
      <c r="X207" s="50">
        <f t="shared" si="53"/>
        <v>0</v>
      </c>
      <c r="Y207" s="73">
        <f t="shared" si="55"/>
        <v>749400</v>
      </c>
    </row>
    <row r="208" spans="1:25" x14ac:dyDescent="0.2">
      <c r="A208" s="55">
        <v>46227</v>
      </c>
      <c r="B208" s="48"/>
      <c r="C208" s="49"/>
      <c r="D208" s="49"/>
      <c r="E208" s="50"/>
      <c r="F208" s="48">
        <f t="shared" si="49"/>
        <v>42123</v>
      </c>
      <c r="G208" s="49">
        <f t="shared" si="50"/>
        <v>69725</v>
      </c>
      <c r="H208" s="49">
        <f t="shared" si="51"/>
        <v>0</v>
      </c>
      <c r="I208" s="50">
        <f t="shared" si="52"/>
        <v>14417</v>
      </c>
      <c r="J208" s="48">
        <f>J207+B208-SUMIFS(рапорт!$O:$O,рапорт!$A:$A,A208)-SUMIFS(рапорт!$U:$U,рапорт!$A:$A,A208)/4</f>
        <v>60640.5</v>
      </c>
      <c r="K208" s="49">
        <f>K207+C208-SUMIFS(рапорт!$P:$P,рапорт!$A:$A,A208)-SUMIFS(рапорт!$U:$U,рапорт!$A:$A,A208)/4</f>
        <v>98141.5</v>
      </c>
      <c r="L208" s="49">
        <f>L207+D208-SUMIFS(рапорт!$Q:$Q,рапорт!$A:$A,A208)-SUMIFS(рапорт!$U:$U,рапорт!$A:$A,A208)/4</f>
        <v>45376.5</v>
      </c>
      <c r="M208" s="50">
        <f>M207+E208-SUMIFS(рапорт!$R:$R,рапорт!$A:$A,A208)-SUMIFS(рапорт!$U:$U,рапорт!$A:$A,A208)/4</f>
        <v>86951.5</v>
      </c>
      <c r="O208" s="55">
        <v>46227</v>
      </c>
      <c r="P208" s="48"/>
      <c r="Q208" s="49"/>
      <c r="R208" s="49"/>
      <c r="S208" s="50"/>
      <c r="T208" s="60">
        <f t="shared" si="54"/>
        <v>0</v>
      </c>
      <c r="U208" s="48">
        <f t="shared" si="47"/>
        <v>749400</v>
      </c>
      <c r="V208" s="49">
        <f t="shared" si="53"/>
        <v>0</v>
      </c>
      <c r="W208" s="49">
        <f t="shared" si="53"/>
        <v>0</v>
      </c>
      <c r="X208" s="50">
        <f t="shared" si="53"/>
        <v>0</v>
      </c>
      <c r="Y208" s="73">
        <f t="shared" si="55"/>
        <v>749400</v>
      </c>
    </row>
    <row r="209" spans="1:25" x14ac:dyDescent="0.2">
      <c r="A209" s="55">
        <v>46228</v>
      </c>
      <c r="B209" s="48"/>
      <c r="C209" s="49"/>
      <c r="D209" s="49"/>
      <c r="E209" s="50"/>
      <c r="F209" s="48">
        <f t="shared" si="49"/>
        <v>42123</v>
      </c>
      <c r="G209" s="49">
        <f t="shared" si="50"/>
        <v>69725</v>
      </c>
      <c r="H209" s="49">
        <f t="shared" si="51"/>
        <v>0</v>
      </c>
      <c r="I209" s="50">
        <f t="shared" si="52"/>
        <v>14417</v>
      </c>
      <c r="J209" s="48">
        <f>J208+B209-SUMIFS(рапорт!$O:$O,рапорт!$A:$A,A209)-SUMIFS(рапорт!$U:$U,рапорт!$A:$A,A209)/4</f>
        <v>60640.5</v>
      </c>
      <c r="K209" s="49">
        <f>K208+C209-SUMIFS(рапорт!$P:$P,рапорт!$A:$A,A209)-SUMIFS(рапорт!$U:$U,рапорт!$A:$A,A209)/4</f>
        <v>98141.5</v>
      </c>
      <c r="L209" s="49">
        <f>L208+D209-SUMIFS(рапорт!$Q:$Q,рапорт!$A:$A,A209)-SUMIFS(рапорт!$U:$U,рапорт!$A:$A,A209)/4</f>
        <v>45376.5</v>
      </c>
      <c r="M209" s="50">
        <f>M208+E209-SUMIFS(рапорт!$R:$R,рапорт!$A:$A,A209)-SUMIFS(рапорт!$U:$U,рапорт!$A:$A,A209)/4</f>
        <v>86951.5</v>
      </c>
      <c r="O209" s="55">
        <v>46228</v>
      </c>
      <c r="P209" s="48"/>
      <c r="Q209" s="49"/>
      <c r="R209" s="49"/>
      <c r="S209" s="50"/>
      <c r="T209" s="60">
        <f t="shared" si="54"/>
        <v>0</v>
      </c>
      <c r="U209" s="48">
        <f t="shared" si="47"/>
        <v>749400</v>
      </c>
      <c r="V209" s="49">
        <f t="shared" si="53"/>
        <v>0</v>
      </c>
      <c r="W209" s="49">
        <f t="shared" si="53"/>
        <v>0</v>
      </c>
      <c r="X209" s="50">
        <f t="shared" si="53"/>
        <v>0</v>
      </c>
      <c r="Y209" s="73">
        <f t="shared" si="55"/>
        <v>749400</v>
      </c>
    </row>
    <row r="210" spans="1:25" x14ac:dyDescent="0.2">
      <c r="A210" s="55">
        <v>46229</v>
      </c>
      <c r="B210" s="48"/>
      <c r="C210" s="49"/>
      <c r="D210" s="49"/>
      <c r="E210" s="50"/>
      <c r="F210" s="48">
        <f t="shared" si="49"/>
        <v>42123</v>
      </c>
      <c r="G210" s="49">
        <f t="shared" si="50"/>
        <v>69725</v>
      </c>
      <c r="H210" s="49">
        <f t="shared" si="51"/>
        <v>0</v>
      </c>
      <c r="I210" s="50">
        <f t="shared" si="52"/>
        <v>14417</v>
      </c>
      <c r="J210" s="48">
        <f>J209+B210-SUMIFS(рапорт!$O:$O,рапорт!$A:$A,A210)-SUMIFS(рапорт!$U:$U,рапорт!$A:$A,A210)/4</f>
        <v>60640.5</v>
      </c>
      <c r="K210" s="49">
        <f>K209+C210-SUMIFS(рапорт!$P:$P,рапорт!$A:$A,A210)-SUMIFS(рапорт!$U:$U,рапорт!$A:$A,A210)/4</f>
        <v>98141.5</v>
      </c>
      <c r="L210" s="49">
        <f>L209+D210-SUMIFS(рапорт!$Q:$Q,рапорт!$A:$A,A210)-SUMIFS(рапорт!$U:$U,рапорт!$A:$A,A210)/4</f>
        <v>45376.5</v>
      </c>
      <c r="M210" s="50">
        <f>M209+E210-SUMIFS(рапорт!$R:$R,рапорт!$A:$A,A210)-SUMIFS(рапорт!$U:$U,рапорт!$A:$A,A210)/4</f>
        <v>86951.5</v>
      </c>
      <c r="O210" s="55">
        <v>46229</v>
      </c>
      <c r="P210" s="48"/>
      <c r="Q210" s="49"/>
      <c r="R210" s="49"/>
      <c r="S210" s="50"/>
      <c r="T210" s="60">
        <f t="shared" si="54"/>
        <v>0</v>
      </c>
      <c r="U210" s="48">
        <f t="shared" si="47"/>
        <v>749400</v>
      </c>
      <c r="V210" s="49">
        <f t="shared" si="53"/>
        <v>0</v>
      </c>
      <c r="W210" s="49">
        <f t="shared" si="53"/>
        <v>0</v>
      </c>
      <c r="X210" s="50">
        <f t="shared" si="53"/>
        <v>0</v>
      </c>
      <c r="Y210" s="73">
        <f t="shared" si="55"/>
        <v>749400</v>
      </c>
    </row>
    <row r="211" spans="1:25" x14ac:dyDescent="0.2">
      <c r="A211" s="55">
        <v>46230</v>
      </c>
      <c r="B211" s="48"/>
      <c r="C211" s="49"/>
      <c r="D211" s="49"/>
      <c r="E211" s="50"/>
      <c r="F211" s="48">
        <f t="shared" si="49"/>
        <v>42123</v>
      </c>
      <c r="G211" s="49">
        <f t="shared" si="50"/>
        <v>69725</v>
      </c>
      <c r="H211" s="49">
        <f t="shared" si="51"/>
        <v>0</v>
      </c>
      <c r="I211" s="50">
        <f t="shared" si="52"/>
        <v>14417</v>
      </c>
      <c r="J211" s="48">
        <f>J210+B211-SUMIFS(рапорт!$O:$O,рапорт!$A:$A,A211)-SUMIFS(рапорт!$U:$U,рапорт!$A:$A,A211)/4</f>
        <v>60640.5</v>
      </c>
      <c r="K211" s="49">
        <f>K210+C211-SUMIFS(рапорт!$P:$P,рапорт!$A:$A,A211)-SUMIFS(рапорт!$U:$U,рапорт!$A:$A,A211)/4</f>
        <v>98141.5</v>
      </c>
      <c r="L211" s="49">
        <f>L210+D211-SUMIFS(рапорт!$Q:$Q,рапорт!$A:$A,A211)-SUMIFS(рапорт!$U:$U,рапорт!$A:$A,A211)/4</f>
        <v>45376.5</v>
      </c>
      <c r="M211" s="50">
        <f>M210+E211-SUMIFS(рапорт!$R:$R,рапорт!$A:$A,A211)-SUMIFS(рапорт!$U:$U,рапорт!$A:$A,A211)/4</f>
        <v>86951.5</v>
      </c>
      <c r="O211" s="55">
        <v>46230</v>
      </c>
      <c r="P211" s="48"/>
      <c r="Q211" s="49"/>
      <c r="R211" s="49"/>
      <c r="S211" s="50"/>
      <c r="T211" s="60">
        <f t="shared" si="54"/>
        <v>0</v>
      </c>
      <c r="U211" s="48">
        <f t="shared" si="47"/>
        <v>749400</v>
      </c>
      <c r="V211" s="49">
        <f t="shared" si="53"/>
        <v>0</v>
      </c>
      <c r="W211" s="49">
        <f t="shared" si="53"/>
        <v>0</v>
      </c>
      <c r="X211" s="50">
        <f t="shared" si="53"/>
        <v>0</v>
      </c>
      <c r="Y211" s="73">
        <f t="shared" si="55"/>
        <v>749400</v>
      </c>
    </row>
    <row r="212" spans="1:25" x14ac:dyDescent="0.2">
      <c r="A212" s="55">
        <v>46231</v>
      </c>
      <c r="B212" s="48"/>
      <c r="C212" s="49"/>
      <c r="D212" s="49"/>
      <c r="E212" s="50"/>
      <c r="F212" s="48">
        <f t="shared" si="49"/>
        <v>42123</v>
      </c>
      <c r="G212" s="49">
        <f t="shared" si="50"/>
        <v>69725</v>
      </c>
      <c r="H212" s="49">
        <f t="shared" si="51"/>
        <v>0</v>
      </c>
      <c r="I212" s="50">
        <f t="shared" si="52"/>
        <v>14417</v>
      </c>
      <c r="J212" s="48">
        <f>J211+B212-SUMIFS(рапорт!$O:$O,рапорт!$A:$A,A212)-SUMIFS(рапорт!$U:$U,рапорт!$A:$A,A212)/4</f>
        <v>60640.5</v>
      </c>
      <c r="K212" s="49">
        <f>K211+C212-SUMIFS(рапорт!$P:$P,рапорт!$A:$A,A212)-SUMIFS(рапорт!$U:$U,рапорт!$A:$A,A212)/4</f>
        <v>98141.5</v>
      </c>
      <c r="L212" s="49">
        <f>L211+D212-SUMIFS(рапорт!$Q:$Q,рапорт!$A:$A,A212)-SUMIFS(рапорт!$U:$U,рапорт!$A:$A,A212)/4</f>
        <v>45376.5</v>
      </c>
      <c r="M212" s="50">
        <f>M211+E212-SUMIFS(рапорт!$R:$R,рапорт!$A:$A,A212)-SUMIFS(рапорт!$U:$U,рапорт!$A:$A,A212)/4</f>
        <v>86951.5</v>
      </c>
      <c r="O212" s="55">
        <v>46231</v>
      </c>
      <c r="P212" s="48"/>
      <c r="Q212" s="49"/>
      <c r="R212" s="49"/>
      <c r="S212" s="50"/>
      <c r="T212" s="60">
        <f t="shared" si="54"/>
        <v>0</v>
      </c>
      <c r="U212" s="48">
        <f t="shared" si="47"/>
        <v>749400</v>
      </c>
      <c r="V212" s="49">
        <f t="shared" ref="V212:X227" si="56">V211</f>
        <v>0</v>
      </c>
      <c r="W212" s="49">
        <f t="shared" si="56"/>
        <v>0</v>
      </c>
      <c r="X212" s="50">
        <f t="shared" si="56"/>
        <v>0</v>
      </c>
      <c r="Y212" s="73">
        <f t="shared" si="55"/>
        <v>749400</v>
      </c>
    </row>
    <row r="213" spans="1:25" x14ac:dyDescent="0.2">
      <c r="A213" s="55">
        <v>46232</v>
      </c>
      <c r="B213" s="48"/>
      <c r="C213" s="49"/>
      <c r="D213" s="49"/>
      <c r="E213" s="50"/>
      <c r="F213" s="48">
        <f t="shared" si="49"/>
        <v>42123</v>
      </c>
      <c r="G213" s="49">
        <f t="shared" si="50"/>
        <v>69725</v>
      </c>
      <c r="H213" s="49">
        <f t="shared" si="51"/>
        <v>0</v>
      </c>
      <c r="I213" s="50">
        <f t="shared" si="52"/>
        <v>14417</v>
      </c>
      <c r="J213" s="48">
        <f>J212+B213-SUMIFS(рапорт!$O:$O,рапорт!$A:$A,A213)-SUMIFS(рапорт!$U:$U,рапорт!$A:$A,A213)/4</f>
        <v>60640.5</v>
      </c>
      <c r="K213" s="49">
        <f>K212+C213-SUMIFS(рапорт!$P:$P,рапорт!$A:$A,A213)-SUMIFS(рапорт!$U:$U,рапорт!$A:$A,A213)/4</f>
        <v>98141.5</v>
      </c>
      <c r="L213" s="49">
        <f>L212+D213-SUMIFS(рапорт!$Q:$Q,рапорт!$A:$A,A213)-SUMIFS(рапорт!$U:$U,рапорт!$A:$A,A213)/4</f>
        <v>45376.5</v>
      </c>
      <c r="M213" s="50">
        <f>M212+E213-SUMIFS(рапорт!$R:$R,рапорт!$A:$A,A213)-SUMIFS(рапорт!$U:$U,рапорт!$A:$A,A213)/4</f>
        <v>86951.5</v>
      </c>
      <c r="O213" s="55">
        <v>46232</v>
      </c>
      <c r="P213" s="48"/>
      <c r="Q213" s="49"/>
      <c r="R213" s="49"/>
      <c r="S213" s="50"/>
      <c r="T213" s="60">
        <f t="shared" si="54"/>
        <v>0</v>
      </c>
      <c r="U213" s="48">
        <f t="shared" si="47"/>
        <v>749400</v>
      </c>
      <c r="V213" s="49">
        <f t="shared" si="56"/>
        <v>0</v>
      </c>
      <c r="W213" s="49">
        <f t="shared" si="56"/>
        <v>0</v>
      </c>
      <c r="X213" s="50">
        <f t="shared" si="56"/>
        <v>0</v>
      </c>
      <c r="Y213" s="73">
        <f t="shared" si="55"/>
        <v>749400</v>
      </c>
    </row>
    <row r="214" spans="1:25" x14ac:dyDescent="0.2">
      <c r="A214" s="55">
        <v>46233</v>
      </c>
      <c r="B214" s="48"/>
      <c r="C214" s="49"/>
      <c r="D214" s="49"/>
      <c r="E214" s="50"/>
      <c r="F214" s="48">
        <f t="shared" si="49"/>
        <v>42123</v>
      </c>
      <c r="G214" s="49">
        <f t="shared" si="50"/>
        <v>69725</v>
      </c>
      <c r="H214" s="49">
        <f t="shared" si="51"/>
        <v>0</v>
      </c>
      <c r="I214" s="50">
        <f t="shared" si="52"/>
        <v>14417</v>
      </c>
      <c r="J214" s="48">
        <f>J213+B214-SUMIFS(рапорт!$O:$O,рапорт!$A:$A,A214)-SUMIFS(рапорт!$U:$U,рапорт!$A:$A,A214)/4</f>
        <v>60640.5</v>
      </c>
      <c r="K214" s="49">
        <f>K213+C214-SUMIFS(рапорт!$P:$P,рапорт!$A:$A,A214)-SUMIFS(рапорт!$U:$U,рапорт!$A:$A,A214)/4</f>
        <v>98141.5</v>
      </c>
      <c r="L214" s="49">
        <f>L213+D214-SUMIFS(рапорт!$Q:$Q,рапорт!$A:$A,A214)-SUMIFS(рапорт!$U:$U,рапорт!$A:$A,A214)/4</f>
        <v>45376.5</v>
      </c>
      <c r="M214" s="50">
        <f>M213+E214-SUMIFS(рапорт!$R:$R,рапорт!$A:$A,A214)-SUMIFS(рапорт!$U:$U,рапорт!$A:$A,A214)/4</f>
        <v>86951.5</v>
      </c>
      <c r="O214" s="55">
        <v>46233</v>
      </c>
      <c r="P214" s="48"/>
      <c r="Q214" s="49"/>
      <c r="R214" s="49"/>
      <c r="S214" s="50"/>
      <c r="T214" s="60">
        <f t="shared" si="54"/>
        <v>0</v>
      </c>
      <c r="U214" s="48">
        <f t="shared" si="47"/>
        <v>749400</v>
      </c>
      <c r="V214" s="49">
        <f t="shared" si="56"/>
        <v>0</v>
      </c>
      <c r="W214" s="49">
        <f t="shared" si="56"/>
        <v>0</v>
      </c>
      <c r="X214" s="50">
        <f t="shared" si="56"/>
        <v>0</v>
      </c>
      <c r="Y214" s="73">
        <f t="shared" si="55"/>
        <v>749400</v>
      </c>
    </row>
    <row r="215" spans="1:25" x14ac:dyDescent="0.2">
      <c r="A215" s="55">
        <v>46234</v>
      </c>
      <c r="B215" s="48"/>
      <c r="C215" s="49"/>
      <c r="D215" s="49"/>
      <c r="E215" s="50"/>
      <c r="F215" s="48">
        <f t="shared" si="49"/>
        <v>42123</v>
      </c>
      <c r="G215" s="49">
        <f t="shared" si="50"/>
        <v>69725</v>
      </c>
      <c r="H215" s="49">
        <f t="shared" si="51"/>
        <v>0</v>
      </c>
      <c r="I215" s="50">
        <f t="shared" si="52"/>
        <v>14417</v>
      </c>
      <c r="J215" s="48">
        <f>J214+B215-SUMIFS(рапорт!$O:$O,рапорт!$A:$A,A215)-SUMIFS(рапорт!$U:$U,рапорт!$A:$A,A215)/4</f>
        <v>60640.5</v>
      </c>
      <c r="K215" s="49">
        <f>K214+C215-SUMIFS(рапорт!$P:$P,рапорт!$A:$A,A215)-SUMIFS(рапорт!$U:$U,рапорт!$A:$A,A215)/4</f>
        <v>98141.5</v>
      </c>
      <c r="L215" s="49">
        <f>L214+D215-SUMIFS(рапорт!$Q:$Q,рапорт!$A:$A,A215)-SUMIFS(рапорт!$U:$U,рапорт!$A:$A,A215)/4</f>
        <v>45376.5</v>
      </c>
      <c r="M215" s="50">
        <f>M214+E215-SUMIFS(рапорт!$R:$R,рапорт!$A:$A,A215)-SUMIFS(рапорт!$U:$U,рапорт!$A:$A,A215)/4</f>
        <v>86951.5</v>
      </c>
      <c r="O215" s="55">
        <v>46234</v>
      </c>
      <c r="P215" s="48"/>
      <c r="Q215" s="49"/>
      <c r="R215" s="49"/>
      <c r="S215" s="50"/>
      <c r="T215" s="60">
        <f t="shared" si="54"/>
        <v>0</v>
      </c>
      <c r="U215" s="48">
        <f t="shared" si="47"/>
        <v>749400</v>
      </c>
      <c r="V215" s="49">
        <f t="shared" si="56"/>
        <v>0</v>
      </c>
      <c r="W215" s="49">
        <f t="shared" si="56"/>
        <v>0</v>
      </c>
      <c r="X215" s="50">
        <f t="shared" si="56"/>
        <v>0</v>
      </c>
      <c r="Y215" s="73">
        <f t="shared" si="55"/>
        <v>749400</v>
      </c>
    </row>
    <row r="216" spans="1:25" x14ac:dyDescent="0.2">
      <c r="A216" s="55">
        <v>46235</v>
      </c>
      <c r="B216" s="48"/>
      <c r="C216" s="49"/>
      <c r="D216" s="49"/>
      <c r="E216" s="50"/>
      <c r="F216" s="48">
        <f t="shared" si="49"/>
        <v>42123</v>
      </c>
      <c r="G216" s="49">
        <f t="shared" si="50"/>
        <v>69725</v>
      </c>
      <c r="H216" s="49">
        <f t="shared" si="51"/>
        <v>0</v>
      </c>
      <c r="I216" s="50">
        <f t="shared" si="52"/>
        <v>14417</v>
      </c>
      <c r="J216" s="48">
        <f>J215+B216-SUMIFS(рапорт!$O:$O,рапорт!$A:$A,A216)-SUMIFS(рапорт!$U:$U,рапорт!$A:$A,A216)/4</f>
        <v>60640.5</v>
      </c>
      <c r="K216" s="49">
        <f>K215+C216-SUMIFS(рапорт!$P:$P,рапорт!$A:$A,A216)-SUMIFS(рапорт!$U:$U,рапорт!$A:$A,A216)/4</f>
        <v>98141.5</v>
      </c>
      <c r="L216" s="49">
        <f>L215+D216-SUMIFS(рапорт!$Q:$Q,рапорт!$A:$A,A216)-SUMIFS(рапорт!$U:$U,рапорт!$A:$A,A216)/4</f>
        <v>45376.5</v>
      </c>
      <c r="M216" s="50">
        <f>M215+E216-SUMIFS(рапорт!$R:$R,рапорт!$A:$A,A216)-SUMIFS(рапорт!$U:$U,рапорт!$A:$A,A216)/4</f>
        <v>86951.5</v>
      </c>
      <c r="O216" s="55">
        <v>46235</v>
      </c>
      <c r="P216" s="48"/>
      <c r="Q216" s="49"/>
      <c r="R216" s="49"/>
      <c r="S216" s="50"/>
      <c r="T216" s="60">
        <f t="shared" si="54"/>
        <v>0</v>
      </c>
      <c r="U216" s="48">
        <f t="shared" si="47"/>
        <v>749400</v>
      </c>
      <c r="V216" s="49">
        <f t="shared" si="56"/>
        <v>0</v>
      </c>
      <c r="W216" s="49">
        <f t="shared" si="56"/>
        <v>0</v>
      </c>
      <c r="X216" s="50">
        <f t="shared" si="56"/>
        <v>0</v>
      </c>
      <c r="Y216" s="73">
        <f t="shared" si="55"/>
        <v>749400</v>
      </c>
    </row>
    <row r="217" spans="1:25" x14ac:dyDescent="0.2">
      <c r="A217" s="55">
        <v>46236</v>
      </c>
      <c r="B217" s="48"/>
      <c r="C217" s="49"/>
      <c r="D217" s="49"/>
      <c r="E217" s="50"/>
      <c r="F217" s="48">
        <f t="shared" si="49"/>
        <v>42123</v>
      </c>
      <c r="G217" s="49">
        <f t="shared" si="50"/>
        <v>69725</v>
      </c>
      <c r="H217" s="49">
        <f t="shared" si="51"/>
        <v>0</v>
      </c>
      <c r="I217" s="50">
        <f t="shared" si="52"/>
        <v>14417</v>
      </c>
      <c r="J217" s="48">
        <f>J216+B217-SUMIFS(рапорт!$O:$O,рапорт!$A:$A,A217)-SUMIFS(рапорт!$U:$U,рапорт!$A:$A,A217)/4</f>
        <v>60640.5</v>
      </c>
      <c r="K217" s="49">
        <f>K216+C217-SUMIFS(рапорт!$P:$P,рапорт!$A:$A,A217)-SUMIFS(рапорт!$U:$U,рапорт!$A:$A,A217)/4</f>
        <v>98141.5</v>
      </c>
      <c r="L217" s="49">
        <f>L216+D217-SUMIFS(рапорт!$Q:$Q,рапорт!$A:$A,A217)-SUMIFS(рапорт!$U:$U,рапорт!$A:$A,A217)/4</f>
        <v>45376.5</v>
      </c>
      <c r="M217" s="50">
        <f>M216+E217-SUMIFS(рапорт!$R:$R,рапорт!$A:$A,A217)-SUMIFS(рапорт!$U:$U,рапорт!$A:$A,A217)/4</f>
        <v>86951.5</v>
      </c>
      <c r="O217" s="55">
        <v>46236</v>
      </c>
      <c r="P217" s="48"/>
      <c r="Q217" s="49"/>
      <c r="R217" s="49"/>
      <c r="S217" s="50"/>
      <c r="T217" s="60">
        <f t="shared" si="54"/>
        <v>0</v>
      </c>
      <c r="U217" s="48">
        <f t="shared" si="47"/>
        <v>749400</v>
      </c>
      <c r="V217" s="49">
        <f t="shared" si="56"/>
        <v>0</v>
      </c>
      <c r="W217" s="49">
        <f t="shared" si="56"/>
        <v>0</v>
      </c>
      <c r="X217" s="50">
        <f t="shared" si="56"/>
        <v>0</v>
      </c>
      <c r="Y217" s="73">
        <f t="shared" si="55"/>
        <v>749400</v>
      </c>
    </row>
    <row r="218" spans="1:25" x14ac:dyDescent="0.2">
      <c r="A218" s="55">
        <v>46237</v>
      </c>
      <c r="B218" s="48"/>
      <c r="C218" s="49"/>
      <c r="D218" s="49"/>
      <c r="E218" s="50"/>
      <c r="F218" s="48">
        <f t="shared" si="49"/>
        <v>42123</v>
      </c>
      <c r="G218" s="49">
        <f t="shared" si="50"/>
        <v>69725</v>
      </c>
      <c r="H218" s="49">
        <f t="shared" si="51"/>
        <v>0</v>
      </c>
      <c r="I218" s="50">
        <f t="shared" si="52"/>
        <v>14417</v>
      </c>
      <c r="J218" s="48">
        <f>J217+B218-SUMIFS(рапорт!$O:$O,рапорт!$A:$A,A218)-SUMIFS(рапорт!$U:$U,рапорт!$A:$A,A218)/4</f>
        <v>60640.5</v>
      </c>
      <c r="K218" s="49">
        <f>K217+C218-SUMIFS(рапорт!$P:$P,рапорт!$A:$A,A218)-SUMIFS(рапорт!$U:$U,рапорт!$A:$A,A218)/4</f>
        <v>98141.5</v>
      </c>
      <c r="L218" s="49">
        <f>L217+D218-SUMIFS(рапорт!$Q:$Q,рапорт!$A:$A,A218)-SUMIFS(рапорт!$U:$U,рапорт!$A:$A,A218)/4</f>
        <v>45376.5</v>
      </c>
      <c r="M218" s="50">
        <f>M217+E218-SUMIFS(рапорт!$R:$R,рапорт!$A:$A,A218)-SUMIFS(рапорт!$U:$U,рапорт!$A:$A,A218)/4</f>
        <v>86951.5</v>
      </c>
      <c r="O218" s="55">
        <v>46237</v>
      </c>
      <c r="P218" s="48"/>
      <c r="Q218" s="49"/>
      <c r="R218" s="49"/>
      <c r="S218" s="50"/>
      <c r="T218" s="60">
        <f t="shared" si="54"/>
        <v>0</v>
      </c>
      <c r="U218" s="48">
        <f t="shared" si="47"/>
        <v>749400</v>
      </c>
      <c r="V218" s="49">
        <f t="shared" si="56"/>
        <v>0</v>
      </c>
      <c r="W218" s="49">
        <f t="shared" si="56"/>
        <v>0</v>
      </c>
      <c r="X218" s="50">
        <f t="shared" si="56"/>
        <v>0</v>
      </c>
      <c r="Y218" s="73">
        <f t="shared" si="55"/>
        <v>749400</v>
      </c>
    </row>
    <row r="219" spans="1:25" x14ac:dyDescent="0.2">
      <c r="A219" s="55">
        <v>46238</v>
      </c>
      <c r="B219" s="48"/>
      <c r="C219" s="49"/>
      <c r="D219" s="49"/>
      <c r="E219" s="50"/>
      <c r="F219" s="48">
        <f t="shared" si="49"/>
        <v>42123</v>
      </c>
      <c r="G219" s="49">
        <f t="shared" si="50"/>
        <v>69725</v>
      </c>
      <c r="H219" s="49">
        <f t="shared" si="51"/>
        <v>0</v>
      </c>
      <c r="I219" s="50">
        <f t="shared" si="52"/>
        <v>14417</v>
      </c>
      <c r="J219" s="48">
        <f>J218+B219-SUMIFS(рапорт!$O:$O,рапорт!$A:$A,A219)-SUMIFS(рапорт!$U:$U,рапорт!$A:$A,A219)/4</f>
        <v>60640.5</v>
      </c>
      <c r="K219" s="49">
        <f>K218+C219-SUMIFS(рапорт!$P:$P,рапорт!$A:$A,A219)-SUMIFS(рапорт!$U:$U,рапорт!$A:$A,A219)/4</f>
        <v>98141.5</v>
      </c>
      <c r="L219" s="49">
        <f>L218+D219-SUMIFS(рапорт!$Q:$Q,рапорт!$A:$A,A219)-SUMIFS(рапорт!$U:$U,рапорт!$A:$A,A219)/4</f>
        <v>45376.5</v>
      </c>
      <c r="M219" s="50">
        <f>M218+E219-SUMIFS(рапорт!$R:$R,рапорт!$A:$A,A219)-SUMIFS(рапорт!$U:$U,рапорт!$A:$A,A219)/4</f>
        <v>86951.5</v>
      </c>
      <c r="O219" s="55">
        <v>46238</v>
      </c>
      <c r="P219" s="48"/>
      <c r="Q219" s="49"/>
      <c r="R219" s="49"/>
      <c r="S219" s="50"/>
      <c r="T219" s="60">
        <f t="shared" si="54"/>
        <v>0</v>
      </c>
      <c r="U219" s="48">
        <f t="shared" si="47"/>
        <v>749400</v>
      </c>
      <c r="V219" s="49">
        <f t="shared" si="56"/>
        <v>0</v>
      </c>
      <c r="W219" s="49">
        <f t="shared" si="56"/>
        <v>0</v>
      </c>
      <c r="X219" s="50">
        <f t="shared" si="56"/>
        <v>0</v>
      </c>
      <c r="Y219" s="73">
        <f t="shared" si="55"/>
        <v>749400</v>
      </c>
    </row>
    <row r="220" spans="1:25" x14ac:dyDescent="0.2">
      <c r="A220" s="55">
        <v>46239</v>
      </c>
      <c r="B220" s="48"/>
      <c r="C220" s="49"/>
      <c r="D220" s="49"/>
      <c r="E220" s="50"/>
      <c r="F220" s="48">
        <f t="shared" si="49"/>
        <v>42123</v>
      </c>
      <c r="G220" s="49">
        <f t="shared" si="50"/>
        <v>69725</v>
      </c>
      <c r="H220" s="49">
        <f t="shared" si="51"/>
        <v>0</v>
      </c>
      <c r="I220" s="50">
        <f t="shared" si="52"/>
        <v>14417</v>
      </c>
      <c r="J220" s="48">
        <f>J219+B220-SUMIFS(рапорт!$O:$O,рапорт!$A:$A,A220)-SUMIFS(рапорт!$U:$U,рапорт!$A:$A,A220)/4</f>
        <v>60640.5</v>
      </c>
      <c r="K220" s="49">
        <f>K219+C220-SUMIFS(рапорт!$P:$P,рапорт!$A:$A,A220)-SUMIFS(рапорт!$U:$U,рапорт!$A:$A,A220)/4</f>
        <v>98141.5</v>
      </c>
      <c r="L220" s="49">
        <f>L219+D220-SUMIFS(рапорт!$Q:$Q,рапорт!$A:$A,A220)-SUMIFS(рапорт!$U:$U,рапорт!$A:$A,A220)/4</f>
        <v>45376.5</v>
      </c>
      <c r="M220" s="50">
        <f>M219+E220-SUMIFS(рапорт!$R:$R,рапорт!$A:$A,A220)-SUMIFS(рапорт!$U:$U,рапорт!$A:$A,A220)/4</f>
        <v>86951.5</v>
      </c>
      <c r="O220" s="55">
        <v>46239</v>
      </c>
      <c r="P220" s="48"/>
      <c r="Q220" s="49"/>
      <c r="R220" s="49"/>
      <c r="S220" s="50"/>
      <c r="T220" s="60">
        <f t="shared" si="54"/>
        <v>0</v>
      </c>
      <c r="U220" s="48">
        <f t="shared" si="47"/>
        <v>749400</v>
      </c>
      <c r="V220" s="49">
        <f t="shared" si="56"/>
        <v>0</v>
      </c>
      <c r="W220" s="49">
        <f t="shared" si="56"/>
        <v>0</v>
      </c>
      <c r="X220" s="50">
        <f t="shared" si="56"/>
        <v>0</v>
      </c>
      <c r="Y220" s="73">
        <f t="shared" si="55"/>
        <v>749400</v>
      </c>
    </row>
    <row r="221" spans="1:25" x14ac:dyDescent="0.2">
      <c r="A221" s="55">
        <v>46240</v>
      </c>
      <c r="B221" s="48"/>
      <c r="C221" s="49"/>
      <c r="D221" s="49"/>
      <c r="E221" s="50"/>
      <c r="F221" s="48">
        <f t="shared" si="49"/>
        <v>42123</v>
      </c>
      <c r="G221" s="49">
        <f t="shared" si="50"/>
        <v>69725</v>
      </c>
      <c r="H221" s="49">
        <f t="shared" si="51"/>
        <v>0</v>
      </c>
      <c r="I221" s="50">
        <f t="shared" si="52"/>
        <v>14417</v>
      </c>
      <c r="J221" s="48">
        <f>J220+B221-SUMIFS(рапорт!$O:$O,рапорт!$A:$A,A221)-SUMIFS(рапорт!$U:$U,рапорт!$A:$A,A221)/4</f>
        <v>60640.5</v>
      </c>
      <c r="K221" s="49">
        <f>K220+C221-SUMIFS(рапорт!$P:$P,рапорт!$A:$A,A221)-SUMIFS(рапорт!$U:$U,рапорт!$A:$A,A221)/4</f>
        <v>98141.5</v>
      </c>
      <c r="L221" s="49">
        <f>L220+D221-SUMIFS(рапорт!$Q:$Q,рапорт!$A:$A,A221)-SUMIFS(рапорт!$U:$U,рапорт!$A:$A,A221)/4</f>
        <v>45376.5</v>
      </c>
      <c r="M221" s="50">
        <f>M220+E221-SUMIFS(рапорт!$R:$R,рапорт!$A:$A,A221)-SUMIFS(рапорт!$U:$U,рапорт!$A:$A,A221)/4</f>
        <v>86951.5</v>
      </c>
      <c r="O221" s="55">
        <v>46240</v>
      </c>
      <c r="P221" s="48"/>
      <c r="Q221" s="49"/>
      <c r="R221" s="49"/>
      <c r="S221" s="50"/>
      <c r="T221" s="60">
        <f t="shared" si="54"/>
        <v>0</v>
      </c>
      <c r="U221" s="48">
        <f t="shared" si="47"/>
        <v>749400</v>
      </c>
      <c r="V221" s="49">
        <f t="shared" si="56"/>
        <v>0</v>
      </c>
      <c r="W221" s="49">
        <f t="shared" si="56"/>
        <v>0</v>
      </c>
      <c r="X221" s="50">
        <f t="shared" si="56"/>
        <v>0</v>
      </c>
      <c r="Y221" s="73">
        <f t="shared" si="55"/>
        <v>749400</v>
      </c>
    </row>
    <row r="222" spans="1:25" x14ac:dyDescent="0.2">
      <c r="A222" s="55">
        <v>46241</v>
      </c>
      <c r="B222" s="48"/>
      <c r="C222" s="49"/>
      <c r="D222" s="49"/>
      <c r="E222" s="50"/>
      <c r="F222" s="48">
        <f t="shared" si="49"/>
        <v>42123</v>
      </c>
      <c r="G222" s="49">
        <f t="shared" si="50"/>
        <v>69725</v>
      </c>
      <c r="H222" s="49">
        <f t="shared" si="51"/>
        <v>0</v>
      </c>
      <c r="I222" s="50">
        <f t="shared" si="52"/>
        <v>14417</v>
      </c>
      <c r="J222" s="48">
        <f>J221+B222-SUMIFS(рапорт!$O:$O,рапорт!$A:$A,A222)-SUMIFS(рапорт!$U:$U,рапорт!$A:$A,A222)/4</f>
        <v>60640.5</v>
      </c>
      <c r="K222" s="49">
        <f>K221+C222-SUMIFS(рапорт!$P:$P,рапорт!$A:$A,A222)-SUMIFS(рапорт!$U:$U,рапорт!$A:$A,A222)/4</f>
        <v>98141.5</v>
      </c>
      <c r="L222" s="49">
        <f>L221+D222-SUMIFS(рапорт!$Q:$Q,рапорт!$A:$A,A222)-SUMIFS(рапорт!$U:$U,рапорт!$A:$A,A222)/4</f>
        <v>45376.5</v>
      </c>
      <c r="M222" s="50">
        <f>M221+E222-SUMIFS(рапорт!$R:$R,рапорт!$A:$A,A222)-SUMIFS(рапорт!$U:$U,рапорт!$A:$A,A222)/4</f>
        <v>86951.5</v>
      </c>
      <c r="O222" s="55">
        <v>46241</v>
      </c>
      <c r="P222" s="48"/>
      <c r="Q222" s="49"/>
      <c r="R222" s="49"/>
      <c r="S222" s="50"/>
      <c r="T222" s="60">
        <f t="shared" si="54"/>
        <v>0</v>
      </c>
      <c r="U222" s="48">
        <f t="shared" si="47"/>
        <v>749400</v>
      </c>
      <c r="V222" s="49">
        <f t="shared" si="56"/>
        <v>0</v>
      </c>
      <c r="W222" s="49">
        <f t="shared" si="56"/>
        <v>0</v>
      </c>
      <c r="X222" s="50">
        <f t="shared" si="56"/>
        <v>0</v>
      </c>
      <c r="Y222" s="73">
        <f t="shared" si="55"/>
        <v>749400</v>
      </c>
    </row>
    <row r="223" spans="1:25" x14ac:dyDescent="0.2">
      <c r="A223" s="55">
        <v>46242</v>
      </c>
      <c r="B223" s="48"/>
      <c r="C223" s="49"/>
      <c r="D223" s="49"/>
      <c r="E223" s="50"/>
      <c r="F223" s="48">
        <f t="shared" si="49"/>
        <v>42123</v>
      </c>
      <c r="G223" s="49">
        <f t="shared" si="50"/>
        <v>69725</v>
      </c>
      <c r="H223" s="49">
        <f t="shared" si="51"/>
        <v>0</v>
      </c>
      <c r="I223" s="50">
        <f t="shared" si="52"/>
        <v>14417</v>
      </c>
      <c r="J223" s="48">
        <f>J222+B223-SUMIFS(рапорт!$O:$O,рапорт!$A:$A,A223)-SUMIFS(рапорт!$U:$U,рапорт!$A:$A,A223)/4</f>
        <v>60640.5</v>
      </c>
      <c r="K223" s="49">
        <f>K222+C223-SUMIFS(рапорт!$P:$P,рапорт!$A:$A,A223)-SUMIFS(рапорт!$U:$U,рапорт!$A:$A,A223)/4</f>
        <v>98141.5</v>
      </c>
      <c r="L223" s="49">
        <f>L222+D223-SUMIFS(рапорт!$Q:$Q,рапорт!$A:$A,A223)-SUMIFS(рапорт!$U:$U,рапорт!$A:$A,A223)/4</f>
        <v>45376.5</v>
      </c>
      <c r="M223" s="50">
        <f>M222+E223-SUMIFS(рапорт!$R:$R,рапорт!$A:$A,A223)-SUMIFS(рапорт!$U:$U,рапорт!$A:$A,A223)/4</f>
        <v>86951.5</v>
      </c>
      <c r="O223" s="55">
        <v>46242</v>
      </c>
      <c r="P223" s="48"/>
      <c r="Q223" s="49"/>
      <c r="R223" s="49"/>
      <c r="S223" s="50"/>
      <c r="T223" s="60">
        <f t="shared" si="54"/>
        <v>0</v>
      </c>
      <c r="U223" s="48">
        <f t="shared" si="47"/>
        <v>749400</v>
      </c>
      <c r="V223" s="49">
        <f t="shared" si="56"/>
        <v>0</v>
      </c>
      <c r="W223" s="49">
        <f t="shared" si="56"/>
        <v>0</v>
      </c>
      <c r="X223" s="50">
        <f t="shared" si="56"/>
        <v>0</v>
      </c>
      <c r="Y223" s="73">
        <f t="shared" si="55"/>
        <v>749400</v>
      </c>
    </row>
    <row r="224" spans="1:25" x14ac:dyDescent="0.2">
      <c r="A224" s="55">
        <v>46243</v>
      </c>
      <c r="B224" s="48"/>
      <c r="C224" s="49"/>
      <c r="D224" s="49"/>
      <c r="E224" s="50"/>
      <c r="F224" s="48">
        <f t="shared" si="49"/>
        <v>42123</v>
      </c>
      <c r="G224" s="49">
        <f t="shared" si="50"/>
        <v>69725</v>
      </c>
      <c r="H224" s="49">
        <f t="shared" si="51"/>
        <v>0</v>
      </c>
      <c r="I224" s="50">
        <f t="shared" si="52"/>
        <v>14417</v>
      </c>
      <c r="J224" s="48">
        <f>J223+B224-SUMIFS(рапорт!$O:$O,рапорт!$A:$A,A224)-SUMIFS(рапорт!$U:$U,рапорт!$A:$A,A224)/4</f>
        <v>60640.5</v>
      </c>
      <c r="K224" s="49">
        <f>K223+C224-SUMIFS(рапорт!$P:$P,рапорт!$A:$A,A224)-SUMIFS(рапорт!$U:$U,рапорт!$A:$A,A224)/4</f>
        <v>98141.5</v>
      </c>
      <c r="L224" s="49">
        <f>L223+D224-SUMIFS(рапорт!$Q:$Q,рапорт!$A:$A,A224)-SUMIFS(рапорт!$U:$U,рапорт!$A:$A,A224)/4</f>
        <v>45376.5</v>
      </c>
      <c r="M224" s="50">
        <f>M223+E224-SUMIFS(рапорт!$R:$R,рапорт!$A:$A,A224)-SUMIFS(рапорт!$U:$U,рапорт!$A:$A,A224)/4</f>
        <v>86951.5</v>
      </c>
      <c r="O224" s="55">
        <v>46243</v>
      </c>
      <c r="P224" s="48"/>
      <c r="Q224" s="49"/>
      <c r="R224" s="49"/>
      <c r="S224" s="50"/>
      <c r="T224" s="60">
        <f t="shared" si="54"/>
        <v>0</v>
      </c>
      <c r="U224" s="48">
        <f t="shared" si="47"/>
        <v>749400</v>
      </c>
      <c r="V224" s="49">
        <f t="shared" si="56"/>
        <v>0</v>
      </c>
      <c r="W224" s="49">
        <f t="shared" si="56"/>
        <v>0</v>
      </c>
      <c r="X224" s="50">
        <f t="shared" si="56"/>
        <v>0</v>
      </c>
      <c r="Y224" s="73">
        <f t="shared" si="55"/>
        <v>749400</v>
      </c>
    </row>
    <row r="225" spans="1:25" x14ac:dyDescent="0.2">
      <c r="A225" s="55">
        <v>46244</v>
      </c>
      <c r="B225" s="48"/>
      <c r="C225" s="49"/>
      <c r="D225" s="49"/>
      <c r="E225" s="50"/>
      <c r="F225" s="48">
        <f t="shared" si="49"/>
        <v>42123</v>
      </c>
      <c r="G225" s="49">
        <f t="shared" si="50"/>
        <v>69725</v>
      </c>
      <c r="H225" s="49">
        <f t="shared" si="51"/>
        <v>0</v>
      </c>
      <c r="I225" s="50">
        <f t="shared" si="52"/>
        <v>14417</v>
      </c>
      <c r="J225" s="48">
        <f>J224+B225-SUMIFS(рапорт!$O:$O,рапорт!$A:$A,A225)-SUMIFS(рапорт!$U:$U,рапорт!$A:$A,A225)/4</f>
        <v>60640.5</v>
      </c>
      <c r="K225" s="49">
        <f>K224+C225-SUMIFS(рапорт!$P:$P,рапорт!$A:$A,A225)-SUMIFS(рапорт!$U:$U,рапорт!$A:$A,A225)/4</f>
        <v>98141.5</v>
      </c>
      <c r="L225" s="49">
        <f>L224+D225-SUMIFS(рапорт!$Q:$Q,рапорт!$A:$A,A225)-SUMIFS(рапорт!$U:$U,рапорт!$A:$A,A225)/4</f>
        <v>45376.5</v>
      </c>
      <c r="M225" s="50">
        <f>M224+E225-SUMIFS(рапорт!$R:$R,рапорт!$A:$A,A225)-SUMIFS(рапорт!$U:$U,рапорт!$A:$A,A225)/4</f>
        <v>86951.5</v>
      </c>
      <c r="O225" s="55">
        <v>46244</v>
      </c>
      <c r="P225" s="48"/>
      <c r="Q225" s="49"/>
      <c r="R225" s="49"/>
      <c r="S225" s="50"/>
      <c r="T225" s="60">
        <f t="shared" si="54"/>
        <v>0</v>
      </c>
      <c r="U225" s="48">
        <f t="shared" si="47"/>
        <v>749400</v>
      </c>
      <c r="V225" s="49">
        <f t="shared" si="56"/>
        <v>0</v>
      </c>
      <c r="W225" s="49">
        <f t="shared" si="56"/>
        <v>0</v>
      </c>
      <c r="X225" s="50">
        <f t="shared" si="56"/>
        <v>0</v>
      </c>
      <c r="Y225" s="73">
        <f t="shared" si="55"/>
        <v>749400</v>
      </c>
    </row>
    <row r="226" spans="1:25" x14ac:dyDescent="0.2">
      <c r="A226" s="55">
        <v>46245</v>
      </c>
      <c r="B226" s="48"/>
      <c r="C226" s="49"/>
      <c r="D226" s="49"/>
      <c r="E226" s="50"/>
      <c r="F226" s="48">
        <f t="shared" si="49"/>
        <v>42123</v>
      </c>
      <c r="G226" s="49">
        <f t="shared" si="50"/>
        <v>69725</v>
      </c>
      <c r="H226" s="49">
        <f t="shared" si="51"/>
        <v>0</v>
      </c>
      <c r="I226" s="50">
        <f t="shared" si="52"/>
        <v>14417</v>
      </c>
      <c r="J226" s="48">
        <f>J225+B226-SUMIFS(рапорт!$O:$O,рапорт!$A:$A,A226)-SUMIFS(рапорт!$U:$U,рапорт!$A:$A,A226)/4</f>
        <v>60640.5</v>
      </c>
      <c r="K226" s="49">
        <f>K225+C226-SUMIFS(рапорт!$P:$P,рапорт!$A:$A,A226)-SUMIFS(рапорт!$U:$U,рапорт!$A:$A,A226)/4</f>
        <v>98141.5</v>
      </c>
      <c r="L226" s="49">
        <f>L225+D226-SUMIFS(рапорт!$Q:$Q,рапорт!$A:$A,A226)-SUMIFS(рапорт!$U:$U,рапорт!$A:$A,A226)/4</f>
        <v>45376.5</v>
      </c>
      <c r="M226" s="50">
        <f>M225+E226-SUMIFS(рапорт!$R:$R,рапорт!$A:$A,A226)-SUMIFS(рапорт!$U:$U,рапорт!$A:$A,A226)/4</f>
        <v>86951.5</v>
      </c>
      <c r="O226" s="55">
        <v>46245</v>
      </c>
      <c r="P226" s="48"/>
      <c r="Q226" s="49"/>
      <c r="R226" s="49"/>
      <c r="S226" s="50"/>
      <c r="T226" s="60">
        <f t="shared" si="54"/>
        <v>0</v>
      </c>
      <c r="U226" s="48">
        <f t="shared" si="47"/>
        <v>749400</v>
      </c>
      <c r="V226" s="49">
        <f t="shared" si="56"/>
        <v>0</v>
      </c>
      <c r="W226" s="49">
        <f t="shared" si="56"/>
        <v>0</v>
      </c>
      <c r="X226" s="50">
        <f t="shared" si="56"/>
        <v>0</v>
      </c>
      <c r="Y226" s="73">
        <f t="shared" si="55"/>
        <v>749400</v>
      </c>
    </row>
    <row r="227" spans="1:25" x14ac:dyDescent="0.2">
      <c r="A227" s="55">
        <v>46246</v>
      </c>
      <c r="B227" s="48"/>
      <c r="C227" s="49"/>
      <c r="D227" s="49"/>
      <c r="E227" s="50"/>
      <c r="F227" s="48">
        <f t="shared" si="49"/>
        <v>42123</v>
      </c>
      <c r="G227" s="49">
        <f t="shared" si="50"/>
        <v>69725</v>
      </c>
      <c r="H227" s="49">
        <f t="shared" si="51"/>
        <v>0</v>
      </c>
      <c r="I227" s="50">
        <f t="shared" si="52"/>
        <v>14417</v>
      </c>
      <c r="J227" s="48">
        <f>J226+B227-SUMIFS(рапорт!$O:$O,рапорт!$A:$A,A227)-SUMIFS(рапорт!$U:$U,рапорт!$A:$A,A227)/4</f>
        <v>60640.5</v>
      </c>
      <c r="K227" s="49">
        <f>K226+C227-SUMIFS(рапорт!$P:$P,рапорт!$A:$A,A227)-SUMIFS(рапорт!$U:$U,рапорт!$A:$A,A227)/4</f>
        <v>98141.5</v>
      </c>
      <c r="L227" s="49">
        <f>L226+D227-SUMIFS(рапорт!$Q:$Q,рапорт!$A:$A,A227)-SUMIFS(рапорт!$U:$U,рапорт!$A:$A,A227)/4</f>
        <v>45376.5</v>
      </c>
      <c r="M227" s="50">
        <f>M226+E227-SUMIFS(рапорт!$R:$R,рапорт!$A:$A,A227)-SUMIFS(рапорт!$U:$U,рапорт!$A:$A,A227)/4</f>
        <v>86951.5</v>
      </c>
      <c r="O227" s="55">
        <v>46246</v>
      </c>
      <c r="P227" s="48"/>
      <c r="Q227" s="49"/>
      <c r="R227" s="49"/>
      <c r="S227" s="50"/>
      <c r="T227" s="60">
        <f t="shared" si="54"/>
        <v>0</v>
      </c>
      <c r="U227" s="48">
        <f t="shared" si="47"/>
        <v>749400</v>
      </c>
      <c r="V227" s="49">
        <f t="shared" si="56"/>
        <v>0</v>
      </c>
      <c r="W227" s="49">
        <f t="shared" si="56"/>
        <v>0</v>
      </c>
      <c r="X227" s="50">
        <f t="shared" si="56"/>
        <v>0</v>
      </c>
      <c r="Y227" s="73">
        <f t="shared" si="55"/>
        <v>749400</v>
      </c>
    </row>
    <row r="228" spans="1:25" x14ac:dyDescent="0.2">
      <c r="A228" s="55">
        <v>46247</v>
      </c>
      <c r="B228" s="48"/>
      <c r="C228" s="49"/>
      <c r="D228" s="49"/>
      <c r="E228" s="50"/>
      <c r="F228" s="48">
        <f t="shared" si="49"/>
        <v>42123</v>
      </c>
      <c r="G228" s="49">
        <f t="shared" si="50"/>
        <v>69725</v>
      </c>
      <c r="H228" s="49">
        <f t="shared" si="51"/>
        <v>0</v>
      </c>
      <c r="I228" s="50">
        <f t="shared" si="52"/>
        <v>14417</v>
      </c>
      <c r="J228" s="48">
        <f>J227+B228-SUMIFS(рапорт!$O:$O,рапорт!$A:$A,A228)-SUMIFS(рапорт!$U:$U,рапорт!$A:$A,A228)/4</f>
        <v>60640.5</v>
      </c>
      <c r="K228" s="49">
        <f>K227+C228-SUMIFS(рапорт!$P:$P,рапорт!$A:$A,A228)-SUMIFS(рапорт!$U:$U,рапорт!$A:$A,A228)/4</f>
        <v>98141.5</v>
      </c>
      <c r="L228" s="49">
        <f>L227+D228-SUMIFS(рапорт!$Q:$Q,рапорт!$A:$A,A228)-SUMIFS(рапорт!$U:$U,рапорт!$A:$A,A228)/4</f>
        <v>45376.5</v>
      </c>
      <c r="M228" s="50">
        <f>M227+E228-SUMIFS(рапорт!$R:$R,рапорт!$A:$A,A228)-SUMIFS(рапорт!$U:$U,рапорт!$A:$A,A228)/4</f>
        <v>86951.5</v>
      </c>
      <c r="O228" s="55">
        <v>46247</v>
      </c>
      <c r="P228" s="48"/>
      <c r="Q228" s="49"/>
      <c r="R228" s="49"/>
      <c r="S228" s="50"/>
      <c r="T228" s="60">
        <f t="shared" si="54"/>
        <v>0</v>
      </c>
      <c r="U228" s="48">
        <f t="shared" si="47"/>
        <v>749400</v>
      </c>
      <c r="V228" s="49">
        <f t="shared" ref="V228:X243" si="57">V227</f>
        <v>0</v>
      </c>
      <c r="W228" s="49">
        <f t="shared" si="57"/>
        <v>0</v>
      </c>
      <c r="X228" s="50">
        <f t="shared" si="57"/>
        <v>0</v>
      </c>
      <c r="Y228" s="73">
        <f t="shared" si="55"/>
        <v>749400</v>
      </c>
    </row>
    <row r="229" spans="1:25" x14ac:dyDescent="0.2">
      <c r="A229" s="55">
        <v>46248</v>
      </c>
      <c r="B229" s="48"/>
      <c r="C229" s="49"/>
      <c r="D229" s="49"/>
      <c r="E229" s="50"/>
      <c r="F229" s="48">
        <f t="shared" si="49"/>
        <v>42123</v>
      </c>
      <c r="G229" s="49">
        <f t="shared" si="50"/>
        <v>69725</v>
      </c>
      <c r="H229" s="49">
        <f t="shared" si="51"/>
        <v>0</v>
      </c>
      <c r="I229" s="50">
        <f t="shared" si="52"/>
        <v>14417</v>
      </c>
      <c r="J229" s="48">
        <f>J228+B229-SUMIFS(рапорт!$O:$O,рапорт!$A:$A,A229)-SUMIFS(рапорт!$U:$U,рапорт!$A:$A,A229)/4</f>
        <v>60640.5</v>
      </c>
      <c r="K229" s="49">
        <f>K228+C229-SUMIFS(рапорт!$P:$P,рапорт!$A:$A,A229)-SUMIFS(рапорт!$U:$U,рапорт!$A:$A,A229)/4</f>
        <v>98141.5</v>
      </c>
      <c r="L229" s="49">
        <f>L228+D229-SUMIFS(рапорт!$Q:$Q,рапорт!$A:$A,A229)-SUMIFS(рапорт!$U:$U,рапорт!$A:$A,A229)/4</f>
        <v>45376.5</v>
      </c>
      <c r="M229" s="50">
        <f>M228+E229-SUMIFS(рапорт!$R:$R,рапорт!$A:$A,A229)-SUMIFS(рапорт!$U:$U,рапорт!$A:$A,A229)/4</f>
        <v>86951.5</v>
      </c>
      <c r="O229" s="55">
        <v>46248</v>
      </c>
      <c r="P229" s="48"/>
      <c r="Q229" s="49"/>
      <c r="R229" s="49"/>
      <c r="S229" s="50"/>
      <c r="T229" s="60">
        <f t="shared" si="54"/>
        <v>0</v>
      </c>
      <c r="U229" s="48">
        <f t="shared" si="47"/>
        <v>749400</v>
      </c>
      <c r="V229" s="49">
        <f t="shared" si="57"/>
        <v>0</v>
      </c>
      <c r="W229" s="49">
        <f t="shared" si="57"/>
        <v>0</v>
      </c>
      <c r="X229" s="50">
        <f t="shared" si="57"/>
        <v>0</v>
      </c>
      <c r="Y229" s="73">
        <f t="shared" si="55"/>
        <v>749400</v>
      </c>
    </row>
    <row r="230" spans="1:25" x14ac:dyDescent="0.2">
      <c r="A230" s="55">
        <v>46249</v>
      </c>
      <c r="B230" s="48"/>
      <c r="C230" s="49"/>
      <c r="D230" s="49"/>
      <c r="E230" s="50"/>
      <c r="F230" s="48">
        <f t="shared" si="49"/>
        <v>42123</v>
      </c>
      <c r="G230" s="49">
        <f t="shared" si="50"/>
        <v>69725</v>
      </c>
      <c r="H230" s="49">
        <f t="shared" si="51"/>
        <v>0</v>
      </c>
      <c r="I230" s="50">
        <f t="shared" si="52"/>
        <v>14417</v>
      </c>
      <c r="J230" s="48">
        <f>J229+B230-SUMIFS(рапорт!$O:$O,рапорт!$A:$A,A230)-SUMIFS(рапорт!$U:$U,рапорт!$A:$A,A230)/4</f>
        <v>60640.5</v>
      </c>
      <c r="K230" s="49">
        <f>K229+C230-SUMIFS(рапорт!$P:$P,рапорт!$A:$A,A230)-SUMIFS(рапорт!$U:$U,рапорт!$A:$A,A230)/4</f>
        <v>98141.5</v>
      </c>
      <c r="L230" s="49">
        <f>L229+D230-SUMIFS(рапорт!$Q:$Q,рапорт!$A:$A,A230)-SUMIFS(рапорт!$U:$U,рапорт!$A:$A,A230)/4</f>
        <v>45376.5</v>
      </c>
      <c r="M230" s="50">
        <f>M229+E230-SUMIFS(рапорт!$R:$R,рапорт!$A:$A,A230)-SUMIFS(рапорт!$U:$U,рапорт!$A:$A,A230)/4</f>
        <v>86951.5</v>
      </c>
      <c r="O230" s="55">
        <v>46249</v>
      </c>
      <c r="P230" s="48"/>
      <c r="Q230" s="49"/>
      <c r="R230" s="49"/>
      <c r="S230" s="50"/>
      <c r="T230" s="60">
        <f t="shared" si="54"/>
        <v>0</v>
      </c>
      <c r="U230" s="48">
        <f t="shared" si="47"/>
        <v>749400</v>
      </c>
      <c r="V230" s="49">
        <f t="shared" si="57"/>
        <v>0</v>
      </c>
      <c r="W230" s="49">
        <f t="shared" si="57"/>
        <v>0</v>
      </c>
      <c r="X230" s="50">
        <f t="shared" si="57"/>
        <v>0</v>
      </c>
      <c r="Y230" s="73">
        <f t="shared" si="55"/>
        <v>749400</v>
      </c>
    </row>
    <row r="231" spans="1:25" x14ac:dyDescent="0.2">
      <c r="A231" s="55">
        <v>46250</v>
      </c>
      <c r="B231" s="48"/>
      <c r="C231" s="49"/>
      <c r="D231" s="49"/>
      <c r="E231" s="50"/>
      <c r="F231" s="48">
        <f t="shared" si="49"/>
        <v>42123</v>
      </c>
      <c r="G231" s="49">
        <f t="shared" si="50"/>
        <v>69725</v>
      </c>
      <c r="H231" s="49">
        <f t="shared" si="51"/>
        <v>0</v>
      </c>
      <c r="I231" s="50">
        <f t="shared" si="52"/>
        <v>14417</v>
      </c>
      <c r="J231" s="48">
        <f>J230+B231-SUMIFS(рапорт!$O:$O,рапорт!$A:$A,A231)-SUMIFS(рапорт!$U:$U,рапорт!$A:$A,A231)/4</f>
        <v>60640.5</v>
      </c>
      <c r="K231" s="49">
        <f>K230+C231-SUMIFS(рапорт!$P:$P,рапорт!$A:$A,A231)-SUMIFS(рапорт!$U:$U,рапорт!$A:$A,A231)/4</f>
        <v>98141.5</v>
      </c>
      <c r="L231" s="49">
        <f>L230+D231-SUMIFS(рапорт!$Q:$Q,рапорт!$A:$A,A231)-SUMIFS(рапорт!$U:$U,рапорт!$A:$A,A231)/4</f>
        <v>45376.5</v>
      </c>
      <c r="M231" s="50">
        <f>M230+E231-SUMIFS(рапорт!$R:$R,рапорт!$A:$A,A231)-SUMIFS(рапорт!$U:$U,рапорт!$A:$A,A231)/4</f>
        <v>86951.5</v>
      </c>
      <c r="O231" s="55">
        <v>46250</v>
      </c>
      <c r="P231" s="48"/>
      <c r="Q231" s="49"/>
      <c r="R231" s="49"/>
      <c r="S231" s="50"/>
      <c r="T231" s="60">
        <f t="shared" si="54"/>
        <v>0</v>
      </c>
      <c r="U231" s="48">
        <f t="shared" si="47"/>
        <v>749400</v>
      </c>
      <c r="V231" s="49">
        <f t="shared" si="57"/>
        <v>0</v>
      </c>
      <c r="W231" s="49">
        <f t="shared" si="57"/>
        <v>0</v>
      </c>
      <c r="X231" s="50">
        <f t="shared" si="57"/>
        <v>0</v>
      </c>
      <c r="Y231" s="73">
        <f t="shared" si="55"/>
        <v>749400</v>
      </c>
    </row>
    <row r="232" spans="1:25" x14ac:dyDescent="0.2">
      <c r="A232" s="55">
        <v>46251</v>
      </c>
      <c r="B232" s="48"/>
      <c r="C232" s="49"/>
      <c r="D232" s="49"/>
      <c r="E232" s="50"/>
      <c r="F232" s="48">
        <f t="shared" si="49"/>
        <v>42123</v>
      </c>
      <c r="G232" s="49">
        <f t="shared" si="50"/>
        <v>69725</v>
      </c>
      <c r="H232" s="49">
        <f t="shared" si="51"/>
        <v>0</v>
      </c>
      <c r="I232" s="50">
        <f t="shared" si="52"/>
        <v>14417</v>
      </c>
      <c r="J232" s="48">
        <f>J231+B232-SUMIFS(рапорт!$O:$O,рапорт!$A:$A,A232)-SUMIFS(рапорт!$U:$U,рапорт!$A:$A,A232)/4</f>
        <v>60640.5</v>
      </c>
      <c r="K232" s="49">
        <f>K231+C232-SUMIFS(рапорт!$P:$P,рапорт!$A:$A,A232)-SUMIFS(рапорт!$U:$U,рапорт!$A:$A,A232)/4</f>
        <v>98141.5</v>
      </c>
      <c r="L232" s="49">
        <f>L231+D232-SUMIFS(рапорт!$Q:$Q,рапорт!$A:$A,A232)-SUMIFS(рапорт!$U:$U,рапорт!$A:$A,A232)/4</f>
        <v>45376.5</v>
      </c>
      <c r="M232" s="50">
        <f>M231+E232-SUMIFS(рапорт!$R:$R,рапорт!$A:$A,A232)-SUMIFS(рапорт!$U:$U,рапорт!$A:$A,A232)/4</f>
        <v>86951.5</v>
      </c>
      <c r="O232" s="55">
        <v>46251</v>
      </c>
      <c r="P232" s="48"/>
      <c r="Q232" s="49"/>
      <c r="R232" s="49"/>
      <c r="S232" s="50"/>
      <c r="T232" s="60">
        <f t="shared" si="54"/>
        <v>0</v>
      </c>
      <c r="U232" s="48">
        <f t="shared" si="47"/>
        <v>749400</v>
      </c>
      <c r="V232" s="49">
        <f t="shared" si="57"/>
        <v>0</v>
      </c>
      <c r="W232" s="49">
        <f t="shared" si="57"/>
        <v>0</v>
      </c>
      <c r="X232" s="50">
        <f t="shared" si="57"/>
        <v>0</v>
      </c>
      <c r="Y232" s="73">
        <f t="shared" si="55"/>
        <v>749400</v>
      </c>
    </row>
    <row r="233" spans="1:25" x14ac:dyDescent="0.2">
      <c r="A233" s="55">
        <v>46252</v>
      </c>
      <c r="B233" s="48"/>
      <c r="C233" s="49"/>
      <c r="D233" s="49"/>
      <c r="E233" s="50"/>
      <c r="F233" s="48">
        <f t="shared" si="49"/>
        <v>42123</v>
      </c>
      <c r="G233" s="49">
        <f t="shared" si="50"/>
        <v>69725</v>
      </c>
      <c r="H233" s="49">
        <f t="shared" si="51"/>
        <v>0</v>
      </c>
      <c r="I233" s="50">
        <f t="shared" si="52"/>
        <v>14417</v>
      </c>
      <c r="J233" s="48">
        <f>J232+B233-SUMIFS(рапорт!$O:$O,рапорт!$A:$A,A233)-SUMIFS(рапорт!$U:$U,рапорт!$A:$A,A233)/4</f>
        <v>60640.5</v>
      </c>
      <c r="K233" s="49">
        <f>K232+C233-SUMIFS(рапорт!$P:$P,рапорт!$A:$A,A233)-SUMIFS(рапорт!$U:$U,рапорт!$A:$A,A233)/4</f>
        <v>98141.5</v>
      </c>
      <c r="L233" s="49">
        <f>L232+D233-SUMIFS(рапорт!$Q:$Q,рапорт!$A:$A,A233)-SUMIFS(рапорт!$U:$U,рапорт!$A:$A,A233)/4</f>
        <v>45376.5</v>
      </c>
      <c r="M233" s="50">
        <f>M232+E233-SUMIFS(рапорт!$R:$R,рапорт!$A:$A,A233)-SUMIFS(рапорт!$U:$U,рапорт!$A:$A,A233)/4</f>
        <v>86951.5</v>
      </c>
      <c r="O233" s="55">
        <v>46252</v>
      </c>
      <c r="P233" s="48"/>
      <c r="Q233" s="49"/>
      <c r="R233" s="49"/>
      <c r="S233" s="50"/>
      <c r="T233" s="60">
        <f t="shared" si="54"/>
        <v>0</v>
      </c>
      <c r="U233" s="48">
        <f t="shared" si="47"/>
        <v>749400</v>
      </c>
      <c r="V233" s="49">
        <f t="shared" si="57"/>
        <v>0</v>
      </c>
      <c r="W233" s="49">
        <f t="shared" si="57"/>
        <v>0</v>
      </c>
      <c r="X233" s="50">
        <f t="shared" si="57"/>
        <v>0</v>
      </c>
      <c r="Y233" s="73">
        <f t="shared" si="55"/>
        <v>749400</v>
      </c>
    </row>
    <row r="234" spans="1:25" x14ac:dyDescent="0.2">
      <c r="A234" s="55">
        <v>46253</v>
      </c>
      <c r="B234" s="48"/>
      <c r="C234" s="49"/>
      <c r="D234" s="49"/>
      <c r="E234" s="50"/>
      <c r="F234" s="48">
        <f t="shared" si="49"/>
        <v>42123</v>
      </c>
      <c r="G234" s="49">
        <f t="shared" si="50"/>
        <v>69725</v>
      </c>
      <c r="H234" s="49">
        <f t="shared" si="51"/>
        <v>0</v>
      </c>
      <c r="I234" s="50">
        <f t="shared" si="52"/>
        <v>14417</v>
      </c>
      <c r="J234" s="48">
        <f>J233+B234-SUMIFS(рапорт!$O:$O,рапорт!$A:$A,A234)-SUMIFS(рапорт!$U:$U,рапорт!$A:$A,A234)/4</f>
        <v>60640.5</v>
      </c>
      <c r="K234" s="49">
        <f>K233+C234-SUMIFS(рапорт!$P:$P,рапорт!$A:$A,A234)-SUMIFS(рапорт!$U:$U,рапорт!$A:$A,A234)/4</f>
        <v>98141.5</v>
      </c>
      <c r="L234" s="49">
        <f>L233+D234-SUMIFS(рапорт!$Q:$Q,рапорт!$A:$A,A234)-SUMIFS(рапорт!$U:$U,рапорт!$A:$A,A234)/4</f>
        <v>45376.5</v>
      </c>
      <c r="M234" s="50">
        <f>M233+E234-SUMIFS(рапорт!$R:$R,рапорт!$A:$A,A234)-SUMIFS(рапорт!$U:$U,рапорт!$A:$A,A234)/4</f>
        <v>86951.5</v>
      </c>
      <c r="O234" s="55">
        <v>46253</v>
      </c>
      <c r="P234" s="48"/>
      <c r="Q234" s="49"/>
      <c r="R234" s="49"/>
      <c r="S234" s="50"/>
      <c r="T234" s="60">
        <f t="shared" si="54"/>
        <v>0</v>
      </c>
      <c r="U234" s="48">
        <f t="shared" si="47"/>
        <v>749400</v>
      </c>
      <c r="V234" s="49">
        <f t="shared" si="57"/>
        <v>0</v>
      </c>
      <c r="W234" s="49">
        <f t="shared" si="57"/>
        <v>0</v>
      </c>
      <c r="X234" s="50">
        <f t="shared" si="57"/>
        <v>0</v>
      </c>
      <c r="Y234" s="73">
        <f t="shared" si="55"/>
        <v>749400</v>
      </c>
    </row>
    <row r="235" spans="1:25" x14ac:dyDescent="0.2">
      <c r="A235" s="55">
        <v>46254</v>
      </c>
      <c r="B235" s="48"/>
      <c r="C235" s="49"/>
      <c r="D235" s="49"/>
      <c r="E235" s="50"/>
      <c r="F235" s="48">
        <f t="shared" si="49"/>
        <v>42123</v>
      </c>
      <c r="G235" s="49">
        <f t="shared" si="50"/>
        <v>69725</v>
      </c>
      <c r="H235" s="49">
        <f t="shared" si="51"/>
        <v>0</v>
      </c>
      <c r="I235" s="50">
        <f t="shared" si="52"/>
        <v>14417</v>
      </c>
      <c r="J235" s="48">
        <f>J234+B235-SUMIFS(рапорт!$O:$O,рапорт!$A:$A,A235)-SUMIFS(рапорт!$U:$U,рапорт!$A:$A,A235)/4</f>
        <v>60640.5</v>
      </c>
      <c r="K235" s="49">
        <f>K234+C235-SUMIFS(рапорт!$P:$P,рапорт!$A:$A,A235)-SUMIFS(рапорт!$U:$U,рапорт!$A:$A,A235)/4</f>
        <v>98141.5</v>
      </c>
      <c r="L235" s="49">
        <f>L234+D235-SUMIFS(рапорт!$Q:$Q,рапорт!$A:$A,A235)-SUMIFS(рапорт!$U:$U,рапорт!$A:$A,A235)/4</f>
        <v>45376.5</v>
      </c>
      <c r="M235" s="50">
        <f>M234+E235-SUMIFS(рапорт!$R:$R,рапорт!$A:$A,A235)-SUMIFS(рапорт!$U:$U,рапорт!$A:$A,A235)/4</f>
        <v>86951.5</v>
      </c>
      <c r="O235" s="55">
        <v>46254</v>
      </c>
      <c r="P235" s="48"/>
      <c r="Q235" s="49"/>
      <c r="R235" s="49"/>
      <c r="S235" s="50"/>
      <c r="T235" s="60">
        <f t="shared" si="54"/>
        <v>0</v>
      </c>
      <c r="U235" s="48">
        <f t="shared" si="47"/>
        <v>749400</v>
      </c>
      <c r="V235" s="49">
        <f t="shared" si="57"/>
        <v>0</v>
      </c>
      <c r="W235" s="49">
        <f t="shared" si="57"/>
        <v>0</v>
      </c>
      <c r="X235" s="50">
        <f t="shared" si="57"/>
        <v>0</v>
      </c>
      <c r="Y235" s="73">
        <f t="shared" si="55"/>
        <v>749400</v>
      </c>
    </row>
    <row r="236" spans="1:25" x14ac:dyDescent="0.2">
      <c r="A236" s="55">
        <v>46255</v>
      </c>
      <c r="B236" s="48"/>
      <c r="C236" s="49"/>
      <c r="D236" s="49"/>
      <c r="E236" s="50"/>
      <c r="F236" s="48">
        <f t="shared" si="49"/>
        <v>42123</v>
      </c>
      <c r="G236" s="49">
        <f t="shared" si="50"/>
        <v>69725</v>
      </c>
      <c r="H236" s="49">
        <f t="shared" si="51"/>
        <v>0</v>
      </c>
      <c r="I236" s="50">
        <f t="shared" si="52"/>
        <v>14417</v>
      </c>
      <c r="J236" s="48">
        <f>J235+B236-SUMIFS(рапорт!$O:$O,рапорт!$A:$A,A236)-SUMIFS(рапорт!$U:$U,рапорт!$A:$A,A236)/4</f>
        <v>60640.5</v>
      </c>
      <c r="K236" s="49">
        <f>K235+C236-SUMIFS(рапорт!$P:$P,рапорт!$A:$A,A236)-SUMIFS(рапорт!$U:$U,рапорт!$A:$A,A236)/4</f>
        <v>98141.5</v>
      </c>
      <c r="L236" s="49">
        <f>L235+D236-SUMIFS(рапорт!$Q:$Q,рапорт!$A:$A,A236)-SUMIFS(рапорт!$U:$U,рапорт!$A:$A,A236)/4</f>
        <v>45376.5</v>
      </c>
      <c r="M236" s="50">
        <f>M235+E236-SUMIFS(рапорт!$R:$R,рапорт!$A:$A,A236)-SUMIFS(рапорт!$U:$U,рапорт!$A:$A,A236)/4</f>
        <v>86951.5</v>
      </c>
      <c r="O236" s="55">
        <v>46255</v>
      </c>
      <c r="P236" s="48"/>
      <c r="Q236" s="49"/>
      <c r="R236" s="49"/>
      <c r="S236" s="50"/>
      <c r="T236" s="60">
        <f t="shared" si="54"/>
        <v>0</v>
      </c>
      <c r="U236" s="48">
        <f t="shared" si="47"/>
        <v>749400</v>
      </c>
      <c r="V236" s="49">
        <f t="shared" si="57"/>
        <v>0</v>
      </c>
      <c r="W236" s="49">
        <f t="shared" si="57"/>
        <v>0</v>
      </c>
      <c r="X236" s="50">
        <f t="shared" si="57"/>
        <v>0</v>
      </c>
      <c r="Y236" s="73">
        <f t="shared" si="55"/>
        <v>749400</v>
      </c>
    </row>
    <row r="237" spans="1:25" x14ac:dyDescent="0.2">
      <c r="A237" s="55">
        <v>46256</v>
      </c>
      <c r="B237" s="48"/>
      <c r="C237" s="49"/>
      <c r="D237" s="49"/>
      <c r="E237" s="50"/>
      <c r="F237" s="48">
        <f t="shared" si="49"/>
        <v>42123</v>
      </c>
      <c r="G237" s="49">
        <f t="shared" si="50"/>
        <v>69725</v>
      </c>
      <c r="H237" s="49">
        <f t="shared" si="51"/>
        <v>0</v>
      </c>
      <c r="I237" s="50">
        <f t="shared" si="52"/>
        <v>14417</v>
      </c>
      <c r="J237" s="48">
        <f>J236+B237-SUMIFS(рапорт!$O:$O,рапорт!$A:$A,A237)-SUMIFS(рапорт!$U:$U,рапорт!$A:$A,A237)/4</f>
        <v>60640.5</v>
      </c>
      <c r="K237" s="49">
        <f>K236+C237-SUMIFS(рапорт!$P:$P,рапорт!$A:$A,A237)-SUMIFS(рапорт!$U:$U,рапорт!$A:$A,A237)/4</f>
        <v>98141.5</v>
      </c>
      <c r="L237" s="49">
        <f>L236+D237-SUMIFS(рапорт!$Q:$Q,рапорт!$A:$A,A237)-SUMIFS(рапорт!$U:$U,рапорт!$A:$A,A237)/4</f>
        <v>45376.5</v>
      </c>
      <c r="M237" s="50">
        <f>M236+E237-SUMIFS(рапорт!$R:$R,рапорт!$A:$A,A237)-SUMIFS(рапорт!$U:$U,рапорт!$A:$A,A237)/4</f>
        <v>86951.5</v>
      </c>
      <c r="O237" s="55">
        <v>46256</v>
      </c>
      <c r="P237" s="48"/>
      <c r="Q237" s="49"/>
      <c r="R237" s="49"/>
      <c r="S237" s="50"/>
      <c r="T237" s="60">
        <f t="shared" si="54"/>
        <v>0</v>
      </c>
      <c r="U237" s="48">
        <f t="shared" si="47"/>
        <v>749400</v>
      </c>
      <c r="V237" s="49">
        <f t="shared" si="57"/>
        <v>0</v>
      </c>
      <c r="W237" s="49">
        <f t="shared" si="57"/>
        <v>0</v>
      </c>
      <c r="X237" s="50">
        <f t="shared" si="57"/>
        <v>0</v>
      </c>
      <c r="Y237" s="73">
        <f t="shared" si="55"/>
        <v>749400</v>
      </c>
    </row>
    <row r="238" spans="1:25" x14ac:dyDescent="0.2">
      <c r="A238" s="55">
        <v>46257</v>
      </c>
      <c r="B238" s="48"/>
      <c r="C238" s="49"/>
      <c r="D238" s="49"/>
      <c r="E238" s="50"/>
      <c r="F238" s="48">
        <f t="shared" si="49"/>
        <v>42123</v>
      </c>
      <c r="G238" s="49">
        <f t="shared" si="50"/>
        <v>69725</v>
      </c>
      <c r="H238" s="49">
        <f t="shared" si="51"/>
        <v>0</v>
      </c>
      <c r="I238" s="50">
        <f t="shared" si="52"/>
        <v>14417</v>
      </c>
      <c r="J238" s="48">
        <f>J237+B238-SUMIFS(рапорт!$O:$O,рапорт!$A:$A,A238)-SUMIFS(рапорт!$U:$U,рапорт!$A:$A,A238)/4</f>
        <v>60640.5</v>
      </c>
      <c r="K238" s="49">
        <f>K237+C238-SUMIFS(рапорт!$P:$P,рапорт!$A:$A,A238)-SUMIFS(рапорт!$U:$U,рапорт!$A:$A,A238)/4</f>
        <v>98141.5</v>
      </c>
      <c r="L238" s="49">
        <f>L237+D238-SUMIFS(рапорт!$Q:$Q,рапорт!$A:$A,A238)-SUMIFS(рапорт!$U:$U,рапорт!$A:$A,A238)/4</f>
        <v>45376.5</v>
      </c>
      <c r="M238" s="50">
        <f>M237+E238-SUMIFS(рапорт!$R:$R,рапорт!$A:$A,A238)-SUMIFS(рапорт!$U:$U,рапорт!$A:$A,A238)/4</f>
        <v>86951.5</v>
      </c>
      <c r="O238" s="55">
        <v>46257</v>
      </c>
      <c r="P238" s="48"/>
      <c r="Q238" s="49"/>
      <c r="R238" s="49"/>
      <c r="S238" s="50"/>
      <c r="T238" s="60">
        <f t="shared" si="54"/>
        <v>0</v>
      </c>
      <c r="U238" s="48">
        <f t="shared" si="47"/>
        <v>749400</v>
      </c>
      <c r="V238" s="49">
        <f t="shared" si="57"/>
        <v>0</v>
      </c>
      <c r="W238" s="49">
        <f t="shared" si="57"/>
        <v>0</v>
      </c>
      <c r="X238" s="50">
        <f t="shared" si="57"/>
        <v>0</v>
      </c>
      <c r="Y238" s="73">
        <f t="shared" si="55"/>
        <v>749400</v>
      </c>
    </row>
    <row r="239" spans="1:25" x14ac:dyDescent="0.2">
      <c r="A239" s="55">
        <v>46258</v>
      </c>
      <c r="B239" s="48"/>
      <c r="C239" s="49"/>
      <c r="D239" s="49"/>
      <c r="E239" s="50"/>
      <c r="F239" s="48">
        <f t="shared" si="49"/>
        <v>42123</v>
      </c>
      <c r="G239" s="49">
        <f t="shared" si="50"/>
        <v>69725</v>
      </c>
      <c r="H239" s="49">
        <f t="shared" si="51"/>
        <v>0</v>
      </c>
      <c r="I239" s="50">
        <f t="shared" si="52"/>
        <v>14417</v>
      </c>
      <c r="J239" s="48">
        <f>J238+B239-SUMIFS(рапорт!$O:$O,рапорт!$A:$A,A239)-SUMIFS(рапорт!$U:$U,рапорт!$A:$A,A239)/4</f>
        <v>60640.5</v>
      </c>
      <c r="K239" s="49">
        <f>K238+C239-SUMIFS(рапорт!$P:$P,рапорт!$A:$A,A239)-SUMIFS(рапорт!$U:$U,рапорт!$A:$A,A239)/4</f>
        <v>98141.5</v>
      </c>
      <c r="L239" s="49">
        <f>L238+D239-SUMIFS(рапорт!$Q:$Q,рапорт!$A:$A,A239)-SUMIFS(рапорт!$U:$U,рапорт!$A:$A,A239)/4</f>
        <v>45376.5</v>
      </c>
      <c r="M239" s="50">
        <f>M238+E239-SUMIFS(рапорт!$R:$R,рапорт!$A:$A,A239)-SUMIFS(рапорт!$U:$U,рапорт!$A:$A,A239)/4</f>
        <v>86951.5</v>
      </c>
      <c r="O239" s="55">
        <v>46258</v>
      </c>
      <c r="P239" s="48"/>
      <c r="Q239" s="49"/>
      <c r="R239" s="49"/>
      <c r="S239" s="50"/>
      <c r="T239" s="60">
        <f t="shared" si="54"/>
        <v>0</v>
      </c>
      <c r="U239" s="48">
        <f t="shared" si="47"/>
        <v>749400</v>
      </c>
      <c r="V239" s="49">
        <f t="shared" si="57"/>
        <v>0</v>
      </c>
      <c r="W239" s="49">
        <f t="shared" si="57"/>
        <v>0</v>
      </c>
      <c r="X239" s="50">
        <f t="shared" si="57"/>
        <v>0</v>
      </c>
      <c r="Y239" s="73">
        <f t="shared" si="55"/>
        <v>749400</v>
      </c>
    </row>
    <row r="240" spans="1:25" x14ac:dyDescent="0.2">
      <c r="A240" s="55">
        <v>46259</v>
      </c>
      <c r="B240" s="48"/>
      <c r="C240" s="49"/>
      <c r="D240" s="49"/>
      <c r="E240" s="50"/>
      <c r="F240" s="48">
        <f t="shared" si="49"/>
        <v>42123</v>
      </c>
      <c r="G240" s="49">
        <f t="shared" si="50"/>
        <v>69725</v>
      </c>
      <c r="H240" s="49">
        <f t="shared" si="51"/>
        <v>0</v>
      </c>
      <c r="I240" s="50">
        <f t="shared" si="52"/>
        <v>14417</v>
      </c>
      <c r="J240" s="48">
        <f>J239+B240-SUMIFS(рапорт!$O:$O,рапорт!$A:$A,A240)-SUMIFS(рапорт!$U:$U,рапорт!$A:$A,A240)/4</f>
        <v>60640.5</v>
      </c>
      <c r="K240" s="49">
        <f>K239+C240-SUMIFS(рапорт!$P:$P,рапорт!$A:$A,A240)-SUMIFS(рапорт!$U:$U,рапорт!$A:$A,A240)/4</f>
        <v>98141.5</v>
      </c>
      <c r="L240" s="49">
        <f>L239+D240-SUMIFS(рапорт!$Q:$Q,рапорт!$A:$A,A240)-SUMIFS(рапорт!$U:$U,рапорт!$A:$A,A240)/4</f>
        <v>45376.5</v>
      </c>
      <c r="M240" s="50">
        <f>M239+E240-SUMIFS(рапорт!$R:$R,рапорт!$A:$A,A240)-SUMIFS(рапорт!$U:$U,рапорт!$A:$A,A240)/4</f>
        <v>86951.5</v>
      </c>
      <c r="O240" s="55">
        <v>46259</v>
      </c>
      <c r="P240" s="48"/>
      <c r="Q240" s="49"/>
      <c r="R240" s="49"/>
      <c r="S240" s="50"/>
      <c r="T240" s="60">
        <f t="shared" si="54"/>
        <v>0</v>
      </c>
      <c r="U240" s="48">
        <f t="shared" si="47"/>
        <v>749400</v>
      </c>
      <c r="V240" s="49">
        <f t="shared" si="57"/>
        <v>0</v>
      </c>
      <c r="W240" s="49">
        <f t="shared" si="57"/>
        <v>0</v>
      </c>
      <c r="X240" s="50">
        <f t="shared" si="57"/>
        <v>0</v>
      </c>
      <c r="Y240" s="73">
        <f t="shared" si="55"/>
        <v>749400</v>
      </c>
    </row>
    <row r="241" spans="1:25" x14ac:dyDescent="0.2">
      <c r="A241" s="55">
        <v>46260</v>
      </c>
      <c r="B241" s="48"/>
      <c r="C241" s="49"/>
      <c r="D241" s="49"/>
      <c r="E241" s="50"/>
      <c r="F241" s="48">
        <f t="shared" si="49"/>
        <v>42123</v>
      </c>
      <c r="G241" s="49">
        <f t="shared" si="50"/>
        <v>69725</v>
      </c>
      <c r="H241" s="49">
        <f t="shared" si="51"/>
        <v>0</v>
      </c>
      <c r="I241" s="50">
        <f t="shared" si="52"/>
        <v>14417</v>
      </c>
      <c r="J241" s="48">
        <f>J240+B241-SUMIFS(рапорт!$O:$O,рапорт!$A:$A,A241)-SUMIFS(рапорт!$U:$U,рапорт!$A:$A,A241)/4</f>
        <v>60640.5</v>
      </c>
      <c r="K241" s="49">
        <f>K240+C241-SUMIFS(рапорт!$P:$P,рапорт!$A:$A,A241)-SUMIFS(рапорт!$U:$U,рапорт!$A:$A,A241)/4</f>
        <v>98141.5</v>
      </c>
      <c r="L241" s="49">
        <f>L240+D241-SUMIFS(рапорт!$Q:$Q,рапорт!$A:$A,A241)-SUMIFS(рапорт!$U:$U,рапорт!$A:$A,A241)/4</f>
        <v>45376.5</v>
      </c>
      <c r="M241" s="50">
        <f>M240+E241-SUMIFS(рапорт!$R:$R,рапорт!$A:$A,A241)-SUMIFS(рапорт!$U:$U,рапорт!$A:$A,A241)/4</f>
        <v>86951.5</v>
      </c>
      <c r="O241" s="55">
        <v>46260</v>
      </c>
      <c r="P241" s="48"/>
      <c r="Q241" s="49"/>
      <c r="R241" s="49"/>
      <c r="S241" s="50"/>
      <c r="T241" s="60">
        <f t="shared" si="54"/>
        <v>0</v>
      </c>
      <c r="U241" s="48">
        <f t="shared" si="47"/>
        <v>749400</v>
      </c>
      <c r="V241" s="49">
        <f t="shared" si="57"/>
        <v>0</v>
      </c>
      <c r="W241" s="49">
        <f t="shared" si="57"/>
        <v>0</v>
      </c>
      <c r="X241" s="50">
        <f t="shared" si="57"/>
        <v>0</v>
      </c>
      <c r="Y241" s="73">
        <f t="shared" si="55"/>
        <v>749400</v>
      </c>
    </row>
    <row r="242" spans="1:25" x14ac:dyDescent="0.2">
      <c r="A242" s="55">
        <v>46261</v>
      </c>
      <c r="B242" s="48"/>
      <c r="C242" s="49"/>
      <c r="D242" s="49"/>
      <c r="E242" s="50"/>
      <c r="F242" s="48">
        <f t="shared" si="49"/>
        <v>42123</v>
      </c>
      <c r="G242" s="49">
        <f t="shared" si="50"/>
        <v>69725</v>
      </c>
      <c r="H242" s="49">
        <f t="shared" si="51"/>
        <v>0</v>
      </c>
      <c r="I242" s="50">
        <f t="shared" si="52"/>
        <v>14417</v>
      </c>
      <c r="J242" s="48">
        <f>J241+B242-SUMIFS(рапорт!$O:$O,рапорт!$A:$A,A242)-SUMIFS(рапорт!$U:$U,рапорт!$A:$A,A242)/4</f>
        <v>60640.5</v>
      </c>
      <c r="K242" s="49">
        <f>K241+C242-SUMIFS(рапорт!$P:$P,рапорт!$A:$A,A242)-SUMIFS(рапорт!$U:$U,рапорт!$A:$A,A242)/4</f>
        <v>98141.5</v>
      </c>
      <c r="L242" s="49">
        <f>L241+D242-SUMIFS(рапорт!$Q:$Q,рапорт!$A:$A,A242)-SUMIFS(рапорт!$U:$U,рапорт!$A:$A,A242)/4</f>
        <v>45376.5</v>
      </c>
      <c r="M242" s="50">
        <f>M241+E242-SUMIFS(рапорт!$R:$R,рапорт!$A:$A,A242)-SUMIFS(рапорт!$U:$U,рапорт!$A:$A,A242)/4</f>
        <v>86951.5</v>
      </c>
      <c r="O242" s="55">
        <v>46261</v>
      </c>
      <c r="P242" s="48"/>
      <c r="Q242" s="49"/>
      <c r="R242" s="49"/>
      <c r="S242" s="50"/>
      <c r="T242" s="60">
        <f t="shared" si="54"/>
        <v>0</v>
      </c>
      <c r="U242" s="48">
        <f t="shared" ref="U242:U305" si="58">U241</f>
        <v>749400</v>
      </c>
      <c r="V242" s="49">
        <f t="shared" si="57"/>
        <v>0</v>
      </c>
      <c r="W242" s="49">
        <f t="shared" si="57"/>
        <v>0</v>
      </c>
      <c r="X242" s="50">
        <f t="shared" si="57"/>
        <v>0</v>
      </c>
      <c r="Y242" s="73">
        <f t="shared" si="55"/>
        <v>749400</v>
      </c>
    </row>
    <row r="243" spans="1:25" x14ac:dyDescent="0.2">
      <c r="A243" s="55">
        <v>46262</v>
      </c>
      <c r="B243" s="48"/>
      <c r="C243" s="49"/>
      <c r="D243" s="49"/>
      <c r="E243" s="50"/>
      <c r="F243" s="48">
        <f t="shared" si="49"/>
        <v>42123</v>
      </c>
      <c r="G243" s="49">
        <f t="shared" si="50"/>
        <v>69725</v>
      </c>
      <c r="H243" s="49">
        <f t="shared" si="51"/>
        <v>0</v>
      </c>
      <c r="I243" s="50">
        <f t="shared" si="52"/>
        <v>14417</v>
      </c>
      <c r="J243" s="48">
        <f>J242+B243-SUMIFS(рапорт!$O:$O,рапорт!$A:$A,A243)-SUMIFS(рапорт!$U:$U,рапорт!$A:$A,A243)/4</f>
        <v>60640.5</v>
      </c>
      <c r="K243" s="49">
        <f>K242+C243-SUMIFS(рапорт!$P:$P,рапорт!$A:$A,A243)-SUMIFS(рапорт!$U:$U,рапорт!$A:$A,A243)/4</f>
        <v>98141.5</v>
      </c>
      <c r="L243" s="49">
        <f>L242+D243-SUMIFS(рапорт!$Q:$Q,рапорт!$A:$A,A243)-SUMIFS(рапорт!$U:$U,рапорт!$A:$A,A243)/4</f>
        <v>45376.5</v>
      </c>
      <c r="M243" s="50">
        <f>M242+E243-SUMIFS(рапорт!$R:$R,рапорт!$A:$A,A243)-SUMIFS(рапорт!$U:$U,рапорт!$A:$A,A243)/4</f>
        <v>86951.5</v>
      </c>
      <c r="O243" s="55">
        <v>46262</v>
      </c>
      <c r="P243" s="48"/>
      <c r="Q243" s="49"/>
      <c r="R243" s="49"/>
      <c r="S243" s="50"/>
      <c r="T243" s="60">
        <f t="shared" si="54"/>
        <v>0</v>
      </c>
      <c r="U243" s="48">
        <f t="shared" si="58"/>
        <v>749400</v>
      </c>
      <c r="V243" s="49">
        <f t="shared" si="57"/>
        <v>0</v>
      </c>
      <c r="W243" s="49">
        <f t="shared" si="57"/>
        <v>0</v>
      </c>
      <c r="X243" s="50">
        <f t="shared" si="57"/>
        <v>0</v>
      </c>
      <c r="Y243" s="73">
        <f t="shared" si="55"/>
        <v>749400</v>
      </c>
    </row>
    <row r="244" spans="1:25" x14ac:dyDescent="0.2">
      <c r="A244" s="55">
        <v>46263</v>
      </c>
      <c r="B244" s="48"/>
      <c r="C244" s="49"/>
      <c r="D244" s="49"/>
      <c r="E244" s="50"/>
      <c r="F244" s="48">
        <f t="shared" si="49"/>
        <v>42123</v>
      </c>
      <c r="G244" s="49">
        <f t="shared" si="50"/>
        <v>69725</v>
      </c>
      <c r="H244" s="49">
        <f t="shared" si="51"/>
        <v>0</v>
      </c>
      <c r="I244" s="50">
        <f t="shared" si="52"/>
        <v>14417</v>
      </c>
      <c r="J244" s="48">
        <f>J243+B244-SUMIFS(рапорт!$O:$O,рапорт!$A:$A,A244)-SUMIFS(рапорт!$U:$U,рапорт!$A:$A,A244)/4</f>
        <v>60640.5</v>
      </c>
      <c r="K244" s="49">
        <f>K243+C244-SUMIFS(рапорт!$P:$P,рапорт!$A:$A,A244)-SUMIFS(рапорт!$U:$U,рапорт!$A:$A,A244)/4</f>
        <v>98141.5</v>
      </c>
      <c r="L244" s="49">
        <f>L243+D244-SUMIFS(рапорт!$Q:$Q,рапорт!$A:$A,A244)-SUMIFS(рапорт!$U:$U,рапорт!$A:$A,A244)/4</f>
        <v>45376.5</v>
      </c>
      <c r="M244" s="50">
        <f>M243+E244-SUMIFS(рапорт!$R:$R,рапорт!$A:$A,A244)-SUMIFS(рапорт!$U:$U,рапорт!$A:$A,A244)/4</f>
        <v>86951.5</v>
      </c>
      <c r="O244" s="55">
        <v>46263</v>
      </c>
      <c r="P244" s="48"/>
      <c r="Q244" s="49"/>
      <c r="R244" s="49"/>
      <c r="S244" s="50"/>
      <c r="T244" s="60">
        <f t="shared" si="54"/>
        <v>0</v>
      </c>
      <c r="U244" s="48">
        <f t="shared" si="58"/>
        <v>749400</v>
      </c>
      <c r="V244" s="49">
        <f t="shared" ref="V244:X259" si="59">V243</f>
        <v>0</v>
      </c>
      <c r="W244" s="49">
        <f t="shared" si="59"/>
        <v>0</v>
      </c>
      <c r="X244" s="50">
        <f t="shared" si="59"/>
        <v>0</v>
      </c>
      <c r="Y244" s="73">
        <f t="shared" si="55"/>
        <v>749400</v>
      </c>
    </row>
    <row r="245" spans="1:25" x14ac:dyDescent="0.2">
      <c r="A245" s="55">
        <v>46264</v>
      </c>
      <c r="B245" s="48"/>
      <c r="C245" s="49"/>
      <c r="D245" s="49"/>
      <c r="E245" s="50"/>
      <c r="F245" s="48">
        <f t="shared" si="49"/>
        <v>42123</v>
      </c>
      <c r="G245" s="49">
        <f t="shared" si="50"/>
        <v>69725</v>
      </c>
      <c r="H245" s="49">
        <f t="shared" si="51"/>
        <v>0</v>
      </c>
      <c r="I245" s="50">
        <f t="shared" si="52"/>
        <v>14417</v>
      </c>
      <c r="J245" s="48">
        <f>J244+B245-SUMIFS(рапорт!$O:$O,рапорт!$A:$A,A245)-SUMIFS(рапорт!$U:$U,рапорт!$A:$A,A245)/4</f>
        <v>60640.5</v>
      </c>
      <c r="K245" s="49">
        <f>K244+C245-SUMIFS(рапорт!$P:$P,рапорт!$A:$A,A245)-SUMIFS(рапорт!$U:$U,рапорт!$A:$A,A245)/4</f>
        <v>98141.5</v>
      </c>
      <c r="L245" s="49">
        <f>L244+D245-SUMIFS(рапорт!$Q:$Q,рапорт!$A:$A,A245)-SUMIFS(рапорт!$U:$U,рапорт!$A:$A,A245)/4</f>
        <v>45376.5</v>
      </c>
      <c r="M245" s="50">
        <f>M244+E245-SUMIFS(рапорт!$R:$R,рапорт!$A:$A,A245)-SUMIFS(рапорт!$U:$U,рапорт!$A:$A,A245)/4</f>
        <v>86951.5</v>
      </c>
      <c r="O245" s="55">
        <v>46264</v>
      </c>
      <c r="P245" s="48"/>
      <c r="Q245" s="49"/>
      <c r="R245" s="49"/>
      <c r="S245" s="50"/>
      <c r="T245" s="60">
        <f t="shared" si="54"/>
        <v>0</v>
      </c>
      <c r="U245" s="48">
        <f t="shared" si="58"/>
        <v>749400</v>
      </c>
      <c r="V245" s="49">
        <f t="shared" si="59"/>
        <v>0</v>
      </c>
      <c r="W245" s="49">
        <f t="shared" si="59"/>
        <v>0</v>
      </c>
      <c r="X245" s="50">
        <f t="shared" si="59"/>
        <v>0</v>
      </c>
      <c r="Y245" s="73">
        <f t="shared" si="55"/>
        <v>749400</v>
      </c>
    </row>
    <row r="246" spans="1:25" x14ac:dyDescent="0.2">
      <c r="A246" s="55">
        <v>46265</v>
      </c>
      <c r="B246" s="48"/>
      <c r="C246" s="49"/>
      <c r="D246" s="49"/>
      <c r="E246" s="50"/>
      <c r="F246" s="48">
        <f t="shared" si="49"/>
        <v>42123</v>
      </c>
      <c r="G246" s="49">
        <f t="shared" si="50"/>
        <v>69725</v>
      </c>
      <c r="H246" s="49">
        <f t="shared" si="51"/>
        <v>0</v>
      </c>
      <c r="I246" s="50">
        <f t="shared" si="52"/>
        <v>14417</v>
      </c>
      <c r="J246" s="48">
        <f>J245+B246-SUMIFS(рапорт!$O:$O,рапорт!$A:$A,A246)-SUMIFS(рапорт!$U:$U,рапорт!$A:$A,A246)/4</f>
        <v>60640.5</v>
      </c>
      <c r="K246" s="49">
        <f>K245+C246-SUMIFS(рапорт!$P:$P,рапорт!$A:$A,A246)-SUMIFS(рапорт!$U:$U,рапорт!$A:$A,A246)/4</f>
        <v>98141.5</v>
      </c>
      <c r="L246" s="49">
        <f>L245+D246-SUMIFS(рапорт!$Q:$Q,рапорт!$A:$A,A246)-SUMIFS(рапорт!$U:$U,рапорт!$A:$A,A246)/4</f>
        <v>45376.5</v>
      </c>
      <c r="M246" s="50">
        <f>M245+E246-SUMIFS(рапорт!$R:$R,рапорт!$A:$A,A246)-SUMIFS(рапорт!$U:$U,рапорт!$A:$A,A246)/4</f>
        <v>86951.5</v>
      </c>
      <c r="O246" s="55">
        <v>46265</v>
      </c>
      <c r="P246" s="48"/>
      <c r="Q246" s="49"/>
      <c r="R246" s="49"/>
      <c r="S246" s="50"/>
      <c r="T246" s="60">
        <f t="shared" si="54"/>
        <v>0</v>
      </c>
      <c r="U246" s="48">
        <f t="shared" si="58"/>
        <v>749400</v>
      </c>
      <c r="V246" s="49">
        <f t="shared" si="59"/>
        <v>0</v>
      </c>
      <c r="W246" s="49">
        <f t="shared" si="59"/>
        <v>0</v>
      </c>
      <c r="X246" s="50">
        <f t="shared" si="59"/>
        <v>0</v>
      </c>
      <c r="Y246" s="73">
        <f t="shared" si="55"/>
        <v>749400</v>
      </c>
    </row>
    <row r="247" spans="1:25" x14ac:dyDescent="0.2">
      <c r="A247" s="55">
        <v>46266</v>
      </c>
      <c r="B247" s="48"/>
      <c r="C247" s="49"/>
      <c r="D247" s="49"/>
      <c r="E247" s="50"/>
      <c r="F247" s="48">
        <f t="shared" si="49"/>
        <v>42123</v>
      </c>
      <c r="G247" s="49">
        <f t="shared" si="50"/>
        <v>69725</v>
      </c>
      <c r="H247" s="49">
        <f t="shared" si="51"/>
        <v>0</v>
      </c>
      <c r="I247" s="50">
        <f t="shared" si="52"/>
        <v>14417</v>
      </c>
      <c r="J247" s="48">
        <f>J246+B247-SUMIFS(рапорт!$O:$O,рапорт!$A:$A,A247)-SUMIFS(рапорт!$U:$U,рапорт!$A:$A,A247)/4</f>
        <v>60640.5</v>
      </c>
      <c r="K247" s="49">
        <f>K246+C247-SUMIFS(рапорт!$P:$P,рапорт!$A:$A,A247)-SUMIFS(рапорт!$U:$U,рапорт!$A:$A,A247)/4</f>
        <v>98141.5</v>
      </c>
      <c r="L247" s="49">
        <f>L246+D247-SUMIFS(рапорт!$Q:$Q,рапорт!$A:$A,A247)-SUMIFS(рапорт!$U:$U,рапорт!$A:$A,A247)/4</f>
        <v>45376.5</v>
      </c>
      <c r="M247" s="50">
        <f>M246+E247-SUMIFS(рапорт!$R:$R,рапорт!$A:$A,A247)-SUMIFS(рапорт!$U:$U,рапорт!$A:$A,A247)/4</f>
        <v>86951.5</v>
      </c>
      <c r="O247" s="55">
        <v>46266</v>
      </c>
      <c r="P247" s="48"/>
      <c r="Q247" s="49"/>
      <c r="R247" s="49"/>
      <c r="S247" s="50"/>
      <c r="T247" s="60">
        <f t="shared" si="54"/>
        <v>0</v>
      </c>
      <c r="U247" s="48">
        <f t="shared" si="58"/>
        <v>749400</v>
      </c>
      <c r="V247" s="49">
        <f t="shared" si="59"/>
        <v>0</v>
      </c>
      <c r="W247" s="49">
        <f t="shared" si="59"/>
        <v>0</v>
      </c>
      <c r="X247" s="50">
        <f t="shared" si="59"/>
        <v>0</v>
      </c>
      <c r="Y247" s="73">
        <f t="shared" si="55"/>
        <v>749400</v>
      </c>
    </row>
    <row r="248" spans="1:25" x14ac:dyDescent="0.2">
      <c r="A248" s="55">
        <v>46267</v>
      </c>
      <c r="B248" s="48"/>
      <c r="C248" s="49"/>
      <c r="D248" s="49"/>
      <c r="E248" s="50"/>
      <c r="F248" s="48">
        <f t="shared" si="49"/>
        <v>42123</v>
      </c>
      <c r="G248" s="49">
        <f t="shared" si="50"/>
        <v>69725</v>
      </c>
      <c r="H248" s="49">
        <f t="shared" si="51"/>
        <v>0</v>
      </c>
      <c r="I248" s="50">
        <f t="shared" si="52"/>
        <v>14417</v>
      </c>
      <c r="J248" s="48">
        <f>J247+B248-SUMIFS(рапорт!$O:$O,рапорт!$A:$A,A248)-SUMIFS(рапорт!$U:$U,рапорт!$A:$A,A248)/4</f>
        <v>60640.5</v>
      </c>
      <c r="K248" s="49">
        <f>K247+C248-SUMIFS(рапорт!$P:$P,рапорт!$A:$A,A248)-SUMIFS(рапорт!$U:$U,рапорт!$A:$A,A248)/4</f>
        <v>98141.5</v>
      </c>
      <c r="L248" s="49">
        <f>L247+D248-SUMIFS(рапорт!$Q:$Q,рапорт!$A:$A,A248)-SUMIFS(рапорт!$U:$U,рапорт!$A:$A,A248)/4</f>
        <v>45376.5</v>
      </c>
      <c r="M248" s="50">
        <f>M247+E248-SUMIFS(рапорт!$R:$R,рапорт!$A:$A,A248)-SUMIFS(рапорт!$U:$U,рапорт!$A:$A,A248)/4</f>
        <v>86951.5</v>
      </c>
      <c r="O248" s="55">
        <v>46267</v>
      </c>
      <c r="P248" s="48"/>
      <c r="Q248" s="49"/>
      <c r="R248" s="49"/>
      <c r="S248" s="50"/>
      <c r="T248" s="60">
        <f t="shared" si="54"/>
        <v>0</v>
      </c>
      <c r="U248" s="48">
        <f t="shared" si="58"/>
        <v>749400</v>
      </c>
      <c r="V248" s="49">
        <f t="shared" si="59"/>
        <v>0</v>
      </c>
      <c r="W248" s="49">
        <f t="shared" si="59"/>
        <v>0</v>
      </c>
      <c r="X248" s="50">
        <f t="shared" si="59"/>
        <v>0</v>
      </c>
      <c r="Y248" s="73">
        <f t="shared" si="55"/>
        <v>749400</v>
      </c>
    </row>
    <row r="249" spans="1:25" x14ac:dyDescent="0.2">
      <c r="A249" s="55">
        <v>46268</v>
      </c>
      <c r="B249" s="48"/>
      <c r="C249" s="49"/>
      <c r="D249" s="49"/>
      <c r="E249" s="50"/>
      <c r="F249" s="48">
        <f t="shared" si="49"/>
        <v>42123</v>
      </c>
      <c r="G249" s="49">
        <f t="shared" si="50"/>
        <v>69725</v>
      </c>
      <c r="H249" s="49">
        <f t="shared" si="51"/>
        <v>0</v>
      </c>
      <c r="I249" s="50">
        <f t="shared" si="52"/>
        <v>14417</v>
      </c>
      <c r="J249" s="48">
        <f>J248+B249-SUMIFS(рапорт!$O:$O,рапорт!$A:$A,A249)-SUMIFS(рапорт!$U:$U,рапорт!$A:$A,A249)/4</f>
        <v>60640.5</v>
      </c>
      <c r="K249" s="49">
        <f>K248+C249-SUMIFS(рапорт!$P:$P,рапорт!$A:$A,A249)-SUMIFS(рапорт!$U:$U,рапорт!$A:$A,A249)/4</f>
        <v>98141.5</v>
      </c>
      <c r="L249" s="49">
        <f>L248+D249-SUMIFS(рапорт!$Q:$Q,рапорт!$A:$A,A249)-SUMIFS(рапорт!$U:$U,рапорт!$A:$A,A249)/4</f>
        <v>45376.5</v>
      </c>
      <c r="M249" s="50">
        <f>M248+E249-SUMIFS(рапорт!$R:$R,рапорт!$A:$A,A249)-SUMIFS(рапорт!$U:$U,рапорт!$A:$A,A249)/4</f>
        <v>86951.5</v>
      </c>
      <c r="O249" s="55">
        <v>46268</v>
      </c>
      <c r="P249" s="48"/>
      <c r="Q249" s="49"/>
      <c r="R249" s="49"/>
      <c r="S249" s="50"/>
      <c r="T249" s="60">
        <f t="shared" si="54"/>
        <v>0</v>
      </c>
      <c r="U249" s="48">
        <f t="shared" si="58"/>
        <v>749400</v>
      </c>
      <c r="V249" s="49">
        <f t="shared" si="59"/>
        <v>0</v>
      </c>
      <c r="W249" s="49">
        <f t="shared" si="59"/>
        <v>0</v>
      </c>
      <c r="X249" s="50">
        <f t="shared" si="59"/>
        <v>0</v>
      </c>
      <c r="Y249" s="73">
        <f t="shared" si="55"/>
        <v>749400</v>
      </c>
    </row>
    <row r="250" spans="1:25" x14ac:dyDescent="0.2">
      <c r="A250" s="55">
        <v>46269</v>
      </c>
      <c r="B250" s="48"/>
      <c r="C250" s="49"/>
      <c r="D250" s="49"/>
      <c r="E250" s="50"/>
      <c r="F250" s="48">
        <f t="shared" si="49"/>
        <v>42123</v>
      </c>
      <c r="G250" s="49">
        <f t="shared" si="50"/>
        <v>69725</v>
      </c>
      <c r="H250" s="49">
        <f t="shared" si="51"/>
        <v>0</v>
      </c>
      <c r="I250" s="50">
        <f t="shared" si="52"/>
        <v>14417</v>
      </c>
      <c r="J250" s="48">
        <f>J249+B250-SUMIFS(рапорт!$O:$O,рапорт!$A:$A,A250)-SUMIFS(рапорт!$U:$U,рапорт!$A:$A,A250)/4</f>
        <v>60640.5</v>
      </c>
      <c r="K250" s="49">
        <f>K249+C250-SUMIFS(рапорт!$P:$P,рапорт!$A:$A,A250)-SUMIFS(рапорт!$U:$U,рапорт!$A:$A,A250)/4</f>
        <v>98141.5</v>
      </c>
      <c r="L250" s="49">
        <f>L249+D250-SUMIFS(рапорт!$Q:$Q,рапорт!$A:$A,A250)-SUMIFS(рапорт!$U:$U,рапорт!$A:$A,A250)/4</f>
        <v>45376.5</v>
      </c>
      <c r="M250" s="50">
        <f>M249+E250-SUMIFS(рапорт!$R:$R,рапорт!$A:$A,A250)-SUMIFS(рапорт!$U:$U,рапорт!$A:$A,A250)/4</f>
        <v>86951.5</v>
      </c>
      <c r="O250" s="55">
        <v>46269</v>
      </c>
      <c r="P250" s="48"/>
      <c r="Q250" s="49"/>
      <c r="R250" s="49"/>
      <c r="S250" s="50"/>
      <c r="T250" s="60">
        <f t="shared" si="54"/>
        <v>0</v>
      </c>
      <c r="U250" s="48">
        <f t="shared" si="58"/>
        <v>749400</v>
      </c>
      <c r="V250" s="49">
        <f t="shared" si="59"/>
        <v>0</v>
      </c>
      <c r="W250" s="49">
        <f t="shared" si="59"/>
        <v>0</v>
      </c>
      <c r="X250" s="50">
        <f t="shared" si="59"/>
        <v>0</v>
      </c>
      <c r="Y250" s="73">
        <f t="shared" si="55"/>
        <v>749400</v>
      </c>
    </row>
    <row r="251" spans="1:25" x14ac:dyDescent="0.2">
      <c r="A251" s="55">
        <v>46270</v>
      </c>
      <c r="B251" s="48"/>
      <c r="C251" s="49"/>
      <c r="D251" s="49"/>
      <c r="E251" s="50"/>
      <c r="F251" s="48">
        <f t="shared" si="49"/>
        <v>42123</v>
      </c>
      <c r="G251" s="49">
        <f t="shared" si="50"/>
        <v>69725</v>
      </c>
      <c r="H251" s="49">
        <f t="shared" si="51"/>
        <v>0</v>
      </c>
      <c r="I251" s="50">
        <f t="shared" si="52"/>
        <v>14417</v>
      </c>
      <c r="J251" s="48">
        <f>J250+B251-SUMIFS(рапорт!$O:$O,рапорт!$A:$A,A251)-SUMIFS(рапорт!$U:$U,рапорт!$A:$A,A251)/4</f>
        <v>60640.5</v>
      </c>
      <c r="K251" s="49">
        <f>K250+C251-SUMIFS(рапорт!$P:$P,рапорт!$A:$A,A251)-SUMIFS(рапорт!$U:$U,рапорт!$A:$A,A251)/4</f>
        <v>98141.5</v>
      </c>
      <c r="L251" s="49">
        <f>L250+D251-SUMIFS(рапорт!$Q:$Q,рапорт!$A:$A,A251)-SUMIFS(рапорт!$U:$U,рапорт!$A:$A,A251)/4</f>
        <v>45376.5</v>
      </c>
      <c r="M251" s="50">
        <f>M250+E251-SUMIFS(рапорт!$R:$R,рапорт!$A:$A,A251)-SUMIFS(рапорт!$U:$U,рапорт!$A:$A,A251)/4</f>
        <v>86951.5</v>
      </c>
      <c r="O251" s="55">
        <v>46270</v>
      </c>
      <c r="P251" s="48"/>
      <c r="Q251" s="49"/>
      <c r="R251" s="49"/>
      <c r="S251" s="50"/>
      <c r="T251" s="60">
        <f t="shared" si="54"/>
        <v>0</v>
      </c>
      <c r="U251" s="48">
        <f t="shared" si="58"/>
        <v>749400</v>
      </c>
      <c r="V251" s="49">
        <f t="shared" si="59"/>
        <v>0</v>
      </c>
      <c r="W251" s="49">
        <f t="shared" si="59"/>
        <v>0</v>
      </c>
      <c r="X251" s="50">
        <f t="shared" si="59"/>
        <v>0</v>
      </c>
      <c r="Y251" s="73">
        <f t="shared" si="55"/>
        <v>749400</v>
      </c>
    </row>
    <row r="252" spans="1:25" x14ac:dyDescent="0.2">
      <c r="A252" s="55">
        <v>46271</v>
      </c>
      <c r="B252" s="48"/>
      <c r="C252" s="49"/>
      <c r="D252" s="49"/>
      <c r="E252" s="50"/>
      <c r="F252" s="48">
        <f t="shared" si="49"/>
        <v>42123</v>
      </c>
      <c r="G252" s="49">
        <f t="shared" si="50"/>
        <v>69725</v>
      </c>
      <c r="H252" s="49">
        <f t="shared" si="51"/>
        <v>0</v>
      </c>
      <c r="I252" s="50">
        <f t="shared" si="52"/>
        <v>14417</v>
      </c>
      <c r="J252" s="48">
        <f>J251+B252-SUMIFS(рапорт!$O:$O,рапорт!$A:$A,A252)-SUMIFS(рапорт!$U:$U,рапорт!$A:$A,A252)/4</f>
        <v>60640.5</v>
      </c>
      <c r="K252" s="49">
        <f>K251+C252-SUMIFS(рапорт!$P:$P,рапорт!$A:$A,A252)-SUMIFS(рапорт!$U:$U,рапорт!$A:$A,A252)/4</f>
        <v>98141.5</v>
      </c>
      <c r="L252" s="49">
        <f>L251+D252-SUMIFS(рапорт!$Q:$Q,рапорт!$A:$A,A252)-SUMIFS(рапорт!$U:$U,рапорт!$A:$A,A252)/4</f>
        <v>45376.5</v>
      </c>
      <c r="M252" s="50">
        <f>M251+E252-SUMIFS(рапорт!$R:$R,рапорт!$A:$A,A252)-SUMIFS(рапорт!$U:$U,рапорт!$A:$A,A252)/4</f>
        <v>86951.5</v>
      </c>
      <c r="O252" s="55">
        <v>46271</v>
      </c>
      <c r="P252" s="48"/>
      <c r="Q252" s="49"/>
      <c r="R252" s="49"/>
      <c r="S252" s="50"/>
      <c r="T252" s="60">
        <f t="shared" si="54"/>
        <v>0</v>
      </c>
      <c r="U252" s="48">
        <f t="shared" si="58"/>
        <v>749400</v>
      </c>
      <c r="V252" s="49">
        <f t="shared" si="59"/>
        <v>0</v>
      </c>
      <c r="W252" s="49">
        <f t="shared" si="59"/>
        <v>0</v>
      </c>
      <c r="X252" s="50">
        <f t="shared" si="59"/>
        <v>0</v>
      </c>
      <c r="Y252" s="73">
        <f t="shared" si="55"/>
        <v>749400</v>
      </c>
    </row>
    <row r="253" spans="1:25" x14ac:dyDescent="0.2">
      <c r="A253" s="55">
        <v>46272</v>
      </c>
      <c r="B253" s="48"/>
      <c r="C253" s="49"/>
      <c r="D253" s="49"/>
      <c r="E253" s="50"/>
      <c r="F253" s="48">
        <f t="shared" si="49"/>
        <v>42123</v>
      </c>
      <c r="G253" s="49">
        <f t="shared" si="50"/>
        <v>69725</v>
      </c>
      <c r="H253" s="49">
        <f t="shared" si="51"/>
        <v>0</v>
      </c>
      <c r="I253" s="50">
        <f t="shared" si="52"/>
        <v>14417</v>
      </c>
      <c r="J253" s="48">
        <f>J252+B253-SUMIFS(рапорт!$O:$O,рапорт!$A:$A,A253)-SUMIFS(рапорт!$U:$U,рапорт!$A:$A,A253)/4</f>
        <v>60640.5</v>
      </c>
      <c r="K253" s="49">
        <f>K252+C253-SUMIFS(рапорт!$P:$P,рапорт!$A:$A,A253)-SUMIFS(рапорт!$U:$U,рапорт!$A:$A,A253)/4</f>
        <v>98141.5</v>
      </c>
      <c r="L253" s="49">
        <f>L252+D253-SUMIFS(рапорт!$Q:$Q,рапорт!$A:$A,A253)-SUMIFS(рапорт!$U:$U,рапорт!$A:$A,A253)/4</f>
        <v>45376.5</v>
      </c>
      <c r="M253" s="50">
        <f>M252+E253-SUMIFS(рапорт!$R:$R,рапорт!$A:$A,A253)-SUMIFS(рапорт!$U:$U,рапорт!$A:$A,A253)/4</f>
        <v>86951.5</v>
      </c>
      <c r="O253" s="55">
        <v>46272</v>
      </c>
      <c r="P253" s="48"/>
      <c r="Q253" s="49"/>
      <c r="R253" s="49"/>
      <c r="S253" s="50"/>
      <c r="T253" s="60">
        <f t="shared" si="54"/>
        <v>0</v>
      </c>
      <c r="U253" s="48">
        <f t="shared" si="58"/>
        <v>749400</v>
      </c>
      <c r="V253" s="49">
        <f t="shared" si="59"/>
        <v>0</v>
      </c>
      <c r="W253" s="49">
        <f t="shared" si="59"/>
        <v>0</v>
      </c>
      <c r="X253" s="50">
        <f t="shared" si="59"/>
        <v>0</v>
      </c>
      <c r="Y253" s="73">
        <f t="shared" si="55"/>
        <v>749400</v>
      </c>
    </row>
    <row r="254" spans="1:25" x14ac:dyDescent="0.2">
      <c r="A254" s="55">
        <v>46273</v>
      </c>
      <c r="B254" s="48"/>
      <c r="C254" s="49"/>
      <c r="D254" s="49"/>
      <c r="E254" s="50"/>
      <c r="F254" s="48">
        <f t="shared" si="49"/>
        <v>42123</v>
      </c>
      <c r="G254" s="49">
        <f t="shared" si="50"/>
        <v>69725</v>
      </c>
      <c r="H254" s="49">
        <f t="shared" si="51"/>
        <v>0</v>
      </c>
      <c r="I254" s="50">
        <f t="shared" si="52"/>
        <v>14417</v>
      </c>
      <c r="J254" s="48">
        <f>J253+B254-SUMIFS(рапорт!$O:$O,рапорт!$A:$A,A254)-SUMIFS(рапорт!$U:$U,рапорт!$A:$A,A254)/4</f>
        <v>60640.5</v>
      </c>
      <c r="K254" s="49">
        <f>K253+C254-SUMIFS(рапорт!$P:$P,рапорт!$A:$A,A254)-SUMIFS(рапорт!$U:$U,рапорт!$A:$A,A254)/4</f>
        <v>98141.5</v>
      </c>
      <c r="L254" s="49">
        <f>L253+D254-SUMIFS(рапорт!$Q:$Q,рапорт!$A:$A,A254)-SUMIFS(рапорт!$U:$U,рапорт!$A:$A,A254)/4</f>
        <v>45376.5</v>
      </c>
      <c r="M254" s="50">
        <f>M253+E254-SUMIFS(рапорт!$R:$R,рапорт!$A:$A,A254)-SUMIFS(рапорт!$U:$U,рапорт!$A:$A,A254)/4</f>
        <v>86951.5</v>
      </c>
      <c r="O254" s="55">
        <v>46273</v>
      </c>
      <c r="P254" s="48"/>
      <c r="Q254" s="49"/>
      <c r="R254" s="49"/>
      <c r="S254" s="50"/>
      <c r="T254" s="60">
        <f t="shared" si="54"/>
        <v>0</v>
      </c>
      <c r="U254" s="48">
        <f t="shared" si="58"/>
        <v>749400</v>
      </c>
      <c r="V254" s="49">
        <f t="shared" si="59"/>
        <v>0</v>
      </c>
      <c r="W254" s="49">
        <f t="shared" si="59"/>
        <v>0</v>
      </c>
      <c r="X254" s="50">
        <f t="shared" si="59"/>
        <v>0</v>
      </c>
      <c r="Y254" s="73">
        <f t="shared" si="55"/>
        <v>749400</v>
      </c>
    </row>
    <row r="255" spans="1:25" x14ac:dyDescent="0.2">
      <c r="A255" s="55">
        <v>46274</v>
      </c>
      <c r="B255" s="48"/>
      <c r="C255" s="49"/>
      <c r="D255" s="49"/>
      <c r="E255" s="50"/>
      <c r="F255" s="48">
        <f t="shared" si="49"/>
        <v>42123</v>
      </c>
      <c r="G255" s="49">
        <f t="shared" si="50"/>
        <v>69725</v>
      </c>
      <c r="H255" s="49">
        <f t="shared" si="51"/>
        <v>0</v>
      </c>
      <c r="I255" s="50">
        <f t="shared" si="52"/>
        <v>14417</v>
      </c>
      <c r="J255" s="48">
        <f>J254+B255-SUMIFS(рапорт!$O:$O,рапорт!$A:$A,A255)-SUMIFS(рапорт!$U:$U,рапорт!$A:$A,A255)/4</f>
        <v>60640.5</v>
      </c>
      <c r="K255" s="49">
        <f>K254+C255-SUMIFS(рапорт!$P:$P,рапорт!$A:$A,A255)-SUMIFS(рапорт!$U:$U,рапорт!$A:$A,A255)/4</f>
        <v>98141.5</v>
      </c>
      <c r="L255" s="49">
        <f>L254+D255-SUMIFS(рапорт!$Q:$Q,рапорт!$A:$A,A255)-SUMIFS(рапорт!$U:$U,рапорт!$A:$A,A255)/4</f>
        <v>45376.5</v>
      </c>
      <c r="M255" s="50">
        <f>M254+E255-SUMIFS(рапорт!$R:$R,рапорт!$A:$A,A255)-SUMIFS(рапорт!$U:$U,рапорт!$A:$A,A255)/4</f>
        <v>86951.5</v>
      </c>
      <c r="O255" s="55">
        <v>46274</v>
      </c>
      <c r="P255" s="48"/>
      <c r="Q255" s="49"/>
      <c r="R255" s="49"/>
      <c r="S255" s="50"/>
      <c r="T255" s="60">
        <f t="shared" si="54"/>
        <v>0</v>
      </c>
      <c r="U255" s="48">
        <f t="shared" si="58"/>
        <v>749400</v>
      </c>
      <c r="V255" s="49">
        <f t="shared" si="59"/>
        <v>0</v>
      </c>
      <c r="W255" s="49">
        <f t="shared" si="59"/>
        <v>0</v>
      </c>
      <c r="X255" s="50">
        <f t="shared" si="59"/>
        <v>0</v>
      </c>
      <c r="Y255" s="73">
        <f t="shared" si="55"/>
        <v>749400</v>
      </c>
    </row>
    <row r="256" spans="1:25" x14ac:dyDescent="0.2">
      <c r="A256" s="55">
        <v>46275</v>
      </c>
      <c r="B256" s="48"/>
      <c r="C256" s="49"/>
      <c r="D256" s="49"/>
      <c r="E256" s="50"/>
      <c r="F256" s="48">
        <f t="shared" ref="F256:F319" si="60">F255</f>
        <v>42123</v>
      </c>
      <c r="G256" s="49">
        <f t="shared" ref="G256:G319" si="61">G255</f>
        <v>69725</v>
      </c>
      <c r="H256" s="49">
        <f t="shared" ref="H256:H319" si="62">H255</f>
        <v>0</v>
      </c>
      <c r="I256" s="50">
        <f t="shared" ref="I256:I319" si="63">I255</f>
        <v>14417</v>
      </c>
      <c r="J256" s="48">
        <f>J255+B256-SUMIFS(рапорт!$O:$O,рапорт!$A:$A,A256)-SUMIFS(рапорт!$U:$U,рапорт!$A:$A,A256)/4</f>
        <v>60640.5</v>
      </c>
      <c r="K256" s="49">
        <f>K255+C256-SUMIFS(рапорт!$P:$P,рапорт!$A:$A,A256)-SUMIFS(рапорт!$U:$U,рапорт!$A:$A,A256)/4</f>
        <v>98141.5</v>
      </c>
      <c r="L256" s="49">
        <f>L255+D256-SUMIFS(рапорт!$Q:$Q,рапорт!$A:$A,A256)-SUMIFS(рапорт!$U:$U,рапорт!$A:$A,A256)/4</f>
        <v>45376.5</v>
      </c>
      <c r="M256" s="50">
        <f>M255+E256-SUMIFS(рапорт!$R:$R,рапорт!$A:$A,A256)-SUMIFS(рапорт!$U:$U,рапорт!$A:$A,A256)/4</f>
        <v>86951.5</v>
      </c>
      <c r="O256" s="55">
        <v>46275</v>
      </c>
      <c r="P256" s="48"/>
      <c r="Q256" s="49"/>
      <c r="R256" s="49"/>
      <c r="S256" s="50"/>
      <c r="T256" s="60">
        <f t="shared" si="54"/>
        <v>0</v>
      </c>
      <c r="U256" s="48">
        <f t="shared" si="58"/>
        <v>749400</v>
      </c>
      <c r="V256" s="49">
        <f t="shared" si="59"/>
        <v>0</v>
      </c>
      <c r="W256" s="49">
        <f t="shared" si="59"/>
        <v>0</v>
      </c>
      <c r="X256" s="50">
        <f t="shared" si="59"/>
        <v>0</v>
      </c>
      <c r="Y256" s="73">
        <f t="shared" si="55"/>
        <v>749400</v>
      </c>
    </row>
    <row r="257" spans="1:25" x14ac:dyDescent="0.2">
      <c r="A257" s="55">
        <v>46276</v>
      </c>
      <c r="B257" s="48"/>
      <c r="C257" s="49"/>
      <c r="D257" s="49"/>
      <c r="E257" s="50"/>
      <c r="F257" s="48">
        <f t="shared" si="60"/>
        <v>42123</v>
      </c>
      <c r="G257" s="49">
        <f t="shared" si="61"/>
        <v>69725</v>
      </c>
      <c r="H257" s="49">
        <f t="shared" si="62"/>
        <v>0</v>
      </c>
      <c r="I257" s="50">
        <f t="shared" si="63"/>
        <v>14417</v>
      </c>
      <c r="J257" s="48">
        <f>J256+B257-SUMIFS(рапорт!$O:$O,рапорт!$A:$A,A257)-SUMIFS(рапорт!$U:$U,рапорт!$A:$A,A257)/4</f>
        <v>60640.5</v>
      </c>
      <c r="K257" s="49">
        <f>K256+C257-SUMIFS(рапорт!$P:$P,рапорт!$A:$A,A257)-SUMIFS(рапорт!$U:$U,рапорт!$A:$A,A257)/4</f>
        <v>98141.5</v>
      </c>
      <c r="L257" s="49">
        <f>L256+D257-SUMIFS(рапорт!$Q:$Q,рапорт!$A:$A,A257)-SUMIFS(рапорт!$U:$U,рапорт!$A:$A,A257)/4</f>
        <v>45376.5</v>
      </c>
      <c r="M257" s="50">
        <f>M256+E257-SUMIFS(рапорт!$R:$R,рапорт!$A:$A,A257)-SUMIFS(рапорт!$U:$U,рапорт!$A:$A,A257)/4</f>
        <v>86951.5</v>
      </c>
      <c r="O257" s="55">
        <v>46276</v>
      </c>
      <c r="P257" s="48"/>
      <c r="Q257" s="49"/>
      <c r="R257" s="49"/>
      <c r="S257" s="50"/>
      <c r="T257" s="60">
        <f t="shared" si="54"/>
        <v>0</v>
      </c>
      <c r="U257" s="48">
        <f t="shared" si="58"/>
        <v>749400</v>
      </c>
      <c r="V257" s="49">
        <f t="shared" si="59"/>
        <v>0</v>
      </c>
      <c r="W257" s="49">
        <f t="shared" si="59"/>
        <v>0</v>
      </c>
      <c r="X257" s="50">
        <f t="shared" si="59"/>
        <v>0</v>
      </c>
      <c r="Y257" s="73">
        <f t="shared" si="55"/>
        <v>749400</v>
      </c>
    </row>
    <row r="258" spans="1:25" x14ac:dyDescent="0.2">
      <c r="A258" s="55">
        <v>46277</v>
      </c>
      <c r="B258" s="48"/>
      <c r="C258" s="49"/>
      <c r="D258" s="49"/>
      <c r="E258" s="50"/>
      <c r="F258" s="48">
        <f t="shared" si="60"/>
        <v>42123</v>
      </c>
      <c r="G258" s="49">
        <f t="shared" si="61"/>
        <v>69725</v>
      </c>
      <c r="H258" s="49">
        <f t="shared" si="62"/>
        <v>0</v>
      </c>
      <c r="I258" s="50">
        <f t="shared" si="63"/>
        <v>14417</v>
      </c>
      <c r="J258" s="48">
        <f>J257+B258-SUMIFS(рапорт!$O:$O,рапорт!$A:$A,A258)-SUMIFS(рапорт!$U:$U,рапорт!$A:$A,A258)/4</f>
        <v>60640.5</v>
      </c>
      <c r="K258" s="49">
        <f>K257+C258-SUMIFS(рапорт!$P:$P,рапорт!$A:$A,A258)-SUMIFS(рапорт!$U:$U,рапорт!$A:$A,A258)/4</f>
        <v>98141.5</v>
      </c>
      <c r="L258" s="49">
        <f>L257+D258-SUMIFS(рапорт!$Q:$Q,рапорт!$A:$A,A258)-SUMIFS(рапорт!$U:$U,рапорт!$A:$A,A258)/4</f>
        <v>45376.5</v>
      </c>
      <c r="M258" s="50">
        <f>M257+E258-SUMIFS(рапорт!$R:$R,рапорт!$A:$A,A258)-SUMIFS(рапорт!$U:$U,рапорт!$A:$A,A258)/4</f>
        <v>86951.5</v>
      </c>
      <c r="O258" s="55">
        <v>46277</v>
      </c>
      <c r="P258" s="48"/>
      <c r="Q258" s="49"/>
      <c r="R258" s="49"/>
      <c r="S258" s="50"/>
      <c r="T258" s="60">
        <f t="shared" si="54"/>
        <v>0</v>
      </c>
      <c r="U258" s="48">
        <f t="shared" si="58"/>
        <v>749400</v>
      </c>
      <c r="V258" s="49">
        <f t="shared" si="59"/>
        <v>0</v>
      </c>
      <c r="W258" s="49">
        <f t="shared" si="59"/>
        <v>0</v>
      </c>
      <c r="X258" s="50">
        <f t="shared" si="59"/>
        <v>0</v>
      </c>
      <c r="Y258" s="73">
        <f t="shared" si="55"/>
        <v>749400</v>
      </c>
    </row>
    <row r="259" spans="1:25" x14ac:dyDescent="0.2">
      <c r="A259" s="55">
        <v>46278</v>
      </c>
      <c r="B259" s="48"/>
      <c r="C259" s="49"/>
      <c r="D259" s="49"/>
      <c r="E259" s="50"/>
      <c r="F259" s="48">
        <f t="shared" si="60"/>
        <v>42123</v>
      </c>
      <c r="G259" s="49">
        <f t="shared" si="61"/>
        <v>69725</v>
      </c>
      <c r="H259" s="49">
        <f t="shared" si="62"/>
        <v>0</v>
      </c>
      <c r="I259" s="50">
        <f t="shared" si="63"/>
        <v>14417</v>
      </c>
      <c r="J259" s="48">
        <f>J258+B259-SUMIFS(рапорт!$O:$O,рапорт!$A:$A,A259)-SUMIFS(рапорт!$U:$U,рапорт!$A:$A,A259)/4</f>
        <v>60640.5</v>
      </c>
      <c r="K259" s="49">
        <f>K258+C259-SUMIFS(рапорт!$P:$P,рапорт!$A:$A,A259)-SUMIFS(рапорт!$U:$U,рапорт!$A:$A,A259)/4</f>
        <v>98141.5</v>
      </c>
      <c r="L259" s="49">
        <f>L258+D259-SUMIFS(рапорт!$Q:$Q,рапорт!$A:$A,A259)-SUMIFS(рапорт!$U:$U,рапорт!$A:$A,A259)/4</f>
        <v>45376.5</v>
      </c>
      <c r="M259" s="50">
        <f>M258+E259-SUMIFS(рапорт!$R:$R,рапорт!$A:$A,A259)-SUMIFS(рапорт!$U:$U,рапорт!$A:$A,A259)/4</f>
        <v>86951.5</v>
      </c>
      <c r="O259" s="55">
        <v>46278</v>
      </c>
      <c r="P259" s="48"/>
      <c r="Q259" s="49"/>
      <c r="R259" s="49"/>
      <c r="S259" s="50"/>
      <c r="T259" s="60">
        <f t="shared" si="54"/>
        <v>0</v>
      </c>
      <c r="U259" s="48">
        <f t="shared" si="58"/>
        <v>749400</v>
      </c>
      <c r="V259" s="49">
        <f t="shared" si="59"/>
        <v>0</v>
      </c>
      <c r="W259" s="49">
        <f t="shared" si="59"/>
        <v>0</v>
      </c>
      <c r="X259" s="50">
        <f t="shared" si="59"/>
        <v>0</v>
      </c>
      <c r="Y259" s="73">
        <f t="shared" si="55"/>
        <v>749400</v>
      </c>
    </row>
    <row r="260" spans="1:25" x14ac:dyDescent="0.2">
      <c r="A260" s="55">
        <v>46279</v>
      </c>
      <c r="B260" s="48"/>
      <c r="C260" s="49"/>
      <c r="D260" s="49"/>
      <c r="E260" s="50"/>
      <c r="F260" s="48">
        <f t="shared" si="60"/>
        <v>42123</v>
      </c>
      <c r="G260" s="49">
        <f t="shared" si="61"/>
        <v>69725</v>
      </c>
      <c r="H260" s="49">
        <f t="shared" si="62"/>
        <v>0</v>
      </c>
      <c r="I260" s="50">
        <f t="shared" si="63"/>
        <v>14417</v>
      </c>
      <c r="J260" s="48">
        <f>J259+B260-SUMIFS(рапорт!$O:$O,рапорт!$A:$A,A260)-SUMIFS(рапорт!$U:$U,рапорт!$A:$A,A260)/4</f>
        <v>60640.5</v>
      </c>
      <c r="K260" s="49">
        <f>K259+C260-SUMIFS(рапорт!$P:$P,рапорт!$A:$A,A260)-SUMIFS(рапорт!$U:$U,рапорт!$A:$A,A260)/4</f>
        <v>98141.5</v>
      </c>
      <c r="L260" s="49">
        <f>L259+D260-SUMIFS(рапорт!$Q:$Q,рапорт!$A:$A,A260)-SUMIFS(рапорт!$U:$U,рапорт!$A:$A,A260)/4</f>
        <v>45376.5</v>
      </c>
      <c r="M260" s="50">
        <f>M259+E260-SUMIFS(рапорт!$R:$R,рапорт!$A:$A,A260)-SUMIFS(рапорт!$U:$U,рапорт!$A:$A,A260)/4</f>
        <v>86951.5</v>
      </c>
      <c r="O260" s="55">
        <v>46279</v>
      </c>
      <c r="P260" s="48"/>
      <c r="Q260" s="49"/>
      <c r="R260" s="49"/>
      <c r="S260" s="50"/>
      <c r="T260" s="60">
        <f t="shared" si="54"/>
        <v>0</v>
      </c>
      <c r="U260" s="48">
        <f t="shared" si="58"/>
        <v>749400</v>
      </c>
      <c r="V260" s="49">
        <f t="shared" ref="V260:X275" si="64">V259</f>
        <v>0</v>
      </c>
      <c r="W260" s="49">
        <f t="shared" si="64"/>
        <v>0</v>
      </c>
      <c r="X260" s="50">
        <f t="shared" si="64"/>
        <v>0</v>
      </c>
      <c r="Y260" s="73">
        <f t="shared" si="55"/>
        <v>749400</v>
      </c>
    </row>
    <row r="261" spans="1:25" x14ac:dyDescent="0.2">
      <c r="A261" s="55">
        <v>46280</v>
      </c>
      <c r="B261" s="48"/>
      <c r="C261" s="49"/>
      <c r="D261" s="49"/>
      <c r="E261" s="50"/>
      <c r="F261" s="48">
        <f t="shared" si="60"/>
        <v>42123</v>
      </c>
      <c r="G261" s="49">
        <f t="shared" si="61"/>
        <v>69725</v>
      </c>
      <c r="H261" s="49">
        <f t="shared" si="62"/>
        <v>0</v>
      </c>
      <c r="I261" s="50">
        <f t="shared" si="63"/>
        <v>14417</v>
      </c>
      <c r="J261" s="48">
        <f>J260+B261-SUMIFS(рапорт!$O:$O,рапорт!$A:$A,A261)-SUMIFS(рапорт!$U:$U,рапорт!$A:$A,A261)/4</f>
        <v>60640.5</v>
      </c>
      <c r="K261" s="49">
        <f>K260+C261-SUMIFS(рапорт!$P:$P,рапорт!$A:$A,A261)-SUMIFS(рапорт!$U:$U,рапорт!$A:$A,A261)/4</f>
        <v>98141.5</v>
      </c>
      <c r="L261" s="49">
        <f>L260+D261-SUMIFS(рапорт!$Q:$Q,рапорт!$A:$A,A261)-SUMIFS(рапорт!$U:$U,рапорт!$A:$A,A261)/4</f>
        <v>45376.5</v>
      </c>
      <c r="M261" s="50">
        <f>M260+E261-SUMIFS(рапорт!$R:$R,рапорт!$A:$A,A261)-SUMIFS(рапорт!$U:$U,рапорт!$A:$A,A261)/4</f>
        <v>86951.5</v>
      </c>
      <c r="O261" s="55">
        <v>46280</v>
      </c>
      <c r="P261" s="48"/>
      <c r="Q261" s="49"/>
      <c r="R261" s="49"/>
      <c r="S261" s="50"/>
      <c r="T261" s="60">
        <f t="shared" ref="T261:T324" si="65">SUM(P261:S261)</f>
        <v>0</v>
      </c>
      <c r="U261" s="48">
        <f t="shared" si="58"/>
        <v>749400</v>
      </c>
      <c r="V261" s="49">
        <f t="shared" si="64"/>
        <v>0</v>
      </c>
      <c r="W261" s="49">
        <f t="shared" si="64"/>
        <v>0</v>
      </c>
      <c r="X261" s="50">
        <f t="shared" si="64"/>
        <v>0</v>
      </c>
      <c r="Y261" s="73">
        <f t="shared" ref="Y261:Y324" si="66">SUM(U261:X261)</f>
        <v>749400</v>
      </c>
    </row>
    <row r="262" spans="1:25" x14ac:dyDescent="0.2">
      <c r="A262" s="55">
        <v>46281</v>
      </c>
      <c r="B262" s="48"/>
      <c r="C262" s="49"/>
      <c r="D262" s="49"/>
      <c r="E262" s="50"/>
      <c r="F262" s="48">
        <f t="shared" si="60"/>
        <v>42123</v>
      </c>
      <c r="G262" s="49">
        <f t="shared" si="61"/>
        <v>69725</v>
      </c>
      <c r="H262" s="49">
        <f t="shared" si="62"/>
        <v>0</v>
      </c>
      <c r="I262" s="50">
        <f t="shared" si="63"/>
        <v>14417</v>
      </c>
      <c r="J262" s="48">
        <f>J261+B262-SUMIFS(рапорт!$O:$O,рапорт!$A:$A,A262)-SUMIFS(рапорт!$U:$U,рапорт!$A:$A,A262)/4</f>
        <v>60640.5</v>
      </c>
      <c r="K262" s="49">
        <f>K261+C262-SUMIFS(рапорт!$P:$P,рапорт!$A:$A,A262)-SUMIFS(рапорт!$U:$U,рапорт!$A:$A,A262)/4</f>
        <v>98141.5</v>
      </c>
      <c r="L262" s="49">
        <f>L261+D262-SUMIFS(рапорт!$Q:$Q,рапорт!$A:$A,A262)-SUMIFS(рапорт!$U:$U,рапорт!$A:$A,A262)/4</f>
        <v>45376.5</v>
      </c>
      <c r="M262" s="50">
        <f>M261+E262-SUMIFS(рапорт!$R:$R,рапорт!$A:$A,A262)-SUMIFS(рапорт!$U:$U,рапорт!$A:$A,A262)/4</f>
        <v>86951.5</v>
      </c>
      <c r="O262" s="55">
        <v>46281</v>
      </c>
      <c r="P262" s="48"/>
      <c r="Q262" s="49"/>
      <c r="R262" s="49"/>
      <c r="S262" s="50"/>
      <c r="T262" s="60">
        <f t="shared" si="65"/>
        <v>0</v>
      </c>
      <c r="U262" s="48">
        <f t="shared" si="58"/>
        <v>749400</v>
      </c>
      <c r="V262" s="49">
        <f t="shared" si="64"/>
        <v>0</v>
      </c>
      <c r="W262" s="49">
        <f t="shared" si="64"/>
        <v>0</v>
      </c>
      <c r="X262" s="50">
        <f t="shared" si="64"/>
        <v>0</v>
      </c>
      <c r="Y262" s="73">
        <f t="shared" si="66"/>
        <v>749400</v>
      </c>
    </row>
    <row r="263" spans="1:25" x14ac:dyDescent="0.2">
      <c r="A263" s="55">
        <v>46282</v>
      </c>
      <c r="B263" s="48"/>
      <c r="C263" s="49"/>
      <c r="D263" s="49"/>
      <c r="E263" s="50"/>
      <c r="F263" s="48">
        <f t="shared" si="60"/>
        <v>42123</v>
      </c>
      <c r="G263" s="49">
        <f t="shared" si="61"/>
        <v>69725</v>
      </c>
      <c r="H263" s="49">
        <f t="shared" si="62"/>
        <v>0</v>
      </c>
      <c r="I263" s="50">
        <f t="shared" si="63"/>
        <v>14417</v>
      </c>
      <c r="J263" s="48">
        <f>J262+B263-SUMIFS(рапорт!$O:$O,рапорт!$A:$A,A263)-SUMIFS(рапорт!$U:$U,рапорт!$A:$A,A263)/4</f>
        <v>60640.5</v>
      </c>
      <c r="K263" s="49">
        <f>K262+C263-SUMIFS(рапорт!$P:$P,рапорт!$A:$A,A263)-SUMIFS(рапорт!$U:$U,рапорт!$A:$A,A263)/4</f>
        <v>98141.5</v>
      </c>
      <c r="L263" s="49">
        <f>L262+D263-SUMIFS(рапорт!$Q:$Q,рапорт!$A:$A,A263)-SUMIFS(рапорт!$U:$U,рапорт!$A:$A,A263)/4</f>
        <v>45376.5</v>
      </c>
      <c r="M263" s="50">
        <f>M262+E263-SUMIFS(рапорт!$R:$R,рапорт!$A:$A,A263)-SUMIFS(рапорт!$U:$U,рапорт!$A:$A,A263)/4</f>
        <v>86951.5</v>
      </c>
      <c r="O263" s="55">
        <v>46282</v>
      </c>
      <c r="P263" s="48"/>
      <c r="Q263" s="49"/>
      <c r="R263" s="49"/>
      <c r="S263" s="50"/>
      <c r="T263" s="60">
        <f t="shared" si="65"/>
        <v>0</v>
      </c>
      <c r="U263" s="48">
        <f t="shared" si="58"/>
        <v>749400</v>
      </c>
      <c r="V263" s="49">
        <f t="shared" si="64"/>
        <v>0</v>
      </c>
      <c r="W263" s="49">
        <f t="shared" si="64"/>
        <v>0</v>
      </c>
      <c r="X263" s="50">
        <f t="shared" si="64"/>
        <v>0</v>
      </c>
      <c r="Y263" s="73">
        <f t="shared" si="66"/>
        <v>749400</v>
      </c>
    </row>
    <row r="264" spans="1:25" x14ac:dyDescent="0.2">
      <c r="A264" s="55">
        <v>46283</v>
      </c>
      <c r="B264" s="48"/>
      <c r="C264" s="49"/>
      <c r="D264" s="49"/>
      <c r="E264" s="50"/>
      <c r="F264" s="48">
        <f t="shared" si="60"/>
        <v>42123</v>
      </c>
      <c r="G264" s="49">
        <f t="shared" si="61"/>
        <v>69725</v>
      </c>
      <c r="H264" s="49">
        <f t="shared" si="62"/>
        <v>0</v>
      </c>
      <c r="I264" s="50">
        <f t="shared" si="63"/>
        <v>14417</v>
      </c>
      <c r="J264" s="48">
        <f>J263+B264-SUMIFS(рапорт!$O:$O,рапорт!$A:$A,A264)-SUMIFS(рапорт!$U:$U,рапорт!$A:$A,A264)/4</f>
        <v>60640.5</v>
      </c>
      <c r="K264" s="49">
        <f>K263+C264-SUMIFS(рапорт!$P:$P,рапорт!$A:$A,A264)-SUMIFS(рапорт!$U:$U,рапорт!$A:$A,A264)/4</f>
        <v>98141.5</v>
      </c>
      <c r="L264" s="49">
        <f>L263+D264-SUMIFS(рапорт!$Q:$Q,рапорт!$A:$A,A264)-SUMIFS(рапорт!$U:$U,рапорт!$A:$A,A264)/4</f>
        <v>45376.5</v>
      </c>
      <c r="M264" s="50">
        <f>M263+E264-SUMIFS(рапорт!$R:$R,рапорт!$A:$A,A264)-SUMIFS(рапорт!$U:$U,рапорт!$A:$A,A264)/4</f>
        <v>86951.5</v>
      </c>
      <c r="O264" s="55">
        <v>46283</v>
      </c>
      <c r="P264" s="48"/>
      <c r="Q264" s="49"/>
      <c r="R264" s="49"/>
      <c r="S264" s="50"/>
      <c r="T264" s="60">
        <f t="shared" si="65"/>
        <v>0</v>
      </c>
      <c r="U264" s="48">
        <f t="shared" si="58"/>
        <v>749400</v>
      </c>
      <c r="V264" s="49">
        <f t="shared" si="64"/>
        <v>0</v>
      </c>
      <c r="W264" s="49">
        <f t="shared" si="64"/>
        <v>0</v>
      </c>
      <c r="X264" s="50">
        <f t="shared" si="64"/>
        <v>0</v>
      </c>
      <c r="Y264" s="73">
        <f t="shared" si="66"/>
        <v>749400</v>
      </c>
    </row>
    <row r="265" spans="1:25" x14ac:dyDescent="0.2">
      <c r="A265" s="55">
        <v>46284</v>
      </c>
      <c r="B265" s="48"/>
      <c r="C265" s="49"/>
      <c r="D265" s="49"/>
      <c r="E265" s="50"/>
      <c r="F265" s="48">
        <f t="shared" si="60"/>
        <v>42123</v>
      </c>
      <c r="G265" s="49">
        <f t="shared" si="61"/>
        <v>69725</v>
      </c>
      <c r="H265" s="49">
        <f t="shared" si="62"/>
        <v>0</v>
      </c>
      <c r="I265" s="50">
        <f t="shared" si="63"/>
        <v>14417</v>
      </c>
      <c r="J265" s="48">
        <f>J264+B265-SUMIFS(рапорт!$O:$O,рапорт!$A:$A,A265)-SUMIFS(рапорт!$U:$U,рапорт!$A:$A,A265)/4</f>
        <v>60640.5</v>
      </c>
      <c r="K265" s="49">
        <f>K264+C265-SUMIFS(рапорт!$P:$P,рапорт!$A:$A,A265)-SUMIFS(рапорт!$U:$U,рапорт!$A:$A,A265)/4</f>
        <v>98141.5</v>
      </c>
      <c r="L265" s="49">
        <f>L264+D265-SUMIFS(рапорт!$Q:$Q,рапорт!$A:$A,A265)-SUMIFS(рапорт!$U:$U,рапорт!$A:$A,A265)/4</f>
        <v>45376.5</v>
      </c>
      <c r="M265" s="50">
        <f>M264+E265-SUMIFS(рапорт!$R:$R,рапорт!$A:$A,A265)-SUMIFS(рапорт!$U:$U,рапорт!$A:$A,A265)/4</f>
        <v>86951.5</v>
      </c>
      <c r="O265" s="55">
        <v>46284</v>
      </c>
      <c r="P265" s="48"/>
      <c r="Q265" s="49"/>
      <c r="R265" s="49"/>
      <c r="S265" s="50"/>
      <c r="T265" s="60">
        <f t="shared" si="65"/>
        <v>0</v>
      </c>
      <c r="U265" s="48">
        <f t="shared" si="58"/>
        <v>749400</v>
      </c>
      <c r="V265" s="49">
        <f t="shared" si="64"/>
        <v>0</v>
      </c>
      <c r="W265" s="49">
        <f t="shared" si="64"/>
        <v>0</v>
      </c>
      <c r="X265" s="50">
        <f t="shared" si="64"/>
        <v>0</v>
      </c>
      <c r="Y265" s="73">
        <f t="shared" si="66"/>
        <v>749400</v>
      </c>
    </row>
    <row r="266" spans="1:25" x14ac:dyDescent="0.2">
      <c r="A266" s="55">
        <v>46285</v>
      </c>
      <c r="B266" s="48"/>
      <c r="C266" s="49"/>
      <c r="D266" s="49"/>
      <c r="E266" s="50"/>
      <c r="F266" s="48">
        <f t="shared" si="60"/>
        <v>42123</v>
      </c>
      <c r="G266" s="49">
        <f t="shared" si="61"/>
        <v>69725</v>
      </c>
      <c r="H266" s="49">
        <f t="shared" si="62"/>
        <v>0</v>
      </c>
      <c r="I266" s="50">
        <f t="shared" si="63"/>
        <v>14417</v>
      </c>
      <c r="J266" s="48">
        <f>J265+B266-SUMIFS(рапорт!$O:$O,рапорт!$A:$A,A266)-SUMIFS(рапорт!$U:$U,рапорт!$A:$A,A266)/4</f>
        <v>60640.5</v>
      </c>
      <c r="K266" s="49">
        <f>K265+C266-SUMIFS(рапорт!$P:$P,рапорт!$A:$A,A266)-SUMIFS(рапорт!$U:$U,рапорт!$A:$A,A266)/4</f>
        <v>98141.5</v>
      </c>
      <c r="L266" s="49">
        <f>L265+D266-SUMIFS(рапорт!$Q:$Q,рапорт!$A:$A,A266)-SUMIFS(рапорт!$U:$U,рапорт!$A:$A,A266)/4</f>
        <v>45376.5</v>
      </c>
      <c r="M266" s="50">
        <f>M265+E266-SUMIFS(рапорт!$R:$R,рапорт!$A:$A,A266)-SUMIFS(рапорт!$U:$U,рапорт!$A:$A,A266)/4</f>
        <v>86951.5</v>
      </c>
      <c r="O266" s="55">
        <v>46285</v>
      </c>
      <c r="P266" s="48"/>
      <c r="Q266" s="49"/>
      <c r="R266" s="49"/>
      <c r="S266" s="50"/>
      <c r="T266" s="60">
        <f t="shared" si="65"/>
        <v>0</v>
      </c>
      <c r="U266" s="48">
        <f t="shared" si="58"/>
        <v>749400</v>
      </c>
      <c r="V266" s="49">
        <f t="shared" si="64"/>
        <v>0</v>
      </c>
      <c r="W266" s="49">
        <f t="shared" si="64"/>
        <v>0</v>
      </c>
      <c r="X266" s="50">
        <f t="shared" si="64"/>
        <v>0</v>
      </c>
      <c r="Y266" s="73">
        <f t="shared" si="66"/>
        <v>749400</v>
      </c>
    </row>
    <row r="267" spans="1:25" x14ac:dyDescent="0.2">
      <c r="A267" s="55">
        <v>46286</v>
      </c>
      <c r="B267" s="48"/>
      <c r="C267" s="49"/>
      <c r="D267" s="49"/>
      <c r="E267" s="50"/>
      <c r="F267" s="48">
        <f t="shared" si="60"/>
        <v>42123</v>
      </c>
      <c r="G267" s="49">
        <f t="shared" si="61"/>
        <v>69725</v>
      </c>
      <c r="H267" s="49">
        <f t="shared" si="62"/>
        <v>0</v>
      </c>
      <c r="I267" s="50">
        <f t="shared" si="63"/>
        <v>14417</v>
      </c>
      <c r="J267" s="48">
        <f>J266+B267-SUMIFS(рапорт!$O:$O,рапорт!$A:$A,A267)-SUMIFS(рапорт!$U:$U,рапорт!$A:$A,A267)/4</f>
        <v>60640.5</v>
      </c>
      <c r="K267" s="49">
        <f>K266+C267-SUMIFS(рапорт!$P:$P,рапорт!$A:$A,A267)-SUMIFS(рапорт!$U:$U,рапорт!$A:$A,A267)/4</f>
        <v>98141.5</v>
      </c>
      <c r="L267" s="49">
        <f>L266+D267-SUMIFS(рапорт!$Q:$Q,рапорт!$A:$A,A267)-SUMIFS(рапорт!$U:$U,рапорт!$A:$A,A267)/4</f>
        <v>45376.5</v>
      </c>
      <c r="M267" s="50">
        <f>M266+E267-SUMIFS(рапорт!$R:$R,рапорт!$A:$A,A267)-SUMIFS(рапорт!$U:$U,рапорт!$A:$A,A267)/4</f>
        <v>86951.5</v>
      </c>
      <c r="O267" s="55">
        <v>46286</v>
      </c>
      <c r="P267" s="48"/>
      <c r="Q267" s="49"/>
      <c r="R267" s="49"/>
      <c r="S267" s="50"/>
      <c r="T267" s="60">
        <f t="shared" si="65"/>
        <v>0</v>
      </c>
      <c r="U267" s="48">
        <f t="shared" si="58"/>
        <v>749400</v>
      </c>
      <c r="V267" s="49">
        <f t="shared" si="64"/>
        <v>0</v>
      </c>
      <c r="W267" s="49">
        <f t="shared" si="64"/>
        <v>0</v>
      </c>
      <c r="X267" s="50">
        <f t="shared" si="64"/>
        <v>0</v>
      </c>
      <c r="Y267" s="73">
        <f t="shared" si="66"/>
        <v>749400</v>
      </c>
    </row>
    <row r="268" spans="1:25" x14ac:dyDescent="0.2">
      <c r="A268" s="55">
        <v>46287</v>
      </c>
      <c r="B268" s="48"/>
      <c r="C268" s="49"/>
      <c r="D268" s="49"/>
      <c r="E268" s="50"/>
      <c r="F268" s="48">
        <f t="shared" si="60"/>
        <v>42123</v>
      </c>
      <c r="G268" s="49">
        <f t="shared" si="61"/>
        <v>69725</v>
      </c>
      <c r="H268" s="49">
        <f t="shared" si="62"/>
        <v>0</v>
      </c>
      <c r="I268" s="50">
        <f t="shared" si="63"/>
        <v>14417</v>
      </c>
      <c r="J268" s="48">
        <f>J267+B268-SUMIFS(рапорт!$O:$O,рапорт!$A:$A,A268)-SUMIFS(рапорт!$U:$U,рапорт!$A:$A,A268)/4</f>
        <v>60640.5</v>
      </c>
      <c r="K268" s="49">
        <f>K267+C268-SUMIFS(рапорт!$P:$P,рапорт!$A:$A,A268)-SUMIFS(рапорт!$U:$U,рапорт!$A:$A,A268)/4</f>
        <v>98141.5</v>
      </c>
      <c r="L268" s="49">
        <f>L267+D268-SUMIFS(рапорт!$Q:$Q,рапорт!$A:$A,A268)-SUMIFS(рапорт!$U:$U,рапорт!$A:$A,A268)/4</f>
        <v>45376.5</v>
      </c>
      <c r="M268" s="50">
        <f>M267+E268-SUMIFS(рапорт!$R:$R,рапорт!$A:$A,A268)-SUMIFS(рапорт!$U:$U,рапорт!$A:$A,A268)/4</f>
        <v>86951.5</v>
      </c>
      <c r="O268" s="55">
        <v>46287</v>
      </c>
      <c r="P268" s="48"/>
      <c r="Q268" s="49"/>
      <c r="R268" s="49"/>
      <c r="S268" s="50"/>
      <c r="T268" s="60">
        <f t="shared" si="65"/>
        <v>0</v>
      </c>
      <c r="U268" s="48">
        <f t="shared" si="58"/>
        <v>749400</v>
      </c>
      <c r="V268" s="49">
        <f t="shared" si="64"/>
        <v>0</v>
      </c>
      <c r="W268" s="49">
        <f t="shared" si="64"/>
        <v>0</v>
      </c>
      <c r="X268" s="50">
        <f t="shared" si="64"/>
        <v>0</v>
      </c>
      <c r="Y268" s="73">
        <f t="shared" si="66"/>
        <v>749400</v>
      </c>
    </row>
    <row r="269" spans="1:25" x14ac:dyDescent="0.2">
      <c r="A269" s="55">
        <v>46288</v>
      </c>
      <c r="B269" s="48"/>
      <c r="C269" s="49"/>
      <c r="D269" s="49"/>
      <c r="E269" s="50"/>
      <c r="F269" s="48">
        <f t="shared" si="60"/>
        <v>42123</v>
      </c>
      <c r="G269" s="49">
        <f t="shared" si="61"/>
        <v>69725</v>
      </c>
      <c r="H269" s="49">
        <f t="shared" si="62"/>
        <v>0</v>
      </c>
      <c r="I269" s="50">
        <f t="shared" si="63"/>
        <v>14417</v>
      </c>
      <c r="J269" s="48">
        <f>J268+B269-SUMIFS(рапорт!$O:$O,рапорт!$A:$A,A269)-SUMIFS(рапорт!$U:$U,рапорт!$A:$A,A269)/4</f>
        <v>60640.5</v>
      </c>
      <c r="K269" s="49">
        <f>K268+C269-SUMIFS(рапорт!$P:$P,рапорт!$A:$A,A269)-SUMIFS(рапорт!$U:$U,рапорт!$A:$A,A269)/4</f>
        <v>98141.5</v>
      </c>
      <c r="L269" s="49">
        <f>L268+D269-SUMIFS(рапорт!$Q:$Q,рапорт!$A:$A,A269)-SUMIFS(рапорт!$U:$U,рапорт!$A:$A,A269)/4</f>
        <v>45376.5</v>
      </c>
      <c r="M269" s="50">
        <f>M268+E269-SUMIFS(рапорт!$R:$R,рапорт!$A:$A,A269)-SUMIFS(рапорт!$U:$U,рапорт!$A:$A,A269)/4</f>
        <v>86951.5</v>
      </c>
      <c r="O269" s="55">
        <v>46288</v>
      </c>
      <c r="P269" s="48"/>
      <c r="Q269" s="49"/>
      <c r="R269" s="49"/>
      <c r="S269" s="50"/>
      <c r="T269" s="60">
        <f t="shared" si="65"/>
        <v>0</v>
      </c>
      <c r="U269" s="48">
        <f t="shared" si="58"/>
        <v>749400</v>
      </c>
      <c r="V269" s="49">
        <f t="shared" si="64"/>
        <v>0</v>
      </c>
      <c r="W269" s="49">
        <f t="shared" si="64"/>
        <v>0</v>
      </c>
      <c r="X269" s="50">
        <f t="shared" si="64"/>
        <v>0</v>
      </c>
      <c r="Y269" s="73">
        <f t="shared" si="66"/>
        <v>749400</v>
      </c>
    </row>
    <row r="270" spans="1:25" x14ac:dyDescent="0.2">
      <c r="A270" s="55">
        <v>46289</v>
      </c>
      <c r="B270" s="48"/>
      <c r="C270" s="49"/>
      <c r="D270" s="49"/>
      <c r="E270" s="50"/>
      <c r="F270" s="48">
        <f t="shared" si="60"/>
        <v>42123</v>
      </c>
      <c r="G270" s="49">
        <f t="shared" si="61"/>
        <v>69725</v>
      </c>
      <c r="H270" s="49">
        <f t="shared" si="62"/>
        <v>0</v>
      </c>
      <c r="I270" s="50">
        <f t="shared" si="63"/>
        <v>14417</v>
      </c>
      <c r="J270" s="48">
        <f>J269+B270-SUMIFS(рапорт!$O:$O,рапорт!$A:$A,A270)-SUMIFS(рапорт!$U:$U,рапорт!$A:$A,A270)/4</f>
        <v>60640.5</v>
      </c>
      <c r="K270" s="49">
        <f>K269+C270-SUMIFS(рапорт!$P:$P,рапорт!$A:$A,A270)-SUMIFS(рапорт!$U:$U,рапорт!$A:$A,A270)/4</f>
        <v>98141.5</v>
      </c>
      <c r="L270" s="49">
        <f>L269+D270-SUMIFS(рапорт!$Q:$Q,рапорт!$A:$A,A270)-SUMIFS(рапорт!$U:$U,рапорт!$A:$A,A270)/4</f>
        <v>45376.5</v>
      </c>
      <c r="M270" s="50">
        <f>M269+E270-SUMIFS(рапорт!$R:$R,рапорт!$A:$A,A270)-SUMIFS(рапорт!$U:$U,рапорт!$A:$A,A270)/4</f>
        <v>86951.5</v>
      </c>
      <c r="O270" s="55">
        <v>46289</v>
      </c>
      <c r="P270" s="48"/>
      <c r="Q270" s="49"/>
      <c r="R270" s="49"/>
      <c r="S270" s="50"/>
      <c r="T270" s="60">
        <f t="shared" si="65"/>
        <v>0</v>
      </c>
      <c r="U270" s="48">
        <f t="shared" si="58"/>
        <v>749400</v>
      </c>
      <c r="V270" s="49">
        <f t="shared" si="64"/>
        <v>0</v>
      </c>
      <c r="W270" s="49">
        <f t="shared" si="64"/>
        <v>0</v>
      </c>
      <c r="X270" s="50">
        <f t="shared" si="64"/>
        <v>0</v>
      </c>
      <c r="Y270" s="73">
        <f t="shared" si="66"/>
        <v>749400</v>
      </c>
    </row>
    <row r="271" spans="1:25" x14ac:dyDescent="0.2">
      <c r="A271" s="55">
        <v>46290</v>
      </c>
      <c r="B271" s="48"/>
      <c r="C271" s="49"/>
      <c r="D271" s="49"/>
      <c r="E271" s="50"/>
      <c r="F271" s="48">
        <f t="shared" si="60"/>
        <v>42123</v>
      </c>
      <c r="G271" s="49">
        <f t="shared" si="61"/>
        <v>69725</v>
      </c>
      <c r="H271" s="49">
        <f t="shared" si="62"/>
        <v>0</v>
      </c>
      <c r="I271" s="50">
        <f t="shared" si="63"/>
        <v>14417</v>
      </c>
      <c r="J271" s="48">
        <f>J270+B271-SUMIFS(рапорт!$O:$O,рапорт!$A:$A,A271)-SUMIFS(рапорт!$U:$U,рапорт!$A:$A,A271)/4</f>
        <v>60640.5</v>
      </c>
      <c r="K271" s="49">
        <f>K270+C271-SUMIFS(рапорт!$P:$P,рапорт!$A:$A,A271)-SUMIFS(рапорт!$U:$U,рапорт!$A:$A,A271)/4</f>
        <v>98141.5</v>
      </c>
      <c r="L271" s="49">
        <f>L270+D271-SUMIFS(рапорт!$Q:$Q,рапорт!$A:$A,A271)-SUMIFS(рапорт!$U:$U,рапорт!$A:$A,A271)/4</f>
        <v>45376.5</v>
      </c>
      <c r="M271" s="50">
        <f>M270+E271-SUMIFS(рапорт!$R:$R,рапорт!$A:$A,A271)-SUMIFS(рапорт!$U:$U,рапорт!$A:$A,A271)/4</f>
        <v>86951.5</v>
      </c>
      <c r="O271" s="55">
        <v>46290</v>
      </c>
      <c r="P271" s="48"/>
      <c r="Q271" s="49"/>
      <c r="R271" s="49"/>
      <c r="S271" s="50"/>
      <c r="T271" s="60">
        <f t="shared" si="65"/>
        <v>0</v>
      </c>
      <c r="U271" s="48">
        <f t="shared" si="58"/>
        <v>749400</v>
      </c>
      <c r="V271" s="49">
        <f t="shared" si="64"/>
        <v>0</v>
      </c>
      <c r="W271" s="49">
        <f t="shared" si="64"/>
        <v>0</v>
      </c>
      <c r="X271" s="50">
        <f t="shared" si="64"/>
        <v>0</v>
      </c>
      <c r="Y271" s="73">
        <f t="shared" si="66"/>
        <v>749400</v>
      </c>
    </row>
    <row r="272" spans="1:25" x14ac:dyDescent="0.2">
      <c r="A272" s="55">
        <v>46291</v>
      </c>
      <c r="B272" s="48"/>
      <c r="C272" s="49"/>
      <c r="D272" s="49"/>
      <c r="E272" s="50"/>
      <c r="F272" s="48">
        <f t="shared" si="60"/>
        <v>42123</v>
      </c>
      <c r="G272" s="49">
        <f t="shared" si="61"/>
        <v>69725</v>
      </c>
      <c r="H272" s="49">
        <f t="shared" si="62"/>
        <v>0</v>
      </c>
      <c r="I272" s="50">
        <f t="shared" si="63"/>
        <v>14417</v>
      </c>
      <c r="J272" s="48">
        <f>J271+B272-SUMIFS(рапорт!$O:$O,рапорт!$A:$A,A272)-SUMIFS(рапорт!$U:$U,рапорт!$A:$A,A272)/4</f>
        <v>60640.5</v>
      </c>
      <c r="K272" s="49">
        <f>K271+C272-SUMIFS(рапорт!$P:$P,рапорт!$A:$A,A272)-SUMIFS(рапорт!$U:$U,рапорт!$A:$A,A272)/4</f>
        <v>98141.5</v>
      </c>
      <c r="L272" s="49">
        <f>L271+D272-SUMIFS(рапорт!$Q:$Q,рапорт!$A:$A,A272)-SUMIFS(рапорт!$U:$U,рапорт!$A:$A,A272)/4</f>
        <v>45376.5</v>
      </c>
      <c r="M272" s="50">
        <f>M271+E272-SUMIFS(рапорт!$R:$R,рапорт!$A:$A,A272)-SUMIFS(рапорт!$U:$U,рапорт!$A:$A,A272)/4</f>
        <v>86951.5</v>
      </c>
      <c r="O272" s="55">
        <v>46291</v>
      </c>
      <c r="P272" s="48"/>
      <c r="Q272" s="49"/>
      <c r="R272" s="49"/>
      <c r="S272" s="50"/>
      <c r="T272" s="60">
        <f t="shared" si="65"/>
        <v>0</v>
      </c>
      <c r="U272" s="48">
        <f t="shared" si="58"/>
        <v>749400</v>
      </c>
      <c r="V272" s="49">
        <f t="shared" si="64"/>
        <v>0</v>
      </c>
      <c r="W272" s="49">
        <f t="shared" si="64"/>
        <v>0</v>
      </c>
      <c r="X272" s="50">
        <f t="shared" si="64"/>
        <v>0</v>
      </c>
      <c r="Y272" s="73">
        <f t="shared" si="66"/>
        <v>749400</v>
      </c>
    </row>
    <row r="273" spans="1:25" x14ac:dyDescent="0.2">
      <c r="A273" s="55">
        <v>46292</v>
      </c>
      <c r="B273" s="48"/>
      <c r="C273" s="49"/>
      <c r="D273" s="49"/>
      <c r="E273" s="50"/>
      <c r="F273" s="48">
        <f t="shared" si="60"/>
        <v>42123</v>
      </c>
      <c r="G273" s="49">
        <f t="shared" si="61"/>
        <v>69725</v>
      </c>
      <c r="H273" s="49">
        <f t="shared" si="62"/>
        <v>0</v>
      </c>
      <c r="I273" s="50">
        <f t="shared" si="63"/>
        <v>14417</v>
      </c>
      <c r="J273" s="48">
        <f>J272+B273-SUMIFS(рапорт!$O:$O,рапорт!$A:$A,A273)-SUMIFS(рапорт!$U:$U,рапорт!$A:$A,A273)/4</f>
        <v>60640.5</v>
      </c>
      <c r="K273" s="49">
        <f>K272+C273-SUMIFS(рапорт!$P:$P,рапорт!$A:$A,A273)-SUMIFS(рапорт!$U:$U,рапорт!$A:$A,A273)/4</f>
        <v>98141.5</v>
      </c>
      <c r="L273" s="49">
        <f>L272+D273-SUMIFS(рапорт!$Q:$Q,рапорт!$A:$A,A273)-SUMIFS(рапорт!$U:$U,рапорт!$A:$A,A273)/4</f>
        <v>45376.5</v>
      </c>
      <c r="M273" s="50">
        <f>M272+E273-SUMIFS(рапорт!$R:$R,рапорт!$A:$A,A273)-SUMIFS(рапорт!$U:$U,рапорт!$A:$A,A273)/4</f>
        <v>86951.5</v>
      </c>
      <c r="O273" s="55">
        <v>46292</v>
      </c>
      <c r="P273" s="48"/>
      <c r="Q273" s="49"/>
      <c r="R273" s="49"/>
      <c r="S273" s="50"/>
      <c r="T273" s="60">
        <f t="shared" si="65"/>
        <v>0</v>
      </c>
      <c r="U273" s="48">
        <f t="shared" si="58"/>
        <v>749400</v>
      </c>
      <c r="V273" s="49">
        <f t="shared" si="64"/>
        <v>0</v>
      </c>
      <c r="W273" s="49">
        <f t="shared" si="64"/>
        <v>0</v>
      </c>
      <c r="X273" s="50">
        <f t="shared" si="64"/>
        <v>0</v>
      </c>
      <c r="Y273" s="73">
        <f t="shared" si="66"/>
        <v>749400</v>
      </c>
    </row>
    <row r="274" spans="1:25" x14ac:dyDescent="0.2">
      <c r="A274" s="55">
        <v>46293</v>
      </c>
      <c r="B274" s="48"/>
      <c r="C274" s="49"/>
      <c r="D274" s="49"/>
      <c r="E274" s="50"/>
      <c r="F274" s="48">
        <f t="shared" si="60"/>
        <v>42123</v>
      </c>
      <c r="G274" s="49">
        <f t="shared" si="61"/>
        <v>69725</v>
      </c>
      <c r="H274" s="49">
        <f t="shared" si="62"/>
        <v>0</v>
      </c>
      <c r="I274" s="50">
        <f t="shared" si="63"/>
        <v>14417</v>
      </c>
      <c r="J274" s="48">
        <f>J273+B274-SUMIFS(рапорт!$O:$O,рапорт!$A:$A,A274)-SUMIFS(рапорт!$U:$U,рапорт!$A:$A,A274)/4</f>
        <v>60640.5</v>
      </c>
      <c r="K274" s="49">
        <f>K273+C274-SUMIFS(рапорт!$P:$P,рапорт!$A:$A,A274)-SUMIFS(рапорт!$U:$U,рапорт!$A:$A,A274)/4</f>
        <v>98141.5</v>
      </c>
      <c r="L274" s="49">
        <f>L273+D274-SUMIFS(рапорт!$Q:$Q,рапорт!$A:$A,A274)-SUMIFS(рапорт!$U:$U,рапорт!$A:$A,A274)/4</f>
        <v>45376.5</v>
      </c>
      <c r="M274" s="50">
        <f>M273+E274-SUMIFS(рапорт!$R:$R,рапорт!$A:$A,A274)-SUMIFS(рапорт!$U:$U,рапорт!$A:$A,A274)/4</f>
        <v>86951.5</v>
      </c>
      <c r="O274" s="55">
        <v>46293</v>
      </c>
      <c r="P274" s="48"/>
      <c r="Q274" s="49"/>
      <c r="R274" s="49"/>
      <c r="S274" s="50"/>
      <c r="T274" s="60">
        <f t="shared" si="65"/>
        <v>0</v>
      </c>
      <c r="U274" s="48">
        <f t="shared" si="58"/>
        <v>749400</v>
      </c>
      <c r="V274" s="49">
        <f t="shared" si="64"/>
        <v>0</v>
      </c>
      <c r="W274" s="49">
        <f t="shared" si="64"/>
        <v>0</v>
      </c>
      <c r="X274" s="50">
        <f t="shared" si="64"/>
        <v>0</v>
      </c>
      <c r="Y274" s="73">
        <f t="shared" si="66"/>
        <v>749400</v>
      </c>
    </row>
    <row r="275" spans="1:25" x14ac:dyDescent="0.2">
      <c r="A275" s="55">
        <v>46294</v>
      </c>
      <c r="B275" s="48"/>
      <c r="C275" s="49"/>
      <c r="D275" s="49"/>
      <c r="E275" s="50"/>
      <c r="F275" s="48">
        <f t="shared" si="60"/>
        <v>42123</v>
      </c>
      <c r="G275" s="49">
        <f t="shared" si="61"/>
        <v>69725</v>
      </c>
      <c r="H275" s="49">
        <f t="shared" si="62"/>
        <v>0</v>
      </c>
      <c r="I275" s="50">
        <f t="shared" si="63"/>
        <v>14417</v>
      </c>
      <c r="J275" s="48">
        <f>J274+B275-SUMIFS(рапорт!$O:$O,рапорт!$A:$A,A275)-SUMIFS(рапорт!$U:$U,рапорт!$A:$A,A275)/4</f>
        <v>60640.5</v>
      </c>
      <c r="K275" s="49">
        <f>K274+C275-SUMIFS(рапорт!$P:$P,рапорт!$A:$A,A275)-SUMIFS(рапорт!$U:$U,рапорт!$A:$A,A275)/4</f>
        <v>98141.5</v>
      </c>
      <c r="L275" s="49">
        <f>L274+D275-SUMIFS(рапорт!$Q:$Q,рапорт!$A:$A,A275)-SUMIFS(рапорт!$U:$U,рапорт!$A:$A,A275)/4</f>
        <v>45376.5</v>
      </c>
      <c r="M275" s="50">
        <f>M274+E275-SUMIFS(рапорт!$R:$R,рапорт!$A:$A,A275)-SUMIFS(рапорт!$U:$U,рапорт!$A:$A,A275)/4</f>
        <v>86951.5</v>
      </c>
      <c r="O275" s="55">
        <v>46294</v>
      </c>
      <c r="P275" s="48"/>
      <c r="Q275" s="49"/>
      <c r="R275" s="49"/>
      <c r="S275" s="50"/>
      <c r="T275" s="60">
        <f t="shared" si="65"/>
        <v>0</v>
      </c>
      <c r="U275" s="48">
        <f t="shared" si="58"/>
        <v>749400</v>
      </c>
      <c r="V275" s="49">
        <f t="shared" si="64"/>
        <v>0</v>
      </c>
      <c r="W275" s="49">
        <f t="shared" si="64"/>
        <v>0</v>
      </c>
      <c r="X275" s="50">
        <f t="shared" si="64"/>
        <v>0</v>
      </c>
      <c r="Y275" s="73">
        <f t="shared" si="66"/>
        <v>749400</v>
      </c>
    </row>
    <row r="276" spans="1:25" x14ac:dyDescent="0.2">
      <c r="A276" s="55">
        <v>46295</v>
      </c>
      <c r="B276" s="48"/>
      <c r="C276" s="49"/>
      <c r="D276" s="49"/>
      <c r="E276" s="50"/>
      <c r="F276" s="48">
        <f t="shared" si="60"/>
        <v>42123</v>
      </c>
      <c r="G276" s="49">
        <f t="shared" si="61"/>
        <v>69725</v>
      </c>
      <c r="H276" s="49">
        <f t="shared" si="62"/>
        <v>0</v>
      </c>
      <c r="I276" s="50">
        <f t="shared" si="63"/>
        <v>14417</v>
      </c>
      <c r="J276" s="48">
        <f>J275+B276-SUMIFS(рапорт!$O:$O,рапорт!$A:$A,A276)-SUMIFS(рапорт!$U:$U,рапорт!$A:$A,A276)/4</f>
        <v>60640.5</v>
      </c>
      <c r="K276" s="49">
        <f>K275+C276-SUMIFS(рапорт!$P:$P,рапорт!$A:$A,A276)-SUMIFS(рапорт!$U:$U,рапорт!$A:$A,A276)/4</f>
        <v>98141.5</v>
      </c>
      <c r="L276" s="49">
        <f>L275+D276-SUMIFS(рапорт!$Q:$Q,рапорт!$A:$A,A276)-SUMIFS(рапорт!$U:$U,рапорт!$A:$A,A276)/4</f>
        <v>45376.5</v>
      </c>
      <c r="M276" s="50">
        <f>M275+E276-SUMIFS(рапорт!$R:$R,рапорт!$A:$A,A276)-SUMIFS(рапорт!$U:$U,рапорт!$A:$A,A276)/4</f>
        <v>86951.5</v>
      </c>
      <c r="O276" s="55">
        <v>46295</v>
      </c>
      <c r="P276" s="48"/>
      <c r="Q276" s="49"/>
      <c r="R276" s="49"/>
      <c r="S276" s="50"/>
      <c r="T276" s="60">
        <f t="shared" si="65"/>
        <v>0</v>
      </c>
      <c r="U276" s="48">
        <f t="shared" si="58"/>
        <v>749400</v>
      </c>
      <c r="V276" s="49">
        <f t="shared" ref="V276:X291" si="67">V275</f>
        <v>0</v>
      </c>
      <c r="W276" s="49">
        <f t="shared" si="67"/>
        <v>0</v>
      </c>
      <c r="X276" s="50">
        <f t="shared" si="67"/>
        <v>0</v>
      </c>
      <c r="Y276" s="73">
        <f t="shared" si="66"/>
        <v>749400</v>
      </c>
    </row>
    <row r="277" spans="1:25" x14ac:dyDescent="0.2">
      <c r="A277" s="55">
        <v>46296</v>
      </c>
      <c r="B277" s="48"/>
      <c r="C277" s="49"/>
      <c r="D277" s="49"/>
      <c r="E277" s="50"/>
      <c r="F277" s="48">
        <f t="shared" si="60"/>
        <v>42123</v>
      </c>
      <c r="G277" s="49">
        <f t="shared" si="61"/>
        <v>69725</v>
      </c>
      <c r="H277" s="49">
        <f t="shared" si="62"/>
        <v>0</v>
      </c>
      <c r="I277" s="50">
        <f t="shared" si="63"/>
        <v>14417</v>
      </c>
      <c r="J277" s="48">
        <f>J276+B277-SUMIFS(рапорт!$O:$O,рапорт!$A:$A,A277)-SUMIFS(рапорт!$U:$U,рапорт!$A:$A,A277)/4</f>
        <v>60640.5</v>
      </c>
      <c r="K277" s="49">
        <f>K276+C277-SUMIFS(рапорт!$P:$P,рапорт!$A:$A,A277)-SUMIFS(рапорт!$U:$U,рапорт!$A:$A,A277)/4</f>
        <v>98141.5</v>
      </c>
      <c r="L277" s="49">
        <f>L276+D277-SUMIFS(рапорт!$Q:$Q,рапорт!$A:$A,A277)-SUMIFS(рапорт!$U:$U,рапорт!$A:$A,A277)/4</f>
        <v>45376.5</v>
      </c>
      <c r="M277" s="50">
        <f>M276+E277-SUMIFS(рапорт!$R:$R,рапорт!$A:$A,A277)-SUMIFS(рапорт!$U:$U,рапорт!$A:$A,A277)/4</f>
        <v>86951.5</v>
      </c>
      <c r="O277" s="55">
        <v>46296</v>
      </c>
      <c r="P277" s="48"/>
      <c r="Q277" s="49"/>
      <c r="R277" s="49"/>
      <c r="S277" s="50"/>
      <c r="T277" s="60">
        <f t="shared" si="65"/>
        <v>0</v>
      </c>
      <c r="U277" s="48">
        <f t="shared" si="58"/>
        <v>749400</v>
      </c>
      <c r="V277" s="49">
        <f t="shared" si="67"/>
        <v>0</v>
      </c>
      <c r="W277" s="49">
        <f t="shared" si="67"/>
        <v>0</v>
      </c>
      <c r="X277" s="50">
        <f t="shared" si="67"/>
        <v>0</v>
      </c>
      <c r="Y277" s="73">
        <f t="shared" si="66"/>
        <v>749400</v>
      </c>
    </row>
    <row r="278" spans="1:25" x14ac:dyDescent="0.2">
      <c r="A278" s="55">
        <v>46297</v>
      </c>
      <c r="B278" s="48"/>
      <c r="C278" s="49"/>
      <c r="D278" s="49"/>
      <c r="E278" s="50"/>
      <c r="F278" s="48">
        <f t="shared" si="60"/>
        <v>42123</v>
      </c>
      <c r="G278" s="49">
        <f t="shared" si="61"/>
        <v>69725</v>
      </c>
      <c r="H278" s="49">
        <f t="shared" si="62"/>
        <v>0</v>
      </c>
      <c r="I278" s="50">
        <f t="shared" si="63"/>
        <v>14417</v>
      </c>
      <c r="J278" s="48">
        <f>J277+B278-SUMIFS(рапорт!$O:$O,рапорт!$A:$A,A278)-SUMIFS(рапорт!$U:$U,рапорт!$A:$A,A278)/4</f>
        <v>60640.5</v>
      </c>
      <c r="K278" s="49">
        <f>K277+C278-SUMIFS(рапорт!$P:$P,рапорт!$A:$A,A278)-SUMIFS(рапорт!$U:$U,рапорт!$A:$A,A278)/4</f>
        <v>98141.5</v>
      </c>
      <c r="L278" s="49">
        <f>L277+D278-SUMIFS(рапорт!$Q:$Q,рапорт!$A:$A,A278)-SUMIFS(рапорт!$U:$U,рапорт!$A:$A,A278)/4</f>
        <v>45376.5</v>
      </c>
      <c r="M278" s="50">
        <f>M277+E278-SUMIFS(рапорт!$R:$R,рапорт!$A:$A,A278)-SUMIFS(рапорт!$U:$U,рапорт!$A:$A,A278)/4</f>
        <v>86951.5</v>
      </c>
      <c r="O278" s="55">
        <v>46297</v>
      </c>
      <c r="P278" s="48"/>
      <c r="Q278" s="49"/>
      <c r="R278" s="49"/>
      <c r="S278" s="50"/>
      <c r="T278" s="60">
        <f t="shared" si="65"/>
        <v>0</v>
      </c>
      <c r="U278" s="48">
        <f t="shared" si="58"/>
        <v>749400</v>
      </c>
      <c r="V278" s="49">
        <f t="shared" si="67"/>
        <v>0</v>
      </c>
      <c r="W278" s="49">
        <f t="shared" si="67"/>
        <v>0</v>
      </c>
      <c r="X278" s="50">
        <f t="shared" si="67"/>
        <v>0</v>
      </c>
      <c r="Y278" s="73">
        <f t="shared" si="66"/>
        <v>749400</v>
      </c>
    </row>
    <row r="279" spans="1:25" x14ac:dyDescent="0.2">
      <c r="A279" s="55">
        <v>46298</v>
      </c>
      <c r="B279" s="48"/>
      <c r="C279" s="49"/>
      <c r="D279" s="49"/>
      <c r="E279" s="50"/>
      <c r="F279" s="48">
        <f t="shared" si="60"/>
        <v>42123</v>
      </c>
      <c r="G279" s="49">
        <f t="shared" si="61"/>
        <v>69725</v>
      </c>
      <c r="H279" s="49">
        <f t="shared" si="62"/>
        <v>0</v>
      </c>
      <c r="I279" s="50">
        <f t="shared" si="63"/>
        <v>14417</v>
      </c>
      <c r="J279" s="48">
        <f>J278+B279-SUMIFS(рапорт!$O:$O,рапорт!$A:$A,A279)-SUMIFS(рапорт!$U:$U,рапорт!$A:$A,A279)/4</f>
        <v>60640.5</v>
      </c>
      <c r="K279" s="49">
        <f>K278+C279-SUMIFS(рапорт!$P:$P,рапорт!$A:$A,A279)-SUMIFS(рапорт!$U:$U,рапорт!$A:$A,A279)/4</f>
        <v>98141.5</v>
      </c>
      <c r="L279" s="49">
        <f>L278+D279-SUMIFS(рапорт!$Q:$Q,рапорт!$A:$A,A279)-SUMIFS(рапорт!$U:$U,рапорт!$A:$A,A279)/4</f>
        <v>45376.5</v>
      </c>
      <c r="M279" s="50">
        <f>M278+E279-SUMIFS(рапорт!$R:$R,рапорт!$A:$A,A279)-SUMIFS(рапорт!$U:$U,рапорт!$A:$A,A279)/4</f>
        <v>86951.5</v>
      </c>
      <c r="O279" s="55">
        <v>46298</v>
      </c>
      <c r="P279" s="48"/>
      <c r="Q279" s="49"/>
      <c r="R279" s="49"/>
      <c r="S279" s="50"/>
      <c r="T279" s="60">
        <f t="shared" si="65"/>
        <v>0</v>
      </c>
      <c r="U279" s="48">
        <f t="shared" si="58"/>
        <v>749400</v>
      </c>
      <c r="V279" s="49">
        <f t="shared" si="67"/>
        <v>0</v>
      </c>
      <c r="W279" s="49">
        <f t="shared" si="67"/>
        <v>0</v>
      </c>
      <c r="X279" s="50">
        <f t="shared" si="67"/>
        <v>0</v>
      </c>
      <c r="Y279" s="73">
        <f t="shared" si="66"/>
        <v>749400</v>
      </c>
    </row>
    <row r="280" spans="1:25" x14ac:dyDescent="0.2">
      <c r="A280" s="55">
        <v>46299</v>
      </c>
      <c r="B280" s="48"/>
      <c r="C280" s="49"/>
      <c r="D280" s="49"/>
      <c r="E280" s="50"/>
      <c r="F280" s="48">
        <f t="shared" si="60"/>
        <v>42123</v>
      </c>
      <c r="G280" s="49">
        <f t="shared" si="61"/>
        <v>69725</v>
      </c>
      <c r="H280" s="49">
        <f t="shared" si="62"/>
        <v>0</v>
      </c>
      <c r="I280" s="50">
        <f t="shared" si="63"/>
        <v>14417</v>
      </c>
      <c r="J280" s="48">
        <f>J279+B280-SUMIFS(рапорт!$O:$O,рапорт!$A:$A,A280)-SUMIFS(рапорт!$U:$U,рапорт!$A:$A,A280)/4</f>
        <v>60640.5</v>
      </c>
      <c r="K280" s="49">
        <f>K279+C280-SUMIFS(рапорт!$P:$P,рапорт!$A:$A,A280)-SUMIFS(рапорт!$U:$U,рапорт!$A:$A,A280)/4</f>
        <v>98141.5</v>
      </c>
      <c r="L280" s="49">
        <f>L279+D280-SUMIFS(рапорт!$Q:$Q,рапорт!$A:$A,A280)-SUMIFS(рапорт!$U:$U,рапорт!$A:$A,A280)/4</f>
        <v>45376.5</v>
      </c>
      <c r="M280" s="50">
        <f>M279+E280-SUMIFS(рапорт!$R:$R,рапорт!$A:$A,A280)-SUMIFS(рапорт!$U:$U,рапорт!$A:$A,A280)/4</f>
        <v>86951.5</v>
      </c>
      <c r="O280" s="55">
        <v>46299</v>
      </c>
      <c r="P280" s="48"/>
      <c r="Q280" s="49"/>
      <c r="R280" s="49"/>
      <c r="S280" s="50"/>
      <c r="T280" s="60">
        <f t="shared" si="65"/>
        <v>0</v>
      </c>
      <c r="U280" s="48">
        <f t="shared" si="58"/>
        <v>749400</v>
      </c>
      <c r="V280" s="49">
        <f t="shared" si="67"/>
        <v>0</v>
      </c>
      <c r="W280" s="49">
        <f t="shared" si="67"/>
        <v>0</v>
      </c>
      <c r="X280" s="50">
        <f t="shared" si="67"/>
        <v>0</v>
      </c>
      <c r="Y280" s="73">
        <f t="shared" si="66"/>
        <v>749400</v>
      </c>
    </row>
    <row r="281" spans="1:25" x14ac:dyDescent="0.2">
      <c r="A281" s="55">
        <v>46300</v>
      </c>
      <c r="B281" s="48"/>
      <c r="C281" s="49"/>
      <c r="D281" s="49"/>
      <c r="E281" s="50"/>
      <c r="F281" s="48">
        <f t="shared" si="60"/>
        <v>42123</v>
      </c>
      <c r="G281" s="49">
        <f t="shared" si="61"/>
        <v>69725</v>
      </c>
      <c r="H281" s="49">
        <f t="shared" si="62"/>
        <v>0</v>
      </c>
      <c r="I281" s="50">
        <f t="shared" si="63"/>
        <v>14417</v>
      </c>
      <c r="J281" s="48">
        <f>J280+B281-SUMIFS(рапорт!$O:$O,рапорт!$A:$A,A281)-SUMIFS(рапорт!$U:$U,рапорт!$A:$A,A281)/4</f>
        <v>60640.5</v>
      </c>
      <c r="K281" s="49">
        <f>K280+C281-SUMIFS(рапорт!$P:$P,рапорт!$A:$A,A281)-SUMIFS(рапорт!$U:$U,рапорт!$A:$A,A281)/4</f>
        <v>98141.5</v>
      </c>
      <c r="L281" s="49">
        <f>L280+D281-SUMIFS(рапорт!$Q:$Q,рапорт!$A:$A,A281)-SUMIFS(рапорт!$U:$U,рапорт!$A:$A,A281)/4</f>
        <v>45376.5</v>
      </c>
      <c r="M281" s="50">
        <f>M280+E281-SUMIFS(рапорт!$R:$R,рапорт!$A:$A,A281)-SUMIFS(рапорт!$U:$U,рапорт!$A:$A,A281)/4</f>
        <v>86951.5</v>
      </c>
      <c r="O281" s="55">
        <v>46300</v>
      </c>
      <c r="P281" s="48"/>
      <c r="Q281" s="49"/>
      <c r="R281" s="49"/>
      <c r="S281" s="50"/>
      <c r="T281" s="60">
        <f t="shared" si="65"/>
        <v>0</v>
      </c>
      <c r="U281" s="48">
        <f t="shared" si="58"/>
        <v>749400</v>
      </c>
      <c r="V281" s="49">
        <f t="shared" si="67"/>
        <v>0</v>
      </c>
      <c r="W281" s="49">
        <f t="shared" si="67"/>
        <v>0</v>
      </c>
      <c r="X281" s="50">
        <f t="shared" si="67"/>
        <v>0</v>
      </c>
      <c r="Y281" s="73">
        <f t="shared" si="66"/>
        <v>749400</v>
      </c>
    </row>
    <row r="282" spans="1:25" x14ac:dyDescent="0.2">
      <c r="A282" s="55">
        <v>46301</v>
      </c>
      <c r="B282" s="48"/>
      <c r="C282" s="49"/>
      <c r="D282" s="49"/>
      <c r="E282" s="50"/>
      <c r="F282" s="48">
        <f t="shared" si="60"/>
        <v>42123</v>
      </c>
      <c r="G282" s="49">
        <f t="shared" si="61"/>
        <v>69725</v>
      </c>
      <c r="H282" s="49">
        <f t="shared" si="62"/>
        <v>0</v>
      </c>
      <c r="I282" s="50">
        <f t="shared" si="63"/>
        <v>14417</v>
      </c>
      <c r="J282" s="48">
        <f>J281+B282-SUMIFS(рапорт!$O:$O,рапорт!$A:$A,A282)-SUMIFS(рапорт!$U:$U,рапорт!$A:$A,A282)/4</f>
        <v>60640.5</v>
      </c>
      <c r="K282" s="49">
        <f>K281+C282-SUMIFS(рапорт!$P:$P,рапорт!$A:$A,A282)-SUMIFS(рапорт!$U:$U,рапорт!$A:$A,A282)/4</f>
        <v>98141.5</v>
      </c>
      <c r="L282" s="49">
        <f>L281+D282-SUMIFS(рапорт!$Q:$Q,рапорт!$A:$A,A282)-SUMIFS(рапорт!$U:$U,рапорт!$A:$A,A282)/4</f>
        <v>45376.5</v>
      </c>
      <c r="M282" s="50">
        <f>M281+E282-SUMIFS(рапорт!$R:$R,рапорт!$A:$A,A282)-SUMIFS(рапорт!$U:$U,рапорт!$A:$A,A282)/4</f>
        <v>86951.5</v>
      </c>
      <c r="O282" s="55">
        <v>46301</v>
      </c>
      <c r="P282" s="48"/>
      <c r="Q282" s="49"/>
      <c r="R282" s="49"/>
      <c r="S282" s="50"/>
      <c r="T282" s="60">
        <f t="shared" si="65"/>
        <v>0</v>
      </c>
      <c r="U282" s="48">
        <f t="shared" si="58"/>
        <v>749400</v>
      </c>
      <c r="V282" s="49">
        <f t="shared" si="67"/>
        <v>0</v>
      </c>
      <c r="W282" s="49">
        <f t="shared" si="67"/>
        <v>0</v>
      </c>
      <c r="X282" s="50">
        <f t="shared" si="67"/>
        <v>0</v>
      </c>
      <c r="Y282" s="73">
        <f t="shared" si="66"/>
        <v>749400</v>
      </c>
    </row>
    <row r="283" spans="1:25" x14ac:dyDescent="0.2">
      <c r="A283" s="55">
        <v>46302</v>
      </c>
      <c r="B283" s="48"/>
      <c r="C283" s="49"/>
      <c r="D283" s="49"/>
      <c r="E283" s="50"/>
      <c r="F283" s="48">
        <f t="shared" si="60"/>
        <v>42123</v>
      </c>
      <c r="G283" s="49">
        <f t="shared" si="61"/>
        <v>69725</v>
      </c>
      <c r="H283" s="49">
        <f t="shared" si="62"/>
        <v>0</v>
      </c>
      <c r="I283" s="50">
        <f t="shared" si="63"/>
        <v>14417</v>
      </c>
      <c r="J283" s="48">
        <f>J282+B283-SUMIFS(рапорт!$O:$O,рапорт!$A:$A,A283)-SUMIFS(рапорт!$U:$U,рапорт!$A:$A,A283)/4</f>
        <v>60640.5</v>
      </c>
      <c r="K283" s="49">
        <f>K282+C283-SUMIFS(рапорт!$P:$P,рапорт!$A:$A,A283)-SUMIFS(рапорт!$U:$U,рапорт!$A:$A,A283)/4</f>
        <v>98141.5</v>
      </c>
      <c r="L283" s="49">
        <f>L282+D283-SUMIFS(рапорт!$Q:$Q,рапорт!$A:$A,A283)-SUMIFS(рапорт!$U:$U,рапорт!$A:$A,A283)/4</f>
        <v>45376.5</v>
      </c>
      <c r="M283" s="50">
        <f>M282+E283-SUMIFS(рапорт!$R:$R,рапорт!$A:$A,A283)-SUMIFS(рапорт!$U:$U,рапорт!$A:$A,A283)/4</f>
        <v>86951.5</v>
      </c>
      <c r="O283" s="55">
        <v>46302</v>
      </c>
      <c r="P283" s="48"/>
      <c r="Q283" s="49"/>
      <c r="R283" s="49"/>
      <c r="S283" s="50"/>
      <c r="T283" s="60">
        <f t="shared" si="65"/>
        <v>0</v>
      </c>
      <c r="U283" s="48">
        <f t="shared" si="58"/>
        <v>749400</v>
      </c>
      <c r="V283" s="49">
        <f t="shared" si="67"/>
        <v>0</v>
      </c>
      <c r="W283" s="49">
        <f t="shared" si="67"/>
        <v>0</v>
      </c>
      <c r="X283" s="50">
        <f t="shared" si="67"/>
        <v>0</v>
      </c>
      <c r="Y283" s="73">
        <f t="shared" si="66"/>
        <v>749400</v>
      </c>
    </row>
    <row r="284" spans="1:25" x14ac:dyDescent="0.2">
      <c r="A284" s="55">
        <v>46303</v>
      </c>
      <c r="B284" s="48"/>
      <c r="C284" s="49"/>
      <c r="D284" s="49"/>
      <c r="E284" s="50"/>
      <c r="F284" s="48">
        <f t="shared" si="60"/>
        <v>42123</v>
      </c>
      <c r="G284" s="49">
        <f t="shared" si="61"/>
        <v>69725</v>
      </c>
      <c r="H284" s="49">
        <f t="shared" si="62"/>
        <v>0</v>
      </c>
      <c r="I284" s="50">
        <f t="shared" si="63"/>
        <v>14417</v>
      </c>
      <c r="J284" s="48">
        <f>J283+B284-SUMIFS(рапорт!$O:$O,рапорт!$A:$A,A284)-SUMIFS(рапорт!$U:$U,рапорт!$A:$A,A284)/4</f>
        <v>60640.5</v>
      </c>
      <c r="K284" s="49">
        <f>K283+C284-SUMIFS(рапорт!$P:$P,рапорт!$A:$A,A284)-SUMIFS(рапорт!$U:$U,рапорт!$A:$A,A284)/4</f>
        <v>98141.5</v>
      </c>
      <c r="L284" s="49">
        <f>L283+D284-SUMIFS(рапорт!$Q:$Q,рапорт!$A:$A,A284)-SUMIFS(рапорт!$U:$U,рапорт!$A:$A,A284)/4</f>
        <v>45376.5</v>
      </c>
      <c r="M284" s="50">
        <f>M283+E284-SUMIFS(рапорт!$R:$R,рапорт!$A:$A,A284)-SUMIFS(рапорт!$U:$U,рапорт!$A:$A,A284)/4</f>
        <v>86951.5</v>
      </c>
      <c r="O284" s="55">
        <v>46303</v>
      </c>
      <c r="P284" s="48"/>
      <c r="Q284" s="49"/>
      <c r="R284" s="49"/>
      <c r="S284" s="50"/>
      <c r="T284" s="60">
        <f t="shared" si="65"/>
        <v>0</v>
      </c>
      <c r="U284" s="48">
        <f t="shared" si="58"/>
        <v>749400</v>
      </c>
      <c r="V284" s="49">
        <f t="shared" si="67"/>
        <v>0</v>
      </c>
      <c r="W284" s="49">
        <f t="shared" si="67"/>
        <v>0</v>
      </c>
      <c r="X284" s="50">
        <f t="shared" si="67"/>
        <v>0</v>
      </c>
      <c r="Y284" s="73">
        <f t="shared" si="66"/>
        <v>749400</v>
      </c>
    </row>
    <row r="285" spans="1:25" x14ac:dyDescent="0.2">
      <c r="A285" s="55">
        <v>46304</v>
      </c>
      <c r="B285" s="48"/>
      <c r="C285" s="49"/>
      <c r="D285" s="49"/>
      <c r="E285" s="50"/>
      <c r="F285" s="48">
        <f t="shared" si="60"/>
        <v>42123</v>
      </c>
      <c r="G285" s="49">
        <f t="shared" si="61"/>
        <v>69725</v>
      </c>
      <c r="H285" s="49">
        <f t="shared" si="62"/>
        <v>0</v>
      </c>
      <c r="I285" s="50">
        <f t="shared" si="63"/>
        <v>14417</v>
      </c>
      <c r="J285" s="48">
        <f>J284+B285-SUMIFS(рапорт!$O:$O,рапорт!$A:$A,A285)-SUMIFS(рапорт!$U:$U,рапорт!$A:$A,A285)/4</f>
        <v>60640.5</v>
      </c>
      <c r="K285" s="49">
        <f>K284+C285-SUMIFS(рапорт!$P:$P,рапорт!$A:$A,A285)-SUMIFS(рапорт!$U:$U,рапорт!$A:$A,A285)/4</f>
        <v>98141.5</v>
      </c>
      <c r="L285" s="49">
        <f>L284+D285-SUMIFS(рапорт!$Q:$Q,рапорт!$A:$A,A285)-SUMIFS(рапорт!$U:$U,рапорт!$A:$A,A285)/4</f>
        <v>45376.5</v>
      </c>
      <c r="M285" s="50">
        <f>M284+E285-SUMIFS(рапорт!$R:$R,рапорт!$A:$A,A285)-SUMIFS(рапорт!$U:$U,рапорт!$A:$A,A285)/4</f>
        <v>86951.5</v>
      </c>
      <c r="O285" s="55">
        <v>46304</v>
      </c>
      <c r="P285" s="48"/>
      <c r="Q285" s="49"/>
      <c r="R285" s="49"/>
      <c r="S285" s="50"/>
      <c r="T285" s="60">
        <f t="shared" si="65"/>
        <v>0</v>
      </c>
      <c r="U285" s="48">
        <f t="shared" si="58"/>
        <v>749400</v>
      </c>
      <c r="V285" s="49">
        <f t="shared" si="67"/>
        <v>0</v>
      </c>
      <c r="W285" s="49">
        <f t="shared" si="67"/>
        <v>0</v>
      </c>
      <c r="X285" s="50">
        <f t="shared" si="67"/>
        <v>0</v>
      </c>
      <c r="Y285" s="73">
        <f t="shared" si="66"/>
        <v>749400</v>
      </c>
    </row>
    <row r="286" spans="1:25" x14ac:dyDescent="0.2">
      <c r="A286" s="55">
        <v>46305</v>
      </c>
      <c r="B286" s="48"/>
      <c r="C286" s="49"/>
      <c r="D286" s="49"/>
      <c r="E286" s="50"/>
      <c r="F286" s="48">
        <f t="shared" si="60"/>
        <v>42123</v>
      </c>
      <c r="G286" s="49">
        <f t="shared" si="61"/>
        <v>69725</v>
      </c>
      <c r="H286" s="49">
        <f t="shared" si="62"/>
        <v>0</v>
      </c>
      <c r="I286" s="50">
        <f t="shared" si="63"/>
        <v>14417</v>
      </c>
      <c r="J286" s="48">
        <f>J285+B286-SUMIFS(рапорт!$O:$O,рапорт!$A:$A,A286)-SUMIFS(рапорт!$U:$U,рапорт!$A:$A,A286)/4</f>
        <v>60640.5</v>
      </c>
      <c r="K286" s="49">
        <f>K285+C286-SUMIFS(рапорт!$P:$P,рапорт!$A:$A,A286)-SUMIFS(рапорт!$U:$U,рапорт!$A:$A,A286)/4</f>
        <v>98141.5</v>
      </c>
      <c r="L286" s="49">
        <f>L285+D286-SUMIFS(рапорт!$Q:$Q,рапорт!$A:$A,A286)-SUMIFS(рапорт!$U:$U,рапорт!$A:$A,A286)/4</f>
        <v>45376.5</v>
      </c>
      <c r="M286" s="50">
        <f>M285+E286-SUMIFS(рапорт!$R:$R,рапорт!$A:$A,A286)-SUMIFS(рапорт!$U:$U,рапорт!$A:$A,A286)/4</f>
        <v>86951.5</v>
      </c>
      <c r="O286" s="55">
        <v>46305</v>
      </c>
      <c r="P286" s="48"/>
      <c r="Q286" s="49"/>
      <c r="R286" s="49"/>
      <c r="S286" s="50"/>
      <c r="T286" s="60">
        <f t="shared" si="65"/>
        <v>0</v>
      </c>
      <c r="U286" s="48">
        <f t="shared" si="58"/>
        <v>749400</v>
      </c>
      <c r="V286" s="49">
        <f t="shared" si="67"/>
        <v>0</v>
      </c>
      <c r="W286" s="49">
        <f t="shared" si="67"/>
        <v>0</v>
      </c>
      <c r="X286" s="50">
        <f t="shared" si="67"/>
        <v>0</v>
      </c>
      <c r="Y286" s="73">
        <f t="shared" si="66"/>
        <v>749400</v>
      </c>
    </row>
    <row r="287" spans="1:25" x14ac:dyDescent="0.2">
      <c r="A287" s="55">
        <v>46306</v>
      </c>
      <c r="B287" s="48"/>
      <c r="C287" s="49"/>
      <c r="D287" s="49"/>
      <c r="E287" s="50"/>
      <c r="F287" s="48">
        <f t="shared" si="60"/>
        <v>42123</v>
      </c>
      <c r="G287" s="49">
        <f t="shared" si="61"/>
        <v>69725</v>
      </c>
      <c r="H287" s="49">
        <f t="shared" si="62"/>
        <v>0</v>
      </c>
      <c r="I287" s="50">
        <f t="shared" si="63"/>
        <v>14417</v>
      </c>
      <c r="J287" s="48">
        <f>J286+B287-SUMIFS(рапорт!$O:$O,рапорт!$A:$A,A287)-SUMIFS(рапорт!$U:$U,рапорт!$A:$A,A287)/4</f>
        <v>60640.5</v>
      </c>
      <c r="K287" s="49">
        <f>K286+C287-SUMIFS(рапорт!$P:$P,рапорт!$A:$A,A287)-SUMIFS(рапорт!$U:$U,рапорт!$A:$A,A287)/4</f>
        <v>98141.5</v>
      </c>
      <c r="L287" s="49">
        <f>L286+D287-SUMIFS(рапорт!$Q:$Q,рапорт!$A:$A,A287)-SUMIFS(рапорт!$U:$U,рапорт!$A:$A,A287)/4</f>
        <v>45376.5</v>
      </c>
      <c r="M287" s="50">
        <f>M286+E287-SUMIFS(рапорт!$R:$R,рапорт!$A:$A,A287)-SUMIFS(рапорт!$U:$U,рапорт!$A:$A,A287)/4</f>
        <v>86951.5</v>
      </c>
      <c r="O287" s="55">
        <v>46306</v>
      </c>
      <c r="P287" s="48"/>
      <c r="Q287" s="49"/>
      <c r="R287" s="49"/>
      <c r="S287" s="50"/>
      <c r="T287" s="60">
        <f t="shared" si="65"/>
        <v>0</v>
      </c>
      <c r="U287" s="48">
        <f t="shared" si="58"/>
        <v>749400</v>
      </c>
      <c r="V287" s="49">
        <f t="shared" si="67"/>
        <v>0</v>
      </c>
      <c r="W287" s="49">
        <f t="shared" si="67"/>
        <v>0</v>
      </c>
      <c r="X287" s="50">
        <f t="shared" si="67"/>
        <v>0</v>
      </c>
      <c r="Y287" s="73">
        <f t="shared" si="66"/>
        <v>749400</v>
      </c>
    </row>
    <row r="288" spans="1:25" x14ac:dyDescent="0.2">
      <c r="A288" s="55">
        <v>46307</v>
      </c>
      <c r="B288" s="48"/>
      <c r="C288" s="49"/>
      <c r="D288" s="49"/>
      <c r="E288" s="50"/>
      <c r="F288" s="48">
        <f t="shared" si="60"/>
        <v>42123</v>
      </c>
      <c r="G288" s="49">
        <f t="shared" si="61"/>
        <v>69725</v>
      </c>
      <c r="H288" s="49">
        <f t="shared" si="62"/>
        <v>0</v>
      </c>
      <c r="I288" s="50">
        <f t="shared" si="63"/>
        <v>14417</v>
      </c>
      <c r="J288" s="48">
        <f>J287+B288-SUMIFS(рапорт!$O:$O,рапорт!$A:$A,A288)-SUMIFS(рапорт!$U:$U,рапорт!$A:$A,A288)/4</f>
        <v>60640.5</v>
      </c>
      <c r="K288" s="49">
        <f>K287+C288-SUMIFS(рапорт!$P:$P,рапорт!$A:$A,A288)-SUMIFS(рапорт!$U:$U,рапорт!$A:$A,A288)/4</f>
        <v>98141.5</v>
      </c>
      <c r="L288" s="49">
        <f>L287+D288-SUMIFS(рапорт!$Q:$Q,рапорт!$A:$A,A288)-SUMIFS(рапорт!$U:$U,рапорт!$A:$A,A288)/4</f>
        <v>45376.5</v>
      </c>
      <c r="M288" s="50">
        <f>M287+E288-SUMIFS(рапорт!$R:$R,рапорт!$A:$A,A288)-SUMIFS(рапорт!$U:$U,рапорт!$A:$A,A288)/4</f>
        <v>86951.5</v>
      </c>
      <c r="O288" s="55">
        <v>46307</v>
      </c>
      <c r="P288" s="48"/>
      <c r="Q288" s="49"/>
      <c r="R288" s="49"/>
      <c r="S288" s="50"/>
      <c r="T288" s="60">
        <f t="shared" si="65"/>
        <v>0</v>
      </c>
      <c r="U288" s="48">
        <f t="shared" si="58"/>
        <v>749400</v>
      </c>
      <c r="V288" s="49">
        <f t="shared" si="67"/>
        <v>0</v>
      </c>
      <c r="W288" s="49">
        <f t="shared" si="67"/>
        <v>0</v>
      </c>
      <c r="X288" s="50">
        <f t="shared" si="67"/>
        <v>0</v>
      </c>
      <c r="Y288" s="73">
        <f t="shared" si="66"/>
        <v>749400</v>
      </c>
    </row>
    <row r="289" spans="1:25" x14ac:dyDescent="0.2">
      <c r="A289" s="55">
        <v>46308</v>
      </c>
      <c r="B289" s="48"/>
      <c r="C289" s="49"/>
      <c r="D289" s="49"/>
      <c r="E289" s="50"/>
      <c r="F289" s="48">
        <f t="shared" si="60"/>
        <v>42123</v>
      </c>
      <c r="G289" s="49">
        <f t="shared" si="61"/>
        <v>69725</v>
      </c>
      <c r="H289" s="49">
        <f t="shared" si="62"/>
        <v>0</v>
      </c>
      <c r="I289" s="50">
        <f t="shared" si="63"/>
        <v>14417</v>
      </c>
      <c r="J289" s="48">
        <f>J288+B289-SUMIFS(рапорт!$O:$O,рапорт!$A:$A,A289)-SUMIFS(рапорт!$U:$U,рапорт!$A:$A,A289)/4</f>
        <v>60640.5</v>
      </c>
      <c r="K289" s="49">
        <f>K288+C289-SUMIFS(рапорт!$P:$P,рапорт!$A:$A,A289)-SUMIFS(рапорт!$U:$U,рапорт!$A:$A,A289)/4</f>
        <v>98141.5</v>
      </c>
      <c r="L289" s="49">
        <f>L288+D289-SUMIFS(рапорт!$Q:$Q,рапорт!$A:$A,A289)-SUMIFS(рапорт!$U:$U,рапорт!$A:$A,A289)/4</f>
        <v>45376.5</v>
      </c>
      <c r="M289" s="50">
        <f>M288+E289-SUMIFS(рапорт!$R:$R,рапорт!$A:$A,A289)-SUMIFS(рапорт!$U:$U,рапорт!$A:$A,A289)/4</f>
        <v>86951.5</v>
      </c>
      <c r="O289" s="55">
        <v>46308</v>
      </c>
      <c r="P289" s="48"/>
      <c r="Q289" s="49"/>
      <c r="R289" s="49"/>
      <c r="S289" s="50"/>
      <c r="T289" s="60">
        <f t="shared" si="65"/>
        <v>0</v>
      </c>
      <c r="U289" s="48">
        <f t="shared" si="58"/>
        <v>749400</v>
      </c>
      <c r="V289" s="49">
        <f t="shared" si="67"/>
        <v>0</v>
      </c>
      <c r="W289" s="49">
        <f t="shared" si="67"/>
        <v>0</v>
      </c>
      <c r="X289" s="50">
        <f t="shared" si="67"/>
        <v>0</v>
      </c>
      <c r="Y289" s="73">
        <f t="shared" si="66"/>
        <v>749400</v>
      </c>
    </row>
    <row r="290" spans="1:25" x14ac:dyDescent="0.2">
      <c r="A290" s="55">
        <v>46309</v>
      </c>
      <c r="B290" s="48"/>
      <c r="C290" s="49"/>
      <c r="D290" s="49"/>
      <c r="E290" s="50"/>
      <c r="F290" s="48">
        <f t="shared" si="60"/>
        <v>42123</v>
      </c>
      <c r="G290" s="49">
        <f t="shared" si="61"/>
        <v>69725</v>
      </c>
      <c r="H290" s="49">
        <f t="shared" si="62"/>
        <v>0</v>
      </c>
      <c r="I290" s="50">
        <f t="shared" si="63"/>
        <v>14417</v>
      </c>
      <c r="J290" s="48">
        <f>J289+B290-SUMIFS(рапорт!$O:$O,рапорт!$A:$A,A290)-SUMIFS(рапорт!$U:$U,рапорт!$A:$A,A290)/4</f>
        <v>60640.5</v>
      </c>
      <c r="K290" s="49">
        <f>K289+C290-SUMIFS(рапорт!$P:$P,рапорт!$A:$A,A290)-SUMIFS(рапорт!$U:$U,рапорт!$A:$A,A290)/4</f>
        <v>98141.5</v>
      </c>
      <c r="L290" s="49">
        <f>L289+D290-SUMIFS(рапорт!$Q:$Q,рапорт!$A:$A,A290)-SUMIFS(рапорт!$U:$U,рапорт!$A:$A,A290)/4</f>
        <v>45376.5</v>
      </c>
      <c r="M290" s="50">
        <f>M289+E290-SUMIFS(рапорт!$R:$R,рапорт!$A:$A,A290)-SUMIFS(рапорт!$U:$U,рапорт!$A:$A,A290)/4</f>
        <v>86951.5</v>
      </c>
      <c r="O290" s="55">
        <v>46309</v>
      </c>
      <c r="P290" s="48"/>
      <c r="Q290" s="49"/>
      <c r="R290" s="49"/>
      <c r="S290" s="50"/>
      <c r="T290" s="60">
        <f t="shared" si="65"/>
        <v>0</v>
      </c>
      <c r="U290" s="48">
        <f t="shared" si="58"/>
        <v>749400</v>
      </c>
      <c r="V290" s="49">
        <f t="shared" si="67"/>
        <v>0</v>
      </c>
      <c r="W290" s="49">
        <f t="shared" si="67"/>
        <v>0</v>
      </c>
      <c r="X290" s="50">
        <f t="shared" si="67"/>
        <v>0</v>
      </c>
      <c r="Y290" s="73">
        <f t="shared" si="66"/>
        <v>749400</v>
      </c>
    </row>
    <row r="291" spans="1:25" x14ac:dyDescent="0.2">
      <c r="A291" s="55">
        <v>46310</v>
      </c>
      <c r="B291" s="48"/>
      <c r="C291" s="49"/>
      <c r="D291" s="49"/>
      <c r="E291" s="50"/>
      <c r="F291" s="48">
        <f t="shared" si="60"/>
        <v>42123</v>
      </c>
      <c r="G291" s="49">
        <f t="shared" si="61"/>
        <v>69725</v>
      </c>
      <c r="H291" s="49">
        <f t="shared" si="62"/>
        <v>0</v>
      </c>
      <c r="I291" s="50">
        <f t="shared" si="63"/>
        <v>14417</v>
      </c>
      <c r="J291" s="48">
        <f>J290+B291-SUMIFS(рапорт!$O:$O,рапорт!$A:$A,A291)-SUMIFS(рапорт!$U:$U,рапорт!$A:$A,A291)/4</f>
        <v>60640.5</v>
      </c>
      <c r="K291" s="49">
        <f>K290+C291-SUMIFS(рапорт!$P:$P,рапорт!$A:$A,A291)-SUMIFS(рапорт!$U:$U,рапорт!$A:$A,A291)/4</f>
        <v>98141.5</v>
      </c>
      <c r="L291" s="49">
        <f>L290+D291-SUMIFS(рапорт!$Q:$Q,рапорт!$A:$A,A291)-SUMIFS(рапорт!$U:$U,рапорт!$A:$A,A291)/4</f>
        <v>45376.5</v>
      </c>
      <c r="M291" s="50">
        <f>M290+E291-SUMIFS(рапорт!$R:$R,рапорт!$A:$A,A291)-SUMIFS(рапорт!$U:$U,рапорт!$A:$A,A291)/4</f>
        <v>86951.5</v>
      </c>
      <c r="O291" s="55">
        <v>46310</v>
      </c>
      <c r="P291" s="48"/>
      <c r="Q291" s="49"/>
      <c r="R291" s="49"/>
      <c r="S291" s="50"/>
      <c r="T291" s="60">
        <f t="shared" si="65"/>
        <v>0</v>
      </c>
      <c r="U291" s="48">
        <f t="shared" si="58"/>
        <v>749400</v>
      </c>
      <c r="V291" s="49">
        <f t="shared" si="67"/>
        <v>0</v>
      </c>
      <c r="W291" s="49">
        <f t="shared" si="67"/>
        <v>0</v>
      </c>
      <c r="X291" s="50">
        <f t="shared" si="67"/>
        <v>0</v>
      </c>
      <c r="Y291" s="73">
        <f t="shared" si="66"/>
        <v>749400</v>
      </c>
    </row>
    <row r="292" spans="1:25" x14ac:dyDescent="0.2">
      <c r="A292" s="55">
        <v>46311</v>
      </c>
      <c r="B292" s="48"/>
      <c r="C292" s="49"/>
      <c r="D292" s="49"/>
      <c r="E292" s="50"/>
      <c r="F292" s="48">
        <f t="shared" si="60"/>
        <v>42123</v>
      </c>
      <c r="G292" s="49">
        <f t="shared" si="61"/>
        <v>69725</v>
      </c>
      <c r="H292" s="49">
        <f t="shared" si="62"/>
        <v>0</v>
      </c>
      <c r="I292" s="50">
        <f t="shared" si="63"/>
        <v>14417</v>
      </c>
      <c r="J292" s="48">
        <f>J291+B292-SUMIFS(рапорт!$O:$O,рапорт!$A:$A,A292)-SUMIFS(рапорт!$U:$U,рапорт!$A:$A,A292)/4</f>
        <v>60640.5</v>
      </c>
      <c r="K292" s="49">
        <f>K291+C292-SUMIFS(рапорт!$P:$P,рапорт!$A:$A,A292)-SUMIFS(рапорт!$U:$U,рапорт!$A:$A,A292)/4</f>
        <v>98141.5</v>
      </c>
      <c r="L292" s="49">
        <f>L291+D292-SUMIFS(рапорт!$Q:$Q,рапорт!$A:$A,A292)-SUMIFS(рапорт!$U:$U,рапорт!$A:$A,A292)/4</f>
        <v>45376.5</v>
      </c>
      <c r="M292" s="50">
        <f>M291+E292-SUMIFS(рапорт!$R:$R,рапорт!$A:$A,A292)-SUMIFS(рапорт!$U:$U,рапорт!$A:$A,A292)/4</f>
        <v>86951.5</v>
      </c>
      <c r="O292" s="55">
        <v>46311</v>
      </c>
      <c r="P292" s="48"/>
      <c r="Q292" s="49"/>
      <c r="R292" s="49"/>
      <c r="S292" s="50"/>
      <c r="T292" s="60">
        <f t="shared" si="65"/>
        <v>0</v>
      </c>
      <c r="U292" s="48">
        <f t="shared" si="58"/>
        <v>749400</v>
      </c>
      <c r="V292" s="49">
        <f t="shared" ref="V292:X307" si="68">V291</f>
        <v>0</v>
      </c>
      <c r="W292" s="49">
        <f t="shared" si="68"/>
        <v>0</v>
      </c>
      <c r="X292" s="50">
        <f t="shared" si="68"/>
        <v>0</v>
      </c>
      <c r="Y292" s="73">
        <f t="shared" si="66"/>
        <v>749400</v>
      </c>
    </row>
    <row r="293" spans="1:25" x14ac:dyDescent="0.2">
      <c r="A293" s="55">
        <v>46312</v>
      </c>
      <c r="B293" s="48"/>
      <c r="C293" s="49"/>
      <c r="D293" s="49"/>
      <c r="E293" s="50"/>
      <c r="F293" s="48">
        <f t="shared" si="60"/>
        <v>42123</v>
      </c>
      <c r="G293" s="49">
        <f t="shared" si="61"/>
        <v>69725</v>
      </c>
      <c r="H293" s="49">
        <f t="shared" si="62"/>
        <v>0</v>
      </c>
      <c r="I293" s="50">
        <f t="shared" si="63"/>
        <v>14417</v>
      </c>
      <c r="J293" s="48">
        <f>J292+B293-SUMIFS(рапорт!$O:$O,рапорт!$A:$A,A293)-SUMIFS(рапорт!$U:$U,рапорт!$A:$A,A293)/4</f>
        <v>60640.5</v>
      </c>
      <c r="K293" s="49">
        <f>K292+C293-SUMIFS(рапорт!$P:$P,рапорт!$A:$A,A293)-SUMIFS(рапорт!$U:$U,рапорт!$A:$A,A293)/4</f>
        <v>98141.5</v>
      </c>
      <c r="L293" s="49">
        <f>L292+D293-SUMIFS(рапорт!$Q:$Q,рапорт!$A:$A,A293)-SUMIFS(рапорт!$U:$U,рапорт!$A:$A,A293)/4</f>
        <v>45376.5</v>
      </c>
      <c r="M293" s="50">
        <f>M292+E293-SUMIFS(рапорт!$R:$R,рапорт!$A:$A,A293)-SUMIFS(рапорт!$U:$U,рапорт!$A:$A,A293)/4</f>
        <v>86951.5</v>
      </c>
      <c r="O293" s="55">
        <v>46312</v>
      </c>
      <c r="P293" s="48"/>
      <c r="Q293" s="49"/>
      <c r="R293" s="49"/>
      <c r="S293" s="50"/>
      <c r="T293" s="60">
        <f t="shared" si="65"/>
        <v>0</v>
      </c>
      <c r="U293" s="48">
        <f t="shared" si="58"/>
        <v>749400</v>
      </c>
      <c r="V293" s="49">
        <f t="shared" si="68"/>
        <v>0</v>
      </c>
      <c r="W293" s="49">
        <f t="shared" si="68"/>
        <v>0</v>
      </c>
      <c r="X293" s="50">
        <f t="shared" si="68"/>
        <v>0</v>
      </c>
      <c r="Y293" s="73">
        <f t="shared" si="66"/>
        <v>749400</v>
      </c>
    </row>
    <row r="294" spans="1:25" x14ac:dyDescent="0.2">
      <c r="A294" s="55">
        <v>46313</v>
      </c>
      <c r="B294" s="48"/>
      <c r="C294" s="49"/>
      <c r="D294" s="49"/>
      <c r="E294" s="50"/>
      <c r="F294" s="48">
        <f t="shared" si="60"/>
        <v>42123</v>
      </c>
      <c r="G294" s="49">
        <f t="shared" si="61"/>
        <v>69725</v>
      </c>
      <c r="H294" s="49">
        <f t="shared" si="62"/>
        <v>0</v>
      </c>
      <c r="I294" s="50">
        <f t="shared" si="63"/>
        <v>14417</v>
      </c>
      <c r="J294" s="48">
        <f>J293+B294-SUMIFS(рапорт!$O:$O,рапорт!$A:$A,A294)-SUMIFS(рапорт!$U:$U,рапорт!$A:$A,A294)/4</f>
        <v>60640.5</v>
      </c>
      <c r="K294" s="49">
        <f>K293+C294-SUMIFS(рапорт!$P:$P,рапорт!$A:$A,A294)-SUMIFS(рапорт!$U:$U,рапорт!$A:$A,A294)/4</f>
        <v>98141.5</v>
      </c>
      <c r="L294" s="49">
        <f>L293+D294-SUMIFS(рапорт!$Q:$Q,рапорт!$A:$A,A294)-SUMIFS(рапорт!$U:$U,рапорт!$A:$A,A294)/4</f>
        <v>45376.5</v>
      </c>
      <c r="M294" s="50">
        <f>M293+E294-SUMIFS(рапорт!$R:$R,рапорт!$A:$A,A294)-SUMIFS(рапорт!$U:$U,рапорт!$A:$A,A294)/4</f>
        <v>86951.5</v>
      </c>
      <c r="O294" s="55">
        <v>46313</v>
      </c>
      <c r="P294" s="48"/>
      <c r="Q294" s="49"/>
      <c r="R294" s="49"/>
      <c r="S294" s="50"/>
      <c r="T294" s="60">
        <f t="shared" si="65"/>
        <v>0</v>
      </c>
      <c r="U294" s="48">
        <f t="shared" si="58"/>
        <v>749400</v>
      </c>
      <c r="V294" s="49">
        <f t="shared" si="68"/>
        <v>0</v>
      </c>
      <c r="W294" s="49">
        <f t="shared" si="68"/>
        <v>0</v>
      </c>
      <c r="X294" s="50">
        <f t="shared" si="68"/>
        <v>0</v>
      </c>
      <c r="Y294" s="73">
        <f t="shared" si="66"/>
        <v>749400</v>
      </c>
    </row>
    <row r="295" spans="1:25" x14ac:dyDescent="0.2">
      <c r="A295" s="55">
        <v>46314</v>
      </c>
      <c r="B295" s="48"/>
      <c r="C295" s="49"/>
      <c r="D295" s="49"/>
      <c r="E295" s="50"/>
      <c r="F295" s="48">
        <f t="shared" si="60"/>
        <v>42123</v>
      </c>
      <c r="G295" s="49">
        <f t="shared" si="61"/>
        <v>69725</v>
      </c>
      <c r="H295" s="49">
        <f t="shared" si="62"/>
        <v>0</v>
      </c>
      <c r="I295" s="50">
        <f t="shared" si="63"/>
        <v>14417</v>
      </c>
      <c r="J295" s="48">
        <f>J294+B295-SUMIFS(рапорт!$O:$O,рапорт!$A:$A,A295)-SUMIFS(рапорт!$U:$U,рапорт!$A:$A,A295)/4</f>
        <v>60640.5</v>
      </c>
      <c r="K295" s="49">
        <f>K294+C295-SUMIFS(рапорт!$P:$P,рапорт!$A:$A,A295)-SUMIFS(рапорт!$U:$U,рапорт!$A:$A,A295)/4</f>
        <v>98141.5</v>
      </c>
      <c r="L295" s="49">
        <f>L294+D295-SUMIFS(рапорт!$Q:$Q,рапорт!$A:$A,A295)-SUMIFS(рапорт!$U:$U,рапорт!$A:$A,A295)/4</f>
        <v>45376.5</v>
      </c>
      <c r="M295" s="50">
        <f>M294+E295-SUMIFS(рапорт!$R:$R,рапорт!$A:$A,A295)-SUMIFS(рапорт!$U:$U,рапорт!$A:$A,A295)/4</f>
        <v>86951.5</v>
      </c>
      <c r="O295" s="55">
        <v>46314</v>
      </c>
      <c r="P295" s="48"/>
      <c r="Q295" s="49"/>
      <c r="R295" s="49"/>
      <c r="S295" s="50"/>
      <c r="T295" s="60">
        <f t="shared" si="65"/>
        <v>0</v>
      </c>
      <c r="U295" s="48">
        <f t="shared" si="58"/>
        <v>749400</v>
      </c>
      <c r="V295" s="49">
        <f t="shared" si="68"/>
        <v>0</v>
      </c>
      <c r="W295" s="49">
        <f t="shared" si="68"/>
        <v>0</v>
      </c>
      <c r="X295" s="50">
        <f t="shared" si="68"/>
        <v>0</v>
      </c>
      <c r="Y295" s="73">
        <f t="shared" si="66"/>
        <v>749400</v>
      </c>
    </row>
    <row r="296" spans="1:25" x14ac:dyDescent="0.2">
      <c r="A296" s="55">
        <v>46315</v>
      </c>
      <c r="B296" s="48"/>
      <c r="C296" s="49"/>
      <c r="D296" s="49"/>
      <c r="E296" s="50"/>
      <c r="F296" s="48">
        <f t="shared" si="60"/>
        <v>42123</v>
      </c>
      <c r="G296" s="49">
        <f t="shared" si="61"/>
        <v>69725</v>
      </c>
      <c r="H296" s="49">
        <f t="shared" si="62"/>
        <v>0</v>
      </c>
      <c r="I296" s="50">
        <f t="shared" si="63"/>
        <v>14417</v>
      </c>
      <c r="J296" s="48">
        <f>J295+B296-SUMIFS(рапорт!$O:$O,рапорт!$A:$A,A296)-SUMIFS(рапорт!$U:$U,рапорт!$A:$A,A296)/4</f>
        <v>60640.5</v>
      </c>
      <c r="K296" s="49">
        <f>K295+C296-SUMIFS(рапорт!$P:$P,рапорт!$A:$A,A296)-SUMIFS(рапорт!$U:$U,рапорт!$A:$A,A296)/4</f>
        <v>98141.5</v>
      </c>
      <c r="L296" s="49">
        <f>L295+D296-SUMIFS(рапорт!$Q:$Q,рапорт!$A:$A,A296)-SUMIFS(рапорт!$U:$U,рапорт!$A:$A,A296)/4</f>
        <v>45376.5</v>
      </c>
      <c r="M296" s="50">
        <f>M295+E296-SUMIFS(рапорт!$R:$R,рапорт!$A:$A,A296)-SUMIFS(рапорт!$U:$U,рапорт!$A:$A,A296)/4</f>
        <v>86951.5</v>
      </c>
      <c r="O296" s="55">
        <v>46315</v>
      </c>
      <c r="P296" s="48"/>
      <c r="Q296" s="49"/>
      <c r="R296" s="49"/>
      <c r="S296" s="50"/>
      <c r="T296" s="60">
        <f t="shared" si="65"/>
        <v>0</v>
      </c>
      <c r="U296" s="48">
        <f t="shared" si="58"/>
        <v>749400</v>
      </c>
      <c r="V296" s="49">
        <f t="shared" si="68"/>
        <v>0</v>
      </c>
      <c r="W296" s="49">
        <f t="shared" si="68"/>
        <v>0</v>
      </c>
      <c r="X296" s="50">
        <f t="shared" si="68"/>
        <v>0</v>
      </c>
      <c r="Y296" s="73">
        <f t="shared" si="66"/>
        <v>749400</v>
      </c>
    </row>
    <row r="297" spans="1:25" x14ac:dyDescent="0.2">
      <c r="A297" s="55">
        <v>46316</v>
      </c>
      <c r="B297" s="48"/>
      <c r="C297" s="49"/>
      <c r="D297" s="49"/>
      <c r="E297" s="50"/>
      <c r="F297" s="48">
        <f t="shared" si="60"/>
        <v>42123</v>
      </c>
      <c r="G297" s="49">
        <f t="shared" si="61"/>
        <v>69725</v>
      </c>
      <c r="H297" s="49">
        <f t="shared" si="62"/>
        <v>0</v>
      </c>
      <c r="I297" s="50">
        <f t="shared" si="63"/>
        <v>14417</v>
      </c>
      <c r="J297" s="48">
        <f>J296+B297-SUMIFS(рапорт!$O:$O,рапорт!$A:$A,A297)-SUMIFS(рапорт!$U:$U,рапорт!$A:$A,A297)/4</f>
        <v>60640.5</v>
      </c>
      <c r="K297" s="49">
        <f>K296+C297-SUMIFS(рапорт!$P:$P,рапорт!$A:$A,A297)-SUMIFS(рапорт!$U:$U,рапорт!$A:$A,A297)/4</f>
        <v>98141.5</v>
      </c>
      <c r="L297" s="49">
        <f>L296+D297-SUMIFS(рапорт!$Q:$Q,рапорт!$A:$A,A297)-SUMIFS(рапорт!$U:$U,рапорт!$A:$A,A297)/4</f>
        <v>45376.5</v>
      </c>
      <c r="M297" s="50">
        <f>M296+E297-SUMIFS(рапорт!$R:$R,рапорт!$A:$A,A297)-SUMIFS(рапорт!$U:$U,рапорт!$A:$A,A297)/4</f>
        <v>86951.5</v>
      </c>
      <c r="O297" s="55">
        <v>46316</v>
      </c>
      <c r="P297" s="48"/>
      <c r="Q297" s="49"/>
      <c r="R297" s="49"/>
      <c r="S297" s="50"/>
      <c r="T297" s="60">
        <f t="shared" si="65"/>
        <v>0</v>
      </c>
      <c r="U297" s="48">
        <f t="shared" si="58"/>
        <v>749400</v>
      </c>
      <c r="V297" s="49">
        <f t="shared" si="68"/>
        <v>0</v>
      </c>
      <c r="W297" s="49">
        <f t="shared" si="68"/>
        <v>0</v>
      </c>
      <c r="X297" s="50">
        <f t="shared" si="68"/>
        <v>0</v>
      </c>
      <c r="Y297" s="73">
        <f t="shared" si="66"/>
        <v>749400</v>
      </c>
    </row>
    <row r="298" spans="1:25" x14ac:dyDescent="0.2">
      <c r="A298" s="55">
        <v>46317</v>
      </c>
      <c r="B298" s="48"/>
      <c r="C298" s="49"/>
      <c r="D298" s="49"/>
      <c r="E298" s="50"/>
      <c r="F298" s="48">
        <f t="shared" si="60"/>
        <v>42123</v>
      </c>
      <c r="G298" s="49">
        <f t="shared" si="61"/>
        <v>69725</v>
      </c>
      <c r="H298" s="49">
        <f t="shared" si="62"/>
        <v>0</v>
      </c>
      <c r="I298" s="50">
        <f t="shared" si="63"/>
        <v>14417</v>
      </c>
      <c r="J298" s="48">
        <f>J297+B298-SUMIFS(рапорт!$O:$O,рапорт!$A:$A,A298)-SUMIFS(рапорт!$U:$U,рапорт!$A:$A,A298)/4</f>
        <v>60640.5</v>
      </c>
      <c r="K298" s="49">
        <f>K297+C298-SUMIFS(рапорт!$P:$P,рапорт!$A:$A,A298)-SUMIFS(рапорт!$U:$U,рапорт!$A:$A,A298)/4</f>
        <v>98141.5</v>
      </c>
      <c r="L298" s="49">
        <f>L297+D298-SUMIFS(рапорт!$Q:$Q,рапорт!$A:$A,A298)-SUMIFS(рапорт!$U:$U,рапорт!$A:$A,A298)/4</f>
        <v>45376.5</v>
      </c>
      <c r="M298" s="50">
        <f>M297+E298-SUMIFS(рапорт!$R:$R,рапорт!$A:$A,A298)-SUMIFS(рапорт!$U:$U,рапорт!$A:$A,A298)/4</f>
        <v>86951.5</v>
      </c>
      <c r="O298" s="55">
        <v>46317</v>
      </c>
      <c r="P298" s="48"/>
      <c r="Q298" s="49"/>
      <c r="R298" s="49"/>
      <c r="S298" s="50"/>
      <c r="T298" s="60">
        <f t="shared" si="65"/>
        <v>0</v>
      </c>
      <c r="U298" s="48">
        <f t="shared" si="58"/>
        <v>749400</v>
      </c>
      <c r="V298" s="49">
        <f t="shared" si="68"/>
        <v>0</v>
      </c>
      <c r="W298" s="49">
        <f t="shared" si="68"/>
        <v>0</v>
      </c>
      <c r="X298" s="50">
        <f t="shared" si="68"/>
        <v>0</v>
      </c>
      <c r="Y298" s="73">
        <f t="shared" si="66"/>
        <v>749400</v>
      </c>
    </row>
    <row r="299" spans="1:25" x14ac:dyDescent="0.2">
      <c r="A299" s="55">
        <v>46318</v>
      </c>
      <c r="B299" s="48"/>
      <c r="C299" s="49"/>
      <c r="D299" s="49"/>
      <c r="E299" s="50"/>
      <c r="F299" s="48">
        <f t="shared" si="60"/>
        <v>42123</v>
      </c>
      <c r="G299" s="49">
        <f t="shared" si="61"/>
        <v>69725</v>
      </c>
      <c r="H299" s="49">
        <f t="shared" si="62"/>
        <v>0</v>
      </c>
      <c r="I299" s="50">
        <f t="shared" si="63"/>
        <v>14417</v>
      </c>
      <c r="J299" s="48">
        <f>J298+B299-SUMIFS(рапорт!$O:$O,рапорт!$A:$A,A299)-SUMIFS(рапорт!$U:$U,рапорт!$A:$A,A299)/4</f>
        <v>60640.5</v>
      </c>
      <c r="K299" s="49">
        <f>K298+C299-SUMIFS(рапорт!$P:$P,рапорт!$A:$A,A299)-SUMIFS(рапорт!$U:$U,рапорт!$A:$A,A299)/4</f>
        <v>98141.5</v>
      </c>
      <c r="L299" s="49">
        <f>L298+D299-SUMIFS(рапорт!$Q:$Q,рапорт!$A:$A,A299)-SUMIFS(рапорт!$U:$U,рапорт!$A:$A,A299)/4</f>
        <v>45376.5</v>
      </c>
      <c r="M299" s="50">
        <f>M298+E299-SUMIFS(рапорт!$R:$R,рапорт!$A:$A,A299)-SUMIFS(рапорт!$U:$U,рапорт!$A:$A,A299)/4</f>
        <v>86951.5</v>
      </c>
      <c r="O299" s="55">
        <v>46318</v>
      </c>
      <c r="P299" s="48"/>
      <c r="Q299" s="49"/>
      <c r="R299" s="49"/>
      <c r="S299" s="50"/>
      <c r="T299" s="60">
        <f t="shared" si="65"/>
        <v>0</v>
      </c>
      <c r="U299" s="48">
        <f t="shared" si="58"/>
        <v>749400</v>
      </c>
      <c r="V299" s="49">
        <f t="shared" si="68"/>
        <v>0</v>
      </c>
      <c r="W299" s="49">
        <f t="shared" si="68"/>
        <v>0</v>
      </c>
      <c r="X299" s="50">
        <f t="shared" si="68"/>
        <v>0</v>
      </c>
      <c r="Y299" s="73">
        <f t="shared" si="66"/>
        <v>749400</v>
      </c>
    </row>
    <row r="300" spans="1:25" x14ac:dyDescent="0.2">
      <c r="A300" s="55">
        <v>46319</v>
      </c>
      <c r="B300" s="48"/>
      <c r="C300" s="49"/>
      <c r="D300" s="49"/>
      <c r="E300" s="50"/>
      <c r="F300" s="48">
        <f t="shared" si="60"/>
        <v>42123</v>
      </c>
      <c r="G300" s="49">
        <f t="shared" si="61"/>
        <v>69725</v>
      </c>
      <c r="H300" s="49">
        <f t="shared" si="62"/>
        <v>0</v>
      </c>
      <c r="I300" s="50">
        <f t="shared" si="63"/>
        <v>14417</v>
      </c>
      <c r="J300" s="48">
        <f>J299+B300-SUMIFS(рапорт!$O:$O,рапорт!$A:$A,A300)-SUMIFS(рапорт!$U:$U,рапорт!$A:$A,A300)/4</f>
        <v>60640.5</v>
      </c>
      <c r="K300" s="49">
        <f>K299+C300-SUMIFS(рапорт!$P:$P,рапорт!$A:$A,A300)-SUMIFS(рапорт!$U:$U,рапорт!$A:$A,A300)/4</f>
        <v>98141.5</v>
      </c>
      <c r="L300" s="49">
        <f>L299+D300-SUMIFS(рапорт!$Q:$Q,рапорт!$A:$A,A300)-SUMIFS(рапорт!$U:$U,рапорт!$A:$A,A300)/4</f>
        <v>45376.5</v>
      </c>
      <c r="M300" s="50">
        <f>M299+E300-SUMIFS(рапорт!$R:$R,рапорт!$A:$A,A300)-SUMIFS(рапорт!$U:$U,рапорт!$A:$A,A300)/4</f>
        <v>86951.5</v>
      </c>
      <c r="O300" s="55">
        <v>46319</v>
      </c>
      <c r="P300" s="48"/>
      <c r="Q300" s="49"/>
      <c r="R300" s="49"/>
      <c r="S300" s="50"/>
      <c r="T300" s="60">
        <f t="shared" si="65"/>
        <v>0</v>
      </c>
      <c r="U300" s="48">
        <f t="shared" si="58"/>
        <v>749400</v>
      </c>
      <c r="V300" s="49">
        <f t="shared" si="68"/>
        <v>0</v>
      </c>
      <c r="W300" s="49">
        <f t="shared" si="68"/>
        <v>0</v>
      </c>
      <c r="X300" s="50">
        <f t="shared" si="68"/>
        <v>0</v>
      </c>
      <c r="Y300" s="73">
        <f t="shared" si="66"/>
        <v>749400</v>
      </c>
    </row>
    <row r="301" spans="1:25" x14ac:dyDescent="0.2">
      <c r="A301" s="55">
        <v>46320</v>
      </c>
      <c r="B301" s="48"/>
      <c r="C301" s="49"/>
      <c r="D301" s="49"/>
      <c r="E301" s="50"/>
      <c r="F301" s="48">
        <f t="shared" si="60"/>
        <v>42123</v>
      </c>
      <c r="G301" s="49">
        <f t="shared" si="61"/>
        <v>69725</v>
      </c>
      <c r="H301" s="49">
        <f t="shared" si="62"/>
        <v>0</v>
      </c>
      <c r="I301" s="50">
        <f t="shared" si="63"/>
        <v>14417</v>
      </c>
      <c r="J301" s="48">
        <f>J300+B301-SUMIFS(рапорт!$O:$O,рапорт!$A:$A,A301)-SUMIFS(рапорт!$U:$U,рапорт!$A:$A,A301)/4</f>
        <v>60640.5</v>
      </c>
      <c r="K301" s="49">
        <f>K300+C301-SUMIFS(рапорт!$P:$P,рапорт!$A:$A,A301)-SUMIFS(рапорт!$U:$U,рапорт!$A:$A,A301)/4</f>
        <v>98141.5</v>
      </c>
      <c r="L301" s="49">
        <f>L300+D301-SUMIFS(рапорт!$Q:$Q,рапорт!$A:$A,A301)-SUMIFS(рапорт!$U:$U,рапорт!$A:$A,A301)/4</f>
        <v>45376.5</v>
      </c>
      <c r="M301" s="50">
        <f>M300+E301-SUMIFS(рапорт!$R:$R,рапорт!$A:$A,A301)-SUMIFS(рапорт!$U:$U,рапорт!$A:$A,A301)/4</f>
        <v>86951.5</v>
      </c>
      <c r="O301" s="55">
        <v>46320</v>
      </c>
      <c r="P301" s="48"/>
      <c r="Q301" s="49"/>
      <c r="R301" s="49"/>
      <c r="S301" s="50"/>
      <c r="T301" s="60">
        <f t="shared" si="65"/>
        <v>0</v>
      </c>
      <c r="U301" s="48">
        <f t="shared" si="58"/>
        <v>749400</v>
      </c>
      <c r="V301" s="49">
        <f t="shared" si="68"/>
        <v>0</v>
      </c>
      <c r="W301" s="49">
        <f t="shared" si="68"/>
        <v>0</v>
      </c>
      <c r="X301" s="50">
        <f t="shared" si="68"/>
        <v>0</v>
      </c>
      <c r="Y301" s="73">
        <f t="shared" si="66"/>
        <v>749400</v>
      </c>
    </row>
    <row r="302" spans="1:25" x14ac:dyDescent="0.2">
      <c r="A302" s="55">
        <v>46321</v>
      </c>
      <c r="B302" s="48"/>
      <c r="C302" s="49"/>
      <c r="D302" s="49"/>
      <c r="E302" s="50"/>
      <c r="F302" s="48">
        <f t="shared" si="60"/>
        <v>42123</v>
      </c>
      <c r="G302" s="49">
        <f t="shared" si="61"/>
        <v>69725</v>
      </c>
      <c r="H302" s="49">
        <f t="shared" si="62"/>
        <v>0</v>
      </c>
      <c r="I302" s="50">
        <f t="shared" si="63"/>
        <v>14417</v>
      </c>
      <c r="J302" s="48">
        <f>J301+B302-SUMIFS(рапорт!$O:$O,рапорт!$A:$A,A302)-SUMIFS(рапорт!$U:$U,рапорт!$A:$A,A302)/4</f>
        <v>60640.5</v>
      </c>
      <c r="K302" s="49">
        <f>K301+C302-SUMIFS(рапорт!$P:$P,рапорт!$A:$A,A302)-SUMIFS(рапорт!$U:$U,рапорт!$A:$A,A302)/4</f>
        <v>98141.5</v>
      </c>
      <c r="L302" s="49">
        <f>L301+D302-SUMIFS(рапорт!$Q:$Q,рапорт!$A:$A,A302)-SUMIFS(рапорт!$U:$U,рапорт!$A:$A,A302)/4</f>
        <v>45376.5</v>
      </c>
      <c r="M302" s="50">
        <f>M301+E302-SUMIFS(рапорт!$R:$R,рапорт!$A:$A,A302)-SUMIFS(рапорт!$U:$U,рапорт!$A:$A,A302)/4</f>
        <v>86951.5</v>
      </c>
      <c r="O302" s="55">
        <v>46321</v>
      </c>
      <c r="P302" s="48"/>
      <c r="Q302" s="49"/>
      <c r="R302" s="49"/>
      <c r="S302" s="50"/>
      <c r="T302" s="60">
        <f t="shared" si="65"/>
        <v>0</v>
      </c>
      <c r="U302" s="48">
        <f t="shared" si="58"/>
        <v>749400</v>
      </c>
      <c r="V302" s="49">
        <f t="shared" si="68"/>
        <v>0</v>
      </c>
      <c r="W302" s="49">
        <f t="shared" si="68"/>
        <v>0</v>
      </c>
      <c r="X302" s="50">
        <f t="shared" si="68"/>
        <v>0</v>
      </c>
      <c r="Y302" s="73">
        <f t="shared" si="66"/>
        <v>749400</v>
      </c>
    </row>
    <row r="303" spans="1:25" x14ac:dyDescent="0.2">
      <c r="A303" s="55">
        <v>46322</v>
      </c>
      <c r="B303" s="48"/>
      <c r="C303" s="49"/>
      <c r="D303" s="49"/>
      <c r="E303" s="50"/>
      <c r="F303" s="48">
        <f t="shared" si="60"/>
        <v>42123</v>
      </c>
      <c r="G303" s="49">
        <f t="shared" si="61"/>
        <v>69725</v>
      </c>
      <c r="H303" s="49">
        <f t="shared" si="62"/>
        <v>0</v>
      </c>
      <c r="I303" s="50">
        <f t="shared" si="63"/>
        <v>14417</v>
      </c>
      <c r="J303" s="48">
        <f>J302+B303-SUMIFS(рапорт!$O:$O,рапорт!$A:$A,A303)-SUMIFS(рапорт!$U:$U,рапорт!$A:$A,A303)/4</f>
        <v>60640.5</v>
      </c>
      <c r="K303" s="49">
        <f>K302+C303-SUMIFS(рапорт!$P:$P,рапорт!$A:$A,A303)-SUMIFS(рапорт!$U:$U,рапорт!$A:$A,A303)/4</f>
        <v>98141.5</v>
      </c>
      <c r="L303" s="49">
        <f>L302+D303-SUMIFS(рапорт!$Q:$Q,рапорт!$A:$A,A303)-SUMIFS(рапорт!$U:$U,рапорт!$A:$A,A303)/4</f>
        <v>45376.5</v>
      </c>
      <c r="M303" s="50">
        <f>M302+E303-SUMIFS(рапорт!$R:$R,рапорт!$A:$A,A303)-SUMIFS(рапорт!$U:$U,рапорт!$A:$A,A303)/4</f>
        <v>86951.5</v>
      </c>
      <c r="O303" s="55">
        <v>46322</v>
      </c>
      <c r="P303" s="48"/>
      <c r="Q303" s="49"/>
      <c r="R303" s="49"/>
      <c r="S303" s="50"/>
      <c r="T303" s="60">
        <f t="shared" si="65"/>
        <v>0</v>
      </c>
      <c r="U303" s="48">
        <f t="shared" si="58"/>
        <v>749400</v>
      </c>
      <c r="V303" s="49">
        <f t="shared" si="68"/>
        <v>0</v>
      </c>
      <c r="W303" s="49">
        <f t="shared" si="68"/>
        <v>0</v>
      </c>
      <c r="X303" s="50">
        <f t="shared" si="68"/>
        <v>0</v>
      </c>
      <c r="Y303" s="73">
        <f t="shared" si="66"/>
        <v>749400</v>
      </c>
    </row>
    <row r="304" spans="1:25" x14ac:dyDescent="0.2">
      <c r="A304" s="55">
        <v>46323</v>
      </c>
      <c r="B304" s="48"/>
      <c r="C304" s="49"/>
      <c r="D304" s="49"/>
      <c r="E304" s="50"/>
      <c r="F304" s="48">
        <f t="shared" si="60"/>
        <v>42123</v>
      </c>
      <c r="G304" s="49">
        <f t="shared" si="61"/>
        <v>69725</v>
      </c>
      <c r="H304" s="49">
        <f t="shared" si="62"/>
        <v>0</v>
      </c>
      <c r="I304" s="50">
        <f t="shared" si="63"/>
        <v>14417</v>
      </c>
      <c r="J304" s="48">
        <f>J303+B304-SUMIFS(рапорт!$O:$O,рапорт!$A:$A,A304)-SUMIFS(рапорт!$U:$U,рапорт!$A:$A,A304)/4</f>
        <v>60640.5</v>
      </c>
      <c r="K304" s="49">
        <f>K303+C304-SUMIFS(рапорт!$P:$P,рапорт!$A:$A,A304)-SUMIFS(рапорт!$U:$U,рапорт!$A:$A,A304)/4</f>
        <v>98141.5</v>
      </c>
      <c r="L304" s="49">
        <f>L303+D304-SUMIFS(рапорт!$Q:$Q,рапорт!$A:$A,A304)-SUMIFS(рапорт!$U:$U,рапорт!$A:$A,A304)/4</f>
        <v>45376.5</v>
      </c>
      <c r="M304" s="50">
        <f>M303+E304-SUMIFS(рапорт!$R:$R,рапорт!$A:$A,A304)-SUMIFS(рапорт!$U:$U,рапорт!$A:$A,A304)/4</f>
        <v>86951.5</v>
      </c>
      <c r="O304" s="55">
        <v>46323</v>
      </c>
      <c r="P304" s="48"/>
      <c r="Q304" s="49"/>
      <c r="R304" s="49"/>
      <c r="S304" s="50"/>
      <c r="T304" s="60">
        <f t="shared" si="65"/>
        <v>0</v>
      </c>
      <c r="U304" s="48">
        <f t="shared" si="58"/>
        <v>749400</v>
      </c>
      <c r="V304" s="49">
        <f t="shared" si="68"/>
        <v>0</v>
      </c>
      <c r="W304" s="49">
        <f t="shared" si="68"/>
        <v>0</v>
      </c>
      <c r="X304" s="50">
        <f t="shared" si="68"/>
        <v>0</v>
      </c>
      <c r="Y304" s="73">
        <f t="shared" si="66"/>
        <v>749400</v>
      </c>
    </row>
    <row r="305" spans="1:25" x14ac:dyDescent="0.2">
      <c r="A305" s="55">
        <v>46324</v>
      </c>
      <c r="B305" s="48"/>
      <c r="C305" s="49"/>
      <c r="D305" s="49"/>
      <c r="E305" s="50"/>
      <c r="F305" s="48">
        <f t="shared" si="60"/>
        <v>42123</v>
      </c>
      <c r="G305" s="49">
        <f t="shared" si="61"/>
        <v>69725</v>
      </c>
      <c r="H305" s="49">
        <f t="shared" si="62"/>
        <v>0</v>
      </c>
      <c r="I305" s="50">
        <f t="shared" si="63"/>
        <v>14417</v>
      </c>
      <c r="J305" s="48">
        <f>J304+B305-SUMIFS(рапорт!$O:$O,рапорт!$A:$A,A305)-SUMIFS(рапорт!$U:$U,рапорт!$A:$A,A305)/4</f>
        <v>60640.5</v>
      </c>
      <c r="K305" s="49">
        <f>K304+C305-SUMIFS(рапорт!$P:$P,рапорт!$A:$A,A305)-SUMIFS(рапорт!$U:$U,рапорт!$A:$A,A305)/4</f>
        <v>98141.5</v>
      </c>
      <c r="L305" s="49">
        <f>L304+D305-SUMIFS(рапорт!$Q:$Q,рапорт!$A:$A,A305)-SUMIFS(рапорт!$U:$U,рапорт!$A:$A,A305)/4</f>
        <v>45376.5</v>
      </c>
      <c r="M305" s="50">
        <f>M304+E305-SUMIFS(рапорт!$R:$R,рапорт!$A:$A,A305)-SUMIFS(рапорт!$U:$U,рапорт!$A:$A,A305)/4</f>
        <v>86951.5</v>
      </c>
      <c r="O305" s="55">
        <v>46324</v>
      </c>
      <c r="P305" s="48"/>
      <c r="Q305" s="49"/>
      <c r="R305" s="49"/>
      <c r="S305" s="50"/>
      <c r="T305" s="60">
        <f t="shared" si="65"/>
        <v>0</v>
      </c>
      <c r="U305" s="48">
        <f t="shared" si="58"/>
        <v>749400</v>
      </c>
      <c r="V305" s="49">
        <f t="shared" si="68"/>
        <v>0</v>
      </c>
      <c r="W305" s="49">
        <f t="shared" si="68"/>
        <v>0</v>
      </c>
      <c r="X305" s="50">
        <f t="shared" si="68"/>
        <v>0</v>
      </c>
      <c r="Y305" s="73">
        <f t="shared" si="66"/>
        <v>749400</v>
      </c>
    </row>
    <row r="306" spans="1:25" x14ac:dyDescent="0.2">
      <c r="A306" s="55">
        <v>46325</v>
      </c>
      <c r="B306" s="48"/>
      <c r="C306" s="49"/>
      <c r="D306" s="49"/>
      <c r="E306" s="50"/>
      <c r="F306" s="48">
        <f t="shared" si="60"/>
        <v>42123</v>
      </c>
      <c r="G306" s="49">
        <f t="shared" si="61"/>
        <v>69725</v>
      </c>
      <c r="H306" s="49">
        <f t="shared" si="62"/>
        <v>0</v>
      </c>
      <c r="I306" s="50">
        <f t="shared" si="63"/>
        <v>14417</v>
      </c>
      <c r="J306" s="48">
        <f>J305+B306-SUMIFS(рапорт!$O:$O,рапорт!$A:$A,A306)-SUMIFS(рапорт!$U:$U,рапорт!$A:$A,A306)/4</f>
        <v>60640.5</v>
      </c>
      <c r="K306" s="49">
        <f>K305+C306-SUMIFS(рапорт!$P:$P,рапорт!$A:$A,A306)-SUMIFS(рапорт!$U:$U,рапорт!$A:$A,A306)/4</f>
        <v>98141.5</v>
      </c>
      <c r="L306" s="49">
        <f>L305+D306-SUMIFS(рапорт!$Q:$Q,рапорт!$A:$A,A306)-SUMIFS(рапорт!$U:$U,рапорт!$A:$A,A306)/4</f>
        <v>45376.5</v>
      </c>
      <c r="M306" s="50">
        <f>M305+E306-SUMIFS(рапорт!$R:$R,рапорт!$A:$A,A306)-SUMIFS(рапорт!$U:$U,рапорт!$A:$A,A306)/4</f>
        <v>86951.5</v>
      </c>
      <c r="O306" s="55">
        <v>46325</v>
      </c>
      <c r="P306" s="48"/>
      <c r="Q306" s="49"/>
      <c r="R306" s="49"/>
      <c r="S306" s="50"/>
      <c r="T306" s="60">
        <f t="shared" si="65"/>
        <v>0</v>
      </c>
      <c r="U306" s="48">
        <f t="shared" ref="U306:U368" si="69">U305</f>
        <v>749400</v>
      </c>
      <c r="V306" s="49">
        <f t="shared" si="68"/>
        <v>0</v>
      </c>
      <c r="W306" s="49">
        <f t="shared" si="68"/>
        <v>0</v>
      </c>
      <c r="X306" s="50">
        <f t="shared" si="68"/>
        <v>0</v>
      </c>
      <c r="Y306" s="73">
        <f t="shared" si="66"/>
        <v>749400</v>
      </c>
    </row>
    <row r="307" spans="1:25" x14ac:dyDescent="0.2">
      <c r="A307" s="55">
        <v>46326</v>
      </c>
      <c r="B307" s="48"/>
      <c r="C307" s="49"/>
      <c r="D307" s="49"/>
      <c r="E307" s="50"/>
      <c r="F307" s="48">
        <f t="shared" si="60"/>
        <v>42123</v>
      </c>
      <c r="G307" s="49">
        <f t="shared" si="61"/>
        <v>69725</v>
      </c>
      <c r="H307" s="49">
        <f t="shared" si="62"/>
        <v>0</v>
      </c>
      <c r="I307" s="50">
        <f t="shared" si="63"/>
        <v>14417</v>
      </c>
      <c r="J307" s="48">
        <f>J306+B307-SUMIFS(рапорт!$O:$O,рапорт!$A:$A,A307)-SUMIFS(рапорт!$U:$U,рапорт!$A:$A,A307)/4</f>
        <v>60640.5</v>
      </c>
      <c r="K307" s="49">
        <f>K306+C307-SUMIFS(рапорт!$P:$P,рапорт!$A:$A,A307)-SUMIFS(рапорт!$U:$U,рапорт!$A:$A,A307)/4</f>
        <v>98141.5</v>
      </c>
      <c r="L307" s="49">
        <f>L306+D307-SUMIFS(рапорт!$Q:$Q,рапорт!$A:$A,A307)-SUMIFS(рапорт!$U:$U,рапорт!$A:$A,A307)/4</f>
        <v>45376.5</v>
      </c>
      <c r="M307" s="50">
        <f>M306+E307-SUMIFS(рапорт!$R:$R,рапорт!$A:$A,A307)-SUMIFS(рапорт!$U:$U,рапорт!$A:$A,A307)/4</f>
        <v>86951.5</v>
      </c>
      <c r="O307" s="55">
        <v>46326</v>
      </c>
      <c r="P307" s="48"/>
      <c r="Q307" s="49"/>
      <c r="R307" s="49"/>
      <c r="S307" s="50"/>
      <c r="T307" s="60">
        <f t="shared" si="65"/>
        <v>0</v>
      </c>
      <c r="U307" s="48">
        <f t="shared" si="69"/>
        <v>749400</v>
      </c>
      <c r="V307" s="49">
        <f t="shared" si="68"/>
        <v>0</v>
      </c>
      <c r="W307" s="49">
        <f t="shared" si="68"/>
        <v>0</v>
      </c>
      <c r="X307" s="50">
        <f t="shared" si="68"/>
        <v>0</v>
      </c>
      <c r="Y307" s="73">
        <f t="shared" si="66"/>
        <v>749400</v>
      </c>
    </row>
    <row r="308" spans="1:25" x14ac:dyDescent="0.2">
      <c r="A308" s="55">
        <v>46327</v>
      </c>
      <c r="B308" s="48"/>
      <c r="C308" s="49"/>
      <c r="D308" s="49"/>
      <c r="E308" s="50"/>
      <c r="F308" s="48">
        <f t="shared" si="60"/>
        <v>42123</v>
      </c>
      <c r="G308" s="49">
        <f t="shared" si="61"/>
        <v>69725</v>
      </c>
      <c r="H308" s="49">
        <f t="shared" si="62"/>
        <v>0</v>
      </c>
      <c r="I308" s="50">
        <f t="shared" si="63"/>
        <v>14417</v>
      </c>
      <c r="J308" s="48">
        <f>J307+B308-SUMIFS(рапорт!$O:$O,рапорт!$A:$A,A308)-SUMIFS(рапорт!$U:$U,рапорт!$A:$A,A308)/4</f>
        <v>60640.5</v>
      </c>
      <c r="K308" s="49">
        <f>K307+C308-SUMIFS(рапорт!$P:$P,рапорт!$A:$A,A308)-SUMIFS(рапорт!$U:$U,рапорт!$A:$A,A308)/4</f>
        <v>98141.5</v>
      </c>
      <c r="L308" s="49">
        <f>L307+D308-SUMIFS(рапорт!$Q:$Q,рапорт!$A:$A,A308)-SUMIFS(рапорт!$U:$U,рапорт!$A:$A,A308)/4</f>
        <v>45376.5</v>
      </c>
      <c r="M308" s="50">
        <f>M307+E308-SUMIFS(рапорт!$R:$R,рапорт!$A:$A,A308)-SUMIFS(рапорт!$U:$U,рапорт!$A:$A,A308)/4</f>
        <v>86951.5</v>
      </c>
      <c r="O308" s="55">
        <v>46327</v>
      </c>
      <c r="P308" s="48"/>
      <c r="Q308" s="49"/>
      <c r="R308" s="49"/>
      <c r="S308" s="50"/>
      <c r="T308" s="60">
        <f t="shared" si="65"/>
        <v>0</v>
      </c>
      <c r="U308" s="48">
        <f t="shared" si="69"/>
        <v>749400</v>
      </c>
      <c r="V308" s="49">
        <f t="shared" ref="V308:X323" si="70">V307</f>
        <v>0</v>
      </c>
      <c r="W308" s="49">
        <f t="shared" si="70"/>
        <v>0</v>
      </c>
      <c r="X308" s="50">
        <f t="shared" si="70"/>
        <v>0</v>
      </c>
      <c r="Y308" s="73">
        <f t="shared" si="66"/>
        <v>749400</v>
      </c>
    </row>
    <row r="309" spans="1:25" x14ac:dyDescent="0.2">
      <c r="A309" s="55">
        <v>46328</v>
      </c>
      <c r="B309" s="48"/>
      <c r="C309" s="49"/>
      <c r="D309" s="49"/>
      <c r="E309" s="50"/>
      <c r="F309" s="48">
        <f t="shared" si="60"/>
        <v>42123</v>
      </c>
      <c r="G309" s="49">
        <f t="shared" si="61"/>
        <v>69725</v>
      </c>
      <c r="H309" s="49">
        <f t="shared" si="62"/>
        <v>0</v>
      </c>
      <c r="I309" s="50">
        <f t="shared" si="63"/>
        <v>14417</v>
      </c>
      <c r="J309" s="48">
        <f>J308+B309-SUMIFS(рапорт!$O:$O,рапорт!$A:$A,A309)-SUMIFS(рапорт!$U:$U,рапорт!$A:$A,A309)/4</f>
        <v>60640.5</v>
      </c>
      <c r="K309" s="49">
        <f>K308+C309-SUMIFS(рапорт!$P:$P,рапорт!$A:$A,A309)-SUMIFS(рапорт!$U:$U,рапорт!$A:$A,A309)/4</f>
        <v>98141.5</v>
      </c>
      <c r="L309" s="49">
        <f>L308+D309-SUMIFS(рапорт!$Q:$Q,рапорт!$A:$A,A309)-SUMIFS(рапорт!$U:$U,рапорт!$A:$A,A309)/4</f>
        <v>45376.5</v>
      </c>
      <c r="M309" s="50">
        <f>M308+E309-SUMIFS(рапорт!$R:$R,рапорт!$A:$A,A309)-SUMIFS(рапорт!$U:$U,рапорт!$A:$A,A309)/4</f>
        <v>86951.5</v>
      </c>
      <c r="O309" s="55">
        <v>46328</v>
      </c>
      <c r="P309" s="48"/>
      <c r="Q309" s="49"/>
      <c r="R309" s="49"/>
      <c r="S309" s="50"/>
      <c r="T309" s="60">
        <f t="shared" si="65"/>
        <v>0</v>
      </c>
      <c r="U309" s="48">
        <f t="shared" si="69"/>
        <v>749400</v>
      </c>
      <c r="V309" s="49">
        <f t="shared" si="70"/>
        <v>0</v>
      </c>
      <c r="W309" s="49">
        <f t="shared" si="70"/>
        <v>0</v>
      </c>
      <c r="X309" s="50">
        <f t="shared" si="70"/>
        <v>0</v>
      </c>
      <c r="Y309" s="73">
        <f t="shared" si="66"/>
        <v>749400</v>
      </c>
    </row>
    <row r="310" spans="1:25" x14ac:dyDescent="0.2">
      <c r="A310" s="55">
        <v>46329</v>
      </c>
      <c r="B310" s="48"/>
      <c r="C310" s="49"/>
      <c r="D310" s="49"/>
      <c r="E310" s="50"/>
      <c r="F310" s="48">
        <f t="shared" si="60"/>
        <v>42123</v>
      </c>
      <c r="G310" s="49">
        <f t="shared" si="61"/>
        <v>69725</v>
      </c>
      <c r="H310" s="49">
        <f t="shared" si="62"/>
        <v>0</v>
      </c>
      <c r="I310" s="50">
        <f t="shared" si="63"/>
        <v>14417</v>
      </c>
      <c r="J310" s="48">
        <f>J309+B310-SUMIFS(рапорт!$O:$O,рапорт!$A:$A,A310)-SUMIFS(рапорт!$U:$U,рапорт!$A:$A,A310)/4</f>
        <v>60640.5</v>
      </c>
      <c r="K310" s="49">
        <f>K309+C310-SUMIFS(рапорт!$P:$P,рапорт!$A:$A,A310)-SUMIFS(рапорт!$U:$U,рапорт!$A:$A,A310)/4</f>
        <v>98141.5</v>
      </c>
      <c r="L310" s="49">
        <f>L309+D310-SUMIFS(рапорт!$Q:$Q,рапорт!$A:$A,A310)-SUMIFS(рапорт!$U:$U,рапорт!$A:$A,A310)/4</f>
        <v>45376.5</v>
      </c>
      <c r="M310" s="50">
        <f>M309+E310-SUMIFS(рапорт!$R:$R,рапорт!$A:$A,A310)-SUMIFS(рапорт!$U:$U,рапорт!$A:$A,A310)/4</f>
        <v>86951.5</v>
      </c>
      <c r="O310" s="55">
        <v>46329</v>
      </c>
      <c r="P310" s="48"/>
      <c r="Q310" s="49"/>
      <c r="R310" s="49"/>
      <c r="S310" s="50"/>
      <c r="T310" s="60">
        <f t="shared" si="65"/>
        <v>0</v>
      </c>
      <c r="U310" s="48">
        <f t="shared" si="69"/>
        <v>749400</v>
      </c>
      <c r="V310" s="49">
        <f t="shared" si="70"/>
        <v>0</v>
      </c>
      <c r="W310" s="49">
        <f t="shared" si="70"/>
        <v>0</v>
      </c>
      <c r="X310" s="50">
        <f t="shared" si="70"/>
        <v>0</v>
      </c>
      <c r="Y310" s="73">
        <f t="shared" si="66"/>
        <v>749400</v>
      </c>
    </row>
    <row r="311" spans="1:25" x14ac:dyDescent="0.2">
      <c r="A311" s="55">
        <v>46330</v>
      </c>
      <c r="B311" s="48"/>
      <c r="C311" s="49"/>
      <c r="D311" s="49"/>
      <c r="E311" s="50"/>
      <c r="F311" s="48">
        <f t="shared" si="60"/>
        <v>42123</v>
      </c>
      <c r="G311" s="49">
        <f t="shared" si="61"/>
        <v>69725</v>
      </c>
      <c r="H311" s="49">
        <f t="shared" si="62"/>
        <v>0</v>
      </c>
      <c r="I311" s="50">
        <f t="shared" si="63"/>
        <v>14417</v>
      </c>
      <c r="J311" s="48">
        <f>J310+B311-SUMIFS(рапорт!$O:$O,рапорт!$A:$A,A311)-SUMIFS(рапорт!$U:$U,рапорт!$A:$A,A311)/4</f>
        <v>60640.5</v>
      </c>
      <c r="K311" s="49">
        <f>K310+C311-SUMIFS(рапорт!$P:$P,рапорт!$A:$A,A311)-SUMIFS(рапорт!$U:$U,рапорт!$A:$A,A311)/4</f>
        <v>98141.5</v>
      </c>
      <c r="L311" s="49">
        <f>L310+D311-SUMIFS(рапорт!$Q:$Q,рапорт!$A:$A,A311)-SUMIFS(рапорт!$U:$U,рапорт!$A:$A,A311)/4</f>
        <v>45376.5</v>
      </c>
      <c r="M311" s="50">
        <f>M310+E311-SUMIFS(рапорт!$R:$R,рапорт!$A:$A,A311)-SUMIFS(рапорт!$U:$U,рапорт!$A:$A,A311)/4</f>
        <v>86951.5</v>
      </c>
      <c r="O311" s="55">
        <v>46330</v>
      </c>
      <c r="P311" s="48"/>
      <c r="Q311" s="49"/>
      <c r="R311" s="49"/>
      <c r="S311" s="50"/>
      <c r="T311" s="60">
        <f t="shared" si="65"/>
        <v>0</v>
      </c>
      <c r="U311" s="48">
        <f t="shared" si="69"/>
        <v>749400</v>
      </c>
      <c r="V311" s="49">
        <f t="shared" si="70"/>
        <v>0</v>
      </c>
      <c r="W311" s="49">
        <f t="shared" si="70"/>
        <v>0</v>
      </c>
      <c r="X311" s="50">
        <f t="shared" si="70"/>
        <v>0</v>
      </c>
      <c r="Y311" s="73">
        <f t="shared" si="66"/>
        <v>749400</v>
      </c>
    </row>
    <row r="312" spans="1:25" x14ac:dyDescent="0.2">
      <c r="A312" s="55">
        <v>46331</v>
      </c>
      <c r="B312" s="48"/>
      <c r="C312" s="49"/>
      <c r="D312" s="49"/>
      <c r="E312" s="50"/>
      <c r="F312" s="48">
        <f t="shared" si="60"/>
        <v>42123</v>
      </c>
      <c r="G312" s="49">
        <f t="shared" si="61"/>
        <v>69725</v>
      </c>
      <c r="H312" s="49">
        <f t="shared" si="62"/>
        <v>0</v>
      </c>
      <c r="I312" s="50">
        <f t="shared" si="63"/>
        <v>14417</v>
      </c>
      <c r="J312" s="48">
        <f>J311+B312-SUMIFS(рапорт!$O:$O,рапорт!$A:$A,A312)-SUMIFS(рапорт!$U:$U,рапорт!$A:$A,A312)/4</f>
        <v>60640.5</v>
      </c>
      <c r="K312" s="49">
        <f>K311+C312-SUMIFS(рапорт!$P:$P,рапорт!$A:$A,A312)-SUMIFS(рапорт!$U:$U,рапорт!$A:$A,A312)/4</f>
        <v>98141.5</v>
      </c>
      <c r="L312" s="49">
        <f>L311+D312-SUMIFS(рапорт!$Q:$Q,рапорт!$A:$A,A312)-SUMIFS(рапорт!$U:$U,рапорт!$A:$A,A312)/4</f>
        <v>45376.5</v>
      </c>
      <c r="M312" s="50">
        <f>M311+E312-SUMIFS(рапорт!$R:$R,рапорт!$A:$A,A312)-SUMIFS(рапорт!$U:$U,рапорт!$A:$A,A312)/4</f>
        <v>86951.5</v>
      </c>
      <c r="O312" s="55">
        <v>46331</v>
      </c>
      <c r="P312" s="48"/>
      <c r="Q312" s="49"/>
      <c r="R312" s="49"/>
      <c r="S312" s="50"/>
      <c r="T312" s="60">
        <f t="shared" si="65"/>
        <v>0</v>
      </c>
      <c r="U312" s="48">
        <f t="shared" si="69"/>
        <v>749400</v>
      </c>
      <c r="V312" s="49">
        <f t="shared" si="70"/>
        <v>0</v>
      </c>
      <c r="W312" s="49">
        <f t="shared" si="70"/>
        <v>0</v>
      </c>
      <c r="X312" s="50">
        <f t="shared" si="70"/>
        <v>0</v>
      </c>
      <c r="Y312" s="73">
        <f t="shared" si="66"/>
        <v>749400</v>
      </c>
    </row>
    <row r="313" spans="1:25" x14ac:dyDescent="0.2">
      <c r="A313" s="55">
        <v>46332</v>
      </c>
      <c r="B313" s="48"/>
      <c r="C313" s="49"/>
      <c r="D313" s="49"/>
      <c r="E313" s="50"/>
      <c r="F313" s="48">
        <f t="shared" si="60"/>
        <v>42123</v>
      </c>
      <c r="G313" s="49">
        <f t="shared" si="61"/>
        <v>69725</v>
      </c>
      <c r="H313" s="49">
        <f t="shared" si="62"/>
        <v>0</v>
      </c>
      <c r="I313" s="50">
        <f t="shared" si="63"/>
        <v>14417</v>
      </c>
      <c r="J313" s="48">
        <f>J312+B313-SUMIFS(рапорт!$O:$O,рапорт!$A:$A,A313)-SUMIFS(рапорт!$U:$U,рапорт!$A:$A,A313)/4</f>
        <v>60640.5</v>
      </c>
      <c r="K313" s="49">
        <f>K312+C313-SUMIFS(рапорт!$P:$P,рапорт!$A:$A,A313)-SUMIFS(рапорт!$U:$U,рапорт!$A:$A,A313)/4</f>
        <v>98141.5</v>
      </c>
      <c r="L313" s="49">
        <f>L312+D313-SUMIFS(рапорт!$Q:$Q,рапорт!$A:$A,A313)-SUMIFS(рапорт!$U:$U,рапорт!$A:$A,A313)/4</f>
        <v>45376.5</v>
      </c>
      <c r="M313" s="50">
        <f>M312+E313-SUMIFS(рапорт!$R:$R,рапорт!$A:$A,A313)-SUMIFS(рапорт!$U:$U,рапорт!$A:$A,A313)/4</f>
        <v>86951.5</v>
      </c>
      <c r="O313" s="55">
        <v>46332</v>
      </c>
      <c r="P313" s="48"/>
      <c r="Q313" s="49"/>
      <c r="R313" s="49"/>
      <c r="S313" s="50"/>
      <c r="T313" s="60">
        <f t="shared" si="65"/>
        <v>0</v>
      </c>
      <c r="U313" s="48">
        <f t="shared" si="69"/>
        <v>749400</v>
      </c>
      <c r="V313" s="49">
        <f t="shared" si="70"/>
        <v>0</v>
      </c>
      <c r="W313" s="49">
        <f t="shared" si="70"/>
        <v>0</v>
      </c>
      <c r="X313" s="50">
        <f t="shared" si="70"/>
        <v>0</v>
      </c>
      <c r="Y313" s="73">
        <f t="shared" si="66"/>
        <v>749400</v>
      </c>
    </row>
    <row r="314" spans="1:25" x14ac:dyDescent="0.2">
      <c r="A314" s="55">
        <v>46333</v>
      </c>
      <c r="B314" s="48"/>
      <c r="C314" s="49"/>
      <c r="D314" s="49"/>
      <c r="E314" s="50"/>
      <c r="F314" s="48">
        <f t="shared" si="60"/>
        <v>42123</v>
      </c>
      <c r="G314" s="49">
        <f t="shared" si="61"/>
        <v>69725</v>
      </c>
      <c r="H314" s="49">
        <f t="shared" si="62"/>
        <v>0</v>
      </c>
      <c r="I314" s="50">
        <f t="shared" si="63"/>
        <v>14417</v>
      </c>
      <c r="J314" s="48">
        <f>J313+B314-SUMIFS(рапорт!$O:$O,рапорт!$A:$A,A314)-SUMIFS(рапорт!$U:$U,рапорт!$A:$A,A314)/4</f>
        <v>60640.5</v>
      </c>
      <c r="K314" s="49">
        <f>K313+C314-SUMIFS(рапорт!$P:$P,рапорт!$A:$A,A314)-SUMIFS(рапорт!$U:$U,рапорт!$A:$A,A314)/4</f>
        <v>98141.5</v>
      </c>
      <c r="L314" s="49">
        <f>L313+D314-SUMIFS(рапорт!$Q:$Q,рапорт!$A:$A,A314)-SUMIFS(рапорт!$U:$U,рапорт!$A:$A,A314)/4</f>
        <v>45376.5</v>
      </c>
      <c r="M314" s="50">
        <f>M313+E314-SUMIFS(рапорт!$R:$R,рапорт!$A:$A,A314)-SUMIFS(рапорт!$U:$U,рапорт!$A:$A,A314)/4</f>
        <v>86951.5</v>
      </c>
      <c r="O314" s="55">
        <v>46333</v>
      </c>
      <c r="P314" s="48"/>
      <c r="Q314" s="49"/>
      <c r="R314" s="49"/>
      <c r="S314" s="50"/>
      <c r="T314" s="60">
        <f t="shared" si="65"/>
        <v>0</v>
      </c>
      <c r="U314" s="48">
        <f t="shared" si="69"/>
        <v>749400</v>
      </c>
      <c r="V314" s="49">
        <f t="shared" si="70"/>
        <v>0</v>
      </c>
      <c r="W314" s="49">
        <f t="shared" si="70"/>
        <v>0</v>
      </c>
      <c r="X314" s="50">
        <f t="shared" si="70"/>
        <v>0</v>
      </c>
      <c r="Y314" s="73">
        <f t="shared" si="66"/>
        <v>749400</v>
      </c>
    </row>
    <row r="315" spans="1:25" x14ac:dyDescent="0.2">
      <c r="A315" s="55">
        <v>46334</v>
      </c>
      <c r="B315" s="48"/>
      <c r="C315" s="49"/>
      <c r="D315" s="49"/>
      <c r="E315" s="50"/>
      <c r="F315" s="48">
        <f t="shared" si="60"/>
        <v>42123</v>
      </c>
      <c r="G315" s="49">
        <f t="shared" si="61"/>
        <v>69725</v>
      </c>
      <c r="H315" s="49">
        <f t="shared" si="62"/>
        <v>0</v>
      </c>
      <c r="I315" s="50">
        <f t="shared" si="63"/>
        <v>14417</v>
      </c>
      <c r="J315" s="48">
        <f>J314+B315-SUMIFS(рапорт!$O:$O,рапорт!$A:$A,A315)-SUMIFS(рапорт!$U:$U,рапорт!$A:$A,A315)/4</f>
        <v>60640.5</v>
      </c>
      <c r="K315" s="49">
        <f>K314+C315-SUMIFS(рапорт!$P:$P,рапорт!$A:$A,A315)-SUMIFS(рапорт!$U:$U,рапорт!$A:$A,A315)/4</f>
        <v>98141.5</v>
      </c>
      <c r="L315" s="49">
        <f>L314+D315-SUMIFS(рапорт!$Q:$Q,рапорт!$A:$A,A315)-SUMIFS(рапорт!$U:$U,рапорт!$A:$A,A315)/4</f>
        <v>45376.5</v>
      </c>
      <c r="M315" s="50">
        <f>M314+E315-SUMIFS(рапорт!$R:$R,рапорт!$A:$A,A315)-SUMIFS(рапорт!$U:$U,рапорт!$A:$A,A315)/4</f>
        <v>86951.5</v>
      </c>
      <c r="O315" s="55">
        <v>46334</v>
      </c>
      <c r="P315" s="48"/>
      <c r="Q315" s="49"/>
      <c r="R315" s="49"/>
      <c r="S315" s="50"/>
      <c r="T315" s="60">
        <f t="shared" si="65"/>
        <v>0</v>
      </c>
      <c r="U315" s="48">
        <f t="shared" si="69"/>
        <v>749400</v>
      </c>
      <c r="V315" s="49">
        <f t="shared" si="70"/>
        <v>0</v>
      </c>
      <c r="W315" s="49">
        <f t="shared" si="70"/>
        <v>0</v>
      </c>
      <c r="X315" s="50">
        <f t="shared" si="70"/>
        <v>0</v>
      </c>
      <c r="Y315" s="73">
        <f t="shared" si="66"/>
        <v>749400</v>
      </c>
    </row>
    <row r="316" spans="1:25" x14ac:dyDescent="0.2">
      <c r="A316" s="55">
        <v>46335</v>
      </c>
      <c r="B316" s="48"/>
      <c r="C316" s="49"/>
      <c r="D316" s="49"/>
      <c r="E316" s="50"/>
      <c r="F316" s="48">
        <f t="shared" si="60"/>
        <v>42123</v>
      </c>
      <c r="G316" s="49">
        <f t="shared" si="61"/>
        <v>69725</v>
      </c>
      <c r="H316" s="49">
        <f t="shared" si="62"/>
        <v>0</v>
      </c>
      <c r="I316" s="50">
        <f t="shared" si="63"/>
        <v>14417</v>
      </c>
      <c r="J316" s="48">
        <f>J315+B316-SUMIFS(рапорт!$O:$O,рапорт!$A:$A,A316)-SUMIFS(рапорт!$U:$U,рапорт!$A:$A,A316)/4</f>
        <v>60640.5</v>
      </c>
      <c r="K316" s="49">
        <f>K315+C316-SUMIFS(рапорт!$P:$P,рапорт!$A:$A,A316)-SUMIFS(рапорт!$U:$U,рапорт!$A:$A,A316)/4</f>
        <v>98141.5</v>
      </c>
      <c r="L316" s="49">
        <f>L315+D316-SUMIFS(рапорт!$Q:$Q,рапорт!$A:$A,A316)-SUMIFS(рапорт!$U:$U,рапорт!$A:$A,A316)/4</f>
        <v>45376.5</v>
      </c>
      <c r="M316" s="50">
        <f>M315+E316-SUMIFS(рапорт!$R:$R,рапорт!$A:$A,A316)-SUMIFS(рапорт!$U:$U,рапорт!$A:$A,A316)/4</f>
        <v>86951.5</v>
      </c>
      <c r="O316" s="55">
        <v>46335</v>
      </c>
      <c r="P316" s="48"/>
      <c r="Q316" s="49"/>
      <c r="R316" s="49"/>
      <c r="S316" s="50"/>
      <c r="T316" s="60">
        <f t="shared" si="65"/>
        <v>0</v>
      </c>
      <c r="U316" s="48">
        <f t="shared" si="69"/>
        <v>749400</v>
      </c>
      <c r="V316" s="49">
        <f t="shared" si="70"/>
        <v>0</v>
      </c>
      <c r="W316" s="49">
        <f t="shared" si="70"/>
        <v>0</v>
      </c>
      <c r="X316" s="50">
        <f t="shared" si="70"/>
        <v>0</v>
      </c>
      <c r="Y316" s="73">
        <f t="shared" si="66"/>
        <v>749400</v>
      </c>
    </row>
    <row r="317" spans="1:25" x14ac:dyDescent="0.2">
      <c r="A317" s="55">
        <v>46336</v>
      </c>
      <c r="B317" s="48"/>
      <c r="C317" s="49"/>
      <c r="D317" s="49"/>
      <c r="E317" s="50"/>
      <c r="F317" s="48">
        <f t="shared" si="60"/>
        <v>42123</v>
      </c>
      <c r="G317" s="49">
        <f t="shared" si="61"/>
        <v>69725</v>
      </c>
      <c r="H317" s="49">
        <f t="shared" si="62"/>
        <v>0</v>
      </c>
      <c r="I317" s="50">
        <f t="shared" si="63"/>
        <v>14417</v>
      </c>
      <c r="J317" s="48">
        <f>J316+B317-SUMIFS(рапорт!$O:$O,рапорт!$A:$A,A317)-SUMIFS(рапорт!$U:$U,рапорт!$A:$A,A317)/4</f>
        <v>60640.5</v>
      </c>
      <c r="K317" s="49">
        <f>K316+C317-SUMIFS(рапорт!$P:$P,рапорт!$A:$A,A317)-SUMIFS(рапорт!$U:$U,рапорт!$A:$A,A317)/4</f>
        <v>98141.5</v>
      </c>
      <c r="L317" s="49">
        <f>L316+D317-SUMIFS(рапорт!$Q:$Q,рапорт!$A:$A,A317)-SUMIFS(рапорт!$U:$U,рапорт!$A:$A,A317)/4</f>
        <v>45376.5</v>
      </c>
      <c r="M317" s="50">
        <f>M316+E317-SUMIFS(рапорт!$R:$R,рапорт!$A:$A,A317)-SUMIFS(рапорт!$U:$U,рапорт!$A:$A,A317)/4</f>
        <v>86951.5</v>
      </c>
      <c r="O317" s="55">
        <v>46336</v>
      </c>
      <c r="P317" s="48"/>
      <c r="Q317" s="49"/>
      <c r="R317" s="49"/>
      <c r="S317" s="50"/>
      <c r="T317" s="60">
        <f t="shared" si="65"/>
        <v>0</v>
      </c>
      <c r="U317" s="48">
        <f t="shared" si="69"/>
        <v>749400</v>
      </c>
      <c r="V317" s="49">
        <f t="shared" si="70"/>
        <v>0</v>
      </c>
      <c r="W317" s="49">
        <f t="shared" si="70"/>
        <v>0</v>
      </c>
      <c r="X317" s="50">
        <f t="shared" si="70"/>
        <v>0</v>
      </c>
      <c r="Y317" s="73">
        <f t="shared" si="66"/>
        <v>749400</v>
      </c>
    </row>
    <row r="318" spans="1:25" x14ac:dyDescent="0.2">
      <c r="A318" s="55">
        <v>46337</v>
      </c>
      <c r="B318" s="48"/>
      <c r="C318" s="49"/>
      <c r="D318" s="49"/>
      <c r="E318" s="50"/>
      <c r="F318" s="48">
        <f t="shared" si="60"/>
        <v>42123</v>
      </c>
      <c r="G318" s="49">
        <f t="shared" si="61"/>
        <v>69725</v>
      </c>
      <c r="H318" s="49">
        <f t="shared" si="62"/>
        <v>0</v>
      </c>
      <c r="I318" s="50">
        <f t="shared" si="63"/>
        <v>14417</v>
      </c>
      <c r="J318" s="48">
        <f>J317+B318-SUMIFS(рапорт!$O:$O,рапорт!$A:$A,A318)-SUMIFS(рапорт!$U:$U,рапорт!$A:$A,A318)/4</f>
        <v>60640.5</v>
      </c>
      <c r="K318" s="49">
        <f>K317+C318-SUMIFS(рапорт!$P:$P,рапорт!$A:$A,A318)-SUMIFS(рапорт!$U:$U,рапорт!$A:$A,A318)/4</f>
        <v>98141.5</v>
      </c>
      <c r="L318" s="49">
        <f>L317+D318-SUMIFS(рапорт!$Q:$Q,рапорт!$A:$A,A318)-SUMIFS(рапорт!$U:$U,рапорт!$A:$A,A318)/4</f>
        <v>45376.5</v>
      </c>
      <c r="M318" s="50">
        <f>M317+E318-SUMIFS(рапорт!$R:$R,рапорт!$A:$A,A318)-SUMIFS(рапорт!$U:$U,рапорт!$A:$A,A318)/4</f>
        <v>86951.5</v>
      </c>
      <c r="O318" s="55">
        <v>46337</v>
      </c>
      <c r="P318" s="48"/>
      <c r="Q318" s="49"/>
      <c r="R318" s="49"/>
      <c r="S318" s="50"/>
      <c r="T318" s="60">
        <f t="shared" si="65"/>
        <v>0</v>
      </c>
      <c r="U318" s="48">
        <f t="shared" si="69"/>
        <v>749400</v>
      </c>
      <c r="V318" s="49">
        <f t="shared" si="70"/>
        <v>0</v>
      </c>
      <c r="W318" s="49">
        <f t="shared" si="70"/>
        <v>0</v>
      </c>
      <c r="X318" s="50">
        <f t="shared" si="70"/>
        <v>0</v>
      </c>
      <c r="Y318" s="73">
        <f t="shared" si="66"/>
        <v>749400</v>
      </c>
    </row>
    <row r="319" spans="1:25" x14ac:dyDescent="0.2">
      <c r="A319" s="55">
        <v>46338</v>
      </c>
      <c r="B319" s="48"/>
      <c r="C319" s="49"/>
      <c r="D319" s="49"/>
      <c r="E319" s="50"/>
      <c r="F319" s="48">
        <f t="shared" si="60"/>
        <v>42123</v>
      </c>
      <c r="G319" s="49">
        <f t="shared" si="61"/>
        <v>69725</v>
      </c>
      <c r="H319" s="49">
        <f t="shared" si="62"/>
        <v>0</v>
      </c>
      <c r="I319" s="50">
        <f t="shared" si="63"/>
        <v>14417</v>
      </c>
      <c r="J319" s="48">
        <f>J318+B319-SUMIFS(рапорт!$O:$O,рапорт!$A:$A,A319)-SUMIFS(рапорт!$U:$U,рапорт!$A:$A,A319)/4</f>
        <v>60640.5</v>
      </c>
      <c r="K319" s="49">
        <f>K318+C319-SUMIFS(рапорт!$P:$P,рапорт!$A:$A,A319)-SUMIFS(рапорт!$U:$U,рапорт!$A:$A,A319)/4</f>
        <v>98141.5</v>
      </c>
      <c r="L319" s="49">
        <f>L318+D319-SUMIFS(рапорт!$Q:$Q,рапорт!$A:$A,A319)-SUMIFS(рапорт!$U:$U,рапорт!$A:$A,A319)/4</f>
        <v>45376.5</v>
      </c>
      <c r="M319" s="50">
        <f>M318+E319-SUMIFS(рапорт!$R:$R,рапорт!$A:$A,A319)-SUMIFS(рапорт!$U:$U,рапорт!$A:$A,A319)/4</f>
        <v>86951.5</v>
      </c>
      <c r="O319" s="55">
        <v>46338</v>
      </c>
      <c r="P319" s="48"/>
      <c r="Q319" s="49"/>
      <c r="R319" s="49"/>
      <c r="S319" s="50"/>
      <c r="T319" s="60">
        <f t="shared" si="65"/>
        <v>0</v>
      </c>
      <c r="U319" s="48">
        <f t="shared" si="69"/>
        <v>749400</v>
      </c>
      <c r="V319" s="49">
        <f t="shared" si="70"/>
        <v>0</v>
      </c>
      <c r="W319" s="49">
        <f t="shared" si="70"/>
        <v>0</v>
      </c>
      <c r="X319" s="50">
        <f t="shared" si="70"/>
        <v>0</v>
      </c>
      <c r="Y319" s="73">
        <f t="shared" si="66"/>
        <v>749400</v>
      </c>
    </row>
    <row r="320" spans="1:25" x14ac:dyDescent="0.2">
      <c r="A320" s="55">
        <v>46339</v>
      </c>
      <c r="B320" s="48"/>
      <c r="C320" s="49"/>
      <c r="D320" s="49"/>
      <c r="E320" s="50"/>
      <c r="F320" s="48">
        <f t="shared" ref="F320:F368" si="71">F319</f>
        <v>42123</v>
      </c>
      <c r="G320" s="49">
        <f t="shared" ref="G320:G368" si="72">G319</f>
        <v>69725</v>
      </c>
      <c r="H320" s="49">
        <f t="shared" ref="H320:H368" si="73">H319</f>
        <v>0</v>
      </c>
      <c r="I320" s="50">
        <f t="shared" ref="I320:I368" si="74">I319</f>
        <v>14417</v>
      </c>
      <c r="J320" s="48">
        <f>J319+B320-SUMIFS(рапорт!$O:$O,рапорт!$A:$A,A320)-SUMIFS(рапорт!$U:$U,рапорт!$A:$A,A320)/4</f>
        <v>60640.5</v>
      </c>
      <c r="K320" s="49">
        <f>K319+C320-SUMIFS(рапорт!$P:$P,рапорт!$A:$A,A320)-SUMIFS(рапорт!$U:$U,рапорт!$A:$A,A320)/4</f>
        <v>98141.5</v>
      </c>
      <c r="L320" s="49">
        <f>L319+D320-SUMIFS(рапорт!$Q:$Q,рапорт!$A:$A,A320)-SUMIFS(рапорт!$U:$U,рапорт!$A:$A,A320)/4</f>
        <v>45376.5</v>
      </c>
      <c r="M320" s="50">
        <f>M319+E320-SUMIFS(рапорт!$R:$R,рапорт!$A:$A,A320)-SUMIFS(рапорт!$U:$U,рапорт!$A:$A,A320)/4</f>
        <v>86951.5</v>
      </c>
      <c r="O320" s="55">
        <v>46339</v>
      </c>
      <c r="P320" s="48"/>
      <c r="Q320" s="49"/>
      <c r="R320" s="49"/>
      <c r="S320" s="50"/>
      <c r="T320" s="60">
        <f t="shared" si="65"/>
        <v>0</v>
      </c>
      <c r="U320" s="48">
        <f t="shared" si="69"/>
        <v>749400</v>
      </c>
      <c r="V320" s="49">
        <f t="shared" si="70"/>
        <v>0</v>
      </c>
      <c r="W320" s="49">
        <f t="shared" si="70"/>
        <v>0</v>
      </c>
      <c r="X320" s="50">
        <f t="shared" si="70"/>
        <v>0</v>
      </c>
      <c r="Y320" s="73">
        <f t="shared" si="66"/>
        <v>749400</v>
      </c>
    </row>
    <row r="321" spans="1:25" x14ac:dyDescent="0.2">
      <c r="A321" s="55">
        <v>46340</v>
      </c>
      <c r="B321" s="48"/>
      <c r="C321" s="49"/>
      <c r="D321" s="49"/>
      <c r="E321" s="50"/>
      <c r="F321" s="48">
        <f t="shared" si="71"/>
        <v>42123</v>
      </c>
      <c r="G321" s="49">
        <f t="shared" si="72"/>
        <v>69725</v>
      </c>
      <c r="H321" s="49">
        <f t="shared" si="73"/>
        <v>0</v>
      </c>
      <c r="I321" s="50">
        <f t="shared" si="74"/>
        <v>14417</v>
      </c>
      <c r="J321" s="48">
        <f>J320+B321-SUMIFS(рапорт!$O:$O,рапорт!$A:$A,A321)-SUMIFS(рапорт!$U:$U,рапорт!$A:$A,A321)/4</f>
        <v>60640.5</v>
      </c>
      <c r="K321" s="49">
        <f>K320+C321-SUMIFS(рапорт!$P:$P,рапорт!$A:$A,A321)-SUMIFS(рапорт!$U:$U,рапорт!$A:$A,A321)/4</f>
        <v>98141.5</v>
      </c>
      <c r="L321" s="49">
        <f>L320+D321-SUMIFS(рапорт!$Q:$Q,рапорт!$A:$A,A321)-SUMIFS(рапорт!$U:$U,рапорт!$A:$A,A321)/4</f>
        <v>45376.5</v>
      </c>
      <c r="M321" s="50">
        <f>M320+E321-SUMIFS(рапорт!$R:$R,рапорт!$A:$A,A321)-SUMIFS(рапорт!$U:$U,рапорт!$A:$A,A321)/4</f>
        <v>86951.5</v>
      </c>
      <c r="O321" s="55">
        <v>46340</v>
      </c>
      <c r="P321" s="48"/>
      <c r="Q321" s="49"/>
      <c r="R321" s="49"/>
      <c r="S321" s="50"/>
      <c r="T321" s="60">
        <f t="shared" si="65"/>
        <v>0</v>
      </c>
      <c r="U321" s="48">
        <f t="shared" si="69"/>
        <v>749400</v>
      </c>
      <c r="V321" s="49">
        <f t="shared" si="70"/>
        <v>0</v>
      </c>
      <c r="W321" s="49">
        <f t="shared" si="70"/>
        <v>0</v>
      </c>
      <c r="X321" s="50">
        <f t="shared" si="70"/>
        <v>0</v>
      </c>
      <c r="Y321" s="73">
        <f t="shared" si="66"/>
        <v>749400</v>
      </c>
    </row>
    <row r="322" spans="1:25" x14ac:dyDescent="0.2">
      <c r="A322" s="55">
        <v>46341</v>
      </c>
      <c r="B322" s="48"/>
      <c r="C322" s="49"/>
      <c r="D322" s="49"/>
      <c r="E322" s="50"/>
      <c r="F322" s="48">
        <f t="shared" si="71"/>
        <v>42123</v>
      </c>
      <c r="G322" s="49">
        <f t="shared" si="72"/>
        <v>69725</v>
      </c>
      <c r="H322" s="49">
        <f t="shared" si="73"/>
        <v>0</v>
      </c>
      <c r="I322" s="50">
        <f t="shared" si="74"/>
        <v>14417</v>
      </c>
      <c r="J322" s="48">
        <f>J321+B322-SUMIFS(рапорт!$O:$O,рапорт!$A:$A,A322)-SUMIFS(рапорт!$U:$U,рапорт!$A:$A,A322)/4</f>
        <v>60640.5</v>
      </c>
      <c r="K322" s="49">
        <f>K321+C322-SUMIFS(рапорт!$P:$P,рапорт!$A:$A,A322)-SUMIFS(рапорт!$U:$U,рапорт!$A:$A,A322)/4</f>
        <v>98141.5</v>
      </c>
      <c r="L322" s="49">
        <f>L321+D322-SUMIFS(рапорт!$Q:$Q,рапорт!$A:$A,A322)-SUMIFS(рапорт!$U:$U,рапорт!$A:$A,A322)/4</f>
        <v>45376.5</v>
      </c>
      <c r="M322" s="50">
        <f>M321+E322-SUMIFS(рапорт!$R:$R,рапорт!$A:$A,A322)-SUMIFS(рапорт!$U:$U,рапорт!$A:$A,A322)/4</f>
        <v>86951.5</v>
      </c>
      <c r="O322" s="55">
        <v>46341</v>
      </c>
      <c r="P322" s="48"/>
      <c r="Q322" s="49"/>
      <c r="R322" s="49"/>
      <c r="S322" s="50"/>
      <c r="T322" s="60">
        <f t="shared" si="65"/>
        <v>0</v>
      </c>
      <c r="U322" s="48">
        <f t="shared" si="69"/>
        <v>749400</v>
      </c>
      <c r="V322" s="49">
        <f t="shared" si="70"/>
        <v>0</v>
      </c>
      <c r="W322" s="49">
        <f t="shared" si="70"/>
        <v>0</v>
      </c>
      <c r="X322" s="50">
        <f t="shared" si="70"/>
        <v>0</v>
      </c>
      <c r="Y322" s="73">
        <f t="shared" si="66"/>
        <v>749400</v>
      </c>
    </row>
    <row r="323" spans="1:25" x14ac:dyDescent="0.2">
      <c r="A323" s="55">
        <v>46342</v>
      </c>
      <c r="B323" s="48"/>
      <c r="C323" s="49"/>
      <c r="D323" s="49"/>
      <c r="E323" s="50"/>
      <c r="F323" s="48">
        <f t="shared" si="71"/>
        <v>42123</v>
      </c>
      <c r="G323" s="49">
        <f t="shared" si="72"/>
        <v>69725</v>
      </c>
      <c r="H323" s="49">
        <f t="shared" si="73"/>
        <v>0</v>
      </c>
      <c r="I323" s="50">
        <f t="shared" si="74"/>
        <v>14417</v>
      </c>
      <c r="J323" s="48">
        <f>J322+B323-SUMIFS(рапорт!$O:$O,рапорт!$A:$A,A323)-SUMIFS(рапорт!$U:$U,рапорт!$A:$A,A323)/4</f>
        <v>60640.5</v>
      </c>
      <c r="K323" s="49">
        <f>K322+C323-SUMIFS(рапорт!$P:$P,рапорт!$A:$A,A323)-SUMIFS(рапорт!$U:$U,рапорт!$A:$A,A323)/4</f>
        <v>98141.5</v>
      </c>
      <c r="L323" s="49">
        <f>L322+D323-SUMIFS(рапорт!$Q:$Q,рапорт!$A:$A,A323)-SUMIFS(рапорт!$U:$U,рапорт!$A:$A,A323)/4</f>
        <v>45376.5</v>
      </c>
      <c r="M323" s="50">
        <f>M322+E323-SUMIFS(рапорт!$R:$R,рапорт!$A:$A,A323)-SUMIFS(рапорт!$U:$U,рапорт!$A:$A,A323)/4</f>
        <v>86951.5</v>
      </c>
      <c r="O323" s="55">
        <v>46342</v>
      </c>
      <c r="P323" s="48"/>
      <c r="Q323" s="49"/>
      <c r="R323" s="49"/>
      <c r="S323" s="50"/>
      <c r="T323" s="60">
        <f t="shared" si="65"/>
        <v>0</v>
      </c>
      <c r="U323" s="48">
        <f t="shared" si="69"/>
        <v>749400</v>
      </c>
      <c r="V323" s="49">
        <f t="shared" si="70"/>
        <v>0</v>
      </c>
      <c r="W323" s="49">
        <f t="shared" si="70"/>
        <v>0</v>
      </c>
      <c r="X323" s="50">
        <f t="shared" si="70"/>
        <v>0</v>
      </c>
      <c r="Y323" s="73">
        <f t="shared" si="66"/>
        <v>749400</v>
      </c>
    </row>
    <row r="324" spans="1:25" x14ac:dyDescent="0.2">
      <c r="A324" s="55">
        <v>46343</v>
      </c>
      <c r="B324" s="48"/>
      <c r="C324" s="49"/>
      <c r="D324" s="49"/>
      <c r="E324" s="50"/>
      <c r="F324" s="48">
        <f t="shared" si="71"/>
        <v>42123</v>
      </c>
      <c r="G324" s="49">
        <f t="shared" si="72"/>
        <v>69725</v>
      </c>
      <c r="H324" s="49">
        <f t="shared" si="73"/>
        <v>0</v>
      </c>
      <c r="I324" s="50">
        <f t="shared" si="74"/>
        <v>14417</v>
      </c>
      <c r="J324" s="48">
        <f>J323+B324-SUMIFS(рапорт!$O:$O,рапорт!$A:$A,A324)-SUMIFS(рапорт!$U:$U,рапорт!$A:$A,A324)/4</f>
        <v>60640.5</v>
      </c>
      <c r="K324" s="49">
        <f>K323+C324-SUMIFS(рапорт!$P:$P,рапорт!$A:$A,A324)-SUMIFS(рапорт!$U:$U,рапорт!$A:$A,A324)/4</f>
        <v>98141.5</v>
      </c>
      <c r="L324" s="49">
        <f>L323+D324-SUMIFS(рапорт!$Q:$Q,рапорт!$A:$A,A324)-SUMIFS(рапорт!$U:$U,рапорт!$A:$A,A324)/4</f>
        <v>45376.5</v>
      </c>
      <c r="M324" s="50">
        <f>M323+E324-SUMIFS(рапорт!$R:$R,рапорт!$A:$A,A324)-SUMIFS(рапорт!$U:$U,рапорт!$A:$A,A324)/4</f>
        <v>86951.5</v>
      </c>
      <c r="O324" s="55">
        <v>46343</v>
      </c>
      <c r="P324" s="48"/>
      <c r="Q324" s="49"/>
      <c r="R324" s="49"/>
      <c r="S324" s="50"/>
      <c r="T324" s="60">
        <f t="shared" si="65"/>
        <v>0</v>
      </c>
      <c r="U324" s="48">
        <f t="shared" si="69"/>
        <v>749400</v>
      </c>
      <c r="V324" s="49">
        <f t="shared" ref="V324:X339" si="75">V323</f>
        <v>0</v>
      </c>
      <c r="W324" s="49">
        <f t="shared" si="75"/>
        <v>0</v>
      </c>
      <c r="X324" s="50">
        <f t="shared" si="75"/>
        <v>0</v>
      </c>
      <c r="Y324" s="73">
        <f t="shared" si="66"/>
        <v>749400</v>
      </c>
    </row>
    <row r="325" spans="1:25" x14ac:dyDescent="0.2">
      <c r="A325" s="55">
        <v>46344</v>
      </c>
      <c r="B325" s="48"/>
      <c r="C325" s="49"/>
      <c r="D325" s="49"/>
      <c r="E325" s="50"/>
      <c r="F325" s="48">
        <f t="shared" si="71"/>
        <v>42123</v>
      </c>
      <c r="G325" s="49">
        <f t="shared" si="72"/>
        <v>69725</v>
      </c>
      <c r="H325" s="49">
        <f t="shared" si="73"/>
        <v>0</v>
      </c>
      <c r="I325" s="50">
        <f t="shared" si="74"/>
        <v>14417</v>
      </c>
      <c r="J325" s="48">
        <f>J324+B325-SUMIFS(рапорт!$O:$O,рапорт!$A:$A,A325)-SUMIFS(рапорт!$U:$U,рапорт!$A:$A,A325)/4</f>
        <v>60640.5</v>
      </c>
      <c r="K325" s="49">
        <f>K324+C325-SUMIFS(рапорт!$P:$P,рапорт!$A:$A,A325)-SUMIFS(рапорт!$U:$U,рапорт!$A:$A,A325)/4</f>
        <v>98141.5</v>
      </c>
      <c r="L325" s="49">
        <f>L324+D325-SUMIFS(рапорт!$Q:$Q,рапорт!$A:$A,A325)-SUMIFS(рапорт!$U:$U,рапорт!$A:$A,A325)/4</f>
        <v>45376.5</v>
      </c>
      <c r="M325" s="50">
        <f>M324+E325-SUMIFS(рапорт!$R:$R,рапорт!$A:$A,A325)-SUMIFS(рапорт!$U:$U,рапорт!$A:$A,A325)/4</f>
        <v>86951.5</v>
      </c>
      <c r="O325" s="55">
        <v>46344</v>
      </c>
      <c r="P325" s="48"/>
      <c r="Q325" s="49"/>
      <c r="R325" s="49"/>
      <c r="S325" s="50"/>
      <c r="T325" s="60">
        <f t="shared" ref="T325:T368" si="76">SUM(P325:S325)</f>
        <v>0</v>
      </c>
      <c r="U325" s="48">
        <f t="shared" si="69"/>
        <v>749400</v>
      </c>
      <c r="V325" s="49">
        <f t="shared" si="75"/>
        <v>0</v>
      </c>
      <c r="W325" s="49">
        <f t="shared" si="75"/>
        <v>0</v>
      </c>
      <c r="X325" s="50">
        <f t="shared" si="75"/>
        <v>0</v>
      </c>
      <c r="Y325" s="73">
        <f t="shared" ref="Y325:Y368" si="77">SUM(U325:X325)</f>
        <v>749400</v>
      </c>
    </row>
    <row r="326" spans="1:25" x14ac:dyDescent="0.2">
      <c r="A326" s="55">
        <v>46345</v>
      </c>
      <c r="B326" s="48"/>
      <c r="C326" s="49"/>
      <c r="D326" s="49"/>
      <c r="E326" s="50"/>
      <c r="F326" s="48">
        <f t="shared" si="71"/>
        <v>42123</v>
      </c>
      <c r="G326" s="49">
        <f t="shared" si="72"/>
        <v>69725</v>
      </c>
      <c r="H326" s="49">
        <f t="shared" si="73"/>
        <v>0</v>
      </c>
      <c r="I326" s="50">
        <f t="shared" si="74"/>
        <v>14417</v>
      </c>
      <c r="J326" s="48">
        <f>J325+B326-SUMIFS(рапорт!$O:$O,рапорт!$A:$A,A326)-SUMIFS(рапорт!$U:$U,рапорт!$A:$A,A326)/4</f>
        <v>60640.5</v>
      </c>
      <c r="K326" s="49">
        <f>K325+C326-SUMIFS(рапорт!$P:$P,рапорт!$A:$A,A326)-SUMIFS(рапорт!$U:$U,рапорт!$A:$A,A326)/4</f>
        <v>98141.5</v>
      </c>
      <c r="L326" s="49">
        <f>L325+D326-SUMIFS(рапорт!$Q:$Q,рапорт!$A:$A,A326)-SUMIFS(рапорт!$U:$U,рапорт!$A:$A,A326)/4</f>
        <v>45376.5</v>
      </c>
      <c r="M326" s="50">
        <f>M325+E326-SUMIFS(рапорт!$R:$R,рапорт!$A:$A,A326)-SUMIFS(рапорт!$U:$U,рапорт!$A:$A,A326)/4</f>
        <v>86951.5</v>
      </c>
      <c r="O326" s="55">
        <v>46345</v>
      </c>
      <c r="P326" s="48"/>
      <c r="Q326" s="49"/>
      <c r="R326" s="49"/>
      <c r="S326" s="50"/>
      <c r="T326" s="60">
        <f t="shared" si="76"/>
        <v>0</v>
      </c>
      <c r="U326" s="48">
        <f t="shared" si="69"/>
        <v>749400</v>
      </c>
      <c r="V326" s="49">
        <f t="shared" si="75"/>
        <v>0</v>
      </c>
      <c r="W326" s="49">
        <f t="shared" si="75"/>
        <v>0</v>
      </c>
      <c r="X326" s="50">
        <f t="shared" si="75"/>
        <v>0</v>
      </c>
      <c r="Y326" s="73">
        <f t="shared" si="77"/>
        <v>749400</v>
      </c>
    </row>
    <row r="327" spans="1:25" x14ac:dyDescent="0.2">
      <c r="A327" s="55">
        <v>46346</v>
      </c>
      <c r="B327" s="48"/>
      <c r="C327" s="49"/>
      <c r="D327" s="49"/>
      <c r="E327" s="50"/>
      <c r="F327" s="48">
        <f t="shared" si="71"/>
        <v>42123</v>
      </c>
      <c r="G327" s="49">
        <f t="shared" si="72"/>
        <v>69725</v>
      </c>
      <c r="H327" s="49">
        <f t="shared" si="73"/>
        <v>0</v>
      </c>
      <c r="I327" s="50">
        <f t="shared" si="74"/>
        <v>14417</v>
      </c>
      <c r="J327" s="48">
        <f>J326+B327-SUMIFS(рапорт!$O:$O,рапорт!$A:$A,A327)-SUMIFS(рапорт!$U:$U,рапорт!$A:$A,A327)/4</f>
        <v>60640.5</v>
      </c>
      <c r="K327" s="49">
        <f>K326+C327-SUMIFS(рапорт!$P:$P,рапорт!$A:$A,A327)-SUMIFS(рапорт!$U:$U,рапорт!$A:$A,A327)/4</f>
        <v>98141.5</v>
      </c>
      <c r="L327" s="49">
        <f>L326+D327-SUMIFS(рапорт!$Q:$Q,рапорт!$A:$A,A327)-SUMIFS(рапорт!$U:$U,рапорт!$A:$A,A327)/4</f>
        <v>45376.5</v>
      </c>
      <c r="M327" s="50">
        <f>M326+E327-SUMIFS(рапорт!$R:$R,рапорт!$A:$A,A327)-SUMIFS(рапорт!$U:$U,рапорт!$A:$A,A327)/4</f>
        <v>86951.5</v>
      </c>
      <c r="O327" s="55">
        <v>46346</v>
      </c>
      <c r="P327" s="48"/>
      <c r="Q327" s="49"/>
      <c r="R327" s="49"/>
      <c r="S327" s="50"/>
      <c r="T327" s="60">
        <f t="shared" si="76"/>
        <v>0</v>
      </c>
      <c r="U327" s="48">
        <f t="shared" si="69"/>
        <v>749400</v>
      </c>
      <c r="V327" s="49">
        <f t="shared" si="75"/>
        <v>0</v>
      </c>
      <c r="W327" s="49">
        <f t="shared" si="75"/>
        <v>0</v>
      </c>
      <c r="X327" s="50">
        <f t="shared" si="75"/>
        <v>0</v>
      </c>
      <c r="Y327" s="73">
        <f t="shared" si="77"/>
        <v>749400</v>
      </c>
    </row>
    <row r="328" spans="1:25" x14ac:dyDescent="0.2">
      <c r="A328" s="55">
        <v>46347</v>
      </c>
      <c r="B328" s="48"/>
      <c r="C328" s="49"/>
      <c r="D328" s="49"/>
      <c r="E328" s="50"/>
      <c r="F328" s="48">
        <f t="shared" si="71"/>
        <v>42123</v>
      </c>
      <c r="G328" s="49">
        <f t="shared" si="72"/>
        <v>69725</v>
      </c>
      <c r="H328" s="49">
        <f t="shared" si="73"/>
        <v>0</v>
      </c>
      <c r="I328" s="50">
        <f t="shared" si="74"/>
        <v>14417</v>
      </c>
      <c r="J328" s="48">
        <f>J327+B328-SUMIFS(рапорт!$O:$O,рапорт!$A:$A,A328)-SUMIFS(рапорт!$U:$U,рапорт!$A:$A,A328)/4</f>
        <v>60640.5</v>
      </c>
      <c r="K328" s="49">
        <f>K327+C328-SUMIFS(рапорт!$P:$P,рапорт!$A:$A,A328)-SUMIFS(рапорт!$U:$U,рапорт!$A:$A,A328)/4</f>
        <v>98141.5</v>
      </c>
      <c r="L328" s="49">
        <f>L327+D328-SUMIFS(рапорт!$Q:$Q,рапорт!$A:$A,A328)-SUMIFS(рапорт!$U:$U,рапорт!$A:$A,A328)/4</f>
        <v>45376.5</v>
      </c>
      <c r="M328" s="50">
        <f>M327+E328-SUMIFS(рапорт!$R:$R,рапорт!$A:$A,A328)-SUMIFS(рапорт!$U:$U,рапорт!$A:$A,A328)/4</f>
        <v>86951.5</v>
      </c>
      <c r="O328" s="55">
        <v>46347</v>
      </c>
      <c r="P328" s="48"/>
      <c r="Q328" s="49"/>
      <c r="R328" s="49"/>
      <c r="S328" s="50"/>
      <c r="T328" s="60">
        <f t="shared" si="76"/>
        <v>0</v>
      </c>
      <c r="U328" s="48">
        <f t="shared" si="69"/>
        <v>749400</v>
      </c>
      <c r="V328" s="49">
        <f t="shared" si="75"/>
        <v>0</v>
      </c>
      <c r="W328" s="49">
        <f t="shared" si="75"/>
        <v>0</v>
      </c>
      <c r="X328" s="50">
        <f t="shared" si="75"/>
        <v>0</v>
      </c>
      <c r="Y328" s="73">
        <f t="shared" si="77"/>
        <v>749400</v>
      </c>
    </row>
    <row r="329" spans="1:25" x14ac:dyDescent="0.2">
      <c r="A329" s="55">
        <v>46348</v>
      </c>
      <c r="B329" s="48"/>
      <c r="C329" s="49"/>
      <c r="D329" s="49"/>
      <c r="E329" s="50"/>
      <c r="F329" s="48">
        <f t="shared" si="71"/>
        <v>42123</v>
      </c>
      <c r="G329" s="49">
        <f t="shared" si="72"/>
        <v>69725</v>
      </c>
      <c r="H329" s="49">
        <f t="shared" si="73"/>
        <v>0</v>
      </c>
      <c r="I329" s="50">
        <f t="shared" si="74"/>
        <v>14417</v>
      </c>
      <c r="J329" s="48">
        <f>J328+B329-SUMIFS(рапорт!$O:$O,рапорт!$A:$A,A329)-SUMIFS(рапорт!$U:$U,рапорт!$A:$A,A329)/4</f>
        <v>60640.5</v>
      </c>
      <c r="K329" s="49">
        <f>K328+C329-SUMIFS(рапорт!$P:$P,рапорт!$A:$A,A329)-SUMIFS(рапорт!$U:$U,рапорт!$A:$A,A329)/4</f>
        <v>98141.5</v>
      </c>
      <c r="L329" s="49">
        <f>L328+D329-SUMIFS(рапорт!$Q:$Q,рапорт!$A:$A,A329)-SUMIFS(рапорт!$U:$U,рапорт!$A:$A,A329)/4</f>
        <v>45376.5</v>
      </c>
      <c r="M329" s="50">
        <f>M328+E329-SUMIFS(рапорт!$R:$R,рапорт!$A:$A,A329)-SUMIFS(рапорт!$U:$U,рапорт!$A:$A,A329)/4</f>
        <v>86951.5</v>
      </c>
      <c r="O329" s="55">
        <v>46348</v>
      </c>
      <c r="P329" s="48"/>
      <c r="Q329" s="49"/>
      <c r="R329" s="49"/>
      <c r="S329" s="50"/>
      <c r="T329" s="60">
        <f t="shared" si="76"/>
        <v>0</v>
      </c>
      <c r="U329" s="48">
        <f t="shared" si="69"/>
        <v>749400</v>
      </c>
      <c r="V329" s="49">
        <f t="shared" si="75"/>
        <v>0</v>
      </c>
      <c r="W329" s="49">
        <f t="shared" si="75"/>
        <v>0</v>
      </c>
      <c r="X329" s="50">
        <f t="shared" si="75"/>
        <v>0</v>
      </c>
      <c r="Y329" s="73">
        <f t="shared" si="77"/>
        <v>749400</v>
      </c>
    </row>
    <row r="330" spans="1:25" x14ac:dyDescent="0.2">
      <c r="A330" s="55">
        <v>46349</v>
      </c>
      <c r="B330" s="48"/>
      <c r="C330" s="49"/>
      <c r="D330" s="49"/>
      <c r="E330" s="50"/>
      <c r="F330" s="48">
        <f t="shared" si="71"/>
        <v>42123</v>
      </c>
      <c r="G330" s="49">
        <f t="shared" si="72"/>
        <v>69725</v>
      </c>
      <c r="H330" s="49">
        <f t="shared" si="73"/>
        <v>0</v>
      </c>
      <c r="I330" s="50">
        <f t="shared" si="74"/>
        <v>14417</v>
      </c>
      <c r="J330" s="48">
        <f>J329+B330-SUMIFS(рапорт!$O:$O,рапорт!$A:$A,A330)-SUMIFS(рапорт!$U:$U,рапорт!$A:$A,A330)/4</f>
        <v>60640.5</v>
      </c>
      <c r="K330" s="49">
        <f>K329+C330-SUMIFS(рапорт!$P:$P,рапорт!$A:$A,A330)-SUMIFS(рапорт!$U:$U,рапорт!$A:$A,A330)/4</f>
        <v>98141.5</v>
      </c>
      <c r="L330" s="49">
        <f>L329+D330-SUMIFS(рапорт!$Q:$Q,рапорт!$A:$A,A330)-SUMIFS(рапорт!$U:$U,рапорт!$A:$A,A330)/4</f>
        <v>45376.5</v>
      </c>
      <c r="M330" s="50">
        <f>M329+E330-SUMIFS(рапорт!$R:$R,рапорт!$A:$A,A330)-SUMIFS(рапорт!$U:$U,рапорт!$A:$A,A330)/4</f>
        <v>86951.5</v>
      </c>
      <c r="O330" s="55">
        <v>46349</v>
      </c>
      <c r="P330" s="48"/>
      <c r="Q330" s="49"/>
      <c r="R330" s="49"/>
      <c r="S330" s="50"/>
      <c r="T330" s="60">
        <f t="shared" si="76"/>
        <v>0</v>
      </c>
      <c r="U330" s="48">
        <f t="shared" si="69"/>
        <v>749400</v>
      </c>
      <c r="V330" s="49">
        <f t="shared" si="75"/>
        <v>0</v>
      </c>
      <c r="W330" s="49">
        <f t="shared" si="75"/>
        <v>0</v>
      </c>
      <c r="X330" s="50">
        <f t="shared" si="75"/>
        <v>0</v>
      </c>
      <c r="Y330" s="73">
        <f t="shared" si="77"/>
        <v>749400</v>
      </c>
    </row>
    <row r="331" spans="1:25" x14ac:dyDescent="0.2">
      <c r="A331" s="55">
        <v>46350</v>
      </c>
      <c r="B331" s="48"/>
      <c r="C331" s="49"/>
      <c r="D331" s="49"/>
      <c r="E331" s="50"/>
      <c r="F331" s="48">
        <f t="shared" si="71"/>
        <v>42123</v>
      </c>
      <c r="G331" s="49">
        <f t="shared" si="72"/>
        <v>69725</v>
      </c>
      <c r="H331" s="49">
        <f t="shared" si="73"/>
        <v>0</v>
      </c>
      <c r="I331" s="50">
        <f t="shared" si="74"/>
        <v>14417</v>
      </c>
      <c r="J331" s="48">
        <f>J330+B331-SUMIFS(рапорт!$O:$O,рапорт!$A:$A,A331)-SUMIFS(рапорт!$U:$U,рапорт!$A:$A,A331)/4</f>
        <v>60640.5</v>
      </c>
      <c r="K331" s="49">
        <f>K330+C331-SUMIFS(рапорт!$P:$P,рапорт!$A:$A,A331)-SUMIFS(рапорт!$U:$U,рапорт!$A:$A,A331)/4</f>
        <v>98141.5</v>
      </c>
      <c r="L331" s="49">
        <f>L330+D331-SUMIFS(рапорт!$Q:$Q,рапорт!$A:$A,A331)-SUMIFS(рапорт!$U:$U,рапорт!$A:$A,A331)/4</f>
        <v>45376.5</v>
      </c>
      <c r="M331" s="50">
        <f>M330+E331-SUMIFS(рапорт!$R:$R,рапорт!$A:$A,A331)-SUMIFS(рапорт!$U:$U,рапорт!$A:$A,A331)/4</f>
        <v>86951.5</v>
      </c>
      <c r="O331" s="55">
        <v>46350</v>
      </c>
      <c r="P331" s="48"/>
      <c r="Q331" s="49"/>
      <c r="R331" s="49"/>
      <c r="S331" s="50"/>
      <c r="T331" s="60">
        <f t="shared" si="76"/>
        <v>0</v>
      </c>
      <c r="U331" s="48">
        <f t="shared" si="69"/>
        <v>749400</v>
      </c>
      <c r="V331" s="49">
        <f t="shared" si="75"/>
        <v>0</v>
      </c>
      <c r="W331" s="49">
        <f t="shared" si="75"/>
        <v>0</v>
      </c>
      <c r="X331" s="50">
        <f t="shared" si="75"/>
        <v>0</v>
      </c>
      <c r="Y331" s="73">
        <f t="shared" si="77"/>
        <v>749400</v>
      </c>
    </row>
    <row r="332" spans="1:25" x14ac:dyDescent="0.2">
      <c r="A332" s="55">
        <v>46351</v>
      </c>
      <c r="B332" s="48"/>
      <c r="C332" s="49"/>
      <c r="D332" s="49"/>
      <c r="E332" s="50"/>
      <c r="F332" s="48">
        <f t="shared" si="71"/>
        <v>42123</v>
      </c>
      <c r="G332" s="49">
        <f t="shared" si="72"/>
        <v>69725</v>
      </c>
      <c r="H332" s="49">
        <f t="shared" si="73"/>
        <v>0</v>
      </c>
      <c r="I332" s="50">
        <f t="shared" si="74"/>
        <v>14417</v>
      </c>
      <c r="J332" s="48">
        <f>J331+B332-SUMIFS(рапорт!$O:$O,рапорт!$A:$A,A332)-SUMIFS(рапорт!$U:$U,рапорт!$A:$A,A332)/4</f>
        <v>60640.5</v>
      </c>
      <c r="K332" s="49">
        <f>K331+C332-SUMIFS(рапорт!$P:$P,рапорт!$A:$A,A332)-SUMIFS(рапорт!$U:$U,рапорт!$A:$A,A332)/4</f>
        <v>98141.5</v>
      </c>
      <c r="L332" s="49">
        <f>L331+D332-SUMIFS(рапорт!$Q:$Q,рапорт!$A:$A,A332)-SUMIFS(рапорт!$U:$U,рапорт!$A:$A,A332)/4</f>
        <v>45376.5</v>
      </c>
      <c r="M332" s="50">
        <f>M331+E332-SUMIFS(рапорт!$R:$R,рапорт!$A:$A,A332)-SUMIFS(рапорт!$U:$U,рапорт!$A:$A,A332)/4</f>
        <v>86951.5</v>
      </c>
      <c r="O332" s="55">
        <v>46351</v>
      </c>
      <c r="P332" s="48"/>
      <c r="Q332" s="49"/>
      <c r="R332" s="49"/>
      <c r="S332" s="50"/>
      <c r="T332" s="60">
        <f t="shared" si="76"/>
        <v>0</v>
      </c>
      <c r="U332" s="48">
        <f t="shared" si="69"/>
        <v>749400</v>
      </c>
      <c r="V332" s="49">
        <f t="shared" si="75"/>
        <v>0</v>
      </c>
      <c r="W332" s="49">
        <f t="shared" si="75"/>
        <v>0</v>
      </c>
      <c r="X332" s="50">
        <f t="shared" si="75"/>
        <v>0</v>
      </c>
      <c r="Y332" s="73">
        <f t="shared" si="77"/>
        <v>749400</v>
      </c>
    </row>
    <row r="333" spans="1:25" x14ac:dyDescent="0.2">
      <c r="A333" s="55">
        <v>46352</v>
      </c>
      <c r="B333" s="48"/>
      <c r="C333" s="49"/>
      <c r="D333" s="49"/>
      <c r="E333" s="50"/>
      <c r="F333" s="48">
        <f t="shared" si="71"/>
        <v>42123</v>
      </c>
      <c r="G333" s="49">
        <f t="shared" si="72"/>
        <v>69725</v>
      </c>
      <c r="H333" s="49">
        <f t="shared" si="73"/>
        <v>0</v>
      </c>
      <c r="I333" s="50">
        <f t="shared" si="74"/>
        <v>14417</v>
      </c>
      <c r="J333" s="48">
        <f>J332+B333-SUMIFS(рапорт!$O:$O,рапорт!$A:$A,A333)-SUMIFS(рапорт!$U:$U,рапорт!$A:$A,A333)/4</f>
        <v>60640.5</v>
      </c>
      <c r="K333" s="49">
        <f>K332+C333-SUMIFS(рапорт!$P:$P,рапорт!$A:$A,A333)-SUMIFS(рапорт!$U:$U,рапорт!$A:$A,A333)/4</f>
        <v>98141.5</v>
      </c>
      <c r="L333" s="49">
        <f>L332+D333-SUMIFS(рапорт!$Q:$Q,рапорт!$A:$A,A333)-SUMIFS(рапорт!$U:$U,рапорт!$A:$A,A333)/4</f>
        <v>45376.5</v>
      </c>
      <c r="M333" s="50">
        <f>M332+E333-SUMIFS(рапорт!$R:$R,рапорт!$A:$A,A333)-SUMIFS(рапорт!$U:$U,рапорт!$A:$A,A333)/4</f>
        <v>86951.5</v>
      </c>
      <c r="O333" s="55">
        <v>46352</v>
      </c>
      <c r="P333" s="48"/>
      <c r="Q333" s="49"/>
      <c r="R333" s="49"/>
      <c r="S333" s="50"/>
      <c r="T333" s="60">
        <f t="shared" si="76"/>
        <v>0</v>
      </c>
      <c r="U333" s="48">
        <f t="shared" si="69"/>
        <v>749400</v>
      </c>
      <c r="V333" s="49">
        <f t="shared" si="75"/>
        <v>0</v>
      </c>
      <c r="W333" s="49">
        <f t="shared" si="75"/>
        <v>0</v>
      </c>
      <c r="X333" s="50">
        <f t="shared" si="75"/>
        <v>0</v>
      </c>
      <c r="Y333" s="73">
        <f t="shared" si="77"/>
        <v>749400</v>
      </c>
    </row>
    <row r="334" spans="1:25" x14ac:dyDescent="0.2">
      <c r="A334" s="55">
        <v>46353</v>
      </c>
      <c r="B334" s="48"/>
      <c r="C334" s="49"/>
      <c r="D334" s="49"/>
      <c r="E334" s="50"/>
      <c r="F334" s="48">
        <f t="shared" si="71"/>
        <v>42123</v>
      </c>
      <c r="G334" s="49">
        <f t="shared" si="72"/>
        <v>69725</v>
      </c>
      <c r="H334" s="49">
        <f t="shared" si="73"/>
        <v>0</v>
      </c>
      <c r="I334" s="50">
        <f t="shared" si="74"/>
        <v>14417</v>
      </c>
      <c r="J334" s="48">
        <f>J333+B334-SUMIFS(рапорт!$O:$O,рапорт!$A:$A,A334)-SUMIFS(рапорт!$U:$U,рапорт!$A:$A,A334)/4</f>
        <v>60640.5</v>
      </c>
      <c r="K334" s="49">
        <f>K333+C334-SUMIFS(рапорт!$P:$P,рапорт!$A:$A,A334)-SUMIFS(рапорт!$U:$U,рапорт!$A:$A,A334)/4</f>
        <v>98141.5</v>
      </c>
      <c r="L334" s="49">
        <f>L333+D334-SUMIFS(рапорт!$Q:$Q,рапорт!$A:$A,A334)-SUMIFS(рапорт!$U:$U,рапорт!$A:$A,A334)/4</f>
        <v>45376.5</v>
      </c>
      <c r="M334" s="50">
        <f>M333+E334-SUMIFS(рапорт!$R:$R,рапорт!$A:$A,A334)-SUMIFS(рапорт!$U:$U,рапорт!$A:$A,A334)/4</f>
        <v>86951.5</v>
      </c>
      <c r="O334" s="55">
        <v>46353</v>
      </c>
      <c r="P334" s="48"/>
      <c r="Q334" s="49"/>
      <c r="R334" s="49"/>
      <c r="S334" s="50"/>
      <c r="T334" s="60">
        <f t="shared" si="76"/>
        <v>0</v>
      </c>
      <c r="U334" s="48">
        <f t="shared" si="69"/>
        <v>749400</v>
      </c>
      <c r="V334" s="49">
        <f t="shared" si="75"/>
        <v>0</v>
      </c>
      <c r="W334" s="49">
        <f t="shared" si="75"/>
        <v>0</v>
      </c>
      <c r="X334" s="50">
        <f t="shared" si="75"/>
        <v>0</v>
      </c>
      <c r="Y334" s="73">
        <f t="shared" si="77"/>
        <v>749400</v>
      </c>
    </row>
    <row r="335" spans="1:25" x14ac:dyDescent="0.2">
      <c r="A335" s="55">
        <v>46354</v>
      </c>
      <c r="B335" s="48"/>
      <c r="C335" s="49"/>
      <c r="D335" s="49"/>
      <c r="E335" s="50"/>
      <c r="F335" s="48">
        <f t="shared" si="71"/>
        <v>42123</v>
      </c>
      <c r="G335" s="49">
        <f t="shared" si="72"/>
        <v>69725</v>
      </c>
      <c r="H335" s="49">
        <f t="shared" si="73"/>
        <v>0</v>
      </c>
      <c r="I335" s="50">
        <f t="shared" si="74"/>
        <v>14417</v>
      </c>
      <c r="J335" s="48">
        <f>J334+B335-SUMIFS(рапорт!$O:$O,рапорт!$A:$A,A335)-SUMIFS(рапорт!$U:$U,рапорт!$A:$A,A335)/4</f>
        <v>60640.5</v>
      </c>
      <c r="K335" s="49">
        <f>K334+C335-SUMIFS(рапорт!$P:$P,рапорт!$A:$A,A335)-SUMIFS(рапорт!$U:$U,рапорт!$A:$A,A335)/4</f>
        <v>98141.5</v>
      </c>
      <c r="L335" s="49">
        <f>L334+D335-SUMIFS(рапорт!$Q:$Q,рапорт!$A:$A,A335)-SUMIFS(рапорт!$U:$U,рапорт!$A:$A,A335)/4</f>
        <v>45376.5</v>
      </c>
      <c r="M335" s="50">
        <f>M334+E335-SUMIFS(рапорт!$R:$R,рапорт!$A:$A,A335)-SUMIFS(рапорт!$U:$U,рапорт!$A:$A,A335)/4</f>
        <v>86951.5</v>
      </c>
      <c r="O335" s="55">
        <v>46354</v>
      </c>
      <c r="P335" s="48"/>
      <c r="Q335" s="49"/>
      <c r="R335" s="49"/>
      <c r="S335" s="50"/>
      <c r="T335" s="60">
        <f t="shared" si="76"/>
        <v>0</v>
      </c>
      <c r="U335" s="48">
        <f t="shared" si="69"/>
        <v>749400</v>
      </c>
      <c r="V335" s="49">
        <f t="shared" si="75"/>
        <v>0</v>
      </c>
      <c r="W335" s="49">
        <f t="shared" si="75"/>
        <v>0</v>
      </c>
      <c r="X335" s="50">
        <f t="shared" si="75"/>
        <v>0</v>
      </c>
      <c r="Y335" s="73">
        <f t="shared" si="77"/>
        <v>749400</v>
      </c>
    </row>
    <row r="336" spans="1:25" x14ac:dyDescent="0.2">
      <c r="A336" s="55">
        <v>46355</v>
      </c>
      <c r="B336" s="48"/>
      <c r="C336" s="49"/>
      <c r="D336" s="49"/>
      <c r="E336" s="50"/>
      <c r="F336" s="48">
        <f t="shared" si="71"/>
        <v>42123</v>
      </c>
      <c r="G336" s="49">
        <f t="shared" si="72"/>
        <v>69725</v>
      </c>
      <c r="H336" s="49">
        <f t="shared" si="73"/>
        <v>0</v>
      </c>
      <c r="I336" s="50">
        <f t="shared" si="74"/>
        <v>14417</v>
      </c>
      <c r="J336" s="48">
        <f>J335+B336-SUMIFS(рапорт!$O:$O,рапорт!$A:$A,A336)-SUMIFS(рапорт!$U:$U,рапорт!$A:$A,A336)/4</f>
        <v>60640.5</v>
      </c>
      <c r="K336" s="49">
        <f>K335+C336-SUMIFS(рапорт!$P:$P,рапорт!$A:$A,A336)-SUMIFS(рапорт!$U:$U,рапорт!$A:$A,A336)/4</f>
        <v>98141.5</v>
      </c>
      <c r="L336" s="49">
        <f>L335+D336-SUMIFS(рапорт!$Q:$Q,рапорт!$A:$A,A336)-SUMIFS(рапорт!$U:$U,рапорт!$A:$A,A336)/4</f>
        <v>45376.5</v>
      </c>
      <c r="M336" s="50">
        <f>M335+E336-SUMIFS(рапорт!$R:$R,рапорт!$A:$A,A336)-SUMIFS(рапорт!$U:$U,рапорт!$A:$A,A336)/4</f>
        <v>86951.5</v>
      </c>
      <c r="O336" s="55">
        <v>46355</v>
      </c>
      <c r="P336" s="48"/>
      <c r="Q336" s="49"/>
      <c r="R336" s="49"/>
      <c r="S336" s="50"/>
      <c r="T336" s="60">
        <f t="shared" si="76"/>
        <v>0</v>
      </c>
      <c r="U336" s="48">
        <f t="shared" si="69"/>
        <v>749400</v>
      </c>
      <c r="V336" s="49">
        <f t="shared" si="75"/>
        <v>0</v>
      </c>
      <c r="W336" s="49">
        <f t="shared" si="75"/>
        <v>0</v>
      </c>
      <c r="X336" s="50">
        <f t="shared" si="75"/>
        <v>0</v>
      </c>
      <c r="Y336" s="73">
        <f t="shared" si="77"/>
        <v>749400</v>
      </c>
    </row>
    <row r="337" spans="1:25" x14ac:dyDescent="0.2">
      <c r="A337" s="55">
        <v>46356</v>
      </c>
      <c r="B337" s="48"/>
      <c r="C337" s="49"/>
      <c r="D337" s="49"/>
      <c r="E337" s="50"/>
      <c r="F337" s="48">
        <f t="shared" si="71"/>
        <v>42123</v>
      </c>
      <c r="G337" s="49">
        <f t="shared" si="72"/>
        <v>69725</v>
      </c>
      <c r="H337" s="49">
        <f t="shared" si="73"/>
        <v>0</v>
      </c>
      <c r="I337" s="50">
        <f t="shared" si="74"/>
        <v>14417</v>
      </c>
      <c r="J337" s="48">
        <f>J336+B337-SUMIFS(рапорт!$O:$O,рапорт!$A:$A,A337)-SUMIFS(рапорт!$U:$U,рапорт!$A:$A,A337)/4</f>
        <v>60640.5</v>
      </c>
      <c r="K337" s="49">
        <f>K336+C337-SUMIFS(рапорт!$P:$P,рапорт!$A:$A,A337)-SUMIFS(рапорт!$U:$U,рапорт!$A:$A,A337)/4</f>
        <v>98141.5</v>
      </c>
      <c r="L337" s="49">
        <f>L336+D337-SUMIFS(рапорт!$Q:$Q,рапорт!$A:$A,A337)-SUMIFS(рапорт!$U:$U,рапорт!$A:$A,A337)/4</f>
        <v>45376.5</v>
      </c>
      <c r="M337" s="50">
        <f>M336+E337-SUMIFS(рапорт!$R:$R,рапорт!$A:$A,A337)-SUMIFS(рапорт!$U:$U,рапорт!$A:$A,A337)/4</f>
        <v>86951.5</v>
      </c>
      <c r="O337" s="55">
        <v>46356</v>
      </c>
      <c r="P337" s="48"/>
      <c r="Q337" s="49"/>
      <c r="R337" s="49"/>
      <c r="S337" s="50"/>
      <c r="T337" s="60">
        <f t="shared" si="76"/>
        <v>0</v>
      </c>
      <c r="U337" s="48">
        <f t="shared" si="69"/>
        <v>749400</v>
      </c>
      <c r="V337" s="49">
        <f t="shared" si="75"/>
        <v>0</v>
      </c>
      <c r="W337" s="49">
        <f t="shared" si="75"/>
        <v>0</v>
      </c>
      <c r="X337" s="50">
        <f t="shared" si="75"/>
        <v>0</v>
      </c>
      <c r="Y337" s="73">
        <f t="shared" si="77"/>
        <v>749400</v>
      </c>
    </row>
    <row r="338" spans="1:25" x14ac:dyDescent="0.2">
      <c r="A338" s="55">
        <v>46357</v>
      </c>
      <c r="B338" s="48"/>
      <c r="C338" s="49"/>
      <c r="D338" s="49"/>
      <c r="E338" s="50"/>
      <c r="F338" s="48">
        <f t="shared" si="71"/>
        <v>42123</v>
      </c>
      <c r="G338" s="49">
        <f t="shared" si="72"/>
        <v>69725</v>
      </c>
      <c r="H338" s="49">
        <f t="shared" si="73"/>
        <v>0</v>
      </c>
      <c r="I338" s="50">
        <f t="shared" si="74"/>
        <v>14417</v>
      </c>
      <c r="J338" s="48">
        <f>J337+B338-SUMIFS(рапорт!$O:$O,рапорт!$A:$A,A338)-SUMIFS(рапорт!$U:$U,рапорт!$A:$A,A338)/4</f>
        <v>60640.5</v>
      </c>
      <c r="K338" s="49">
        <f>K337+C338-SUMIFS(рапорт!$P:$P,рапорт!$A:$A,A338)-SUMIFS(рапорт!$U:$U,рапорт!$A:$A,A338)/4</f>
        <v>98141.5</v>
      </c>
      <c r="L338" s="49">
        <f>L337+D338-SUMIFS(рапорт!$Q:$Q,рапорт!$A:$A,A338)-SUMIFS(рапорт!$U:$U,рапорт!$A:$A,A338)/4</f>
        <v>45376.5</v>
      </c>
      <c r="M338" s="50">
        <f>M337+E338-SUMIFS(рапорт!$R:$R,рапорт!$A:$A,A338)-SUMIFS(рапорт!$U:$U,рапорт!$A:$A,A338)/4</f>
        <v>86951.5</v>
      </c>
      <c r="O338" s="55">
        <v>46357</v>
      </c>
      <c r="P338" s="48"/>
      <c r="Q338" s="49"/>
      <c r="R338" s="49"/>
      <c r="S338" s="50"/>
      <c r="T338" s="60">
        <f t="shared" si="76"/>
        <v>0</v>
      </c>
      <c r="U338" s="48">
        <f t="shared" si="69"/>
        <v>749400</v>
      </c>
      <c r="V338" s="49">
        <f t="shared" si="75"/>
        <v>0</v>
      </c>
      <c r="W338" s="49">
        <f t="shared" si="75"/>
        <v>0</v>
      </c>
      <c r="X338" s="50">
        <f t="shared" si="75"/>
        <v>0</v>
      </c>
      <c r="Y338" s="73">
        <f t="shared" si="77"/>
        <v>749400</v>
      </c>
    </row>
    <row r="339" spans="1:25" x14ac:dyDescent="0.2">
      <c r="A339" s="55">
        <v>46358</v>
      </c>
      <c r="B339" s="48"/>
      <c r="C339" s="49"/>
      <c r="D339" s="49"/>
      <c r="E339" s="50"/>
      <c r="F339" s="48">
        <f t="shared" si="71"/>
        <v>42123</v>
      </c>
      <c r="G339" s="49">
        <f t="shared" si="72"/>
        <v>69725</v>
      </c>
      <c r="H339" s="49">
        <f t="shared" si="73"/>
        <v>0</v>
      </c>
      <c r="I339" s="50">
        <f t="shared" si="74"/>
        <v>14417</v>
      </c>
      <c r="J339" s="48">
        <f>J338+B339-SUMIFS(рапорт!$O:$O,рапорт!$A:$A,A339)-SUMIFS(рапорт!$U:$U,рапорт!$A:$A,A339)/4</f>
        <v>60640.5</v>
      </c>
      <c r="K339" s="49">
        <f>K338+C339-SUMIFS(рапорт!$P:$P,рапорт!$A:$A,A339)-SUMIFS(рапорт!$U:$U,рапорт!$A:$A,A339)/4</f>
        <v>98141.5</v>
      </c>
      <c r="L339" s="49">
        <f>L338+D339-SUMIFS(рапорт!$Q:$Q,рапорт!$A:$A,A339)-SUMIFS(рапорт!$U:$U,рапорт!$A:$A,A339)/4</f>
        <v>45376.5</v>
      </c>
      <c r="M339" s="50">
        <f>M338+E339-SUMIFS(рапорт!$R:$R,рапорт!$A:$A,A339)-SUMIFS(рапорт!$U:$U,рапорт!$A:$A,A339)/4</f>
        <v>86951.5</v>
      </c>
      <c r="O339" s="55">
        <v>46358</v>
      </c>
      <c r="P339" s="48"/>
      <c r="Q339" s="49"/>
      <c r="R339" s="49"/>
      <c r="S339" s="50"/>
      <c r="T339" s="60">
        <f t="shared" si="76"/>
        <v>0</v>
      </c>
      <c r="U339" s="48">
        <f t="shared" si="69"/>
        <v>749400</v>
      </c>
      <c r="V339" s="49">
        <f t="shared" si="75"/>
        <v>0</v>
      </c>
      <c r="W339" s="49">
        <f t="shared" si="75"/>
        <v>0</v>
      </c>
      <c r="X339" s="50">
        <f t="shared" si="75"/>
        <v>0</v>
      </c>
      <c r="Y339" s="73">
        <f t="shared" si="77"/>
        <v>749400</v>
      </c>
    </row>
    <row r="340" spans="1:25" x14ac:dyDescent="0.2">
      <c r="A340" s="55">
        <v>46359</v>
      </c>
      <c r="B340" s="48"/>
      <c r="C340" s="49"/>
      <c r="D340" s="49"/>
      <c r="E340" s="50"/>
      <c r="F340" s="48">
        <f t="shared" si="71"/>
        <v>42123</v>
      </c>
      <c r="G340" s="49">
        <f t="shared" si="72"/>
        <v>69725</v>
      </c>
      <c r="H340" s="49">
        <f t="shared" si="73"/>
        <v>0</v>
      </c>
      <c r="I340" s="50">
        <f t="shared" si="74"/>
        <v>14417</v>
      </c>
      <c r="J340" s="48">
        <f>J339+B340-SUMIFS(рапорт!$O:$O,рапорт!$A:$A,A340)-SUMIFS(рапорт!$U:$U,рапорт!$A:$A,A340)/4</f>
        <v>60640.5</v>
      </c>
      <c r="K340" s="49">
        <f>K339+C340-SUMIFS(рапорт!$P:$P,рапорт!$A:$A,A340)-SUMIFS(рапорт!$U:$U,рапорт!$A:$A,A340)/4</f>
        <v>98141.5</v>
      </c>
      <c r="L340" s="49">
        <f>L339+D340-SUMIFS(рапорт!$Q:$Q,рапорт!$A:$A,A340)-SUMIFS(рапорт!$U:$U,рапорт!$A:$A,A340)/4</f>
        <v>45376.5</v>
      </c>
      <c r="M340" s="50">
        <f>M339+E340-SUMIFS(рапорт!$R:$R,рапорт!$A:$A,A340)-SUMIFS(рапорт!$U:$U,рапорт!$A:$A,A340)/4</f>
        <v>86951.5</v>
      </c>
      <c r="O340" s="55">
        <v>46359</v>
      </c>
      <c r="P340" s="48"/>
      <c r="Q340" s="49"/>
      <c r="R340" s="49"/>
      <c r="S340" s="50"/>
      <c r="T340" s="60">
        <f t="shared" si="76"/>
        <v>0</v>
      </c>
      <c r="U340" s="48">
        <f t="shared" si="69"/>
        <v>749400</v>
      </c>
      <c r="V340" s="49">
        <f t="shared" ref="V340:X355" si="78">V339</f>
        <v>0</v>
      </c>
      <c r="W340" s="49">
        <f t="shared" si="78"/>
        <v>0</v>
      </c>
      <c r="X340" s="50">
        <f t="shared" si="78"/>
        <v>0</v>
      </c>
      <c r="Y340" s="73">
        <f t="shared" si="77"/>
        <v>749400</v>
      </c>
    </row>
    <row r="341" spans="1:25" x14ac:dyDescent="0.2">
      <c r="A341" s="55">
        <v>46360</v>
      </c>
      <c r="B341" s="48"/>
      <c r="C341" s="49"/>
      <c r="D341" s="49"/>
      <c r="E341" s="50"/>
      <c r="F341" s="48">
        <f t="shared" si="71"/>
        <v>42123</v>
      </c>
      <c r="G341" s="49">
        <f t="shared" si="72"/>
        <v>69725</v>
      </c>
      <c r="H341" s="49">
        <f t="shared" si="73"/>
        <v>0</v>
      </c>
      <c r="I341" s="50">
        <f t="shared" si="74"/>
        <v>14417</v>
      </c>
      <c r="J341" s="48">
        <f>J340+B341-SUMIFS(рапорт!$O:$O,рапорт!$A:$A,A341)-SUMIFS(рапорт!$U:$U,рапорт!$A:$A,A341)/4</f>
        <v>60640.5</v>
      </c>
      <c r="K341" s="49">
        <f>K340+C341-SUMIFS(рапорт!$P:$P,рапорт!$A:$A,A341)-SUMIFS(рапорт!$U:$U,рапорт!$A:$A,A341)/4</f>
        <v>98141.5</v>
      </c>
      <c r="L341" s="49">
        <f>L340+D341-SUMIFS(рапорт!$Q:$Q,рапорт!$A:$A,A341)-SUMIFS(рапорт!$U:$U,рапорт!$A:$A,A341)/4</f>
        <v>45376.5</v>
      </c>
      <c r="M341" s="50">
        <f>M340+E341-SUMIFS(рапорт!$R:$R,рапорт!$A:$A,A341)-SUMIFS(рапорт!$U:$U,рапорт!$A:$A,A341)/4</f>
        <v>86951.5</v>
      </c>
      <c r="O341" s="55">
        <v>46360</v>
      </c>
      <c r="P341" s="48"/>
      <c r="Q341" s="49"/>
      <c r="R341" s="49"/>
      <c r="S341" s="50"/>
      <c r="T341" s="60">
        <f t="shared" si="76"/>
        <v>0</v>
      </c>
      <c r="U341" s="48">
        <f t="shared" si="69"/>
        <v>749400</v>
      </c>
      <c r="V341" s="49">
        <f t="shared" si="78"/>
        <v>0</v>
      </c>
      <c r="W341" s="49">
        <f t="shared" si="78"/>
        <v>0</v>
      </c>
      <c r="X341" s="50">
        <f t="shared" si="78"/>
        <v>0</v>
      </c>
      <c r="Y341" s="73">
        <f t="shared" si="77"/>
        <v>749400</v>
      </c>
    </row>
    <row r="342" spans="1:25" x14ac:dyDescent="0.2">
      <c r="A342" s="55">
        <v>46361</v>
      </c>
      <c r="B342" s="48"/>
      <c r="C342" s="49"/>
      <c r="D342" s="49"/>
      <c r="E342" s="50"/>
      <c r="F342" s="48">
        <f t="shared" si="71"/>
        <v>42123</v>
      </c>
      <c r="G342" s="49">
        <f t="shared" si="72"/>
        <v>69725</v>
      </c>
      <c r="H342" s="49">
        <f t="shared" si="73"/>
        <v>0</v>
      </c>
      <c r="I342" s="50">
        <f t="shared" si="74"/>
        <v>14417</v>
      </c>
      <c r="J342" s="48">
        <f>J341+B342-SUMIFS(рапорт!$O:$O,рапорт!$A:$A,A342)-SUMIFS(рапорт!$U:$U,рапорт!$A:$A,A342)/4</f>
        <v>60640.5</v>
      </c>
      <c r="K342" s="49">
        <f>K341+C342-SUMIFS(рапорт!$P:$P,рапорт!$A:$A,A342)-SUMIFS(рапорт!$U:$U,рапорт!$A:$A,A342)/4</f>
        <v>98141.5</v>
      </c>
      <c r="L342" s="49">
        <f>L341+D342-SUMIFS(рапорт!$Q:$Q,рапорт!$A:$A,A342)-SUMIFS(рапорт!$U:$U,рапорт!$A:$A,A342)/4</f>
        <v>45376.5</v>
      </c>
      <c r="M342" s="50">
        <f>M341+E342-SUMIFS(рапорт!$R:$R,рапорт!$A:$A,A342)-SUMIFS(рапорт!$U:$U,рапорт!$A:$A,A342)/4</f>
        <v>86951.5</v>
      </c>
      <c r="O342" s="55">
        <v>46361</v>
      </c>
      <c r="P342" s="48"/>
      <c r="Q342" s="49"/>
      <c r="R342" s="49"/>
      <c r="S342" s="50"/>
      <c r="T342" s="60">
        <f t="shared" si="76"/>
        <v>0</v>
      </c>
      <c r="U342" s="48">
        <f t="shared" si="69"/>
        <v>749400</v>
      </c>
      <c r="V342" s="49">
        <f t="shared" si="78"/>
        <v>0</v>
      </c>
      <c r="W342" s="49">
        <f t="shared" si="78"/>
        <v>0</v>
      </c>
      <c r="X342" s="50">
        <f t="shared" si="78"/>
        <v>0</v>
      </c>
      <c r="Y342" s="73">
        <f t="shared" si="77"/>
        <v>749400</v>
      </c>
    </row>
    <row r="343" spans="1:25" x14ac:dyDescent="0.2">
      <c r="A343" s="55">
        <v>46362</v>
      </c>
      <c r="B343" s="48"/>
      <c r="C343" s="49"/>
      <c r="D343" s="49"/>
      <c r="E343" s="50"/>
      <c r="F343" s="48">
        <f t="shared" si="71"/>
        <v>42123</v>
      </c>
      <c r="G343" s="49">
        <f t="shared" si="72"/>
        <v>69725</v>
      </c>
      <c r="H343" s="49">
        <f t="shared" si="73"/>
        <v>0</v>
      </c>
      <c r="I343" s="50">
        <f t="shared" si="74"/>
        <v>14417</v>
      </c>
      <c r="J343" s="48">
        <f>J342+B343-SUMIFS(рапорт!$O:$O,рапорт!$A:$A,A343)-SUMIFS(рапорт!$U:$U,рапорт!$A:$A,A343)/4</f>
        <v>60640.5</v>
      </c>
      <c r="K343" s="49">
        <f>K342+C343-SUMIFS(рапорт!$P:$P,рапорт!$A:$A,A343)-SUMIFS(рапорт!$U:$U,рапорт!$A:$A,A343)/4</f>
        <v>98141.5</v>
      </c>
      <c r="L343" s="49">
        <f>L342+D343-SUMIFS(рапорт!$Q:$Q,рапорт!$A:$A,A343)-SUMIFS(рапорт!$U:$U,рапорт!$A:$A,A343)/4</f>
        <v>45376.5</v>
      </c>
      <c r="M343" s="50">
        <f>M342+E343-SUMIFS(рапорт!$R:$R,рапорт!$A:$A,A343)-SUMIFS(рапорт!$U:$U,рапорт!$A:$A,A343)/4</f>
        <v>86951.5</v>
      </c>
      <c r="O343" s="55">
        <v>46362</v>
      </c>
      <c r="P343" s="48"/>
      <c r="Q343" s="49"/>
      <c r="R343" s="49"/>
      <c r="S343" s="50"/>
      <c r="T343" s="60">
        <f t="shared" si="76"/>
        <v>0</v>
      </c>
      <c r="U343" s="48">
        <f t="shared" si="69"/>
        <v>749400</v>
      </c>
      <c r="V343" s="49">
        <f t="shared" si="78"/>
        <v>0</v>
      </c>
      <c r="W343" s="49">
        <f t="shared" si="78"/>
        <v>0</v>
      </c>
      <c r="X343" s="50">
        <f t="shared" si="78"/>
        <v>0</v>
      </c>
      <c r="Y343" s="73">
        <f t="shared" si="77"/>
        <v>749400</v>
      </c>
    </row>
    <row r="344" spans="1:25" x14ac:dyDescent="0.2">
      <c r="A344" s="55">
        <v>46363</v>
      </c>
      <c r="B344" s="48"/>
      <c r="C344" s="49"/>
      <c r="D344" s="49"/>
      <c r="E344" s="50"/>
      <c r="F344" s="48">
        <f t="shared" si="71"/>
        <v>42123</v>
      </c>
      <c r="G344" s="49">
        <f t="shared" si="72"/>
        <v>69725</v>
      </c>
      <c r="H344" s="49">
        <f t="shared" si="73"/>
        <v>0</v>
      </c>
      <c r="I344" s="50">
        <f t="shared" si="74"/>
        <v>14417</v>
      </c>
      <c r="J344" s="48">
        <f>J343+B344-SUMIFS(рапорт!$O:$O,рапорт!$A:$A,A344)-SUMIFS(рапорт!$U:$U,рапорт!$A:$A,A344)/4</f>
        <v>60640.5</v>
      </c>
      <c r="K344" s="49">
        <f>K343+C344-SUMIFS(рапорт!$P:$P,рапорт!$A:$A,A344)-SUMIFS(рапорт!$U:$U,рапорт!$A:$A,A344)/4</f>
        <v>98141.5</v>
      </c>
      <c r="L344" s="49">
        <f>L343+D344-SUMIFS(рапорт!$Q:$Q,рапорт!$A:$A,A344)-SUMIFS(рапорт!$U:$U,рапорт!$A:$A,A344)/4</f>
        <v>45376.5</v>
      </c>
      <c r="M344" s="50">
        <f>M343+E344-SUMIFS(рапорт!$R:$R,рапорт!$A:$A,A344)-SUMIFS(рапорт!$U:$U,рапорт!$A:$A,A344)/4</f>
        <v>86951.5</v>
      </c>
      <c r="O344" s="55">
        <v>46363</v>
      </c>
      <c r="P344" s="48"/>
      <c r="Q344" s="49"/>
      <c r="R344" s="49"/>
      <c r="S344" s="50"/>
      <c r="T344" s="60">
        <f t="shared" si="76"/>
        <v>0</v>
      </c>
      <c r="U344" s="48">
        <f t="shared" si="69"/>
        <v>749400</v>
      </c>
      <c r="V344" s="49">
        <f t="shared" si="78"/>
        <v>0</v>
      </c>
      <c r="W344" s="49">
        <f t="shared" si="78"/>
        <v>0</v>
      </c>
      <c r="X344" s="50">
        <f t="shared" si="78"/>
        <v>0</v>
      </c>
      <c r="Y344" s="73">
        <f t="shared" si="77"/>
        <v>749400</v>
      </c>
    </row>
    <row r="345" spans="1:25" x14ac:dyDescent="0.2">
      <c r="A345" s="55">
        <v>46364</v>
      </c>
      <c r="B345" s="48"/>
      <c r="C345" s="49"/>
      <c r="D345" s="49"/>
      <c r="E345" s="50"/>
      <c r="F345" s="48">
        <f t="shared" si="71"/>
        <v>42123</v>
      </c>
      <c r="G345" s="49">
        <f t="shared" si="72"/>
        <v>69725</v>
      </c>
      <c r="H345" s="49">
        <f t="shared" si="73"/>
        <v>0</v>
      </c>
      <c r="I345" s="50">
        <f t="shared" si="74"/>
        <v>14417</v>
      </c>
      <c r="J345" s="48">
        <f>J344+B345-SUMIFS(рапорт!$O:$O,рапорт!$A:$A,A345)-SUMIFS(рапорт!$U:$U,рапорт!$A:$A,A345)/4</f>
        <v>60640.5</v>
      </c>
      <c r="K345" s="49">
        <f>K344+C345-SUMIFS(рапорт!$P:$P,рапорт!$A:$A,A345)-SUMIFS(рапорт!$U:$U,рапорт!$A:$A,A345)/4</f>
        <v>98141.5</v>
      </c>
      <c r="L345" s="49">
        <f>L344+D345-SUMIFS(рапорт!$Q:$Q,рапорт!$A:$A,A345)-SUMIFS(рапорт!$U:$U,рапорт!$A:$A,A345)/4</f>
        <v>45376.5</v>
      </c>
      <c r="M345" s="50">
        <f>M344+E345-SUMIFS(рапорт!$R:$R,рапорт!$A:$A,A345)-SUMIFS(рапорт!$U:$U,рапорт!$A:$A,A345)/4</f>
        <v>86951.5</v>
      </c>
      <c r="O345" s="55">
        <v>46364</v>
      </c>
      <c r="P345" s="48"/>
      <c r="Q345" s="49"/>
      <c r="R345" s="49"/>
      <c r="S345" s="50"/>
      <c r="T345" s="60">
        <f t="shared" si="76"/>
        <v>0</v>
      </c>
      <c r="U345" s="48">
        <f t="shared" si="69"/>
        <v>749400</v>
      </c>
      <c r="V345" s="49">
        <f t="shared" si="78"/>
        <v>0</v>
      </c>
      <c r="W345" s="49">
        <f t="shared" si="78"/>
        <v>0</v>
      </c>
      <c r="X345" s="50">
        <f t="shared" si="78"/>
        <v>0</v>
      </c>
      <c r="Y345" s="73">
        <f t="shared" si="77"/>
        <v>749400</v>
      </c>
    </row>
    <row r="346" spans="1:25" x14ac:dyDescent="0.2">
      <c r="A346" s="55">
        <v>46365</v>
      </c>
      <c r="B346" s="48"/>
      <c r="C346" s="49"/>
      <c r="D346" s="49"/>
      <c r="E346" s="50"/>
      <c r="F346" s="48">
        <f t="shared" si="71"/>
        <v>42123</v>
      </c>
      <c r="G346" s="49">
        <f t="shared" si="72"/>
        <v>69725</v>
      </c>
      <c r="H346" s="49">
        <f t="shared" si="73"/>
        <v>0</v>
      </c>
      <c r="I346" s="50">
        <f t="shared" si="74"/>
        <v>14417</v>
      </c>
      <c r="J346" s="48">
        <f>J345+B346-SUMIFS(рапорт!$O:$O,рапорт!$A:$A,A346)-SUMIFS(рапорт!$U:$U,рапорт!$A:$A,A346)/4</f>
        <v>60640.5</v>
      </c>
      <c r="K346" s="49">
        <f>K345+C346-SUMIFS(рапорт!$P:$P,рапорт!$A:$A,A346)-SUMIFS(рапорт!$U:$U,рапорт!$A:$A,A346)/4</f>
        <v>98141.5</v>
      </c>
      <c r="L346" s="49">
        <f>L345+D346-SUMIFS(рапорт!$Q:$Q,рапорт!$A:$A,A346)-SUMIFS(рапорт!$U:$U,рапорт!$A:$A,A346)/4</f>
        <v>45376.5</v>
      </c>
      <c r="M346" s="50">
        <f>M345+E346-SUMIFS(рапорт!$R:$R,рапорт!$A:$A,A346)-SUMIFS(рапорт!$U:$U,рапорт!$A:$A,A346)/4</f>
        <v>86951.5</v>
      </c>
      <c r="O346" s="55">
        <v>46365</v>
      </c>
      <c r="P346" s="48"/>
      <c r="Q346" s="49"/>
      <c r="R346" s="49"/>
      <c r="S346" s="50"/>
      <c r="T346" s="60">
        <f t="shared" si="76"/>
        <v>0</v>
      </c>
      <c r="U346" s="48">
        <f t="shared" si="69"/>
        <v>749400</v>
      </c>
      <c r="V346" s="49">
        <f t="shared" si="78"/>
        <v>0</v>
      </c>
      <c r="W346" s="49">
        <f t="shared" si="78"/>
        <v>0</v>
      </c>
      <c r="X346" s="50">
        <f t="shared" si="78"/>
        <v>0</v>
      </c>
      <c r="Y346" s="73">
        <f t="shared" si="77"/>
        <v>749400</v>
      </c>
    </row>
    <row r="347" spans="1:25" x14ac:dyDescent="0.2">
      <c r="A347" s="55">
        <v>46366</v>
      </c>
      <c r="B347" s="48"/>
      <c r="C347" s="49"/>
      <c r="D347" s="49"/>
      <c r="E347" s="50"/>
      <c r="F347" s="48">
        <f t="shared" si="71"/>
        <v>42123</v>
      </c>
      <c r="G347" s="49">
        <f t="shared" si="72"/>
        <v>69725</v>
      </c>
      <c r="H347" s="49">
        <f t="shared" si="73"/>
        <v>0</v>
      </c>
      <c r="I347" s="50">
        <f t="shared" si="74"/>
        <v>14417</v>
      </c>
      <c r="J347" s="48">
        <f>J346+B347-SUMIFS(рапорт!$O:$O,рапорт!$A:$A,A347)-SUMIFS(рапорт!$U:$U,рапорт!$A:$A,A347)/4</f>
        <v>60640.5</v>
      </c>
      <c r="K347" s="49">
        <f>K346+C347-SUMIFS(рапорт!$P:$P,рапорт!$A:$A,A347)-SUMIFS(рапорт!$U:$U,рапорт!$A:$A,A347)/4</f>
        <v>98141.5</v>
      </c>
      <c r="L347" s="49">
        <f>L346+D347-SUMIFS(рапорт!$Q:$Q,рапорт!$A:$A,A347)-SUMIFS(рапорт!$U:$U,рапорт!$A:$A,A347)/4</f>
        <v>45376.5</v>
      </c>
      <c r="M347" s="50">
        <f>M346+E347-SUMIFS(рапорт!$R:$R,рапорт!$A:$A,A347)-SUMIFS(рапорт!$U:$U,рапорт!$A:$A,A347)/4</f>
        <v>86951.5</v>
      </c>
      <c r="O347" s="55">
        <v>46366</v>
      </c>
      <c r="P347" s="48"/>
      <c r="Q347" s="49"/>
      <c r="R347" s="49"/>
      <c r="S347" s="50"/>
      <c r="T347" s="60">
        <f t="shared" si="76"/>
        <v>0</v>
      </c>
      <c r="U347" s="48">
        <f t="shared" si="69"/>
        <v>749400</v>
      </c>
      <c r="V347" s="49">
        <f t="shared" si="78"/>
        <v>0</v>
      </c>
      <c r="W347" s="49">
        <f t="shared" si="78"/>
        <v>0</v>
      </c>
      <c r="X347" s="50">
        <f t="shared" si="78"/>
        <v>0</v>
      </c>
      <c r="Y347" s="73">
        <f t="shared" si="77"/>
        <v>749400</v>
      </c>
    </row>
    <row r="348" spans="1:25" x14ac:dyDescent="0.2">
      <c r="A348" s="55">
        <v>46367</v>
      </c>
      <c r="B348" s="48"/>
      <c r="C348" s="49"/>
      <c r="D348" s="49"/>
      <c r="E348" s="50"/>
      <c r="F348" s="48">
        <f t="shared" si="71"/>
        <v>42123</v>
      </c>
      <c r="G348" s="49">
        <f t="shared" si="72"/>
        <v>69725</v>
      </c>
      <c r="H348" s="49">
        <f t="shared" si="73"/>
        <v>0</v>
      </c>
      <c r="I348" s="50">
        <f t="shared" si="74"/>
        <v>14417</v>
      </c>
      <c r="J348" s="48">
        <f>J347+B348-SUMIFS(рапорт!$O:$O,рапорт!$A:$A,A348)-SUMIFS(рапорт!$U:$U,рапорт!$A:$A,A348)/4</f>
        <v>60640.5</v>
      </c>
      <c r="K348" s="49">
        <f>K347+C348-SUMIFS(рапорт!$P:$P,рапорт!$A:$A,A348)-SUMIFS(рапорт!$U:$U,рапорт!$A:$A,A348)/4</f>
        <v>98141.5</v>
      </c>
      <c r="L348" s="49">
        <f>L347+D348-SUMIFS(рапорт!$Q:$Q,рапорт!$A:$A,A348)-SUMIFS(рапорт!$U:$U,рапорт!$A:$A,A348)/4</f>
        <v>45376.5</v>
      </c>
      <c r="M348" s="50">
        <f>M347+E348-SUMIFS(рапорт!$R:$R,рапорт!$A:$A,A348)-SUMIFS(рапорт!$U:$U,рапорт!$A:$A,A348)/4</f>
        <v>86951.5</v>
      </c>
      <c r="O348" s="55">
        <v>46367</v>
      </c>
      <c r="P348" s="48"/>
      <c r="Q348" s="49"/>
      <c r="R348" s="49"/>
      <c r="S348" s="50"/>
      <c r="T348" s="60">
        <f t="shared" si="76"/>
        <v>0</v>
      </c>
      <c r="U348" s="48">
        <f t="shared" si="69"/>
        <v>749400</v>
      </c>
      <c r="V348" s="49">
        <f t="shared" si="78"/>
        <v>0</v>
      </c>
      <c r="W348" s="49">
        <f t="shared" si="78"/>
        <v>0</v>
      </c>
      <c r="X348" s="50">
        <f t="shared" si="78"/>
        <v>0</v>
      </c>
      <c r="Y348" s="73">
        <f t="shared" si="77"/>
        <v>749400</v>
      </c>
    </row>
    <row r="349" spans="1:25" x14ac:dyDescent="0.2">
      <c r="A349" s="55">
        <v>46368</v>
      </c>
      <c r="B349" s="48"/>
      <c r="C349" s="49"/>
      <c r="D349" s="49"/>
      <c r="E349" s="50"/>
      <c r="F349" s="48">
        <f t="shared" si="71"/>
        <v>42123</v>
      </c>
      <c r="G349" s="49">
        <f t="shared" si="72"/>
        <v>69725</v>
      </c>
      <c r="H349" s="49">
        <f t="shared" si="73"/>
        <v>0</v>
      </c>
      <c r="I349" s="50">
        <f t="shared" si="74"/>
        <v>14417</v>
      </c>
      <c r="J349" s="48">
        <f>J348+B349-SUMIFS(рапорт!$O:$O,рапорт!$A:$A,A349)-SUMIFS(рапорт!$U:$U,рапорт!$A:$A,A349)/4</f>
        <v>60640.5</v>
      </c>
      <c r="K349" s="49">
        <f>K348+C349-SUMIFS(рапорт!$P:$P,рапорт!$A:$A,A349)-SUMIFS(рапорт!$U:$U,рапорт!$A:$A,A349)/4</f>
        <v>98141.5</v>
      </c>
      <c r="L349" s="49">
        <f>L348+D349-SUMIFS(рапорт!$Q:$Q,рапорт!$A:$A,A349)-SUMIFS(рапорт!$U:$U,рапорт!$A:$A,A349)/4</f>
        <v>45376.5</v>
      </c>
      <c r="M349" s="50">
        <f>M348+E349-SUMIFS(рапорт!$R:$R,рапорт!$A:$A,A349)-SUMIFS(рапорт!$U:$U,рапорт!$A:$A,A349)/4</f>
        <v>86951.5</v>
      </c>
      <c r="O349" s="55">
        <v>46368</v>
      </c>
      <c r="P349" s="48"/>
      <c r="Q349" s="49"/>
      <c r="R349" s="49"/>
      <c r="S349" s="50"/>
      <c r="T349" s="60">
        <f t="shared" si="76"/>
        <v>0</v>
      </c>
      <c r="U349" s="48">
        <f t="shared" si="69"/>
        <v>749400</v>
      </c>
      <c r="V349" s="49">
        <f t="shared" si="78"/>
        <v>0</v>
      </c>
      <c r="W349" s="49">
        <f t="shared" si="78"/>
        <v>0</v>
      </c>
      <c r="X349" s="50">
        <f t="shared" si="78"/>
        <v>0</v>
      </c>
      <c r="Y349" s="73">
        <f t="shared" si="77"/>
        <v>749400</v>
      </c>
    </row>
    <row r="350" spans="1:25" x14ac:dyDescent="0.2">
      <c r="A350" s="55">
        <v>46369</v>
      </c>
      <c r="B350" s="48"/>
      <c r="C350" s="49"/>
      <c r="D350" s="49"/>
      <c r="E350" s="50"/>
      <c r="F350" s="48">
        <f t="shared" si="71"/>
        <v>42123</v>
      </c>
      <c r="G350" s="49">
        <f t="shared" si="72"/>
        <v>69725</v>
      </c>
      <c r="H350" s="49">
        <f t="shared" si="73"/>
        <v>0</v>
      </c>
      <c r="I350" s="50">
        <f t="shared" si="74"/>
        <v>14417</v>
      </c>
      <c r="J350" s="48">
        <f>J349+B350-SUMIFS(рапорт!$O:$O,рапорт!$A:$A,A350)-SUMIFS(рапорт!$U:$U,рапорт!$A:$A,A350)/4</f>
        <v>60640.5</v>
      </c>
      <c r="K350" s="49">
        <f>K349+C350-SUMIFS(рапорт!$P:$P,рапорт!$A:$A,A350)-SUMIFS(рапорт!$U:$U,рапорт!$A:$A,A350)/4</f>
        <v>98141.5</v>
      </c>
      <c r="L350" s="49">
        <f>L349+D350-SUMIFS(рапорт!$Q:$Q,рапорт!$A:$A,A350)-SUMIFS(рапорт!$U:$U,рапорт!$A:$A,A350)/4</f>
        <v>45376.5</v>
      </c>
      <c r="M350" s="50">
        <f>M349+E350-SUMIFS(рапорт!$R:$R,рапорт!$A:$A,A350)-SUMIFS(рапорт!$U:$U,рапорт!$A:$A,A350)/4</f>
        <v>86951.5</v>
      </c>
      <c r="O350" s="55">
        <v>46369</v>
      </c>
      <c r="P350" s="48"/>
      <c r="Q350" s="49"/>
      <c r="R350" s="49"/>
      <c r="S350" s="50"/>
      <c r="T350" s="60">
        <f t="shared" si="76"/>
        <v>0</v>
      </c>
      <c r="U350" s="48">
        <f t="shared" si="69"/>
        <v>749400</v>
      </c>
      <c r="V350" s="49">
        <f t="shared" si="78"/>
        <v>0</v>
      </c>
      <c r="W350" s="49">
        <f t="shared" si="78"/>
        <v>0</v>
      </c>
      <c r="X350" s="50">
        <f t="shared" si="78"/>
        <v>0</v>
      </c>
      <c r="Y350" s="73">
        <f t="shared" si="77"/>
        <v>749400</v>
      </c>
    </row>
    <row r="351" spans="1:25" x14ac:dyDescent="0.2">
      <c r="A351" s="55">
        <v>46370</v>
      </c>
      <c r="B351" s="48"/>
      <c r="C351" s="49"/>
      <c r="D351" s="49"/>
      <c r="E351" s="50"/>
      <c r="F351" s="48">
        <f t="shared" si="71"/>
        <v>42123</v>
      </c>
      <c r="G351" s="49">
        <f t="shared" si="72"/>
        <v>69725</v>
      </c>
      <c r="H351" s="49">
        <f t="shared" si="73"/>
        <v>0</v>
      </c>
      <c r="I351" s="50">
        <f t="shared" si="74"/>
        <v>14417</v>
      </c>
      <c r="J351" s="48">
        <f>J350+B351-SUMIFS(рапорт!$O:$O,рапорт!$A:$A,A351)-SUMIFS(рапорт!$U:$U,рапорт!$A:$A,A351)/4</f>
        <v>60640.5</v>
      </c>
      <c r="K351" s="49">
        <f>K350+C351-SUMIFS(рапорт!$P:$P,рапорт!$A:$A,A351)-SUMIFS(рапорт!$U:$U,рапорт!$A:$A,A351)/4</f>
        <v>98141.5</v>
      </c>
      <c r="L351" s="49">
        <f>L350+D351-SUMIFS(рапорт!$Q:$Q,рапорт!$A:$A,A351)-SUMIFS(рапорт!$U:$U,рапорт!$A:$A,A351)/4</f>
        <v>45376.5</v>
      </c>
      <c r="M351" s="50">
        <f>M350+E351-SUMIFS(рапорт!$R:$R,рапорт!$A:$A,A351)-SUMIFS(рапорт!$U:$U,рапорт!$A:$A,A351)/4</f>
        <v>86951.5</v>
      </c>
      <c r="O351" s="55">
        <v>46370</v>
      </c>
      <c r="P351" s="48"/>
      <c r="Q351" s="49"/>
      <c r="R351" s="49"/>
      <c r="S351" s="50"/>
      <c r="T351" s="60">
        <f t="shared" si="76"/>
        <v>0</v>
      </c>
      <c r="U351" s="48">
        <f t="shared" si="69"/>
        <v>749400</v>
      </c>
      <c r="V351" s="49">
        <f t="shared" si="78"/>
        <v>0</v>
      </c>
      <c r="W351" s="49">
        <f t="shared" si="78"/>
        <v>0</v>
      </c>
      <c r="X351" s="50">
        <f t="shared" si="78"/>
        <v>0</v>
      </c>
      <c r="Y351" s="73">
        <f t="shared" si="77"/>
        <v>749400</v>
      </c>
    </row>
    <row r="352" spans="1:25" x14ac:dyDescent="0.2">
      <c r="A352" s="55">
        <v>46371</v>
      </c>
      <c r="B352" s="48"/>
      <c r="C352" s="49"/>
      <c r="D352" s="49"/>
      <c r="E352" s="50"/>
      <c r="F352" s="48">
        <f t="shared" si="71"/>
        <v>42123</v>
      </c>
      <c r="G352" s="49">
        <f t="shared" si="72"/>
        <v>69725</v>
      </c>
      <c r="H352" s="49">
        <f t="shared" si="73"/>
        <v>0</v>
      </c>
      <c r="I352" s="50">
        <f t="shared" si="74"/>
        <v>14417</v>
      </c>
      <c r="J352" s="48">
        <f>J351+B352-SUMIFS(рапорт!$O:$O,рапорт!$A:$A,A352)-SUMIFS(рапорт!$U:$U,рапорт!$A:$A,A352)/4</f>
        <v>60640.5</v>
      </c>
      <c r="K352" s="49">
        <f>K351+C352-SUMIFS(рапорт!$P:$P,рапорт!$A:$A,A352)-SUMIFS(рапорт!$U:$U,рапорт!$A:$A,A352)/4</f>
        <v>98141.5</v>
      </c>
      <c r="L352" s="49">
        <f>L351+D352-SUMIFS(рапорт!$Q:$Q,рапорт!$A:$A,A352)-SUMIFS(рапорт!$U:$U,рапорт!$A:$A,A352)/4</f>
        <v>45376.5</v>
      </c>
      <c r="M352" s="50">
        <f>M351+E352-SUMIFS(рапорт!$R:$R,рапорт!$A:$A,A352)-SUMIFS(рапорт!$U:$U,рапорт!$A:$A,A352)/4</f>
        <v>86951.5</v>
      </c>
      <c r="O352" s="55">
        <v>46371</v>
      </c>
      <c r="P352" s="48"/>
      <c r="Q352" s="49"/>
      <c r="R352" s="49"/>
      <c r="S352" s="50"/>
      <c r="T352" s="60">
        <f t="shared" si="76"/>
        <v>0</v>
      </c>
      <c r="U352" s="48">
        <f t="shared" si="69"/>
        <v>749400</v>
      </c>
      <c r="V352" s="49">
        <f t="shared" si="78"/>
        <v>0</v>
      </c>
      <c r="W352" s="49">
        <f t="shared" si="78"/>
        <v>0</v>
      </c>
      <c r="X352" s="50">
        <f t="shared" si="78"/>
        <v>0</v>
      </c>
      <c r="Y352" s="73">
        <f t="shared" si="77"/>
        <v>749400</v>
      </c>
    </row>
    <row r="353" spans="1:25" x14ac:dyDescent="0.2">
      <c r="A353" s="55">
        <v>46372</v>
      </c>
      <c r="B353" s="48"/>
      <c r="C353" s="49"/>
      <c r="D353" s="49"/>
      <c r="E353" s="50"/>
      <c r="F353" s="48">
        <f t="shared" si="71"/>
        <v>42123</v>
      </c>
      <c r="G353" s="49">
        <f t="shared" si="72"/>
        <v>69725</v>
      </c>
      <c r="H353" s="49">
        <f t="shared" si="73"/>
        <v>0</v>
      </c>
      <c r="I353" s="50">
        <f t="shared" si="74"/>
        <v>14417</v>
      </c>
      <c r="J353" s="48">
        <f>J352+B353-SUMIFS(рапорт!$O:$O,рапорт!$A:$A,A353)-SUMIFS(рапорт!$U:$U,рапорт!$A:$A,A353)/4</f>
        <v>60640.5</v>
      </c>
      <c r="K353" s="49">
        <f>K352+C353-SUMIFS(рапорт!$P:$P,рапорт!$A:$A,A353)-SUMIFS(рапорт!$U:$U,рапорт!$A:$A,A353)/4</f>
        <v>98141.5</v>
      </c>
      <c r="L353" s="49">
        <f>L352+D353-SUMIFS(рапорт!$Q:$Q,рапорт!$A:$A,A353)-SUMIFS(рапорт!$U:$U,рапорт!$A:$A,A353)/4</f>
        <v>45376.5</v>
      </c>
      <c r="M353" s="50">
        <f>M352+E353-SUMIFS(рапорт!$R:$R,рапорт!$A:$A,A353)-SUMIFS(рапорт!$U:$U,рапорт!$A:$A,A353)/4</f>
        <v>86951.5</v>
      </c>
      <c r="O353" s="55">
        <v>46372</v>
      </c>
      <c r="P353" s="48"/>
      <c r="Q353" s="49"/>
      <c r="R353" s="49"/>
      <c r="S353" s="50"/>
      <c r="T353" s="60">
        <f t="shared" si="76"/>
        <v>0</v>
      </c>
      <c r="U353" s="48">
        <f t="shared" si="69"/>
        <v>749400</v>
      </c>
      <c r="V353" s="49">
        <f t="shared" si="78"/>
        <v>0</v>
      </c>
      <c r="W353" s="49">
        <f t="shared" si="78"/>
        <v>0</v>
      </c>
      <c r="X353" s="50">
        <f t="shared" si="78"/>
        <v>0</v>
      </c>
      <c r="Y353" s="73">
        <f t="shared" si="77"/>
        <v>749400</v>
      </c>
    </row>
    <row r="354" spans="1:25" x14ac:dyDescent="0.2">
      <c r="A354" s="55">
        <v>46373</v>
      </c>
      <c r="B354" s="48"/>
      <c r="C354" s="49"/>
      <c r="D354" s="49"/>
      <c r="E354" s="50"/>
      <c r="F354" s="48">
        <f t="shared" si="71"/>
        <v>42123</v>
      </c>
      <c r="G354" s="49">
        <f t="shared" si="72"/>
        <v>69725</v>
      </c>
      <c r="H354" s="49">
        <f t="shared" si="73"/>
        <v>0</v>
      </c>
      <c r="I354" s="50">
        <f t="shared" si="74"/>
        <v>14417</v>
      </c>
      <c r="J354" s="48">
        <f>J353+B354-SUMIFS(рапорт!$O:$O,рапорт!$A:$A,A354)-SUMIFS(рапорт!$U:$U,рапорт!$A:$A,A354)/4</f>
        <v>60640.5</v>
      </c>
      <c r="K354" s="49">
        <f>K353+C354-SUMIFS(рапорт!$P:$P,рапорт!$A:$A,A354)-SUMIFS(рапорт!$U:$U,рапорт!$A:$A,A354)/4</f>
        <v>98141.5</v>
      </c>
      <c r="L354" s="49">
        <f>L353+D354-SUMIFS(рапорт!$Q:$Q,рапорт!$A:$A,A354)-SUMIFS(рапорт!$U:$U,рапорт!$A:$A,A354)/4</f>
        <v>45376.5</v>
      </c>
      <c r="M354" s="50">
        <f>M353+E354-SUMIFS(рапорт!$R:$R,рапорт!$A:$A,A354)-SUMIFS(рапорт!$U:$U,рапорт!$A:$A,A354)/4</f>
        <v>86951.5</v>
      </c>
      <c r="O354" s="55">
        <v>46373</v>
      </c>
      <c r="P354" s="48"/>
      <c r="Q354" s="49"/>
      <c r="R354" s="49"/>
      <c r="S354" s="50"/>
      <c r="T354" s="60">
        <f t="shared" si="76"/>
        <v>0</v>
      </c>
      <c r="U354" s="48">
        <f t="shared" si="69"/>
        <v>749400</v>
      </c>
      <c r="V354" s="49">
        <f t="shared" si="78"/>
        <v>0</v>
      </c>
      <c r="W354" s="49">
        <f t="shared" si="78"/>
        <v>0</v>
      </c>
      <c r="X354" s="50">
        <f t="shared" si="78"/>
        <v>0</v>
      </c>
      <c r="Y354" s="73">
        <f t="shared" si="77"/>
        <v>749400</v>
      </c>
    </row>
    <row r="355" spans="1:25" x14ac:dyDescent="0.2">
      <c r="A355" s="55">
        <v>46374</v>
      </c>
      <c r="B355" s="48"/>
      <c r="C355" s="49"/>
      <c r="D355" s="49"/>
      <c r="E355" s="50"/>
      <c r="F355" s="48">
        <f t="shared" si="71"/>
        <v>42123</v>
      </c>
      <c r="G355" s="49">
        <f t="shared" si="72"/>
        <v>69725</v>
      </c>
      <c r="H355" s="49">
        <f t="shared" si="73"/>
        <v>0</v>
      </c>
      <c r="I355" s="50">
        <f t="shared" si="74"/>
        <v>14417</v>
      </c>
      <c r="J355" s="48">
        <f>J354+B355-SUMIFS(рапорт!$O:$O,рапорт!$A:$A,A355)-SUMIFS(рапорт!$U:$U,рапорт!$A:$A,A355)/4</f>
        <v>60640.5</v>
      </c>
      <c r="K355" s="49">
        <f>K354+C355-SUMIFS(рапорт!$P:$P,рапорт!$A:$A,A355)-SUMIFS(рапорт!$U:$U,рапорт!$A:$A,A355)/4</f>
        <v>98141.5</v>
      </c>
      <c r="L355" s="49">
        <f>L354+D355-SUMIFS(рапорт!$Q:$Q,рапорт!$A:$A,A355)-SUMIFS(рапорт!$U:$U,рапорт!$A:$A,A355)/4</f>
        <v>45376.5</v>
      </c>
      <c r="M355" s="50">
        <f>M354+E355-SUMIFS(рапорт!$R:$R,рапорт!$A:$A,A355)-SUMIFS(рапорт!$U:$U,рапорт!$A:$A,A355)/4</f>
        <v>86951.5</v>
      </c>
      <c r="O355" s="55">
        <v>46374</v>
      </c>
      <c r="P355" s="48"/>
      <c r="Q355" s="49"/>
      <c r="R355" s="49"/>
      <c r="S355" s="50"/>
      <c r="T355" s="60">
        <f t="shared" si="76"/>
        <v>0</v>
      </c>
      <c r="U355" s="48">
        <f t="shared" si="69"/>
        <v>749400</v>
      </c>
      <c r="V355" s="49">
        <f t="shared" si="78"/>
        <v>0</v>
      </c>
      <c r="W355" s="49">
        <f t="shared" si="78"/>
        <v>0</v>
      </c>
      <c r="X355" s="50">
        <f t="shared" si="78"/>
        <v>0</v>
      </c>
      <c r="Y355" s="73">
        <f t="shared" si="77"/>
        <v>749400</v>
      </c>
    </row>
    <row r="356" spans="1:25" x14ac:dyDescent="0.2">
      <c r="A356" s="55">
        <v>46375</v>
      </c>
      <c r="B356" s="48"/>
      <c r="C356" s="49"/>
      <c r="D356" s="49"/>
      <c r="E356" s="50"/>
      <c r="F356" s="48">
        <f t="shared" si="71"/>
        <v>42123</v>
      </c>
      <c r="G356" s="49">
        <f t="shared" si="72"/>
        <v>69725</v>
      </c>
      <c r="H356" s="49">
        <f t="shared" si="73"/>
        <v>0</v>
      </c>
      <c r="I356" s="50">
        <f t="shared" si="74"/>
        <v>14417</v>
      </c>
      <c r="J356" s="48">
        <f>J355+B356-SUMIFS(рапорт!$O:$O,рапорт!$A:$A,A356)-SUMIFS(рапорт!$U:$U,рапорт!$A:$A,A356)/4</f>
        <v>60640.5</v>
      </c>
      <c r="K356" s="49">
        <f>K355+C356-SUMIFS(рапорт!$P:$P,рапорт!$A:$A,A356)-SUMIFS(рапорт!$U:$U,рапорт!$A:$A,A356)/4</f>
        <v>98141.5</v>
      </c>
      <c r="L356" s="49">
        <f>L355+D356-SUMIFS(рапорт!$Q:$Q,рапорт!$A:$A,A356)-SUMIFS(рапорт!$U:$U,рапорт!$A:$A,A356)/4</f>
        <v>45376.5</v>
      </c>
      <c r="M356" s="50">
        <f>M355+E356-SUMIFS(рапорт!$R:$R,рапорт!$A:$A,A356)-SUMIFS(рапорт!$U:$U,рапорт!$A:$A,A356)/4</f>
        <v>86951.5</v>
      </c>
      <c r="O356" s="55">
        <v>46375</v>
      </c>
      <c r="P356" s="48"/>
      <c r="Q356" s="49"/>
      <c r="R356" s="49"/>
      <c r="S356" s="50"/>
      <c r="T356" s="60">
        <f t="shared" si="76"/>
        <v>0</v>
      </c>
      <c r="U356" s="48">
        <f t="shared" si="69"/>
        <v>749400</v>
      </c>
      <c r="V356" s="49">
        <f t="shared" ref="V356:X368" si="79">V355</f>
        <v>0</v>
      </c>
      <c r="W356" s="49">
        <f t="shared" si="79"/>
        <v>0</v>
      </c>
      <c r="X356" s="50">
        <f t="shared" si="79"/>
        <v>0</v>
      </c>
      <c r="Y356" s="73">
        <f t="shared" si="77"/>
        <v>749400</v>
      </c>
    </row>
    <row r="357" spans="1:25" x14ac:dyDescent="0.2">
      <c r="A357" s="55">
        <v>46376</v>
      </c>
      <c r="B357" s="48"/>
      <c r="C357" s="49"/>
      <c r="D357" s="49"/>
      <c r="E357" s="50"/>
      <c r="F357" s="48">
        <f t="shared" si="71"/>
        <v>42123</v>
      </c>
      <c r="G357" s="49">
        <f t="shared" si="72"/>
        <v>69725</v>
      </c>
      <c r="H357" s="49">
        <f t="shared" si="73"/>
        <v>0</v>
      </c>
      <c r="I357" s="50">
        <f t="shared" si="74"/>
        <v>14417</v>
      </c>
      <c r="J357" s="48">
        <f>J356+B357-SUMIFS(рапорт!$O:$O,рапорт!$A:$A,A357)-SUMIFS(рапорт!$U:$U,рапорт!$A:$A,A357)/4</f>
        <v>60640.5</v>
      </c>
      <c r="K357" s="49">
        <f>K356+C357-SUMIFS(рапорт!$P:$P,рапорт!$A:$A,A357)-SUMIFS(рапорт!$U:$U,рапорт!$A:$A,A357)/4</f>
        <v>98141.5</v>
      </c>
      <c r="L357" s="49">
        <f>L356+D357-SUMIFS(рапорт!$Q:$Q,рапорт!$A:$A,A357)-SUMIFS(рапорт!$U:$U,рапорт!$A:$A,A357)/4</f>
        <v>45376.5</v>
      </c>
      <c r="M357" s="50">
        <f>M356+E357-SUMIFS(рапорт!$R:$R,рапорт!$A:$A,A357)-SUMIFS(рапорт!$U:$U,рапорт!$A:$A,A357)/4</f>
        <v>86951.5</v>
      </c>
      <c r="O357" s="55">
        <v>46376</v>
      </c>
      <c r="P357" s="48"/>
      <c r="Q357" s="49"/>
      <c r="R357" s="49"/>
      <c r="S357" s="50"/>
      <c r="T357" s="60">
        <f t="shared" si="76"/>
        <v>0</v>
      </c>
      <c r="U357" s="48">
        <f t="shared" si="69"/>
        <v>749400</v>
      </c>
      <c r="V357" s="49">
        <f t="shared" si="79"/>
        <v>0</v>
      </c>
      <c r="W357" s="49">
        <f t="shared" si="79"/>
        <v>0</v>
      </c>
      <c r="X357" s="50">
        <f t="shared" si="79"/>
        <v>0</v>
      </c>
      <c r="Y357" s="73">
        <f t="shared" si="77"/>
        <v>749400</v>
      </c>
    </row>
    <row r="358" spans="1:25" x14ac:dyDescent="0.2">
      <c r="A358" s="55">
        <v>46377</v>
      </c>
      <c r="B358" s="48"/>
      <c r="C358" s="49"/>
      <c r="D358" s="49"/>
      <c r="E358" s="50"/>
      <c r="F358" s="48">
        <f t="shared" si="71"/>
        <v>42123</v>
      </c>
      <c r="G358" s="49">
        <f t="shared" si="72"/>
        <v>69725</v>
      </c>
      <c r="H358" s="49">
        <f t="shared" si="73"/>
        <v>0</v>
      </c>
      <c r="I358" s="50">
        <f t="shared" si="74"/>
        <v>14417</v>
      </c>
      <c r="J358" s="48">
        <f>J357+B358-SUMIFS(рапорт!$O:$O,рапорт!$A:$A,A358)-SUMIFS(рапорт!$U:$U,рапорт!$A:$A,A358)/4</f>
        <v>60640.5</v>
      </c>
      <c r="K358" s="49">
        <f>K357+C358-SUMIFS(рапорт!$P:$P,рапорт!$A:$A,A358)-SUMIFS(рапорт!$U:$U,рапорт!$A:$A,A358)/4</f>
        <v>98141.5</v>
      </c>
      <c r="L358" s="49">
        <f>L357+D358-SUMIFS(рапорт!$Q:$Q,рапорт!$A:$A,A358)-SUMIFS(рапорт!$U:$U,рапорт!$A:$A,A358)/4</f>
        <v>45376.5</v>
      </c>
      <c r="M358" s="50">
        <f>M357+E358-SUMIFS(рапорт!$R:$R,рапорт!$A:$A,A358)-SUMIFS(рапорт!$U:$U,рапорт!$A:$A,A358)/4</f>
        <v>86951.5</v>
      </c>
      <c r="O358" s="55">
        <v>46377</v>
      </c>
      <c r="P358" s="48"/>
      <c r="Q358" s="49"/>
      <c r="R358" s="49"/>
      <c r="S358" s="50"/>
      <c r="T358" s="60">
        <f t="shared" si="76"/>
        <v>0</v>
      </c>
      <c r="U358" s="48">
        <f t="shared" si="69"/>
        <v>749400</v>
      </c>
      <c r="V358" s="49">
        <f t="shared" si="79"/>
        <v>0</v>
      </c>
      <c r="W358" s="49">
        <f t="shared" si="79"/>
        <v>0</v>
      </c>
      <c r="X358" s="50">
        <f t="shared" si="79"/>
        <v>0</v>
      </c>
      <c r="Y358" s="73">
        <f t="shared" si="77"/>
        <v>749400</v>
      </c>
    </row>
    <row r="359" spans="1:25" x14ac:dyDescent="0.2">
      <c r="A359" s="55">
        <v>46378</v>
      </c>
      <c r="B359" s="48"/>
      <c r="C359" s="49"/>
      <c r="D359" s="49"/>
      <c r="E359" s="50"/>
      <c r="F359" s="48">
        <f t="shared" si="71"/>
        <v>42123</v>
      </c>
      <c r="G359" s="49">
        <f t="shared" si="72"/>
        <v>69725</v>
      </c>
      <c r="H359" s="49">
        <f t="shared" si="73"/>
        <v>0</v>
      </c>
      <c r="I359" s="50">
        <f t="shared" si="74"/>
        <v>14417</v>
      </c>
      <c r="J359" s="48">
        <f>J358+B359-SUMIFS(рапорт!$O:$O,рапорт!$A:$A,A359)-SUMIFS(рапорт!$U:$U,рапорт!$A:$A,A359)/4</f>
        <v>60640.5</v>
      </c>
      <c r="K359" s="49">
        <f>K358+C359-SUMIFS(рапорт!$P:$P,рапорт!$A:$A,A359)-SUMIFS(рапорт!$U:$U,рапорт!$A:$A,A359)/4</f>
        <v>98141.5</v>
      </c>
      <c r="L359" s="49">
        <f>L358+D359-SUMIFS(рапорт!$Q:$Q,рапорт!$A:$A,A359)-SUMIFS(рапорт!$U:$U,рапорт!$A:$A,A359)/4</f>
        <v>45376.5</v>
      </c>
      <c r="M359" s="50">
        <f>M358+E359-SUMIFS(рапорт!$R:$R,рапорт!$A:$A,A359)-SUMIFS(рапорт!$U:$U,рапорт!$A:$A,A359)/4</f>
        <v>86951.5</v>
      </c>
      <c r="O359" s="55">
        <v>46378</v>
      </c>
      <c r="P359" s="48"/>
      <c r="Q359" s="49"/>
      <c r="R359" s="49"/>
      <c r="S359" s="50"/>
      <c r="T359" s="60">
        <f t="shared" si="76"/>
        <v>0</v>
      </c>
      <c r="U359" s="48">
        <f t="shared" si="69"/>
        <v>749400</v>
      </c>
      <c r="V359" s="49">
        <f t="shared" si="79"/>
        <v>0</v>
      </c>
      <c r="W359" s="49">
        <f t="shared" si="79"/>
        <v>0</v>
      </c>
      <c r="X359" s="50">
        <f t="shared" si="79"/>
        <v>0</v>
      </c>
      <c r="Y359" s="73">
        <f t="shared" si="77"/>
        <v>749400</v>
      </c>
    </row>
    <row r="360" spans="1:25" x14ac:dyDescent="0.2">
      <c r="A360" s="55">
        <v>46379</v>
      </c>
      <c r="B360" s="48"/>
      <c r="C360" s="49"/>
      <c r="D360" s="49"/>
      <c r="E360" s="50"/>
      <c r="F360" s="48">
        <f t="shared" si="71"/>
        <v>42123</v>
      </c>
      <c r="G360" s="49">
        <f t="shared" si="72"/>
        <v>69725</v>
      </c>
      <c r="H360" s="49">
        <f t="shared" si="73"/>
        <v>0</v>
      </c>
      <c r="I360" s="50">
        <f t="shared" si="74"/>
        <v>14417</v>
      </c>
      <c r="J360" s="48">
        <f>J359+B360-SUMIFS(рапорт!$O:$O,рапорт!$A:$A,A360)-SUMIFS(рапорт!$U:$U,рапорт!$A:$A,A360)/4</f>
        <v>60640.5</v>
      </c>
      <c r="K360" s="49">
        <f>K359+C360-SUMIFS(рапорт!$P:$P,рапорт!$A:$A,A360)-SUMIFS(рапорт!$U:$U,рапорт!$A:$A,A360)/4</f>
        <v>98141.5</v>
      </c>
      <c r="L360" s="49">
        <f>L359+D360-SUMIFS(рапорт!$Q:$Q,рапорт!$A:$A,A360)-SUMIFS(рапорт!$U:$U,рапорт!$A:$A,A360)/4</f>
        <v>45376.5</v>
      </c>
      <c r="M360" s="50">
        <f>M359+E360-SUMIFS(рапорт!$R:$R,рапорт!$A:$A,A360)-SUMIFS(рапорт!$U:$U,рапорт!$A:$A,A360)/4</f>
        <v>86951.5</v>
      </c>
      <c r="O360" s="55">
        <v>46379</v>
      </c>
      <c r="P360" s="48"/>
      <c r="Q360" s="49"/>
      <c r="R360" s="49"/>
      <c r="S360" s="50"/>
      <c r="T360" s="60">
        <f t="shared" si="76"/>
        <v>0</v>
      </c>
      <c r="U360" s="48">
        <f t="shared" si="69"/>
        <v>749400</v>
      </c>
      <c r="V360" s="49">
        <f t="shared" si="79"/>
        <v>0</v>
      </c>
      <c r="W360" s="49">
        <f t="shared" si="79"/>
        <v>0</v>
      </c>
      <c r="X360" s="50">
        <f t="shared" si="79"/>
        <v>0</v>
      </c>
      <c r="Y360" s="73">
        <f t="shared" si="77"/>
        <v>749400</v>
      </c>
    </row>
    <row r="361" spans="1:25" x14ac:dyDescent="0.2">
      <c r="A361" s="55">
        <v>46380</v>
      </c>
      <c r="B361" s="48"/>
      <c r="C361" s="49"/>
      <c r="D361" s="49"/>
      <c r="E361" s="50"/>
      <c r="F361" s="48">
        <f t="shared" si="71"/>
        <v>42123</v>
      </c>
      <c r="G361" s="49">
        <f t="shared" si="72"/>
        <v>69725</v>
      </c>
      <c r="H361" s="49">
        <f t="shared" si="73"/>
        <v>0</v>
      </c>
      <c r="I361" s="50">
        <f t="shared" si="74"/>
        <v>14417</v>
      </c>
      <c r="J361" s="48">
        <f>J360+B361-SUMIFS(рапорт!$O:$O,рапорт!$A:$A,A361)-SUMIFS(рапорт!$U:$U,рапорт!$A:$A,A361)/4</f>
        <v>60640.5</v>
      </c>
      <c r="K361" s="49">
        <f>K360+C361-SUMIFS(рапорт!$P:$P,рапорт!$A:$A,A361)-SUMIFS(рапорт!$U:$U,рапорт!$A:$A,A361)/4</f>
        <v>98141.5</v>
      </c>
      <c r="L361" s="49">
        <f>L360+D361-SUMIFS(рапорт!$Q:$Q,рапорт!$A:$A,A361)-SUMIFS(рапорт!$U:$U,рапорт!$A:$A,A361)/4</f>
        <v>45376.5</v>
      </c>
      <c r="M361" s="50">
        <f>M360+E361-SUMIFS(рапорт!$R:$R,рапорт!$A:$A,A361)-SUMIFS(рапорт!$U:$U,рапорт!$A:$A,A361)/4</f>
        <v>86951.5</v>
      </c>
      <c r="O361" s="55">
        <v>46380</v>
      </c>
      <c r="P361" s="48"/>
      <c r="Q361" s="49"/>
      <c r="R361" s="49"/>
      <c r="S361" s="50"/>
      <c r="T361" s="60">
        <f t="shared" si="76"/>
        <v>0</v>
      </c>
      <c r="U361" s="48">
        <f t="shared" si="69"/>
        <v>749400</v>
      </c>
      <c r="V361" s="49">
        <f t="shared" si="79"/>
        <v>0</v>
      </c>
      <c r="W361" s="49">
        <f t="shared" si="79"/>
        <v>0</v>
      </c>
      <c r="X361" s="50">
        <f t="shared" si="79"/>
        <v>0</v>
      </c>
      <c r="Y361" s="73">
        <f t="shared" si="77"/>
        <v>749400</v>
      </c>
    </row>
    <row r="362" spans="1:25" x14ac:dyDescent="0.2">
      <c r="A362" s="55">
        <v>46381</v>
      </c>
      <c r="B362" s="48"/>
      <c r="C362" s="49"/>
      <c r="D362" s="49"/>
      <c r="E362" s="50"/>
      <c r="F362" s="48">
        <f t="shared" si="71"/>
        <v>42123</v>
      </c>
      <c r="G362" s="49">
        <f t="shared" si="72"/>
        <v>69725</v>
      </c>
      <c r="H362" s="49">
        <f t="shared" si="73"/>
        <v>0</v>
      </c>
      <c r="I362" s="50">
        <f t="shared" si="74"/>
        <v>14417</v>
      </c>
      <c r="J362" s="48">
        <f>J361+B362-SUMIFS(рапорт!$O:$O,рапорт!$A:$A,A362)-SUMIFS(рапорт!$U:$U,рапорт!$A:$A,A362)/4</f>
        <v>60640.5</v>
      </c>
      <c r="K362" s="49">
        <f>K361+C362-SUMIFS(рапорт!$P:$P,рапорт!$A:$A,A362)-SUMIFS(рапорт!$U:$U,рапорт!$A:$A,A362)/4</f>
        <v>98141.5</v>
      </c>
      <c r="L362" s="49">
        <f>L361+D362-SUMIFS(рапорт!$Q:$Q,рапорт!$A:$A,A362)-SUMIFS(рапорт!$U:$U,рапорт!$A:$A,A362)/4</f>
        <v>45376.5</v>
      </c>
      <c r="M362" s="50">
        <f>M361+E362-SUMIFS(рапорт!$R:$R,рапорт!$A:$A,A362)-SUMIFS(рапорт!$U:$U,рапорт!$A:$A,A362)/4</f>
        <v>86951.5</v>
      </c>
      <c r="O362" s="55">
        <v>46381</v>
      </c>
      <c r="P362" s="48"/>
      <c r="Q362" s="49"/>
      <c r="R362" s="49"/>
      <c r="S362" s="50"/>
      <c r="T362" s="60">
        <f t="shared" si="76"/>
        <v>0</v>
      </c>
      <c r="U362" s="48">
        <f t="shared" si="69"/>
        <v>749400</v>
      </c>
      <c r="V362" s="49">
        <f t="shared" si="79"/>
        <v>0</v>
      </c>
      <c r="W362" s="49">
        <f t="shared" si="79"/>
        <v>0</v>
      </c>
      <c r="X362" s="50">
        <f t="shared" si="79"/>
        <v>0</v>
      </c>
      <c r="Y362" s="73">
        <f t="shared" si="77"/>
        <v>749400</v>
      </c>
    </row>
    <row r="363" spans="1:25" x14ac:dyDescent="0.2">
      <c r="A363" s="55">
        <v>46382</v>
      </c>
      <c r="B363" s="48"/>
      <c r="C363" s="49"/>
      <c r="D363" s="49"/>
      <c r="E363" s="50"/>
      <c r="F363" s="48">
        <f t="shared" si="71"/>
        <v>42123</v>
      </c>
      <c r="G363" s="49">
        <f t="shared" si="72"/>
        <v>69725</v>
      </c>
      <c r="H363" s="49">
        <f t="shared" si="73"/>
        <v>0</v>
      </c>
      <c r="I363" s="50">
        <f t="shared" si="74"/>
        <v>14417</v>
      </c>
      <c r="J363" s="48">
        <f>J362+B363-SUMIFS(рапорт!$O:$O,рапорт!$A:$A,A363)-SUMIFS(рапорт!$U:$U,рапорт!$A:$A,A363)/4</f>
        <v>60640.5</v>
      </c>
      <c r="K363" s="49">
        <f>K362+C363-SUMIFS(рапорт!$P:$P,рапорт!$A:$A,A363)-SUMIFS(рапорт!$U:$U,рапорт!$A:$A,A363)/4</f>
        <v>98141.5</v>
      </c>
      <c r="L363" s="49">
        <f>L362+D363-SUMIFS(рапорт!$Q:$Q,рапорт!$A:$A,A363)-SUMIFS(рапорт!$U:$U,рапорт!$A:$A,A363)/4</f>
        <v>45376.5</v>
      </c>
      <c r="M363" s="50">
        <f>M362+E363-SUMIFS(рапорт!$R:$R,рапорт!$A:$A,A363)-SUMIFS(рапорт!$U:$U,рапорт!$A:$A,A363)/4</f>
        <v>86951.5</v>
      </c>
      <c r="O363" s="55">
        <v>46382</v>
      </c>
      <c r="P363" s="48"/>
      <c r="Q363" s="49"/>
      <c r="R363" s="49"/>
      <c r="S363" s="50"/>
      <c r="T363" s="60">
        <f t="shared" si="76"/>
        <v>0</v>
      </c>
      <c r="U363" s="48">
        <f t="shared" si="69"/>
        <v>749400</v>
      </c>
      <c r="V363" s="49">
        <f t="shared" si="79"/>
        <v>0</v>
      </c>
      <c r="W363" s="49">
        <f t="shared" si="79"/>
        <v>0</v>
      </c>
      <c r="X363" s="50">
        <f t="shared" si="79"/>
        <v>0</v>
      </c>
      <c r="Y363" s="73">
        <f t="shared" si="77"/>
        <v>749400</v>
      </c>
    </row>
    <row r="364" spans="1:25" x14ac:dyDescent="0.2">
      <c r="A364" s="55">
        <v>46383</v>
      </c>
      <c r="B364" s="48"/>
      <c r="C364" s="49"/>
      <c r="D364" s="49"/>
      <c r="E364" s="50"/>
      <c r="F364" s="48">
        <f t="shared" si="71"/>
        <v>42123</v>
      </c>
      <c r="G364" s="49">
        <f t="shared" si="72"/>
        <v>69725</v>
      </c>
      <c r="H364" s="49">
        <f t="shared" si="73"/>
        <v>0</v>
      </c>
      <c r="I364" s="50">
        <f t="shared" si="74"/>
        <v>14417</v>
      </c>
      <c r="J364" s="48">
        <f>J363+B364-SUMIFS(рапорт!$O:$O,рапорт!$A:$A,A364)-SUMIFS(рапорт!$U:$U,рапорт!$A:$A,A364)/4</f>
        <v>60640.5</v>
      </c>
      <c r="K364" s="49">
        <f>K363+C364-SUMIFS(рапорт!$P:$P,рапорт!$A:$A,A364)-SUMIFS(рапорт!$U:$U,рапорт!$A:$A,A364)/4</f>
        <v>98141.5</v>
      </c>
      <c r="L364" s="49">
        <f>L363+D364-SUMIFS(рапорт!$Q:$Q,рапорт!$A:$A,A364)-SUMIFS(рапорт!$U:$U,рапорт!$A:$A,A364)/4</f>
        <v>45376.5</v>
      </c>
      <c r="M364" s="50">
        <f>M363+E364-SUMIFS(рапорт!$R:$R,рапорт!$A:$A,A364)-SUMIFS(рапорт!$U:$U,рапорт!$A:$A,A364)/4</f>
        <v>86951.5</v>
      </c>
      <c r="O364" s="55">
        <v>46383</v>
      </c>
      <c r="P364" s="48"/>
      <c r="Q364" s="49"/>
      <c r="R364" s="49"/>
      <c r="S364" s="50"/>
      <c r="T364" s="60">
        <f t="shared" si="76"/>
        <v>0</v>
      </c>
      <c r="U364" s="48">
        <f t="shared" si="69"/>
        <v>749400</v>
      </c>
      <c r="V364" s="49">
        <f t="shared" si="79"/>
        <v>0</v>
      </c>
      <c r="W364" s="49">
        <f t="shared" si="79"/>
        <v>0</v>
      </c>
      <c r="X364" s="50">
        <f t="shared" si="79"/>
        <v>0</v>
      </c>
      <c r="Y364" s="73">
        <f t="shared" si="77"/>
        <v>749400</v>
      </c>
    </row>
    <row r="365" spans="1:25" x14ac:dyDescent="0.2">
      <c r="A365" s="55">
        <v>46384</v>
      </c>
      <c r="B365" s="48"/>
      <c r="C365" s="49"/>
      <c r="D365" s="49"/>
      <c r="E365" s="50"/>
      <c r="F365" s="48">
        <f t="shared" si="71"/>
        <v>42123</v>
      </c>
      <c r="G365" s="49">
        <f t="shared" si="72"/>
        <v>69725</v>
      </c>
      <c r="H365" s="49">
        <f t="shared" si="73"/>
        <v>0</v>
      </c>
      <c r="I365" s="50">
        <f t="shared" si="74"/>
        <v>14417</v>
      </c>
      <c r="J365" s="48">
        <f>J364+B365-SUMIFS(рапорт!$O:$O,рапорт!$A:$A,A365)-SUMIFS(рапорт!$U:$U,рапорт!$A:$A,A365)/4</f>
        <v>60640.5</v>
      </c>
      <c r="K365" s="49">
        <f>K364+C365-SUMIFS(рапорт!$P:$P,рапорт!$A:$A,A365)-SUMIFS(рапорт!$U:$U,рапорт!$A:$A,A365)/4</f>
        <v>98141.5</v>
      </c>
      <c r="L365" s="49">
        <f>L364+D365-SUMIFS(рапорт!$Q:$Q,рапорт!$A:$A,A365)-SUMIFS(рапорт!$U:$U,рапорт!$A:$A,A365)/4</f>
        <v>45376.5</v>
      </c>
      <c r="M365" s="50">
        <f>M364+E365-SUMIFS(рапорт!$R:$R,рапорт!$A:$A,A365)-SUMIFS(рапорт!$U:$U,рапорт!$A:$A,A365)/4</f>
        <v>86951.5</v>
      </c>
      <c r="O365" s="55">
        <v>46384</v>
      </c>
      <c r="P365" s="48"/>
      <c r="Q365" s="49"/>
      <c r="R365" s="49"/>
      <c r="S365" s="50"/>
      <c r="T365" s="60">
        <f t="shared" si="76"/>
        <v>0</v>
      </c>
      <c r="U365" s="48">
        <f t="shared" si="69"/>
        <v>749400</v>
      </c>
      <c r="V365" s="49">
        <f t="shared" si="79"/>
        <v>0</v>
      </c>
      <c r="W365" s="49">
        <f t="shared" si="79"/>
        <v>0</v>
      </c>
      <c r="X365" s="50">
        <f t="shared" si="79"/>
        <v>0</v>
      </c>
      <c r="Y365" s="73">
        <f t="shared" si="77"/>
        <v>749400</v>
      </c>
    </row>
    <row r="366" spans="1:25" x14ac:dyDescent="0.2">
      <c r="A366" s="55">
        <v>46385</v>
      </c>
      <c r="B366" s="48"/>
      <c r="C366" s="49"/>
      <c r="D366" s="49"/>
      <c r="E366" s="50"/>
      <c r="F366" s="48">
        <f t="shared" si="71"/>
        <v>42123</v>
      </c>
      <c r="G366" s="49">
        <f t="shared" si="72"/>
        <v>69725</v>
      </c>
      <c r="H366" s="49">
        <f t="shared" si="73"/>
        <v>0</v>
      </c>
      <c r="I366" s="50">
        <f t="shared" si="74"/>
        <v>14417</v>
      </c>
      <c r="J366" s="48">
        <f>J365+B366-SUMIFS(рапорт!$O:$O,рапорт!$A:$A,A366)-SUMIFS(рапорт!$U:$U,рапорт!$A:$A,A366)/4</f>
        <v>60640.5</v>
      </c>
      <c r="K366" s="49">
        <f>K365+C366-SUMIFS(рапорт!$P:$P,рапорт!$A:$A,A366)-SUMIFS(рапорт!$U:$U,рапорт!$A:$A,A366)/4</f>
        <v>98141.5</v>
      </c>
      <c r="L366" s="49">
        <f>L365+D366-SUMIFS(рапорт!$Q:$Q,рапорт!$A:$A,A366)-SUMIFS(рапорт!$U:$U,рапорт!$A:$A,A366)/4</f>
        <v>45376.5</v>
      </c>
      <c r="M366" s="50">
        <f>M365+E366-SUMIFS(рапорт!$R:$R,рапорт!$A:$A,A366)-SUMIFS(рапорт!$U:$U,рапорт!$A:$A,A366)/4</f>
        <v>86951.5</v>
      </c>
      <c r="O366" s="55">
        <v>46385</v>
      </c>
      <c r="P366" s="48"/>
      <c r="Q366" s="49"/>
      <c r="R366" s="49"/>
      <c r="S366" s="50"/>
      <c r="T366" s="60">
        <f t="shared" si="76"/>
        <v>0</v>
      </c>
      <c r="U366" s="48">
        <f t="shared" si="69"/>
        <v>749400</v>
      </c>
      <c r="V366" s="49">
        <f t="shared" si="79"/>
        <v>0</v>
      </c>
      <c r="W366" s="49">
        <f t="shared" si="79"/>
        <v>0</v>
      </c>
      <c r="X366" s="50">
        <f t="shared" si="79"/>
        <v>0</v>
      </c>
      <c r="Y366" s="73">
        <f t="shared" si="77"/>
        <v>749400</v>
      </c>
    </row>
    <row r="367" spans="1:25" x14ac:dyDescent="0.2">
      <c r="A367" s="55">
        <v>46386</v>
      </c>
      <c r="B367" s="48"/>
      <c r="C367" s="49"/>
      <c r="D367" s="49"/>
      <c r="E367" s="50"/>
      <c r="F367" s="48">
        <f t="shared" si="71"/>
        <v>42123</v>
      </c>
      <c r="G367" s="49">
        <f t="shared" si="72"/>
        <v>69725</v>
      </c>
      <c r="H367" s="49">
        <f t="shared" si="73"/>
        <v>0</v>
      </c>
      <c r="I367" s="50">
        <f t="shared" si="74"/>
        <v>14417</v>
      </c>
      <c r="J367" s="48">
        <f>J366+B367-SUMIFS(рапорт!$O:$O,рапорт!$A:$A,A367)-SUMIFS(рапорт!$U:$U,рапорт!$A:$A,A367)/4</f>
        <v>60640.5</v>
      </c>
      <c r="K367" s="49">
        <f>K366+C367-SUMIFS(рапорт!$P:$P,рапорт!$A:$A,A367)-SUMIFS(рапорт!$U:$U,рапорт!$A:$A,A367)/4</f>
        <v>98141.5</v>
      </c>
      <c r="L367" s="49">
        <f>L366+D367-SUMIFS(рапорт!$Q:$Q,рапорт!$A:$A,A367)-SUMIFS(рапорт!$U:$U,рапорт!$A:$A,A367)/4</f>
        <v>45376.5</v>
      </c>
      <c r="M367" s="50">
        <f>M366+E367-SUMIFS(рапорт!$R:$R,рапорт!$A:$A,A367)-SUMIFS(рапорт!$U:$U,рапорт!$A:$A,A367)/4</f>
        <v>86951.5</v>
      </c>
      <c r="O367" s="55">
        <v>46386</v>
      </c>
      <c r="P367" s="48"/>
      <c r="Q367" s="49"/>
      <c r="R367" s="49"/>
      <c r="S367" s="50"/>
      <c r="T367" s="60">
        <f t="shared" si="76"/>
        <v>0</v>
      </c>
      <c r="U367" s="48">
        <f t="shared" si="69"/>
        <v>749400</v>
      </c>
      <c r="V367" s="49">
        <f t="shared" si="79"/>
        <v>0</v>
      </c>
      <c r="W367" s="49">
        <f t="shared" si="79"/>
        <v>0</v>
      </c>
      <c r="X367" s="50">
        <f t="shared" si="79"/>
        <v>0</v>
      </c>
      <c r="Y367" s="73">
        <f t="shared" si="77"/>
        <v>749400</v>
      </c>
    </row>
    <row r="368" spans="1:25" x14ac:dyDescent="0.2">
      <c r="A368" s="56">
        <v>46387</v>
      </c>
      <c r="B368" s="51"/>
      <c r="C368" s="52"/>
      <c r="D368" s="52"/>
      <c r="E368" s="53"/>
      <c r="F368" s="51">
        <f t="shared" si="71"/>
        <v>42123</v>
      </c>
      <c r="G368" s="52">
        <f t="shared" si="72"/>
        <v>69725</v>
      </c>
      <c r="H368" s="52">
        <f t="shared" si="73"/>
        <v>0</v>
      </c>
      <c r="I368" s="53">
        <f t="shared" si="74"/>
        <v>14417</v>
      </c>
      <c r="J368" s="51">
        <f>J367+B368-SUMIFS(рапорт!$O:$O,рапорт!$A:$A,A368)-SUMIFS(рапорт!$U:$U,рапорт!$A:$A,A368)/4</f>
        <v>60640.5</v>
      </c>
      <c r="K368" s="52">
        <f>K367+C368-SUMIFS(рапорт!$P:$P,рапорт!$A:$A,A368)-SUMIFS(рапорт!$U:$U,рапорт!$A:$A,A368)/4</f>
        <v>98141.5</v>
      </c>
      <c r="L368" s="52">
        <f>L367+D368-SUMIFS(рапорт!$Q:$Q,рапорт!$A:$A,A368)-SUMIFS(рапорт!$U:$U,рапорт!$A:$A,A368)/4</f>
        <v>45376.5</v>
      </c>
      <c r="M368" s="53">
        <f>M367+E368-SUMIFS(рапорт!$R:$R,рапорт!$A:$A,A368)-SUMIFS(рапорт!$U:$U,рапорт!$A:$A,A368)/4</f>
        <v>86951.5</v>
      </c>
      <c r="O368" s="56">
        <v>46387</v>
      </c>
      <c r="P368" s="51"/>
      <c r="Q368" s="52"/>
      <c r="R368" s="52"/>
      <c r="S368" s="53"/>
      <c r="T368" s="61">
        <f t="shared" si="76"/>
        <v>0</v>
      </c>
      <c r="U368" s="51">
        <f t="shared" si="69"/>
        <v>749400</v>
      </c>
      <c r="V368" s="52">
        <f t="shared" si="79"/>
        <v>0</v>
      </c>
      <c r="W368" s="52">
        <f t="shared" si="79"/>
        <v>0</v>
      </c>
      <c r="X368" s="53">
        <f t="shared" si="79"/>
        <v>0</v>
      </c>
      <c r="Y368" s="74">
        <f t="shared" si="77"/>
        <v>749400</v>
      </c>
    </row>
  </sheetData>
  <mergeCells count="4">
    <mergeCell ref="A1:A3"/>
    <mergeCell ref="O1:O3"/>
    <mergeCell ref="F1:I1"/>
    <mergeCell ref="J1:M1"/>
  </mergeCells>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7D26C-B238-4312-B3CC-DA338CFCCF13}">
  <sheetPr>
    <tabColor rgb="FF00B0F0"/>
  </sheetPr>
  <dimension ref="A1:AH44"/>
  <sheetViews>
    <sheetView workbookViewId="0">
      <selection activeCell="B8" sqref="B8"/>
    </sheetView>
  </sheetViews>
  <sheetFormatPr defaultColWidth="8.85546875" defaultRowHeight="11.25" x14ac:dyDescent="0.2"/>
  <cols>
    <col min="1" max="1" width="20" style="10" customWidth="1"/>
    <col min="2" max="2" width="6.42578125" style="10" bestFit="1" customWidth="1"/>
    <col min="3" max="3" width="6.7109375" style="10" customWidth="1"/>
    <col min="4" max="5" width="9.7109375" style="10" bestFit="1" customWidth="1"/>
    <col min="6" max="6" width="8.140625" style="10" bestFit="1" customWidth="1"/>
    <col min="7" max="7" width="12.28515625" style="10" bestFit="1" customWidth="1"/>
    <col min="8" max="8" width="11.5703125" style="10" bestFit="1" customWidth="1"/>
    <col min="9" max="9" width="8.140625" style="10" bestFit="1" customWidth="1"/>
    <col min="10" max="10" width="7" style="10" bestFit="1" customWidth="1"/>
    <col min="11" max="11" width="11.85546875" style="123" customWidth="1"/>
    <col min="12" max="18" width="8.140625" style="10" bestFit="1" customWidth="1"/>
    <col min="19" max="19" width="7.5703125" style="10" bestFit="1" customWidth="1"/>
    <col min="20" max="21" width="7" style="10" bestFit="1" customWidth="1"/>
    <col min="22" max="34" width="8.140625" style="10" bestFit="1" customWidth="1"/>
    <col min="35" max="16384" width="8.85546875" style="10"/>
  </cols>
  <sheetData>
    <row r="1" spans="1:34" s="2" customFormat="1" ht="56.25" x14ac:dyDescent="0.2">
      <c r="A1" s="1" t="s">
        <v>12</v>
      </c>
      <c r="B1" s="1" t="s">
        <v>13</v>
      </c>
      <c r="C1" s="1" t="s">
        <v>14</v>
      </c>
      <c r="D1" s="1" t="s">
        <v>15</v>
      </c>
      <c r="E1" s="1" t="s">
        <v>16</v>
      </c>
      <c r="F1" s="1" t="s">
        <v>17</v>
      </c>
      <c r="G1" s="1" t="s">
        <v>18</v>
      </c>
      <c r="H1" s="1" t="s">
        <v>19</v>
      </c>
      <c r="I1" s="1" t="s">
        <v>20</v>
      </c>
      <c r="J1" s="1" t="s">
        <v>21</v>
      </c>
      <c r="K1" s="1" t="s">
        <v>22</v>
      </c>
      <c r="L1" s="1" t="s">
        <v>23</v>
      </c>
      <c r="M1" s="1" t="s">
        <v>24</v>
      </c>
      <c r="N1" s="1" t="s">
        <v>25</v>
      </c>
      <c r="O1" s="1" t="s">
        <v>26</v>
      </c>
      <c r="P1" s="1" t="s">
        <v>27</v>
      </c>
      <c r="Q1" s="1" t="s">
        <v>28</v>
      </c>
      <c r="R1" s="1" t="s">
        <v>29</v>
      </c>
      <c r="S1" s="1" t="s">
        <v>30</v>
      </c>
      <c r="T1" s="1" t="s">
        <v>31</v>
      </c>
      <c r="U1" s="1" t="s">
        <v>32</v>
      </c>
      <c r="V1" s="1" t="s">
        <v>33</v>
      </c>
      <c r="W1" s="1" t="s">
        <v>34</v>
      </c>
      <c r="X1" s="1" t="s">
        <v>35</v>
      </c>
      <c r="Y1" s="1" t="s">
        <v>36</v>
      </c>
      <c r="Z1" s="1" t="s">
        <v>37</v>
      </c>
      <c r="AA1" s="1" t="s">
        <v>38</v>
      </c>
      <c r="AB1" s="1" t="s">
        <v>39</v>
      </c>
      <c r="AC1" s="1" t="s">
        <v>40</v>
      </c>
      <c r="AD1" s="1" t="s">
        <v>41</v>
      </c>
      <c r="AE1" s="1" t="s">
        <v>42</v>
      </c>
      <c r="AF1" s="1" t="s">
        <v>43</v>
      </c>
      <c r="AG1" s="1" t="s">
        <v>44</v>
      </c>
      <c r="AH1" s="1" t="s">
        <v>45</v>
      </c>
    </row>
    <row r="2" spans="1:34" s="2" customFormat="1" x14ac:dyDescent="0.2">
      <c r="A2" s="3" t="s">
        <v>46</v>
      </c>
      <c r="B2" s="4" t="s">
        <v>47</v>
      </c>
      <c r="C2" s="5">
        <v>1750</v>
      </c>
      <c r="D2" s="5">
        <v>1750</v>
      </c>
      <c r="E2" s="5">
        <v>1750</v>
      </c>
      <c r="F2" s="5">
        <v>1800</v>
      </c>
      <c r="G2" s="5">
        <v>1800</v>
      </c>
      <c r="H2" s="5">
        <v>1800</v>
      </c>
      <c r="I2" s="5">
        <v>1800</v>
      </c>
      <c r="J2" s="5">
        <v>600</v>
      </c>
      <c r="K2" s="120">
        <v>3000</v>
      </c>
      <c r="L2" s="5">
        <v>1200</v>
      </c>
      <c r="M2" s="5">
        <v>1200</v>
      </c>
      <c r="N2" s="5">
        <v>1200</v>
      </c>
      <c r="O2" s="5">
        <v>1800</v>
      </c>
      <c r="P2" s="5">
        <v>1800</v>
      </c>
      <c r="Q2" s="5">
        <v>1800</v>
      </c>
      <c r="R2" s="5">
        <v>1800</v>
      </c>
      <c r="S2" s="5">
        <v>700</v>
      </c>
      <c r="T2" s="5">
        <v>600</v>
      </c>
      <c r="U2" s="5">
        <v>900</v>
      </c>
      <c r="V2" s="5">
        <v>2600</v>
      </c>
      <c r="W2" s="5">
        <v>2650</v>
      </c>
      <c r="X2" s="5">
        <v>2700</v>
      </c>
      <c r="Y2" s="5">
        <v>2750</v>
      </c>
      <c r="Z2" s="5">
        <v>2800</v>
      </c>
      <c r="AA2" s="5">
        <v>2850</v>
      </c>
      <c r="AB2" s="5">
        <v>1500</v>
      </c>
      <c r="AC2" s="5">
        <v>3000</v>
      </c>
      <c r="AD2" s="5">
        <v>3000</v>
      </c>
      <c r="AE2" s="5">
        <v>3600</v>
      </c>
      <c r="AF2" s="5">
        <v>3600</v>
      </c>
      <c r="AG2" s="5">
        <v>1800</v>
      </c>
      <c r="AH2" s="5">
        <v>3000</v>
      </c>
    </row>
    <row r="3" spans="1:34" s="2" customFormat="1" x14ac:dyDescent="0.2">
      <c r="A3" s="3" t="s">
        <v>48</v>
      </c>
      <c r="B3" s="4" t="s">
        <v>47</v>
      </c>
      <c r="C3" s="5">
        <v>1130</v>
      </c>
      <c r="D3" s="5">
        <f>C3/8*7</f>
        <v>988.75</v>
      </c>
      <c r="E3" s="5">
        <v>930</v>
      </c>
      <c r="F3" s="5">
        <v>1200</v>
      </c>
      <c r="G3" s="5">
        <v>1200</v>
      </c>
      <c r="H3" s="5">
        <v>1200</v>
      </c>
      <c r="I3" s="5">
        <v>1200</v>
      </c>
      <c r="J3" s="5">
        <v>200</v>
      </c>
      <c r="K3" s="120">
        <v>608</v>
      </c>
      <c r="L3" s="5">
        <v>600</v>
      </c>
      <c r="M3" s="5">
        <v>1200</v>
      </c>
      <c r="N3" s="5">
        <v>1200</v>
      </c>
      <c r="O3" s="5">
        <v>1500</v>
      </c>
      <c r="P3" s="5">
        <v>250</v>
      </c>
      <c r="Q3" s="5">
        <v>235</v>
      </c>
      <c r="R3" s="5">
        <v>1250</v>
      </c>
      <c r="S3" s="5">
        <v>100</v>
      </c>
      <c r="T3" s="5">
        <v>400</v>
      </c>
      <c r="U3" s="5">
        <v>600</v>
      </c>
      <c r="V3" s="5">
        <v>608</v>
      </c>
      <c r="W3" s="5">
        <v>608</v>
      </c>
      <c r="X3" s="5">
        <v>608</v>
      </c>
      <c r="Y3" s="5">
        <v>608</v>
      </c>
      <c r="Z3" s="5">
        <v>608</v>
      </c>
      <c r="AA3" s="5">
        <v>608</v>
      </c>
      <c r="AB3" s="5">
        <v>1000</v>
      </c>
      <c r="AC3" s="5">
        <v>1200</v>
      </c>
      <c r="AD3" s="5">
        <v>1500</v>
      </c>
      <c r="AE3" s="5">
        <v>1500</v>
      </c>
      <c r="AF3" s="5">
        <v>1500</v>
      </c>
      <c r="AG3" s="5">
        <v>240</v>
      </c>
      <c r="AH3" s="5">
        <v>1500</v>
      </c>
    </row>
    <row r="4" spans="1:34" s="2" customFormat="1" x14ac:dyDescent="0.2">
      <c r="A4" s="3" t="s">
        <v>49</v>
      </c>
      <c r="B4" s="4" t="s">
        <v>47</v>
      </c>
      <c r="C4" s="5">
        <v>5.2</v>
      </c>
      <c r="D4" s="5">
        <v>5.3</v>
      </c>
      <c r="E4" s="5">
        <v>5.5</v>
      </c>
      <c r="F4" s="5">
        <v>6</v>
      </c>
      <c r="G4" s="5">
        <v>7.5</v>
      </c>
      <c r="H4" s="5">
        <v>10</v>
      </c>
      <c r="I4" s="5">
        <v>7.5</v>
      </c>
      <c r="J4" s="5">
        <v>5.2</v>
      </c>
      <c r="K4" s="120">
        <v>4.5</v>
      </c>
      <c r="L4" s="5">
        <v>7.5</v>
      </c>
      <c r="M4" s="5">
        <v>10</v>
      </c>
      <c r="N4" s="5">
        <v>12</v>
      </c>
      <c r="O4" s="5">
        <v>8</v>
      </c>
      <c r="P4" s="5">
        <v>8</v>
      </c>
      <c r="Q4" s="5">
        <v>8</v>
      </c>
      <c r="R4" s="5">
        <v>7.5</v>
      </c>
      <c r="S4" s="5">
        <v>8</v>
      </c>
      <c r="T4" s="5">
        <v>8</v>
      </c>
      <c r="U4" s="5">
        <v>8</v>
      </c>
      <c r="V4" s="5">
        <v>4.5</v>
      </c>
      <c r="W4" s="5">
        <v>4.5</v>
      </c>
      <c r="X4" s="5">
        <v>4.5</v>
      </c>
      <c r="Y4" s="5">
        <v>4.5</v>
      </c>
      <c r="Z4" s="5">
        <v>4.5</v>
      </c>
      <c r="AA4" s="5">
        <v>4.5</v>
      </c>
      <c r="AB4" s="5">
        <v>8</v>
      </c>
      <c r="AC4" s="5">
        <v>4.5</v>
      </c>
      <c r="AD4" s="5">
        <v>8</v>
      </c>
      <c r="AE4" s="5">
        <v>8</v>
      </c>
      <c r="AF4" s="5">
        <v>10</v>
      </c>
      <c r="AG4" s="5">
        <v>10</v>
      </c>
      <c r="AH4" s="5">
        <v>10</v>
      </c>
    </row>
    <row r="5" spans="1:34" s="2" customFormat="1" x14ac:dyDescent="0.2">
      <c r="A5" s="3" t="s">
        <v>50</v>
      </c>
      <c r="B5" s="4" t="s">
        <v>51</v>
      </c>
      <c r="C5" s="5">
        <v>1.7</v>
      </c>
      <c r="D5" s="5">
        <v>1.7</v>
      </c>
      <c r="E5" s="5">
        <v>1.7</v>
      </c>
      <c r="F5" s="5">
        <v>1.7</v>
      </c>
      <c r="G5" s="5">
        <v>1.7</v>
      </c>
      <c r="H5" s="5">
        <v>1.7</v>
      </c>
      <c r="I5" s="5">
        <v>1.7</v>
      </c>
      <c r="J5" s="5">
        <v>1.7</v>
      </c>
      <c r="K5" s="120">
        <v>1.7</v>
      </c>
      <c r="L5" s="5">
        <v>1.7</v>
      </c>
      <c r="M5" s="5">
        <v>1.7</v>
      </c>
      <c r="N5" s="5">
        <v>1.7</v>
      </c>
      <c r="O5" s="5">
        <v>1.7</v>
      </c>
      <c r="P5" s="5">
        <v>1.7</v>
      </c>
      <c r="Q5" s="5">
        <v>1.7</v>
      </c>
      <c r="R5" s="5">
        <v>1.7</v>
      </c>
      <c r="S5" s="5">
        <v>1.7</v>
      </c>
      <c r="T5" s="5">
        <v>1.7</v>
      </c>
      <c r="U5" s="5">
        <v>1.7</v>
      </c>
      <c r="V5" s="5">
        <v>1.7</v>
      </c>
      <c r="W5" s="5">
        <v>1.7</v>
      </c>
      <c r="X5" s="5">
        <v>1.7</v>
      </c>
      <c r="Y5" s="5">
        <v>1.7</v>
      </c>
      <c r="Z5" s="5">
        <v>1.7</v>
      </c>
      <c r="AA5" s="5">
        <v>1.7</v>
      </c>
      <c r="AB5" s="5">
        <v>1.7</v>
      </c>
      <c r="AC5" s="5">
        <v>1.7</v>
      </c>
      <c r="AD5" s="5">
        <v>1.7</v>
      </c>
      <c r="AE5" s="5">
        <v>1.7</v>
      </c>
      <c r="AF5" s="5">
        <v>1.7</v>
      </c>
      <c r="AG5" s="5">
        <v>1.7</v>
      </c>
      <c r="AH5" s="5">
        <v>1.7</v>
      </c>
    </row>
    <row r="6" spans="1:34" s="2" customFormat="1" x14ac:dyDescent="0.2">
      <c r="A6" s="3" t="s">
        <v>52</v>
      </c>
      <c r="B6" s="4" t="s">
        <v>53</v>
      </c>
      <c r="C6" s="6">
        <f t="shared" ref="C6:J6" si="0">C2*C3/1000000</f>
        <v>1.9775</v>
      </c>
      <c r="D6" s="6">
        <f>D2*D3/1000000</f>
        <v>1.7303124999999999</v>
      </c>
      <c r="E6" s="6">
        <f>E2*E3/1000000</f>
        <v>1.6274999999999999</v>
      </c>
      <c r="F6" s="6">
        <f t="shared" si="0"/>
        <v>2.16</v>
      </c>
      <c r="G6" s="6">
        <f t="shared" si="0"/>
        <v>2.16</v>
      </c>
      <c r="H6" s="6">
        <f t="shared" si="0"/>
        <v>2.16</v>
      </c>
      <c r="I6" s="6">
        <f t="shared" si="0"/>
        <v>2.16</v>
      </c>
      <c r="J6" s="6">
        <f t="shared" si="0"/>
        <v>0.12</v>
      </c>
      <c r="K6" s="121">
        <f>K2*K3/1000000</f>
        <v>1.8240000000000001</v>
      </c>
      <c r="L6" s="6">
        <f>L2*L3/1000000</f>
        <v>0.72</v>
      </c>
      <c r="M6" s="6">
        <f t="shared" ref="M6:R6" si="1">M2*M3/1000000</f>
        <v>1.44</v>
      </c>
      <c r="N6" s="6">
        <f t="shared" si="1"/>
        <v>1.44</v>
      </c>
      <c r="O6" s="6">
        <f>O2*O3/1000000</f>
        <v>2.7</v>
      </c>
      <c r="P6" s="6">
        <f t="shared" si="1"/>
        <v>0.45</v>
      </c>
      <c r="Q6" s="6">
        <f>Q2*Q3/1000000</f>
        <v>0.42299999999999999</v>
      </c>
      <c r="R6" s="6">
        <f t="shared" si="1"/>
        <v>2.25</v>
      </c>
      <c r="S6" s="6">
        <f>S2*S3/1000000</f>
        <v>7.0000000000000007E-2</v>
      </c>
      <c r="T6" s="6">
        <f t="shared" ref="T6:AC6" si="2">T2*T3/1000000</f>
        <v>0.24</v>
      </c>
      <c r="U6" s="6">
        <f t="shared" si="2"/>
        <v>0.54</v>
      </c>
      <c r="V6" s="6">
        <f t="shared" si="2"/>
        <v>1.5808</v>
      </c>
      <c r="W6" s="6">
        <f t="shared" si="2"/>
        <v>1.6112</v>
      </c>
      <c r="X6" s="6">
        <f t="shared" si="2"/>
        <v>1.6415999999999999</v>
      </c>
      <c r="Y6" s="6">
        <f t="shared" si="2"/>
        <v>1.6719999999999999</v>
      </c>
      <c r="Z6" s="6">
        <f t="shared" si="2"/>
        <v>1.7023999999999999</v>
      </c>
      <c r="AA6" s="6">
        <f t="shared" si="2"/>
        <v>1.7327999999999999</v>
      </c>
      <c r="AB6" s="6">
        <f>AB2*AB3/1000000</f>
        <v>1.5</v>
      </c>
      <c r="AC6" s="6">
        <f t="shared" si="2"/>
        <v>3.6</v>
      </c>
      <c r="AD6" s="6">
        <f>AD2*AD3/1000000</f>
        <v>4.5</v>
      </c>
      <c r="AE6" s="6">
        <f>AE2*AE3/1000000</f>
        <v>5.4</v>
      </c>
      <c r="AF6" s="6">
        <f>AF2*AF3/1000000</f>
        <v>5.4</v>
      </c>
      <c r="AG6" s="6">
        <f>AG2*AG3/1000000</f>
        <v>0.432</v>
      </c>
      <c r="AH6" s="6">
        <f>AH2*AH3/1000000</f>
        <v>4.5</v>
      </c>
    </row>
    <row r="7" spans="1:34" s="2" customFormat="1" x14ac:dyDescent="0.2">
      <c r="A7" s="3" t="s">
        <v>54</v>
      </c>
      <c r="B7" s="4" t="s">
        <v>55</v>
      </c>
      <c r="C7" s="5">
        <f t="shared" ref="C7:J7" si="3">C5*C6*C4</f>
        <v>17.481099999999998</v>
      </c>
      <c r="D7" s="5">
        <f>D5*D6*D4</f>
        <v>15.590115624999997</v>
      </c>
      <c r="E7" s="5">
        <f>E5*E6*E4</f>
        <v>15.217124999999999</v>
      </c>
      <c r="F7" s="5">
        <f t="shared" si="3"/>
        <v>22.032</v>
      </c>
      <c r="G7" s="5">
        <f t="shared" si="3"/>
        <v>27.540000000000003</v>
      </c>
      <c r="H7" s="5">
        <f t="shared" si="3"/>
        <v>36.72</v>
      </c>
      <c r="I7" s="5">
        <f t="shared" si="3"/>
        <v>27.540000000000003</v>
      </c>
      <c r="J7" s="5">
        <f t="shared" si="3"/>
        <v>1.0608</v>
      </c>
      <c r="K7" s="120">
        <f>K5*K6*K4</f>
        <v>13.9536</v>
      </c>
      <c r="L7" s="5">
        <f>L5*L6*L4</f>
        <v>9.18</v>
      </c>
      <c r="M7" s="5">
        <f t="shared" ref="M7:R7" si="4">M5*M6*M4</f>
        <v>24.48</v>
      </c>
      <c r="N7" s="5">
        <f t="shared" si="4"/>
        <v>29.375999999999998</v>
      </c>
      <c r="O7" s="5">
        <f>O5*O6*O4</f>
        <v>36.72</v>
      </c>
      <c r="P7" s="5">
        <f t="shared" si="4"/>
        <v>6.12</v>
      </c>
      <c r="Q7" s="5">
        <f>Q5*Q6*Q4</f>
        <v>5.7527999999999997</v>
      </c>
      <c r="R7" s="5">
        <f t="shared" si="4"/>
        <v>28.687499999999996</v>
      </c>
      <c r="S7" s="5">
        <f>S5*S6*S4</f>
        <v>0.95200000000000007</v>
      </c>
      <c r="T7" s="5">
        <f t="shared" ref="T7:AC7" si="5">T5*T6*T4</f>
        <v>3.2639999999999998</v>
      </c>
      <c r="U7" s="5">
        <f t="shared" si="5"/>
        <v>7.3440000000000003</v>
      </c>
      <c r="V7" s="5">
        <f t="shared" si="5"/>
        <v>12.093119999999999</v>
      </c>
      <c r="W7" s="5">
        <f t="shared" si="5"/>
        <v>12.325679999999998</v>
      </c>
      <c r="X7" s="5">
        <f t="shared" si="5"/>
        <v>12.55824</v>
      </c>
      <c r="Y7" s="5">
        <f t="shared" si="5"/>
        <v>12.790799999999997</v>
      </c>
      <c r="Z7" s="5">
        <f t="shared" si="5"/>
        <v>13.023359999999998</v>
      </c>
      <c r="AA7" s="5">
        <f t="shared" si="5"/>
        <v>13.25592</v>
      </c>
      <c r="AB7" s="5">
        <f>AB5*AB6*AB4</f>
        <v>20.399999999999999</v>
      </c>
      <c r="AC7" s="5">
        <f t="shared" si="5"/>
        <v>27.54</v>
      </c>
      <c r="AD7" s="5">
        <f>AD5*AD6*AD4</f>
        <v>61.199999999999996</v>
      </c>
      <c r="AE7" s="5">
        <f>AE5*AE6*AE4</f>
        <v>73.44</v>
      </c>
      <c r="AF7" s="5">
        <f>AF5*AF6*AF4</f>
        <v>91.8</v>
      </c>
      <c r="AG7" s="5">
        <f>AG5*AG6*AG4</f>
        <v>7.3439999999999994</v>
      </c>
      <c r="AH7" s="5">
        <f>AH5*AH6*AH4</f>
        <v>76.5</v>
      </c>
    </row>
    <row r="8" spans="1:34" s="2" customFormat="1" x14ac:dyDescent="0.2">
      <c r="A8" s="3" t="s">
        <v>56</v>
      </c>
      <c r="B8" s="4" t="s">
        <v>55</v>
      </c>
      <c r="C8" s="5">
        <f t="shared" ref="C8:J8" si="6">C6*C4*C5*1.21</f>
        <v>21.152131000000001</v>
      </c>
      <c r="D8" s="5">
        <f>D6*D4*D5*1.21</f>
        <v>18.864039906249996</v>
      </c>
      <c r="E8" s="5">
        <f>E6*E4*E5*1.21</f>
        <v>18.412721249999997</v>
      </c>
      <c r="F8" s="5">
        <f t="shared" si="6"/>
        <v>26.658719999999999</v>
      </c>
      <c r="G8" s="5">
        <f t="shared" si="6"/>
        <v>33.323399999999999</v>
      </c>
      <c r="H8" s="5">
        <f t="shared" si="6"/>
        <v>44.431199999999997</v>
      </c>
      <c r="I8" s="5">
        <f t="shared" si="6"/>
        <v>33.323399999999999</v>
      </c>
      <c r="J8" s="5">
        <f t="shared" si="6"/>
        <v>1.2835679999999998</v>
      </c>
      <c r="K8" s="120">
        <f>K6*K4*K5*1.21</f>
        <v>16.883855999999998</v>
      </c>
      <c r="L8" s="5">
        <f>L6*L4*L5*1.19</f>
        <v>10.924199999999999</v>
      </c>
      <c r="M8" s="5">
        <f t="shared" ref="M8:Q8" si="7">M6*M4*M5*1.19</f>
        <v>29.131199999999996</v>
      </c>
      <c r="N8" s="5">
        <f>N6*N4*N5*1.19</f>
        <v>34.957439999999998</v>
      </c>
      <c r="O8" s="5">
        <f>O6*O4*O5*1.19</f>
        <v>43.696799999999996</v>
      </c>
      <c r="P8" s="5">
        <f t="shared" si="7"/>
        <v>7.2827999999999999</v>
      </c>
      <c r="Q8" s="5">
        <f t="shared" si="7"/>
        <v>6.8458319999999997</v>
      </c>
      <c r="R8" s="5">
        <f>R6*R4*R5*1.19</f>
        <v>34.138124999999995</v>
      </c>
      <c r="S8" s="5">
        <f>S6*S4*S5*1.19</f>
        <v>1.1328800000000001</v>
      </c>
      <c r="T8" s="5">
        <f t="shared" ref="T8:AC8" si="8">T6*T4*T5*1.19</f>
        <v>3.8841599999999996</v>
      </c>
      <c r="U8" s="5">
        <f t="shared" si="8"/>
        <v>8.7393599999999996</v>
      </c>
      <c r="V8" s="5">
        <f t="shared" si="8"/>
        <v>14.390812799999997</v>
      </c>
      <c r="W8" s="5">
        <f t="shared" si="8"/>
        <v>14.667559199999999</v>
      </c>
      <c r="X8" s="5">
        <f t="shared" si="8"/>
        <v>14.944305599999998</v>
      </c>
      <c r="Y8" s="5">
        <f t="shared" si="8"/>
        <v>15.221051999999998</v>
      </c>
      <c r="Z8" s="5">
        <f t="shared" si="8"/>
        <v>15.497798399999999</v>
      </c>
      <c r="AA8" s="5">
        <f t="shared" si="8"/>
        <v>15.774544799999997</v>
      </c>
      <c r="AB8" s="5">
        <f>AB6*AB4*AB5*1.19</f>
        <v>24.275999999999996</v>
      </c>
      <c r="AC8" s="5">
        <f t="shared" si="8"/>
        <v>32.772599999999997</v>
      </c>
      <c r="AD8" s="5">
        <f>AD6*AD4*AD5*1.19</f>
        <v>72.827999999999989</v>
      </c>
      <c r="AE8" s="5">
        <f>AE6*AE4*AE5*1.19</f>
        <v>87.393599999999992</v>
      </c>
      <c r="AF8" s="5">
        <f>AF6*AF4*AF5*1.19</f>
        <v>109.24199999999999</v>
      </c>
      <c r="AG8" s="5">
        <f>AG6*AG4*AG5*1.19</f>
        <v>8.7393599999999996</v>
      </c>
      <c r="AH8" s="5">
        <f>AH6*AH4*AH5*1.19</f>
        <v>91.034999999999997</v>
      </c>
    </row>
    <row r="9" spans="1:34" s="2" customFormat="1" x14ac:dyDescent="0.2">
      <c r="A9" s="7" t="s">
        <v>57</v>
      </c>
      <c r="B9" s="8"/>
      <c r="C9" s="9">
        <v>1</v>
      </c>
      <c r="D9" s="9">
        <f>D8/$C$8</f>
        <v>0.89182692307692291</v>
      </c>
      <c r="E9" s="9">
        <f>E8/$C$8</f>
        <v>0.87049012933968672</v>
      </c>
      <c r="F9" s="9">
        <f t="shared" ref="F9:AH9" si="9">F8/$C$8</f>
        <v>1.2603325877662159</v>
      </c>
      <c r="G9" s="9">
        <f t="shared" si="9"/>
        <v>1.57541573470777</v>
      </c>
      <c r="H9" s="9">
        <f t="shared" si="9"/>
        <v>2.1005543129436934</v>
      </c>
      <c r="I9" s="9">
        <f t="shared" si="9"/>
        <v>1.57541573470777</v>
      </c>
      <c r="J9" s="9">
        <f t="shared" si="9"/>
        <v>6.0682680151706692E-2</v>
      </c>
      <c r="K9" s="122">
        <f t="shared" si="9"/>
        <v>0.79821063891860344</v>
      </c>
      <c r="L9" s="9">
        <f t="shared" si="9"/>
        <v>0.51645860173615599</v>
      </c>
      <c r="M9" s="9">
        <f t="shared" si="9"/>
        <v>1.3772229379630825</v>
      </c>
      <c r="N9" s="9">
        <f t="shared" si="9"/>
        <v>1.6526675255556993</v>
      </c>
      <c r="O9" s="9">
        <f t="shared" si="9"/>
        <v>2.0658344069446239</v>
      </c>
      <c r="P9" s="9">
        <f t="shared" si="9"/>
        <v>0.34430573449077068</v>
      </c>
      <c r="Q9" s="9">
        <f t="shared" si="9"/>
        <v>0.32364739042132445</v>
      </c>
      <c r="R9" s="9">
        <f t="shared" si="9"/>
        <v>1.6139331304254874</v>
      </c>
      <c r="S9" s="9">
        <f t="shared" si="9"/>
        <v>5.3558669809675448E-2</v>
      </c>
      <c r="T9" s="9">
        <f t="shared" si="9"/>
        <v>0.18362972506174435</v>
      </c>
      <c r="U9" s="9">
        <f t="shared" si="9"/>
        <v>0.41316688138892482</v>
      </c>
      <c r="V9" s="9">
        <f t="shared" si="9"/>
        <v>0.68034813135376271</v>
      </c>
      <c r="W9" s="9">
        <f t="shared" si="9"/>
        <v>0.69343174926441209</v>
      </c>
      <c r="X9" s="9">
        <f t="shared" si="9"/>
        <v>0.70651536717506136</v>
      </c>
      <c r="Y9" s="9">
        <f t="shared" si="9"/>
        <v>0.71959898508571063</v>
      </c>
      <c r="Z9" s="9">
        <f t="shared" si="9"/>
        <v>0.73268260299636001</v>
      </c>
      <c r="AA9" s="9">
        <f t="shared" si="9"/>
        <v>0.74576622090700917</v>
      </c>
      <c r="AB9" s="9">
        <f t="shared" si="9"/>
        <v>1.1476857816359021</v>
      </c>
      <c r="AC9" s="9">
        <f t="shared" si="9"/>
        <v>1.5493758052084678</v>
      </c>
      <c r="AD9" s="9">
        <f t="shared" si="9"/>
        <v>3.4430573449077064</v>
      </c>
      <c r="AE9" s="9">
        <f t="shared" si="9"/>
        <v>4.1316688138892479</v>
      </c>
      <c r="AF9" s="9">
        <f t="shared" si="9"/>
        <v>5.1645860173615601</v>
      </c>
      <c r="AG9" s="9">
        <f t="shared" si="9"/>
        <v>0.41316688138892482</v>
      </c>
      <c r="AH9" s="9">
        <f t="shared" si="9"/>
        <v>4.3038216811346333</v>
      </c>
    </row>
    <row r="10" spans="1:34" x14ac:dyDescent="0.2">
      <c r="C10" s="10">
        <v>10283</v>
      </c>
      <c r="D10" s="10">
        <v>9171</v>
      </c>
      <c r="E10" s="10">
        <v>8951</v>
      </c>
      <c r="F10" s="10">
        <v>12960</v>
      </c>
      <c r="G10" s="10">
        <v>17280</v>
      </c>
      <c r="H10" s="10">
        <v>21600</v>
      </c>
    </row>
    <row r="14" spans="1:34" ht="33.75" x14ac:dyDescent="0.2">
      <c r="A14" s="62" t="s">
        <v>68</v>
      </c>
      <c r="B14" s="62" t="s">
        <v>69</v>
      </c>
      <c r="C14" s="62" t="s">
        <v>61</v>
      </c>
      <c r="D14" s="62" t="s">
        <v>73</v>
      </c>
      <c r="E14" s="62" t="s">
        <v>74</v>
      </c>
      <c r="F14" s="62" t="s">
        <v>106</v>
      </c>
      <c r="G14" s="62" t="s">
        <v>107</v>
      </c>
      <c r="H14" s="62" t="s">
        <v>108</v>
      </c>
      <c r="I14" s="62" t="s">
        <v>109</v>
      </c>
      <c r="J14" s="62" t="s">
        <v>234</v>
      </c>
      <c r="K14" s="62" t="s">
        <v>740</v>
      </c>
    </row>
    <row r="15" spans="1:34" x14ac:dyDescent="0.2">
      <c r="A15" s="63" t="s">
        <v>70</v>
      </c>
      <c r="B15" s="64">
        <v>1</v>
      </c>
      <c r="C15" s="66">
        <v>19.600000000000001</v>
      </c>
      <c r="D15" s="66">
        <v>2.31</v>
      </c>
      <c r="E15" s="66">
        <v>14.93</v>
      </c>
      <c r="F15" s="65">
        <v>0.23100000000000001</v>
      </c>
      <c r="G15" s="65">
        <v>4.5999999999999999E-2</v>
      </c>
      <c r="H15" s="65">
        <v>0</v>
      </c>
      <c r="I15" s="65">
        <v>0.15</v>
      </c>
      <c r="J15" s="65">
        <v>0.23100000000000001</v>
      </c>
      <c r="K15" s="124">
        <v>43.3</v>
      </c>
      <c r="L15" s="101"/>
    </row>
    <row r="16" spans="1:34" x14ac:dyDescent="0.2">
      <c r="A16" s="63" t="s">
        <v>71</v>
      </c>
      <c r="B16" s="64">
        <v>2</v>
      </c>
      <c r="C16" s="66">
        <v>19.600000000000001</v>
      </c>
      <c r="D16" s="65">
        <v>2.31</v>
      </c>
      <c r="E16" s="66">
        <v>14.93</v>
      </c>
      <c r="F16" s="65">
        <v>0.23100000000000001</v>
      </c>
      <c r="G16" s="65">
        <v>4.5999999999999999E-2</v>
      </c>
      <c r="H16" s="65">
        <v>0</v>
      </c>
      <c r="I16" s="65">
        <v>0.15</v>
      </c>
      <c r="J16" s="65">
        <v>0.23100000000000001</v>
      </c>
      <c r="K16" s="124">
        <v>43.3</v>
      </c>
      <c r="L16" s="101"/>
    </row>
    <row r="17" spans="1:12" x14ac:dyDescent="0.2">
      <c r="A17" s="63" t="s">
        <v>76</v>
      </c>
      <c r="B17" s="64">
        <v>3</v>
      </c>
      <c r="C17" s="66">
        <v>19.600000000000001</v>
      </c>
      <c r="D17" s="65">
        <v>2.31</v>
      </c>
      <c r="E17" s="66">
        <v>14.93</v>
      </c>
      <c r="F17" s="65">
        <v>0.23100000000000001</v>
      </c>
      <c r="G17" s="65">
        <v>4.5999999999999999E-2</v>
      </c>
      <c r="H17" s="65">
        <v>0</v>
      </c>
      <c r="I17" s="65">
        <v>0.15</v>
      </c>
      <c r="J17" s="65">
        <v>0.23100000000000001</v>
      </c>
      <c r="K17" s="124">
        <v>43.3</v>
      </c>
      <c r="L17" s="101"/>
    </row>
    <row r="18" spans="1:12" x14ac:dyDescent="0.2">
      <c r="A18" s="63" t="s">
        <v>15</v>
      </c>
      <c r="B18" s="64">
        <v>4</v>
      </c>
      <c r="C18" s="66">
        <v>17.07</v>
      </c>
      <c r="D18" s="66">
        <v>201</v>
      </c>
      <c r="E18" s="66">
        <v>13.01</v>
      </c>
      <c r="F18" s="65">
        <v>0.20100000000000001</v>
      </c>
      <c r="G18" s="65">
        <v>0.04</v>
      </c>
      <c r="H18" s="65">
        <v>0</v>
      </c>
      <c r="I18" s="65">
        <v>0.10100000000000001</v>
      </c>
      <c r="J18" s="65">
        <v>0.20100000000000001</v>
      </c>
      <c r="K18" s="124">
        <v>49.7</v>
      </c>
    </row>
    <row r="19" spans="1:12" x14ac:dyDescent="0.2">
      <c r="A19" s="63" t="s">
        <v>621</v>
      </c>
      <c r="B19" s="64"/>
      <c r="C19" s="66">
        <v>34.14</v>
      </c>
      <c r="D19" s="66">
        <v>40.299999999999997</v>
      </c>
      <c r="E19" s="66">
        <v>26.01</v>
      </c>
      <c r="F19" s="65">
        <v>0.40200000000000002</v>
      </c>
      <c r="G19" s="65">
        <v>0.08</v>
      </c>
      <c r="H19" s="65">
        <v>0</v>
      </c>
      <c r="I19" s="65">
        <v>201</v>
      </c>
      <c r="J19" s="65">
        <v>0.40200000000000002</v>
      </c>
      <c r="K19" s="124">
        <v>24.9</v>
      </c>
    </row>
    <row r="20" spans="1:12" x14ac:dyDescent="0.2">
      <c r="A20" s="63" t="s">
        <v>16</v>
      </c>
      <c r="B20" s="64">
        <v>5</v>
      </c>
      <c r="C20" s="66">
        <v>17.43</v>
      </c>
      <c r="D20" s="66">
        <v>2.06</v>
      </c>
      <c r="E20" s="66">
        <v>13.28</v>
      </c>
      <c r="F20" s="65">
        <v>0.20499999999999999</v>
      </c>
      <c r="G20" s="65">
        <v>4.1000000000000002E-2</v>
      </c>
      <c r="H20" s="65">
        <v>0</v>
      </c>
      <c r="I20" s="65">
        <v>0.10299999999999999</v>
      </c>
      <c r="J20" s="65">
        <v>0.20499999999999999</v>
      </c>
      <c r="K20" s="124">
        <v>48.7</v>
      </c>
    </row>
    <row r="21" spans="1:12" x14ac:dyDescent="0.2">
      <c r="A21" s="63" t="s">
        <v>72</v>
      </c>
      <c r="B21" s="64">
        <v>6</v>
      </c>
      <c r="C21" s="66">
        <v>8.7100000000000009</v>
      </c>
      <c r="D21" s="66">
        <v>1.03</v>
      </c>
      <c r="E21" s="66">
        <v>664</v>
      </c>
      <c r="F21" s="65">
        <v>103</v>
      </c>
      <c r="G21" s="65">
        <v>2.1000000000000001E-2</v>
      </c>
      <c r="H21" s="65">
        <v>0</v>
      </c>
      <c r="I21" s="65">
        <v>5.0999999999999997E-2</v>
      </c>
      <c r="J21" s="65">
        <v>0.10299999999999999</v>
      </c>
      <c r="K21" s="124">
        <v>97.4</v>
      </c>
    </row>
    <row r="22" spans="1:12" x14ac:dyDescent="0.2">
      <c r="A22" s="63" t="s">
        <v>230</v>
      </c>
      <c r="B22" s="64">
        <v>7</v>
      </c>
      <c r="C22" s="66">
        <v>17.43</v>
      </c>
      <c r="D22" s="66">
        <v>2.06</v>
      </c>
      <c r="E22" s="66">
        <v>13.28</v>
      </c>
      <c r="F22" s="65">
        <v>0.20499999999999999</v>
      </c>
      <c r="G22" s="65">
        <v>4.1000000000000002E-2</v>
      </c>
      <c r="H22" s="65">
        <v>0</v>
      </c>
      <c r="I22" s="65">
        <v>0.10299999999999999</v>
      </c>
      <c r="J22" s="65">
        <v>0.20499999999999999</v>
      </c>
      <c r="K22" s="124">
        <v>48.7</v>
      </c>
    </row>
    <row r="23" spans="1:12" x14ac:dyDescent="0.2">
      <c r="A23" s="63" t="s">
        <v>231</v>
      </c>
      <c r="B23" s="64">
        <v>8</v>
      </c>
      <c r="C23" s="66">
        <v>8.7100000000000009</v>
      </c>
      <c r="D23" s="66">
        <v>1.03</v>
      </c>
      <c r="E23" s="66">
        <v>664</v>
      </c>
      <c r="F23" s="65">
        <v>103</v>
      </c>
      <c r="G23" s="65">
        <v>2.1000000000000001E-2</v>
      </c>
      <c r="H23" s="65">
        <v>0</v>
      </c>
      <c r="I23" s="65">
        <v>5.0999999999999997E-2</v>
      </c>
      <c r="J23" s="65">
        <v>0.10299999999999999</v>
      </c>
      <c r="K23" s="124">
        <v>97.4</v>
      </c>
    </row>
    <row r="24" spans="1:12" x14ac:dyDescent="0.2">
      <c r="A24" s="63" t="s">
        <v>232</v>
      </c>
      <c r="B24" s="64"/>
      <c r="C24" s="66">
        <v>17.43</v>
      </c>
      <c r="D24" s="66">
        <v>2.06</v>
      </c>
      <c r="E24" s="66">
        <v>13.28</v>
      </c>
      <c r="F24" s="65">
        <v>0.20499999999999999</v>
      </c>
      <c r="G24" s="65">
        <v>4.1000000000000002E-2</v>
      </c>
      <c r="H24" s="65">
        <v>0</v>
      </c>
      <c r="I24" s="65">
        <v>0.10299999999999999</v>
      </c>
      <c r="J24" s="65">
        <v>0.20499999999999999</v>
      </c>
      <c r="K24" s="124">
        <v>48.7</v>
      </c>
    </row>
    <row r="25" spans="1:12" x14ac:dyDescent="0.2">
      <c r="A25" s="63" t="s">
        <v>233</v>
      </c>
      <c r="B25" s="64"/>
      <c r="C25" s="66">
        <v>8.7100000000000009</v>
      </c>
      <c r="D25" s="66">
        <v>1.03</v>
      </c>
      <c r="E25" s="66">
        <v>664</v>
      </c>
      <c r="F25" s="65">
        <v>103</v>
      </c>
      <c r="G25" s="65">
        <v>2.1000000000000001E-2</v>
      </c>
      <c r="H25" s="65">
        <v>0</v>
      </c>
      <c r="I25" s="65">
        <v>5.0999999999999997E-2</v>
      </c>
      <c r="J25" s="65">
        <v>0.10299999999999999</v>
      </c>
      <c r="K25" s="124">
        <v>97.4</v>
      </c>
    </row>
    <row r="26" spans="1:12" x14ac:dyDescent="0.2">
      <c r="A26" s="63" t="s">
        <v>58</v>
      </c>
      <c r="B26" s="64">
        <v>9</v>
      </c>
      <c r="C26" s="66">
        <v>21</v>
      </c>
      <c r="D26" s="66">
        <v>2.48</v>
      </c>
      <c r="E26" s="66">
        <v>16.04</v>
      </c>
      <c r="F26" s="65">
        <v>0.248</v>
      </c>
      <c r="G26" s="65">
        <v>0</v>
      </c>
      <c r="H26" s="65">
        <v>0</v>
      </c>
      <c r="I26" s="65">
        <v>0.124</v>
      </c>
      <c r="J26" s="65">
        <v>0.248</v>
      </c>
      <c r="K26" s="124">
        <v>40.299999999999997</v>
      </c>
    </row>
    <row r="27" spans="1:12" x14ac:dyDescent="0.2">
      <c r="A27" s="63" t="s">
        <v>59</v>
      </c>
      <c r="B27" s="64">
        <v>10</v>
      </c>
      <c r="C27" s="66">
        <v>27.99</v>
      </c>
      <c r="D27" s="66">
        <v>3.31</v>
      </c>
      <c r="E27" s="66">
        <v>2138</v>
      </c>
      <c r="F27" s="65">
        <v>0.33100000000000002</v>
      </c>
      <c r="G27" s="65">
        <v>0</v>
      </c>
      <c r="H27" s="65">
        <v>0</v>
      </c>
      <c r="I27" s="65">
        <v>0.16500000000000001</v>
      </c>
      <c r="J27" s="65">
        <v>0.33100000000000002</v>
      </c>
      <c r="K27" s="124">
        <v>303</v>
      </c>
    </row>
    <row r="28" spans="1:12" x14ac:dyDescent="0.2">
      <c r="A28" s="63" t="s">
        <v>60</v>
      </c>
      <c r="B28" s="64">
        <v>11</v>
      </c>
      <c r="C28" s="66">
        <v>34.99</v>
      </c>
      <c r="D28" s="66">
        <v>414</v>
      </c>
      <c r="E28" s="66">
        <v>26.73</v>
      </c>
      <c r="F28" s="65">
        <v>0.41299999999999998</v>
      </c>
      <c r="G28" s="65">
        <v>0</v>
      </c>
      <c r="H28" s="65">
        <v>0</v>
      </c>
      <c r="I28" s="65">
        <v>0.20699999999999999</v>
      </c>
      <c r="J28" s="65">
        <v>0.41299999999999998</v>
      </c>
      <c r="K28" s="124">
        <v>242</v>
      </c>
    </row>
    <row r="29" spans="1:12" x14ac:dyDescent="0.2">
      <c r="D29" s="10">
        <f>D15/C15</f>
        <v>0.11785714285714285</v>
      </c>
      <c r="E29" s="10">
        <f>E15/C15</f>
        <v>0.76173469387755099</v>
      </c>
    </row>
    <row r="33" spans="1:5" x14ac:dyDescent="0.2">
      <c r="A33" s="62" t="s">
        <v>99</v>
      </c>
      <c r="C33" s="62" t="s">
        <v>1</v>
      </c>
      <c r="E33" s="62" t="s">
        <v>90</v>
      </c>
    </row>
    <row r="34" spans="1:5" x14ac:dyDescent="0.2">
      <c r="A34" s="63" t="s">
        <v>75</v>
      </c>
      <c r="C34" s="63" t="s">
        <v>62</v>
      </c>
      <c r="E34" s="63" t="s">
        <v>119</v>
      </c>
    </row>
    <row r="35" spans="1:5" x14ac:dyDescent="0.2">
      <c r="A35" s="63" t="s">
        <v>77</v>
      </c>
      <c r="C35" s="63" t="s">
        <v>84</v>
      </c>
      <c r="E35" s="63" t="s">
        <v>118</v>
      </c>
    </row>
    <row r="36" spans="1:5" x14ac:dyDescent="0.2">
      <c r="A36" s="63" t="s">
        <v>113</v>
      </c>
      <c r="C36" s="62" t="s">
        <v>2</v>
      </c>
      <c r="E36" s="63" t="s">
        <v>115</v>
      </c>
    </row>
    <row r="37" spans="1:5" x14ac:dyDescent="0.2">
      <c r="A37" s="63" t="s">
        <v>114</v>
      </c>
      <c r="C37" s="63" t="s">
        <v>82</v>
      </c>
      <c r="E37" s="63" t="s">
        <v>116</v>
      </c>
    </row>
    <row r="38" spans="1:5" x14ac:dyDescent="0.2">
      <c r="A38" s="63"/>
      <c r="C38" s="63" t="s">
        <v>83</v>
      </c>
      <c r="E38" s="63" t="s">
        <v>117</v>
      </c>
    </row>
    <row r="39" spans="1:5" x14ac:dyDescent="0.2">
      <c r="A39" s="63"/>
      <c r="C39" s="63"/>
      <c r="E39" s="63"/>
    </row>
    <row r="40" spans="1:5" x14ac:dyDescent="0.2">
      <c r="A40" s="63"/>
      <c r="C40" s="63"/>
      <c r="E40" s="63"/>
    </row>
    <row r="41" spans="1:5" x14ac:dyDescent="0.2">
      <c r="A41" s="63"/>
      <c r="C41" s="63"/>
      <c r="E41" s="63"/>
    </row>
    <row r="42" spans="1:5" x14ac:dyDescent="0.2">
      <c r="A42" s="63"/>
      <c r="C42" s="63"/>
      <c r="E42" s="63"/>
    </row>
    <row r="43" spans="1:5" x14ac:dyDescent="0.2">
      <c r="A43" s="63"/>
      <c r="C43" s="63"/>
      <c r="E43" s="63"/>
    </row>
    <row r="44" spans="1:5" x14ac:dyDescent="0.2">
      <c r="A44" s="63"/>
      <c r="C44" s="63"/>
      <c r="E44" s="6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E0CA27-B367-43D9-8A8D-0F1D800357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3</vt:i4>
      </vt:variant>
    </vt:vector>
  </HeadingPairs>
  <TitlesOfParts>
    <vt:vector size="7" baseType="lpstr">
      <vt:lpstr>рапорт</vt:lpstr>
      <vt:lpstr>Простои</vt:lpstr>
      <vt:lpstr>сырье</vt:lpstr>
      <vt:lpstr>инфо</vt:lpstr>
      <vt:lpstr>Линия</vt:lpstr>
      <vt:lpstr>Мастер</vt:lpstr>
      <vt:lpstr>Продукт</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Beketova</dc:creator>
  <cp:lastModifiedBy>Tectum Engineering</cp:lastModifiedBy>
  <dcterms:created xsi:type="dcterms:W3CDTF">2015-06-05T18:19:34Z</dcterms:created>
  <dcterms:modified xsi:type="dcterms:W3CDTF">2026-06-24T02:58:48Z</dcterms:modified>
</cp:coreProperties>
</file>