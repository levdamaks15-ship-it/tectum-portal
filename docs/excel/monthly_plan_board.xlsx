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Наталия\Downloads\"/>
    </mc:Choice>
  </mc:AlternateContent>
  <xr:revisionPtr revIDLastSave="0" documentId="13_ncr:1_{8850F76A-F9E2-4753-8C19-FDBC344EB8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Выработка" sheetId="1" r:id="rId1"/>
    <sheet name="Итоги" sheetId="2" r:id="rId2"/>
    <sheet name="Списки" sheetId="3" state="hidden" r:id="rId3"/>
  </sheets>
  <definedNames>
    <definedName name="MasterList">Списки!$A$2:$A$5</definedName>
    <definedName name="ShiftList">Списки!$B$2:$B$5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Выработка_4da66718-4625-4132-9503-5cdab01fa7fd" name="Выработка" connection="Запрос — Выработка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C13" i="2"/>
  <c r="C14" i="2"/>
  <c r="C15" i="2"/>
  <c r="C16" i="2"/>
  <c r="C17" i="2"/>
  <c r="C18" i="2"/>
  <c r="C19" i="2"/>
  <c r="C20" i="2"/>
  <c r="B12" i="2"/>
  <c r="C12" i="2" s="1"/>
  <c r="B13" i="2"/>
  <c r="B14" i="2"/>
  <c r="B15" i="2"/>
  <c r="B16" i="2"/>
  <c r="B17" i="2"/>
  <c r="B18" i="2"/>
  <c r="B19" i="2"/>
  <c r="B20" i="2"/>
  <c r="E5" i="2"/>
  <c r="E3" i="2"/>
  <c r="A4" i="2"/>
  <c r="A8" i="2" l="1" a="1"/>
  <c r="A8" i="2" s="1"/>
  <c r="B8" i="2" s="1"/>
  <c r="C8" i="2" s="1"/>
  <c r="E9" i="2"/>
  <c r="E12" i="2"/>
  <c r="E11" i="2"/>
  <c r="E6" i="2"/>
  <c r="E7" i="2" s="1"/>
  <c r="E13" i="2" l="1"/>
  <c r="E10" i="2"/>
  <c r="B9" i="2"/>
  <c r="C9" i="2" s="1"/>
  <c r="B10" i="2"/>
  <c r="C10" i="2" s="1"/>
  <c r="B11" i="2"/>
  <c r="C11" i="2" s="1"/>
  <c r="E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4393C-9421-4F0F-BE98-411D43EA838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0E71D6-01F8-4720-9BD1-4FABE26EE264}" name="Запрос — Выработка" description="Соединение с запросом &quot;Выработка&quot; в книге." type="100" refreshedVersion="8" minRefreshableVersion="5">
    <extLst>
      <ext xmlns:x15="http://schemas.microsoft.com/office/spreadsheetml/2010/11/main" uri="{DE250136-89BD-433C-8126-D09CA5730AF9}">
        <x15:connection id="5ec1fc93-9636-4e59-bad5-b780c4cfa7b4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<sst xmlns="http://schemas.openxmlformats.org/spreadsheetml/2006/main" count="250" uniqueCount="56">
  <si>
    <t>Дата</t>
  </si>
  <si>
    <t>Тип смены</t>
  </si>
  <si>
    <t>Мастер</t>
  </si>
  <si>
    <t>Смена</t>
  </si>
  <si>
    <t>План</t>
  </si>
  <si>
    <t>Факт</t>
  </si>
  <si>
    <t>02.06.2026</t>
  </si>
  <si>
    <t>Ночь</t>
  </si>
  <si>
    <t>Султанулы С.</t>
  </si>
  <si>
    <t>День</t>
  </si>
  <si>
    <t>Дауылбай М.</t>
  </si>
  <si>
    <t>03.06.2026</t>
  </si>
  <si>
    <t>Монаев С.</t>
  </si>
  <si>
    <t>04.06.2026</t>
  </si>
  <si>
    <t>Бекбосынов Р.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</si>
  <si>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</si>
  <si>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</si>
  <si>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</si>
  <si>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</si>
  <si>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</si>
  <si>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</si>
  <si>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</si>
  <si>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</si>
  <si>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</si>
  <si>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</si>
  <si>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</si>
  <si>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</si>
  <si>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</si>
  <si>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</si>
  <si>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</si>
  <si>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</si>
  <si>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</si>
  <si>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</si>
  <si>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</si>
  <si>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</si>
  <si>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</si>
  <si>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</si>
  <si>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</si>
  <si>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</si>
  <si>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</si>
  <si>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</si>
  <si>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Линия</t>
  </si>
  <si>
    <t>Линия 2</t>
  </si>
  <si>
    <t>Месяц</t>
  </si>
  <si>
    <t>Контроль выполнения плана</t>
  </si>
  <si>
    <t>План месяца</t>
  </si>
  <si>
    <t>Выберите месяц</t>
  </si>
  <si>
    <t>Факт за месяц</t>
  </si>
  <si>
    <t>Остаток до плана</t>
  </si>
  <si>
    <t>% выполнения</t>
  </si>
  <si>
    <t>Смен с фактом</t>
  </si>
  <si>
    <t>Средняя выработка за смену</t>
  </si>
  <si>
    <t>Смен всего в месяце</t>
  </si>
  <si>
    <t>Осталось смен без факта</t>
  </si>
  <si>
    <t>Нужно в среднем за оставшуюся смену</t>
  </si>
  <si>
    <t>% от плана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</si>
</sst>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mmmm\ yyyy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/>
    <xf numFmtId="164" fontId="1" fillId="2" borderId="1" xfId="0" applyNumberFormat="1" applyFont="1" applyFill="1" applyBorder="1" applyAlignment="1">
      <alignment horizontal="center"/>
    </xf>
    <xf numFmtId="164" fontId="2" fillId="0" borderId="4" xfId="0" applyNumberFormat="1" applyFont="1" applyBorder="1"/>
    <xf numFmtId="164" fontId="2" fillId="0" borderId="7" xfId="0" applyNumberFormat="1" applyFont="1" applyBorder="1"/>
    <xf numFmtId="1" fontId="1" fillId="2" borderId="2" xfId="0" applyNumberFormat="1" applyFont="1" applyFill="1" applyBorder="1" applyAlignment="1">
      <alignment horizontal="center"/>
    </xf>
    <xf numFmtId="1" fontId="2" fillId="0" borderId="5" xfId="0" applyNumberFormat="1" applyFont="1" applyBorder="1"/>
    <xf numFmtId="1" fontId="2" fillId="0" borderId="8" xfId="0" applyNumberFormat="1" applyFont="1" applyBorder="1"/>
    <xf numFmtId="3" fontId="1" fillId="2" borderId="2" xfId="0" applyNumberFormat="1" applyFont="1" applyFill="1" applyBorder="1" applyAlignment="1">
      <alignment horizontal="center"/>
    </xf>
    <xf numFmtId="3" fontId="2" fillId="0" borderId="5" xfId="0" applyNumberFormat="1" applyFont="1" applyBorder="1"/>
    <xf numFmtId="3" fontId="2" fillId="0" borderId="8" xfId="0" applyNumberFormat="1" applyFont="1" applyBorder="1"/>
    <xf numFmtId="3" fontId="1" fillId="2" borderId="3" xfId="0" applyNumberFormat="1" applyFont="1" applyFill="1" applyBorder="1" applyAlignment="1">
      <alignment horizontal="center"/>
    </xf>
    <xf numFmtId="3" fontId="2" fillId="0" borderId="6" xfId="0" applyNumberFormat="1" applyFont="1" applyBorder="1"/>
    <xf numFmtId="3" fontId="2" fillId="0" borderId="9" xfId="0" applyNumberFormat="1" applyFont="1" applyBorder="1"/>
    <xf numFmtId="165" fontId="2" fillId="0" borderId="4" xfId="0" applyNumberFormat="1" applyFont="1" applyBorder="1"/>
    <xf numFmtId="165" fontId="2" fillId="0" borderId="7" xfId="0" applyNumberFormat="1" applyFont="1" applyBorder="1"/>
    <xf numFmtId="165" fontId="0" fillId="0" borderId="0" xfId="0" applyNumberFormat="1"/>
    <xf numFmtId="3" fontId="0" fillId="0" borderId="0" xfId="0" applyNumberFormat="1"/>
    <xf numFmtId="0" fontId="4" fillId="3" borderId="0" xfId="0" applyFont="1" applyFill="1"/>
    <xf numFmtId="165" fontId="0" fillId="4" borderId="0" xfId="0" applyNumberForma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0" fillId="0" borderId="5" xfId="0" applyBorder="1"/>
    <xf numFmtId="0" fontId="3" fillId="2" borderId="5" xfId="0" applyFont="1" applyFill="1" applyBorder="1" applyAlignment="1">
      <alignment horizontal="center"/>
    </xf>
    <xf numFmtId="3" fontId="4" fillId="0" borderId="5" xfId="0" applyNumberFormat="1" applyFont="1" applyBorder="1"/>
    <xf numFmtId="166" fontId="4" fillId="0" borderId="5" xfId="0" applyNumberFormat="1" applyFont="1" applyBorder="1"/>
    <xf numFmtId="3" fontId="0" fillId="0" borderId="5" xfId="0" applyNumberFormat="1" applyBorder="1"/>
    <xf numFmtId="166" fontId="0" fillId="0" borderId="5" xfId="0" applyNumberFormat="1" applyBorder="1"/>
    <xf numFmtId="0" fontId="5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16">
    <dxf>
      <numFmt numFmtId="3" formatCode="#,##0"/>
    </dxf>
    <dxf>
      <numFmt numFmtId="165" formatCode="mmmm\ yyyy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sz val="11"/>
        <name val="Calibri"/>
      </font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1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mmm\ 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1"/>
        <name val="Calibri"/>
      </font>
      <numFmt numFmtId="164" formatCode="dd\.mm\.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1"/>
        <name val="Calibri"/>
      </font>
    </dxf>
    <dxf>
      <border>
        <bottom style="thin">
          <color auto="1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65CC9-2574-4A5B-AF0F-9DED9A8EA9CA}" name="ТаблицаВыработки" displayName="ТаблицаВыработки" ref="A1:H201" totalsRowShown="0" headerRowDxfId="15" dataDxfId="13" headerRowBorderDxfId="14" tableBorderDxfId="12" totalsRowBorderDxfId="11">
  <autoFilter ref="A1:H201" xr:uid="{13365CC9-2574-4A5B-AF0F-9DED9A8EA9CA}">
    <filterColumn colId="4">
      <filters>
        <filter val="Дауылбай М."/>
      </filters>
    </filterColumn>
  </autoFilter>
  <tableColumns count="8">
    <tableColumn id="1" xr3:uid="{3BA0CBAB-7C94-4488-BA49-117ED318B0C0}" name="Дата" dataDxfId="10"/>
    <tableColumn id="8" xr3:uid="{6AFB7A77-80D6-44F7-9E1A-98A43A097471}" name="Месяц" dataDxfId="9">
      <calculatedColumnFormula>IF(ТаблицаВыработки[[#This Row],[Дата]]="","",DATE(VALUE(RIGHT(ТаблицаВыработки[[#This Row],[Дата]],4)),VALUE(MID(ТаблицаВыработки[[#This Row],[Дата]],4,2)),1))</calculatedColumnFormula>
    </tableColumn>
    <tableColumn id="2" xr3:uid="{5788210B-8F12-4E3D-BD9E-C1C9F58772F0}" name="Тип смены" dataDxfId="8"/>
    <tableColumn id="7" xr3:uid="{052F1BCD-A4DE-4981-B453-322303F33936}" name="Линия" dataDxfId="7"/>
    <tableColumn id="3" xr3:uid="{21CB8B77-27C8-43C4-8686-B348DD9C6FA6}" name="Мастер" dataDxfId="6"/>
    <tableColumn id="4" xr3:uid="{42951C3E-A41B-417E-BAE1-7419E8C5C627}" name="Смена" dataDxfId="5"/>
    <tableColumn id="5" xr3:uid="{EEBD610F-3C64-42F7-B280-AB7E17626FDD}" name="План" dataDxfId="4">
      <calculatedColumnFormula>IF(ТаблицаВыработки[[#This Row],[Тип смены]]="День",2700,IF(ТаблицаВыработки[[#This Row],[Тип смены]]="Ночь",3300,""))</calculatedColumnFormula>
    </tableColumn>
    <tableColumn id="6" xr3:uid="{0C89C435-4BCC-4DED-8F8B-C1CB872995E5}" name="Факт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CCDF5-0358-4F7E-99CB-201EA04C5527}" name="ПланПоМесяцам" displayName="ПланПоМесяцам" ref="A3:B4" totalsRowShown="0" headerRowDxfId="2">
  <autoFilter ref="A3:B4" xr:uid="{E9FCCDF5-0358-4F7E-99CB-201EA04C5527}"/>
  <tableColumns count="2">
    <tableColumn id="1" xr3:uid="{50DF5E41-77D0-4E40-B095-AA06EAD010BE}" name="Месяц" dataDxfId="1">
      <calculatedColumnFormula>DATE(2026,6,1)</calculatedColumnFormula>
    </tableColumn>
    <tableColumn id="2" xr3:uid="{E3C8659C-91DD-4008-AE8E-EC7E0C5B705C}" name="План месяца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2" activePane="bottomLeft" state="frozen"/>
      <selection pane="bottomLeft" activeCell="J45" sqref="J45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5.5703125" bestFit="1" customWidth="1"/>
    <col min="4" max="4" width="11.28515625" bestFit="1" customWidth="1"/>
    <col min="5" max="5" width="14.42578125" bestFit="1" customWidth="1"/>
    <col min="6" max="6" width="11.5703125" bestFit="1" customWidth="1"/>
    <col min="7" max="7" width="10.140625" bestFit="1" customWidth="1"/>
    <col min="8" max="8" width="10" bestFit="1" customWidth="1"/>
  </cols>
  <sheetData>
    <row r="1" spans="1:8" x14ac:dyDescent="0.25">
      <c r="A1" s="4" t="s">
        <v>0</v>
      </c>
      <c r="B1" s="4" t="s">
        <v>43</v>
      </c>
      <c r="C1" s="1" t="s">
        <v>1</v>
      </c>
      <c r="D1" s="1" t="s">
        <v>41</v>
      </c>
      <c r="E1" s="1" t="s">
        <v>2</v>
      </c>
      <c r="F1" s="7" t="s">
        <v>3</v>
      </c>
      <c r="G1" s="10" t="s">
        <v>4</v>
      </c>
      <c r="H1" s="13" t="s">
        <v>5</v>
      </c>
    </row>
    <row r="2" spans="1:8" hidden="1" x14ac:dyDescent="0.25">
      <c r="A2" s="5" t="s">
        <v>6</v>
      </c>
      <c r="B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" s="2" t="s">
        <v>7</v>
      </c>
      <c r="D2" s="2" t="s">
        <v>42</v>
      </c>
      <c r="E2" s="2" t="s">
        <v>8</v>
      </c>
      <c r="F2" s="8">
        <v>3</v>
      </c>
      <c r="G2" s="11">
        <f>IF(ТаблицаВыработки[[#This Row],[Тип смены]]="День",2700,IF(ТаблицаВыработки[[#This Row],[Тип смены]]="Ночь",3300,""))</f>
        <v>3300</v>
      </c>
      <c r="H2" s="14">
        <v>990</v>
      </c>
    </row>
    <row r="3" spans="1:8" x14ac:dyDescent="0.25">
      <c r="A3" s="5" t="s">
        <v>6</v>
      </c>
      <c r="B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" s="2" t="s">
        <v>9</v>
      </c>
      <c r="D3" s="2" t="s">
        <v>42</v>
      </c>
      <c r="E3" s="2" t="s">
        <v>10</v>
      </c>
      <c r="F3" s="8">
        <v>4</v>
      </c>
      <c r="G3" s="11">
        <f>IF(ТаблицаВыработки[[#This Row],[Тип смены]]="День",2700,IF(ТаблицаВыработки[[#This Row],[Тип смены]]="Ночь",3300,""))</f>
        <v>2700</v>
      </c>
      <c r="H3" s="14">
        <v>140</v>
      </c>
    </row>
    <row r="4" spans="1:8" hidden="1" x14ac:dyDescent="0.25">
      <c r="A4" s="5" t="s">
        <v>11</v>
      </c>
      <c r="B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" s="2" t="s">
        <v>9</v>
      </c>
      <c r="D4" s="2" t="s">
        <v>42</v>
      </c>
      <c r="E4" s="2" t="s">
        <v>12</v>
      </c>
      <c r="F4" s="8">
        <v>2</v>
      </c>
      <c r="G4" s="11">
        <f>IF(ТаблицаВыработки[[#This Row],[Тип смены]]="День",2700,IF(ТаблицаВыработки[[#This Row],[Тип смены]]="Ночь",3300,""))</f>
        <v>2700</v>
      </c>
      <c r="H4" s="14">
        <v>800</v>
      </c>
    </row>
    <row r="5" spans="1:8" x14ac:dyDescent="0.25">
      <c r="A5" s="5" t="s">
        <v>11</v>
      </c>
      <c r="B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" s="2" t="s">
        <v>7</v>
      </c>
      <c r="D5" s="2" t="s">
        <v>42</v>
      </c>
      <c r="E5" s="2" t="s">
        <v>10</v>
      </c>
      <c r="F5" s="8">
        <v>4</v>
      </c>
      <c r="G5" s="11">
        <f>IF(ТаблицаВыработки[[#This Row],[Тип смены]]="День",2700,IF(ТаблицаВыработки[[#This Row],[Тип смены]]="Ночь",3300,""))</f>
        <v>3300</v>
      </c>
      <c r="H5" s="14">
        <v>1420</v>
      </c>
    </row>
    <row r="6" spans="1:8" hidden="1" x14ac:dyDescent="0.25">
      <c r="A6" s="5" t="s">
        <v>13</v>
      </c>
      <c r="B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6" s="2" t="s">
        <v>9</v>
      </c>
      <c r="D6" s="2" t="s">
        <v>42</v>
      </c>
      <c r="E6" s="2" t="s">
        <v>14</v>
      </c>
      <c r="F6" s="8">
        <v>1</v>
      </c>
      <c r="G6" s="11">
        <f>IF(ТаблицаВыработки[[#This Row],[Тип смены]]="День",2700,IF(ТаблицаВыработки[[#This Row],[Тип смены]]="Ночь",3300,""))</f>
        <v>2700</v>
      </c>
      <c r="H6" s="14">
        <v>390</v>
      </c>
    </row>
    <row r="7" spans="1:8" hidden="1" x14ac:dyDescent="0.25">
      <c r="A7" s="5" t="s">
        <v>13</v>
      </c>
      <c r="B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7" s="2" t="s">
        <v>7</v>
      </c>
      <c r="D7" s="2" t="s">
        <v>42</v>
      </c>
      <c r="E7" s="2" t="s">
        <v>12</v>
      </c>
      <c r="F7" s="8">
        <v>2</v>
      </c>
      <c r="G7" s="11">
        <f>IF(ТаблицаВыработки[[#This Row],[Тип смены]]="День",2700,IF(ТаблицаВыработки[[#This Row],[Тип смены]]="Ночь",3300,""))</f>
        <v>3300</v>
      </c>
      <c r="H7" s="14">
        <v>2280</v>
      </c>
    </row>
    <row r="8" spans="1:8" hidden="1" x14ac:dyDescent="0.25">
      <c r="A8" s="5" t="s">
        <v>15</v>
      </c>
      <c r="B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8" s="2" t="s">
        <v>7</v>
      </c>
      <c r="D8" s="2" t="s">
        <v>42</v>
      </c>
      <c r="E8" s="2" t="s">
        <v>14</v>
      </c>
      <c r="F8" s="8">
        <v>1</v>
      </c>
      <c r="G8" s="11">
        <f>IF(ТаблицаВыработки[[#This Row],[Тип смены]]="День",2700,IF(ТаблицаВыработки[[#This Row],[Тип смены]]="Ночь",3300,""))</f>
        <v>3300</v>
      </c>
      <c r="H8" s="14">
        <v>3200</v>
      </c>
    </row>
    <row r="9" spans="1:8" hidden="1" x14ac:dyDescent="0.25">
      <c r="A9" s="5" t="s">
        <v>15</v>
      </c>
      <c r="B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9" s="2" t="s">
        <v>9</v>
      </c>
      <c r="D9" s="2" t="s">
        <v>42</v>
      </c>
      <c r="E9" s="2" t="s">
        <v>8</v>
      </c>
      <c r="F9" s="8">
        <v>3</v>
      </c>
      <c r="G9" s="11">
        <f>IF(ТаблицаВыработки[[#This Row],[Тип смены]]="День",2700,IF(ТаблицаВыработки[[#This Row],[Тип смены]]="Ночь",3300,""))</f>
        <v>2700</v>
      </c>
      <c r="H9" s="14">
        <v>2488</v>
      </c>
    </row>
    <row r="10" spans="1:8" hidden="1" x14ac:dyDescent="0.25">
      <c r="A10" s="5" t="s">
        <v>16</v>
      </c>
      <c r="B1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0" s="2" t="s">
        <v>7</v>
      </c>
      <c r="D10" s="2" t="s">
        <v>42</v>
      </c>
      <c r="E10" s="2" t="s">
        <v>8</v>
      </c>
      <c r="F10" s="8">
        <v>3</v>
      </c>
      <c r="G10" s="11">
        <f>IF(ТаблицаВыработки[[#This Row],[Тип смены]]="День",2700,IF(ТаблицаВыработки[[#This Row],[Тип смены]]="Ночь",3300,""))</f>
        <v>3300</v>
      </c>
      <c r="H10" s="14">
        <v>2856</v>
      </c>
    </row>
    <row r="11" spans="1:8" x14ac:dyDescent="0.25">
      <c r="A11" s="5" t="s">
        <v>16</v>
      </c>
      <c r="B1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1" s="2" t="s">
        <v>9</v>
      </c>
      <c r="D11" s="2" t="s">
        <v>42</v>
      </c>
      <c r="E11" s="2" t="s">
        <v>10</v>
      </c>
      <c r="F11" s="8">
        <v>4</v>
      </c>
      <c r="G11" s="11">
        <f>IF(ТаблицаВыработки[[#This Row],[Тип смены]]="День",2700,IF(ТаблицаВыработки[[#This Row],[Тип смены]]="Ночь",3300,""))</f>
        <v>2700</v>
      </c>
      <c r="H11" s="14">
        <v>2800</v>
      </c>
    </row>
    <row r="12" spans="1:8" hidden="1" x14ac:dyDescent="0.25">
      <c r="A12" s="5" t="s">
        <v>17</v>
      </c>
      <c r="B1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2" s="2" t="s">
        <v>9</v>
      </c>
      <c r="D12" s="2" t="s">
        <v>42</v>
      </c>
      <c r="E12" s="2" t="s">
        <v>12</v>
      </c>
      <c r="F12" s="8">
        <v>2</v>
      </c>
      <c r="G12" s="11">
        <f>IF(ТаблицаВыработки[[#This Row],[Тип смены]]="День",2700,IF(ТаблицаВыработки[[#This Row],[Тип смены]]="Ночь",3300,""))</f>
        <v>2700</v>
      </c>
      <c r="H12" s="14">
        <v>1890</v>
      </c>
    </row>
    <row r="13" spans="1:8" x14ac:dyDescent="0.25">
      <c r="A13" s="5" t="s">
        <v>17</v>
      </c>
      <c r="B1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3" s="2" t="s">
        <v>7</v>
      </c>
      <c r="D13" s="2" t="s">
        <v>42</v>
      </c>
      <c r="E13" s="2" t="s">
        <v>10</v>
      </c>
      <c r="F13" s="8">
        <v>4</v>
      </c>
      <c r="G13" s="11">
        <f>IF(ТаблицаВыработки[[#This Row],[Тип смены]]="День",2700,IF(ТаблицаВыработки[[#This Row],[Тип смены]]="Ночь",3300,""))</f>
        <v>3300</v>
      </c>
      <c r="H13" s="14">
        <v>3070</v>
      </c>
    </row>
    <row r="14" spans="1:8" hidden="1" x14ac:dyDescent="0.25">
      <c r="A14" s="5" t="s">
        <v>18</v>
      </c>
      <c r="B1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4" s="2" t="s">
        <v>9</v>
      </c>
      <c r="D14" s="2" t="s">
        <v>42</v>
      </c>
      <c r="E14" s="2" t="s">
        <v>14</v>
      </c>
      <c r="F14" s="8">
        <v>1</v>
      </c>
      <c r="G14" s="11">
        <f>IF(ТаблицаВыработки[[#This Row],[Тип смены]]="День",2700,IF(ТаблицаВыработки[[#This Row],[Тип смены]]="Ночь",3300,""))</f>
        <v>2700</v>
      </c>
      <c r="H14" s="14">
        <v>2690</v>
      </c>
    </row>
    <row r="15" spans="1:8" hidden="1" x14ac:dyDescent="0.25">
      <c r="A15" s="5" t="s">
        <v>18</v>
      </c>
      <c r="B1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5" s="2" t="s">
        <v>7</v>
      </c>
      <c r="D15" s="2" t="s">
        <v>42</v>
      </c>
      <c r="E15" s="2" t="s">
        <v>12</v>
      </c>
      <c r="F15" s="8">
        <v>2</v>
      </c>
      <c r="G15" s="11">
        <f>IF(ТаблицаВыработки[[#This Row],[Тип смены]]="День",2700,IF(ТаблицаВыработки[[#This Row],[Тип смены]]="Ночь",3300,""))</f>
        <v>3300</v>
      </c>
      <c r="H15" s="14">
        <v>2780</v>
      </c>
    </row>
    <row r="16" spans="1:8" hidden="1" x14ac:dyDescent="0.25">
      <c r="A16" s="5" t="s">
        <v>19</v>
      </c>
      <c r="B1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6" s="2" t="s">
        <v>7</v>
      </c>
      <c r="D16" s="2" t="s">
        <v>42</v>
      </c>
      <c r="E16" s="2" t="s">
        <v>14</v>
      </c>
      <c r="F16" s="8">
        <v>1</v>
      </c>
      <c r="G16" s="11">
        <f>IF(ТаблицаВыработки[[#This Row],[Тип смены]]="День",2700,IF(ТаблицаВыработки[[#This Row],[Тип смены]]="Ночь",3300,""))</f>
        <v>3300</v>
      </c>
      <c r="H16" s="14">
        <v>3144</v>
      </c>
    </row>
    <row r="17" spans="1:8" hidden="1" x14ac:dyDescent="0.25">
      <c r="A17" s="5" t="s">
        <v>19</v>
      </c>
      <c r="B1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7" s="2" t="s">
        <v>9</v>
      </c>
      <c r="D17" s="2" t="s">
        <v>42</v>
      </c>
      <c r="E17" s="2" t="s">
        <v>8</v>
      </c>
      <c r="F17" s="8">
        <v>3</v>
      </c>
      <c r="G17" s="11">
        <f>IF(ТаблицаВыработки[[#This Row],[Тип смены]]="День",2700,IF(ТаблицаВыработки[[#This Row],[Тип смены]]="Ночь",3300,""))</f>
        <v>2700</v>
      </c>
      <c r="H17" s="14">
        <v>2150</v>
      </c>
    </row>
    <row r="18" spans="1:8" hidden="1" x14ac:dyDescent="0.25">
      <c r="A18" s="5" t="s">
        <v>20</v>
      </c>
      <c r="B1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8" s="2" t="s">
        <v>7</v>
      </c>
      <c r="D18" s="2" t="s">
        <v>42</v>
      </c>
      <c r="E18" s="2" t="s">
        <v>8</v>
      </c>
      <c r="F18" s="8">
        <v>3</v>
      </c>
      <c r="G18" s="11">
        <f>IF(ТаблицаВыработки[[#This Row],[Тип смены]]="День",2700,IF(ТаблицаВыработки[[#This Row],[Тип смены]]="Ночь",3300,""))</f>
        <v>3300</v>
      </c>
      <c r="H18" s="14">
        <v>2250</v>
      </c>
    </row>
    <row r="19" spans="1:8" x14ac:dyDescent="0.25">
      <c r="A19" s="5" t="s">
        <v>20</v>
      </c>
      <c r="B1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9" s="2" t="s">
        <v>9</v>
      </c>
      <c r="D19" s="2" t="s">
        <v>42</v>
      </c>
      <c r="E19" s="2" t="s">
        <v>10</v>
      </c>
      <c r="F19" s="8">
        <v>4</v>
      </c>
      <c r="G19" s="11">
        <f>IF(ТаблицаВыработки[[#This Row],[Тип смены]]="День",2700,IF(ТаблицаВыработки[[#This Row],[Тип смены]]="Ночь",3300,""))</f>
        <v>2700</v>
      </c>
      <c r="H19" s="14">
        <v>768</v>
      </c>
    </row>
    <row r="20" spans="1:8" hidden="1" x14ac:dyDescent="0.25">
      <c r="A20" s="5" t="s">
        <v>21</v>
      </c>
      <c r="B2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0" s="2" t="s">
        <v>9</v>
      </c>
      <c r="D20" s="2" t="s">
        <v>42</v>
      </c>
      <c r="E20" s="2" t="s">
        <v>12</v>
      </c>
      <c r="F20" s="8">
        <v>2</v>
      </c>
      <c r="G20" s="11">
        <f>IF(ТаблицаВыработки[[#This Row],[Тип смены]]="День",2700,IF(ТаблицаВыработки[[#This Row],[Тип смены]]="Ночь",3300,""))</f>
        <v>2700</v>
      </c>
      <c r="H20" s="14">
        <v>2280</v>
      </c>
    </row>
    <row r="21" spans="1:8" x14ac:dyDescent="0.25">
      <c r="A21" s="5" t="s">
        <v>21</v>
      </c>
      <c r="B2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1" s="2" t="s">
        <v>7</v>
      </c>
      <c r="D21" s="2" t="s">
        <v>42</v>
      </c>
      <c r="E21" s="2" t="s">
        <v>10</v>
      </c>
      <c r="F21" s="8">
        <v>4</v>
      </c>
      <c r="G21" s="11">
        <f>IF(ТаблицаВыработки[[#This Row],[Тип смены]]="День",2700,IF(ТаблицаВыработки[[#This Row],[Тип смены]]="Ночь",3300,""))</f>
        <v>3300</v>
      </c>
      <c r="H21" s="14">
        <v>3200</v>
      </c>
    </row>
    <row r="22" spans="1:8" hidden="1" x14ac:dyDescent="0.25">
      <c r="A22" s="5" t="s">
        <v>22</v>
      </c>
      <c r="B2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2" s="2" t="s">
        <v>9</v>
      </c>
      <c r="D22" s="2" t="s">
        <v>42</v>
      </c>
      <c r="E22" s="2" t="s">
        <v>14</v>
      </c>
      <c r="F22" s="8">
        <v>1</v>
      </c>
      <c r="G22" s="11">
        <f>IF(ТаблицаВыработки[[#This Row],[Тип смены]]="День",2700,IF(ТаблицаВыработки[[#This Row],[Тип смены]]="Ночь",3300,""))</f>
        <v>2700</v>
      </c>
      <c r="H22" s="14">
        <v>1492</v>
      </c>
    </row>
    <row r="23" spans="1:8" hidden="1" x14ac:dyDescent="0.25">
      <c r="A23" s="5" t="s">
        <v>22</v>
      </c>
      <c r="B2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3" s="2" t="s">
        <v>7</v>
      </c>
      <c r="D23" s="2" t="s">
        <v>42</v>
      </c>
      <c r="E23" s="2" t="s">
        <v>12</v>
      </c>
      <c r="F23" s="8">
        <v>2</v>
      </c>
      <c r="G23" s="11">
        <f>IF(ТаблицаВыработки[[#This Row],[Тип смены]]="День",2700,IF(ТаблицаВыработки[[#This Row],[Тип смены]]="Ночь",3300,""))</f>
        <v>3300</v>
      </c>
      <c r="H23" s="14">
        <v>2296</v>
      </c>
    </row>
    <row r="24" spans="1:8" hidden="1" x14ac:dyDescent="0.25">
      <c r="A24" s="5" t="s">
        <v>23</v>
      </c>
      <c r="B2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4" s="2" t="s">
        <v>7</v>
      </c>
      <c r="D24" s="2" t="s">
        <v>42</v>
      </c>
      <c r="E24" s="2" t="s">
        <v>14</v>
      </c>
      <c r="F24" s="8">
        <v>1</v>
      </c>
      <c r="G24" s="11">
        <f>IF(ТаблицаВыработки[[#This Row],[Тип смены]]="День",2700,IF(ТаблицаВыработки[[#This Row],[Тип смены]]="Ночь",3300,""))</f>
        <v>3300</v>
      </c>
      <c r="H24" s="14">
        <v>2050</v>
      </c>
    </row>
    <row r="25" spans="1:8" hidden="1" x14ac:dyDescent="0.25">
      <c r="A25" s="5" t="s">
        <v>23</v>
      </c>
      <c r="B2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5" s="2" t="s">
        <v>9</v>
      </c>
      <c r="D25" s="2" t="s">
        <v>42</v>
      </c>
      <c r="E25" s="2" t="s">
        <v>8</v>
      </c>
      <c r="F25" s="8">
        <v>3</v>
      </c>
      <c r="G25" s="11">
        <f>IF(ТаблицаВыработки[[#This Row],[Тип смены]]="День",2700,IF(ТаблицаВыработки[[#This Row],[Тип смены]]="Ночь",3300,""))</f>
        <v>2700</v>
      </c>
      <c r="H25" s="14">
        <v>1180</v>
      </c>
    </row>
    <row r="26" spans="1:8" hidden="1" x14ac:dyDescent="0.25">
      <c r="A26" s="5" t="s">
        <v>24</v>
      </c>
      <c r="B2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6" s="2" t="s">
        <v>7</v>
      </c>
      <c r="D26" s="2" t="s">
        <v>42</v>
      </c>
      <c r="E26" s="2" t="s">
        <v>8</v>
      </c>
      <c r="F26" s="8">
        <v>3</v>
      </c>
      <c r="G26" s="11">
        <f>IF(ТаблицаВыработки[[#This Row],[Тип смены]]="День",2700,IF(ТаблицаВыработки[[#This Row],[Тип смены]]="Ночь",3300,""))</f>
        <v>3300</v>
      </c>
      <c r="H26" s="14">
        <v>2730</v>
      </c>
    </row>
    <row r="27" spans="1:8" x14ac:dyDescent="0.25">
      <c r="A27" s="5" t="s">
        <v>24</v>
      </c>
      <c r="B2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7" s="2" t="s">
        <v>9</v>
      </c>
      <c r="D27" s="2" t="s">
        <v>42</v>
      </c>
      <c r="E27" s="2" t="s">
        <v>10</v>
      </c>
      <c r="F27" s="8">
        <v>4</v>
      </c>
      <c r="G27" s="11">
        <f>IF(ТаблицаВыработки[[#This Row],[Тип смены]]="День",2700,IF(ТаблицаВыработки[[#This Row],[Тип смены]]="Ночь",3300,""))</f>
        <v>2700</v>
      </c>
      <c r="H27" s="14">
        <v>2070</v>
      </c>
    </row>
    <row r="28" spans="1:8" hidden="1" x14ac:dyDescent="0.25">
      <c r="A28" s="5" t="s">
        <v>25</v>
      </c>
      <c r="B2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8" s="2" t="s">
        <v>9</v>
      </c>
      <c r="D28" s="2" t="s">
        <v>42</v>
      </c>
      <c r="E28" s="2" t="s">
        <v>12</v>
      </c>
      <c r="F28" s="8">
        <v>2</v>
      </c>
      <c r="G28" s="11">
        <f>IF(ТаблицаВыработки[[#This Row],[Тип смены]]="День",2700,IF(ТаблицаВыработки[[#This Row],[Тип смены]]="Ночь",3300,""))</f>
        <v>2700</v>
      </c>
      <c r="H28" s="14">
        <v>1100</v>
      </c>
    </row>
    <row r="29" spans="1:8" x14ac:dyDescent="0.25">
      <c r="A29" s="5" t="s">
        <v>25</v>
      </c>
      <c r="B2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9" s="2" t="s">
        <v>7</v>
      </c>
      <c r="D29" s="2" t="s">
        <v>42</v>
      </c>
      <c r="E29" s="2" t="s">
        <v>10</v>
      </c>
      <c r="F29" s="8">
        <v>4</v>
      </c>
      <c r="G29" s="11">
        <f>IF(ТаблицаВыработки[[#This Row],[Тип смены]]="День",2700,IF(ТаблицаВыработки[[#This Row],[Тип смены]]="Ночь",3300,""))</f>
        <v>3300</v>
      </c>
      <c r="H29" s="14">
        <v>2600</v>
      </c>
    </row>
    <row r="30" spans="1:8" hidden="1" x14ac:dyDescent="0.25">
      <c r="A30" s="5" t="s">
        <v>26</v>
      </c>
      <c r="B3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0" s="2" t="s">
        <v>7</v>
      </c>
      <c r="D30" s="2" t="s">
        <v>42</v>
      </c>
      <c r="E30" s="2" t="s">
        <v>12</v>
      </c>
      <c r="F30" s="8">
        <v>2</v>
      </c>
      <c r="G30" s="11">
        <f>IF(ТаблицаВыработки[[#This Row],[Тип смены]]="День",2700,IF(ТаблицаВыработки[[#This Row],[Тип смены]]="Ночь",3300,""))</f>
        <v>3300</v>
      </c>
      <c r="H30" s="14">
        <v>2210</v>
      </c>
    </row>
    <row r="31" spans="1:8" hidden="1" x14ac:dyDescent="0.25">
      <c r="A31" s="5" t="s">
        <v>27</v>
      </c>
      <c r="B3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1" s="2" t="s">
        <v>9</v>
      </c>
      <c r="D31" s="2" t="s">
        <v>42</v>
      </c>
      <c r="E31" s="2" t="s">
        <v>8</v>
      </c>
      <c r="F31" s="8">
        <v>3</v>
      </c>
      <c r="G31" s="11">
        <f>IF(ТаблицаВыработки[[#This Row],[Тип смены]]="День",2700,IF(ТаблицаВыработки[[#This Row],[Тип смены]]="Ночь",3300,""))</f>
        <v>2700</v>
      </c>
      <c r="H31" s="14">
        <v>2290</v>
      </c>
    </row>
    <row r="32" spans="1:8" hidden="1" x14ac:dyDescent="0.25">
      <c r="A32" s="5" t="s">
        <v>28</v>
      </c>
      <c r="B3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2" s="2" t="s">
        <v>7</v>
      </c>
      <c r="D32" s="2" t="s">
        <v>42</v>
      </c>
      <c r="E32" s="2" t="s">
        <v>8</v>
      </c>
      <c r="F32" s="8">
        <v>3</v>
      </c>
      <c r="G32" s="11">
        <f>IF(ТаблицаВыработки[[#This Row],[Тип смены]]="День",2700,IF(ТаблицаВыработки[[#This Row],[Тип смены]]="Ночь",3300,""))</f>
        <v>3300</v>
      </c>
      <c r="H32" s="14">
        <v>2780</v>
      </c>
    </row>
    <row r="33" spans="1:8" x14ac:dyDescent="0.25">
      <c r="A33" s="5" t="s">
        <v>28</v>
      </c>
      <c r="B3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3" s="2" t="s">
        <v>9</v>
      </c>
      <c r="D33" s="2" t="s">
        <v>42</v>
      </c>
      <c r="E33" s="2" t="s">
        <v>10</v>
      </c>
      <c r="F33" s="8">
        <v>4</v>
      </c>
      <c r="G33" s="11">
        <f>IF(ТаблицаВыработки[[#This Row],[Тип смены]]="День",2700,IF(ТаблицаВыработки[[#This Row],[Тип смены]]="Ночь",3300,""))</f>
        <v>2700</v>
      </c>
      <c r="H33" s="14">
        <v>940</v>
      </c>
    </row>
    <row r="34" spans="1:8" hidden="1" x14ac:dyDescent="0.25">
      <c r="A34" s="5" t="s">
        <v>29</v>
      </c>
      <c r="B3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4" s="2" t="s">
        <v>9</v>
      </c>
      <c r="D34" s="2" t="s">
        <v>42</v>
      </c>
      <c r="E34" s="2" t="s">
        <v>12</v>
      </c>
      <c r="F34" s="8">
        <v>2</v>
      </c>
      <c r="G34" s="11">
        <f>IF(ТаблицаВыработки[[#This Row],[Тип смены]]="День",2700,IF(ТаблицаВыработки[[#This Row],[Тип смены]]="Ночь",3300,""))</f>
        <v>2700</v>
      </c>
      <c r="H34" s="14">
        <v>2150</v>
      </c>
    </row>
    <row r="35" spans="1:8" hidden="1" x14ac:dyDescent="0.25">
      <c r="A35" s="5" t="s">
        <v>30</v>
      </c>
      <c r="B3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5" s="2" t="s">
        <v>9</v>
      </c>
      <c r="D35" s="2" t="s">
        <v>42</v>
      </c>
      <c r="E35" s="2" t="s">
        <v>14</v>
      </c>
      <c r="F35" s="8">
        <v>1</v>
      </c>
      <c r="G35" s="11">
        <f>IF(ТаблицаВыработки[[#This Row],[Тип смены]]="День",2700,IF(ТаблицаВыработки[[#This Row],[Тип смены]]="Ночь",3300,""))</f>
        <v>2700</v>
      </c>
      <c r="H35" s="14">
        <v>2480</v>
      </c>
    </row>
    <row r="36" spans="1:8" hidden="1" x14ac:dyDescent="0.25">
      <c r="A36" s="5" t="s">
        <v>30</v>
      </c>
      <c r="B3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6" s="2" t="s">
        <v>7</v>
      </c>
      <c r="D36" s="2" t="s">
        <v>42</v>
      </c>
      <c r="E36" s="2" t="s">
        <v>12</v>
      </c>
      <c r="F36" s="8">
        <v>2</v>
      </c>
      <c r="G36" s="11">
        <f>IF(ТаблицаВыработки[[#This Row],[Тип смены]]="День",2700,IF(ТаблицаВыработки[[#This Row],[Тип смены]]="Ночь",3300,""))</f>
        <v>3300</v>
      </c>
      <c r="H36" s="14">
        <v>3090</v>
      </c>
    </row>
    <row r="37" spans="1:8" x14ac:dyDescent="0.25">
      <c r="A37" s="5" t="s">
        <v>30</v>
      </c>
      <c r="B3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7" s="2" t="s">
        <v>7</v>
      </c>
      <c r="D37" s="2" t="s">
        <v>42</v>
      </c>
      <c r="E37" s="2" t="s">
        <v>10</v>
      </c>
      <c r="F37" s="8">
        <v>4</v>
      </c>
      <c r="G37" s="11">
        <f>IF(ТаблицаВыработки[[#This Row],[Тип смены]]="День",2700,IF(ТаблицаВыработки[[#This Row],[Тип смены]]="Ночь",3300,""))</f>
        <v>3300</v>
      </c>
      <c r="H37" s="14">
        <v>3140</v>
      </c>
    </row>
    <row r="38" spans="1:8" hidden="1" x14ac:dyDescent="0.25">
      <c r="A38" s="5" t="s">
        <v>31</v>
      </c>
      <c r="B3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8" s="2" t="s">
        <v>7</v>
      </c>
      <c r="D38" s="2" t="s">
        <v>42</v>
      </c>
      <c r="E38" s="2" t="s">
        <v>14</v>
      </c>
      <c r="F38" s="8">
        <v>1</v>
      </c>
      <c r="G38" s="11">
        <f>IF(ТаблицаВыработки[[#This Row],[Тип смены]]="День",2700,IF(ТаблицаВыработки[[#This Row],[Тип смены]]="Ночь",3300,""))</f>
        <v>3300</v>
      </c>
      <c r="H38" s="14"/>
    </row>
    <row r="39" spans="1:8" hidden="1" x14ac:dyDescent="0.25">
      <c r="A39" s="5" t="s">
        <v>31</v>
      </c>
      <c r="B3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9" s="2" t="s">
        <v>9</v>
      </c>
      <c r="D39" s="2" t="s">
        <v>42</v>
      </c>
      <c r="E39" s="2" t="s">
        <v>8</v>
      </c>
      <c r="F39" s="8">
        <v>3</v>
      </c>
      <c r="G39" s="11">
        <f>IF(ТаблицаВыработки[[#This Row],[Тип смены]]="День",2700,IF(ТаблицаВыработки[[#This Row],[Тип смены]]="Ночь",3300,""))</f>
        <v>2700</v>
      </c>
      <c r="H39" s="14"/>
    </row>
    <row r="40" spans="1:8" hidden="1" x14ac:dyDescent="0.25">
      <c r="A40" s="5" t="s">
        <v>32</v>
      </c>
      <c r="B4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0" s="2" t="s">
        <v>7</v>
      </c>
      <c r="D40" s="2" t="s">
        <v>42</v>
      </c>
      <c r="E40" s="2" t="s">
        <v>8</v>
      </c>
      <c r="F40" s="8">
        <v>3</v>
      </c>
      <c r="G40" s="11">
        <f>IF(ТаблицаВыработки[[#This Row],[Тип смены]]="День",2700,IF(ТаблицаВыработки[[#This Row],[Тип смены]]="Ночь",3300,""))</f>
        <v>3300</v>
      </c>
      <c r="H40" s="14"/>
    </row>
    <row r="41" spans="1:8" x14ac:dyDescent="0.25">
      <c r="A41" s="5" t="s">
        <v>32</v>
      </c>
      <c r="B4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1" s="2" t="s">
        <v>9</v>
      </c>
      <c r="D41" s="2" t="s">
        <v>42</v>
      </c>
      <c r="E41" s="2" t="s">
        <v>10</v>
      </c>
      <c r="F41" s="8">
        <v>4</v>
      </c>
      <c r="G41" s="11">
        <f>IF(ТаблицаВыработки[[#This Row],[Тип смены]]="День",2700,IF(ТаблицаВыработки[[#This Row],[Тип смены]]="Ночь",3300,""))</f>
        <v>2700</v>
      </c>
      <c r="H41" s="14">
        <v>50</v>
      </c>
    </row>
    <row r="42" spans="1:8" hidden="1" x14ac:dyDescent="0.25">
      <c r="A42" s="5" t="s">
        <v>33</v>
      </c>
      <c r="B4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2" s="2" t="s">
        <v>9</v>
      </c>
      <c r="D42" s="2" t="s">
        <v>42</v>
      </c>
      <c r="E42" s="2" t="s">
        <v>12</v>
      </c>
      <c r="F42" s="8">
        <v>2</v>
      </c>
      <c r="G42" s="11">
        <f>IF(ТаблицаВыработки[[#This Row],[Тип смены]]="День",2700,IF(ТаблицаВыработки[[#This Row],[Тип смены]]="Ночь",3300,""))</f>
        <v>2700</v>
      </c>
      <c r="H42" s="14">
        <v>1280</v>
      </c>
    </row>
    <row r="43" spans="1:8" hidden="1" x14ac:dyDescent="0.25">
      <c r="A43" s="5" t="s">
        <v>34</v>
      </c>
      <c r="B4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3" s="2" t="s">
        <v>9</v>
      </c>
      <c r="D43" s="2" t="s">
        <v>42</v>
      </c>
      <c r="E43" s="2" t="s">
        <v>14</v>
      </c>
      <c r="F43" s="8">
        <v>1</v>
      </c>
      <c r="G43" s="11">
        <f>IF(ТаблицаВыработки[[#This Row],[Тип смены]]="День",2700,IF(ТаблицаВыработки[[#This Row],[Тип смены]]="Ночь",3300,""))</f>
        <v>2700</v>
      </c>
      <c r="H43" s="14"/>
    </row>
    <row r="44" spans="1:8" hidden="1" x14ac:dyDescent="0.25">
      <c r="A44" s="5" t="s">
        <v>34</v>
      </c>
      <c r="B4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4" s="2" t="s">
        <v>7</v>
      </c>
      <c r="D44" s="2" t="s">
        <v>42</v>
      </c>
      <c r="E44" s="2" t="s">
        <v>12</v>
      </c>
      <c r="F44" s="8">
        <v>2</v>
      </c>
      <c r="G44" s="11">
        <f>IF(ТаблицаВыработки[[#This Row],[Тип смены]]="День",2700,IF(ТаблицаВыработки[[#This Row],[Тип смены]]="Ночь",3300,""))</f>
        <v>3300</v>
      </c>
      <c r="H44" s="14"/>
    </row>
    <row r="45" spans="1:8" x14ac:dyDescent="0.25">
      <c r="A45" s="5" t="s">
        <v>34</v>
      </c>
      <c r="B4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5" s="2" t="s">
        <v>7</v>
      </c>
      <c r="D45" s="2" t="s">
        <v>42</v>
      </c>
      <c r="E45" s="2" t="s">
        <v>10</v>
      </c>
      <c r="F45" s="8">
        <v>4</v>
      </c>
      <c r="G45" s="11">
        <f>IF(ТаблицаВыработки[[#This Row],[Тип смены]]="День",2700,IF(ТаблицаВыработки[[#This Row],[Тип смены]]="Ночь",3300,""))</f>
        <v>3300</v>
      </c>
      <c r="H45" s="14">
        <v>3400</v>
      </c>
    </row>
    <row r="46" spans="1:8" hidden="1" x14ac:dyDescent="0.25">
      <c r="A46" s="5" t="s">
        <v>35</v>
      </c>
      <c r="B4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6" s="2" t="s">
        <v>7</v>
      </c>
      <c r="D46" s="2" t="s">
        <v>42</v>
      </c>
      <c r="E46" s="2" t="s">
        <v>14</v>
      </c>
      <c r="F46" s="8">
        <v>1</v>
      </c>
      <c r="G46" s="11">
        <f>IF(ТаблицаВыработки[[#This Row],[Тип смены]]="День",2700,IF(ТаблицаВыработки[[#This Row],[Тип смены]]="Ночь",3300,""))</f>
        <v>3300</v>
      </c>
      <c r="H46" s="14"/>
    </row>
    <row r="47" spans="1:8" hidden="1" x14ac:dyDescent="0.25">
      <c r="A47" s="5" t="s">
        <v>35</v>
      </c>
      <c r="B4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7" s="2" t="s">
        <v>9</v>
      </c>
      <c r="D47" s="2" t="s">
        <v>42</v>
      </c>
      <c r="E47" s="2" t="s">
        <v>8</v>
      </c>
      <c r="F47" s="8">
        <v>3</v>
      </c>
      <c r="G47" s="11">
        <f>IF(ТаблицаВыработки[[#This Row],[Тип смены]]="День",2700,IF(ТаблицаВыработки[[#This Row],[Тип смены]]="Ночь",3300,""))</f>
        <v>2700</v>
      </c>
      <c r="H47" s="14"/>
    </row>
    <row r="48" spans="1:8" hidden="1" x14ac:dyDescent="0.25">
      <c r="A48" s="5" t="s">
        <v>36</v>
      </c>
      <c r="B4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8" s="2" t="s">
        <v>7</v>
      </c>
      <c r="D48" s="2" t="s">
        <v>42</v>
      </c>
      <c r="E48" s="2" t="s">
        <v>8</v>
      </c>
      <c r="F48" s="8">
        <v>3</v>
      </c>
      <c r="G48" s="11">
        <f>IF(ТаблицаВыработки[[#This Row],[Тип смены]]="День",2700,IF(ТаблицаВыработки[[#This Row],[Тип смены]]="Ночь",3300,""))</f>
        <v>3300</v>
      </c>
      <c r="H48" s="14"/>
    </row>
    <row r="49" spans="1:8" x14ac:dyDescent="0.25">
      <c r="A49" s="5" t="s">
        <v>36</v>
      </c>
      <c r="B4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9" s="2" t="s">
        <v>9</v>
      </c>
      <c r="D49" s="2" t="s">
        <v>42</v>
      </c>
      <c r="E49" s="2" t="s">
        <v>10</v>
      </c>
      <c r="F49" s="8">
        <v>4</v>
      </c>
      <c r="G49" s="11">
        <f>IF(ТаблицаВыработки[[#This Row],[Тип смены]]="День",2700,IF(ТаблицаВыработки[[#This Row],[Тип смены]]="Ночь",3300,""))</f>
        <v>2700</v>
      </c>
      <c r="H49" s="14"/>
    </row>
    <row r="50" spans="1:8" hidden="1" x14ac:dyDescent="0.25">
      <c r="A50" s="5" t="s">
        <v>37</v>
      </c>
      <c r="B5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0" s="2" t="s">
        <v>9</v>
      </c>
      <c r="D50" s="2" t="s">
        <v>42</v>
      </c>
      <c r="E50" s="2" t="s">
        <v>12</v>
      </c>
      <c r="F50" s="8">
        <v>2</v>
      </c>
      <c r="G50" s="11">
        <f>IF(ТаблицаВыработки[[#This Row],[Тип смены]]="День",2700,IF(ТаблицаВыработки[[#This Row],[Тип смены]]="Ночь",3300,""))</f>
        <v>2700</v>
      </c>
      <c r="H50" s="14"/>
    </row>
    <row r="51" spans="1:8" hidden="1" x14ac:dyDescent="0.25">
      <c r="A51" s="5" t="s">
        <v>38</v>
      </c>
      <c r="B5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1" s="2" t="s">
        <v>9</v>
      </c>
      <c r="D51" s="2" t="s">
        <v>42</v>
      </c>
      <c r="E51" s="2" t="s">
        <v>14</v>
      </c>
      <c r="F51" s="8">
        <v>1</v>
      </c>
      <c r="G51" s="11">
        <f>IF(ТаблицаВыработки[[#This Row],[Тип смены]]="День",2700,IF(ТаблицаВыработки[[#This Row],[Тип смены]]="Ночь",3300,""))</f>
        <v>2700</v>
      </c>
      <c r="H51" s="14"/>
    </row>
    <row r="52" spans="1:8" hidden="1" x14ac:dyDescent="0.25">
      <c r="A52" s="5" t="s">
        <v>38</v>
      </c>
      <c r="B5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2" s="2" t="s">
        <v>7</v>
      </c>
      <c r="D52" s="2" t="s">
        <v>42</v>
      </c>
      <c r="E52" s="2" t="s">
        <v>12</v>
      </c>
      <c r="F52" s="8">
        <v>2</v>
      </c>
      <c r="G52" s="11">
        <f>IF(ТаблицаВыработки[[#This Row],[Тип смены]]="День",2700,IF(ТаблицаВыработки[[#This Row],[Тип смены]]="Ночь",3300,""))</f>
        <v>3300</v>
      </c>
      <c r="H52" s="14"/>
    </row>
    <row r="53" spans="1:8" x14ac:dyDescent="0.25">
      <c r="A53" s="5" t="s">
        <v>38</v>
      </c>
      <c r="B5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3" s="2" t="s">
        <v>7</v>
      </c>
      <c r="D53" s="2" t="s">
        <v>42</v>
      </c>
      <c r="E53" s="2" t="s">
        <v>10</v>
      </c>
      <c r="F53" s="8">
        <v>4</v>
      </c>
      <c r="G53" s="11">
        <f>IF(ТаблицаВыработки[[#This Row],[Тип смены]]="День",2700,IF(ТаблицаВыработки[[#This Row],[Тип смены]]="Ночь",3300,""))</f>
        <v>3300</v>
      </c>
      <c r="H53" s="14"/>
    </row>
    <row r="54" spans="1:8" hidden="1" x14ac:dyDescent="0.25">
      <c r="A54" s="5" t="s">
        <v>39</v>
      </c>
      <c r="B5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4" s="2" t="s">
        <v>7</v>
      </c>
      <c r="D54" s="2" t="s">
        <v>42</v>
      </c>
      <c r="E54" s="2" t="s">
        <v>14</v>
      </c>
      <c r="F54" s="8">
        <v>1</v>
      </c>
      <c r="G54" s="11">
        <f>IF(ТаблицаВыработки[[#This Row],[Тип смены]]="День",2700,IF(ТаблицаВыработки[[#This Row],[Тип смены]]="Ночь",3300,""))</f>
        <v>3300</v>
      </c>
      <c r="H54" s="14"/>
    </row>
    <row r="55" spans="1:8" hidden="1" x14ac:dyDescent="0.25">
      <c r="A55" s="5" t="s">
        <v>39</v>
      </c>
      <c r="B5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5" s="2" t="s">
        <v>9</v>
      </c>
      <c r="D55" s="2" t="s">
        <v>42</v>
      </c>
      <c r="E55" s="2" t="s">
        <v>8</v>
      </c>
      <c r="F55" s="8">
        <v>3</v>
      </c>
      <c r="G55" s="11">
        <f>IF(ТаблицаВыработки[[#This Row],[Тип смены]]="День",2700,IF(ТаблицаВыработки[[#This Row],[Тип смены]]="Ночь",3300,""))</f>
        <v>2700</v>
      </c>
      <c r="H55" s="14"/>
    </row>
    <row r="56" spans="1:8" hidden="1" x14ac:dyDescent="0.25">
      <c r="A56" s="6" t="s">
        <v>40</v>
      </c>
      <c r="B56" s="17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6" s="3" t="s">
        <v>7</v>
      </c>
      <c r="D56" s="3" t="s">
        <v>42</v>
      </c>
      <c r="E56" s="3" t="s">
        <v>8</v>
      </c>
      <c r="F56" s="9">
        <v>3</v>
      </c>
      <c r="G56" s="12">
        <f>IF(ТаблицаВыработки[[#This Row],[Тип смены]]="День",2700,IF(ТаблицаВыработки[[#This Row],[Тип смены]]="Ночь",3300,""))</f>
        <v>3300</v>
      </c>
      <c r="H56" s="15"/>
    </row>
    <row r="57" spans="1:8" hidden="1" x14ac:dyDescent="0.25">
      <c r="A57" s="5"/>
      <c r="B5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7" s="2"/>
      <c r="D57" s="2"/>
      <c r="E57" s="2"/>
      <c r="F57" s="8"/>
      <c r="G57" s="11" t="str">
        <f>IF(ТаблицаВыработки[[#This Row],[Тип смены]]="День",2700,IF(ТаблицаВыработки[[#This Row],[Тип смены]]="Ночь",3300,""))</f>
        <v/>
      </c>
      <c r="H57" s="14"/>
    </row>
    <row r="58" spans="1:8" hidden="1" x14ac:dyDescent="0.25">
      <c r="A58" s="5"/>
      <c r="B5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8" s="2"/>
      <c r="D58" s="2"/>
      <c r="E58" s="2"/>
      <c r="F58" s="8"/>
      <c r="G58" s="11" t="str">
        <f>IF(ТаблицаВыработки[[#This Row],[Тип смены]]="День",2700,IF(ТаблицаВыработки[[#This Row],[Тип смены]]="Ночь",3300,""))</f>
        <v/>
      </c>
      <c r="H58" s="14"/>
    </row>
    <row r="59" spans="1:8" hidden="1" x14ac:dyDescent="0.25">
      <c r="A59" s="5"/>
      <c r="B5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9" s="2"/>
      <c r="D59" s="2"/>
      <c r="E59" s="2"/>
      <c r="F59" s="8"/>
      <c r="G59" s="11" t="str">
        <f>IF(ТаблицаВыработки[[#This Row],[Тип смены]]="День",2700,IF(ТаблицаВыработки[[#This Row],[Тип смены]]="Ночь",3300,""))</f>
        <v/>
      </c>
      <c r="H59" s="14"/>
    </row>
    <row r="60" spans="1:8" hidden="1" x14ac:dyDescent="0.25">
      <c r="A60" s="5"/>
      <c r="B6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0" s="2"/>
      <c r="D60" s="2"/>
      <c r="E60" s="2"/>
      <c r="F60" s="8"/>
      <c r="G60" s="11" t="str">
        <f>IF(ТаблицаВыработки[[#This Row],[Тип смены]]="День",2700,IF(ТаблицаВыработки[[#This Row],[Тип смены]]="Ночь",3300,""))</f>
        <v/>
      </c>
      <c r="H60" s="14"/>
    </row>
    <row r="61" spans="1:8" hidden="1" x14ac:dyDescent="0.25">
      <c r="A61" s="5"/>
      <c r="B6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1" s="2"/>
      <c r="D61" s="2"/>
      <c r="E61" s="2"/>
      <c r="F61" s="8"/>
      <c r="G61" s="11" t="str">
        <f>IF(ТаблицаВыработки[[#This Row],[Тип смены]]="День",2700,IF(ТаблицаВыработки[[#This Row],[Тип смены]]="Ночь",3300,""))</f>
        <v/>
      </c>
      <c r="H61" s="14"/>
    </row>
    <row r="62" spans="1:8" hidden="1" x14ac:dyDescent="0.25">
      <c r="A62" s="5"/>
      <c r="B6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2" s="2"/>
      <c r="D62" s="2"/>
      <c r="E62" s="2"/>
      <c r="F62" s="8"/>
      <c r="G62" s="11" t="str">
        <f>IF(ТаблицаВыработки[[#This Row],[Тип смены]]="День",2700,IF(ТаблицаВыработки[[#This Row],[Тип смены]]="Ночь",3300,""))</f>
        <v/>
      </c>
      <c r="H62" s="14"/>
    </row>
    <row r="63" spans="1:8" hidden="1" x14ac:dyDescent="0.25">
      <c r="A63" s="5"/>
      <c r="B6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3" s="2"/>
      <c r="D63" s="2"/>
      <c r="E63" s="2"/>
      <c r="F63" s="8"/>
      <c r="G63" s="11" t="str">
        <f>IF(ТаблицаВыработки[[#This Row],[Тип смены]]="День",2700,IF(ТаблицаВыработки[[#This Row],[Тип смены]]="Ночь",3300,""))</f>
        <v/>
      </c>
      <c r="H63" s="14"/>
    </row>
    <row r="64" spans="1:8" hidden="1" x14ac:dyDescent="0.25">
      <c r="A64" s="5"/>
      <c r="B6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4" s="2"/>
      <c r="D64" s="2"/>
      <c r="E64" s="2"/>
      <c r="F64" s="8"/>
      <c r="G64" s="11" t="str">
        <f>IF(ТаблицаВыработки[[#This Row],[Тип смены]]="День",2700,IF(ТаблицаВыработки[[#This Row],[Тип смены]]="Ночь",3300,""))</f>
        <v/>
      </c>
      <c r="H64" s="14"/>
    </row>
    <row r="65" spans="1:8" hidden="1" x14ac:dyDescent="0.25">
      <c r="A65" s="5"/>
      <c r="B6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5" s="2"/>
      <c r="D65" s="2"/>
      <c r="E65" s="2"/>
      <c r="F65" s="8"/>
      <c r="G65" s="11" t="str">
        <f>IF(ТаблицаВыработки[[#This Row],[Тип смены]]="День",2700,IF(ТаблицаВыработки[[#This Row],[Тип смены]]="Ночь",3300,""))</f>
        <v/>
      </c>
      <c r="H65" s="14"/>
    </row>
    <row r="66" spans="1:8" hidden="1" x14ac:dyDescent="0.25">
      <c r="A66" s="5"/>
      <c r="B6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6" s="2"/>
      <c r="D66" s="2"/>
      <c r="E66" s="2"/>
      <c r="F66" s="8"/>
      <c r="G66" s="11" t="str">
        <f>IF(ТаблицаВыработки[[#This Row],[Тип смены]]="День",2700,IF(ТаблицаВыработки[[#This Row],[Тип смены]]="Ночь",3300,""))</f>
        <v/>
      </c>
      <c r="H66" s="14"/>
    </row>
    <row r="67" spans="1:8" hidden="1" x14ac:dyDescent="0.25">
      <c r="A67" s="5"/>
      <c r="B6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7" s="2"/>
      <c r="D67" s="2"/>
      <c r="E67" s="2"/>
      <c r="F67" s="8"/>
      <c r="G67" s="11" t="str">
        <f>IF(ТаблицаВыработки[[#This Row],[Тип смены]]="День",2700,IF(ТаблицаВыработки[[#This Row],[Тип смены]]="Ночь",3300,""))</f>
        <v/>
      </c>
      <c r="H67" s="14"/>
    </row>
    <row r="68" spans="1:8" hidden="1" x14ac:dyDescent="0.25">
      <c r="A68" s="5"/>
      <c r="B6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8" s="2"/>
      <c r="D68" s="2"/>
      <c r="E68" s="2"/>
      <c r="F68" s="8"/>
      <c r="G68" s="11" t="str">
        <f>IF(ТаблицаВыработки[[#This Row],[Тип смены]]="День",2700,IF(ТаблицаВыработки[[#This Row],[Тип смены]]="Ночь",3300,""))</f>
        <v/>
      </c>
      <c r="H68" s="14"/>
    </row>
    <row r="69" spans="1:8" hidden="1" x14ac:dyDescent="0.25">
      <c r="A69" s="5"/>
      <c r="B6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9" s="2"/>
      <c r="D69" s="2"/>
      <c r="E69" s="2"/>
      <c r="F69" s="8"/>
      <c r="G69" s="11" t="str">
        <f>IF(ТаблицаВыработки[[#This Row],[Тип смены]]="День",2700,IF(ТаблицаВыработки[[#This Row],[Тип смены]]="Ночь",3300,""))</f>
        <v/>
      </c>
      <c r="H69" s="14"/>
    </row>
    <row r="70" spans="1:8" hidden="1" x14ac:dyDescent="0.25">
      <c r="A70" s="5"/>
      <c r="B7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0" s="2"/>
      <c r="D70" s="2"/>
      <c r="E70" s="2"/>
      <c r="F70" s="8"/>
      <c r="G70" s="11" t="str">
        <f>IF(ТаблицаВыработки[[#This Row],[Тип смены]]="День",2700,IF(ТаблицаВыработки[[#This Row],[Тип смены]]="Ночь",3300,""))</f>
        <v/>
      </c>
      <c r="H70" s="14"/>
    </row>
    <row r="71" spans="1:8" hidden="1" x14ac:dyDescent="0.25">
      <c r="A71" s="5"/>
      <c r="B7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1" s="2"/>
      <c r="D71" s="2"/>
      <c r="E71" s="2"/>
      <c r="F71" s="8"/>
      <c r="G71" s="11" t="str">
        <f>IF(ТаблицаВыработки[[#This Row],[Тип смены]]="День",2700,IF(ТаблицаВыработки[[#This Row],[Тип смены]]="Ночь",3300,""))</f>
        <v/>
      </c>
      <c r="H71" s="14"/>
    </row>
    <row r="72" spans="1:8" hidden="1" x14ac:dyDescent="0.25">
      <c r="A72" s="5"/>
      <c r="B7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2" s="2"/>
      <c r="D72" s="2"/>
      <c r="E72" s="2"/>
      <c r="F72" s="8"/>
      <c r="G72" s="11" t="str">
        <f>IF(ТаблицаВыработки[[#This Row],[Тип смены]]="День",2700,IF(ТаблицаВыработки[[#This Row],[Тип смены]]="Ночь",3300,""))</f>
        <v/>
      </c>
      <c r="H72" s="14"/>
    </row>
    <row r="73" spans="1:8" hidden="1" x14ac:dyDescent="0.25">
      <c r="A73" s="5"/>
      <c r="B7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3" s="2"/>
      <c r="D73" s="2"/>
      <c r="E73" s="2"/>
      <c r="F73" s="8"/>
      <c r="G73" s="11" t="str">
        <f>IF(ТаблицаВыработки[[#This Row],[Тип смены]]="День",2700,IF(ТаблицаВыработки[[#This Row],[Тип смены]]="Ночь",3300,""))</f>
        <v/>
      </c>
      <c r="H73" s="14"/>
    </row>
    <row r="74" spans="1:8" hidden="1" x14ac:dyDescent="0.25">
      <c r="A74" s="5"/>
      <c r="B7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4" s="2"/>
      <c r="D74" s="2"/>
      <c r="E74" s="2"/>
      <c r="F74" s="8"/>
      <c r="G74" s="11" t="str">
        <f>IF(ТаблицаВыработки[[#This Row],[Тип смены]]="День",2700,IF(ТаблицаВыработки[[#This Row],[Тип смены]]="Ночь",3300,""))</f>
        <v/>
      </c>
      <c r="H74" s="14"/>
    </row>
    <row r="75" spans="1:8" hidden="1" x14ac:dyDescent="0.25">
      <c r="A75" s="5"/>
      <c r="B7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5" s="2"/>
      <c r="D75" s="2"/>
      <c r="E75" s="2"/>
      <c r="F75" s="8"/>
      <c r="G75" s="11" t="str">
        <f>IF(ТаблицаВыработки[[#This Row],[Тип смены]]="День",2700,IF(ТаблицаВыработки[[#This Row],[Тип смены]]="Ночь",3300,""))</f>
        <v/>
      </c>
      <c r="H75" s="14"/>
    </row>
    <row r="76" spans="1:8" hidden="1" x14ac:dyDescent="0.25">
      <c r="A76" s="5"/>
      <c r="B7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6" s="2"/>
      <c r="D76" s="2"/>
      <c r="E76" s="2"/>
      <c r="F76" s="8"/>
      <c r="G76" s="11" t="str">
        <f>IF(ТаблицаВыработки[[#This Row],[Тип смены]]="День",2700,IF(ТаблицаВыработки[[#This Row],[Тип смены]]="Ночь",3300,""))</f>
        <v/>
      </c>
      <c r="H76" s="14"/>
    </row>
    <row r="77" spans="1:8" hidden="1" x14ac:dyDescent="0.25">
      <c r="A77" s="5"/>
      <c r="B7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7" s="2"/>
      <c r="D77" s="2"/>
      <c r="E77" s="2"/>
      <c r="F77" s="8"/>
      <c r="G77" s="11" t="str">
        <f>IF(ТаблицаВыработки[[#This Row],[Тип смены]]="День",2700,IF(ТаблицаВыработки[[#This Row],[Тип смены]]="Ночь",3300,""))</f>
        <v/>
      </c>
      <c r="H77" s="14"/>
    </row>
    <row r="78" spans="1:8" hidden="1" x14ac:dyDescent="0.25">
      <c r="A78" s="5"/>
      <c r="B7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8" s="2"/>
      <c r="D78" s="2"/>
      <c r="E78" s="2"/>
      <c r="F78" s="8"/>
      <c r="G78" s="11" t="str">
        <f>IF(ТаблицаВыработки[[#This Row],[Тип смены]]="День",2700,IF(ТаблицаВыработки[[#This Row],[Тип смены]]="Ночь",3300,""))</f>
        <v/>
      </c>
      <c r="H78" s="14"/>
    </row>
    <row r="79" spans="1:8" hidden="1" x14ac:dyDescent="0.25">
      <c r="A79" s="5"/>
      <c r="B7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9" s="2"/>
      <c r="D79" s="2"/>
      <c r="E79" s="2"/>
      <c r="F79" s="8"/>
      <c r="G79" s="11" t="str">
        <f>IF(ТаблицаВыработки[[#This Row],[Тип смены]]="День",2700,IF(ТаблицаВыработки[[#This Row],[Тип смены]]="Ночь",3300,""))</f>
        <v/>
      </c>
      <c r="H79" s="14"/>
    </row>
    <row r="80" spans="1:8" hidden="1" x14ac:dyDescent="0.25">
      <c r="A80" s="5"/>
      <c r="B8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0" s="2"/>
      <c r="D80" s="2"/>
      <c r="E80" s="2"/>
      <c r="F80" s="8"/>
      <c r="G80" s="11" t="str">
        <f>IF(ТаблицаВыработки[[#This Row],[Тип смены]]="День",2700,IF(ТаблицаВыработки[[#This Row],[Тип смены]]="Ночь",3300,""))</f>
        <v/>
      </c>
      <c r="H80" s="14"/>
    </row>
    <row r="81" spans="1:8" hidden="1" x14ac:dyDescent="0.25">
      <c r="A81" s="5"/>
      <c r="B8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1" s="2"/>
      <c r="D81" s="2"/>
      <c r="E81" s="2"/>
      <c r="F81" s="8"/>
      <c r="G81" s="11" t="str">
        <f>IF(ТаблицаВыработки[[#This Row],[Тип смены]]="День",2700,IF(ТаблицаВыработки[[#This Row],[Тип смены]]="Ночь",3300,""))</f>
        <v/>
      </c>
      <c r="H81" s="14"/>
    </row>
    <row r="82" spans="1:8" hidden="1" x14ac:dyDescent="0.25">
      <c r="A82" s="5"/>
      <c r="B8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2" s="2"/>
      <c r="D82" s="2"/>
      <c r="E82" s="2"/>
      <c r="F82" s="8"/>
      <c r="G82" s="11" t="str">
        <f>IF(ТаблицаВыработки[[#This Row],[Тип смены]]="День",2700,IF(ТаблицаВыработки[[#This Row],[Тип смены]]="Ночь",3300,""))</f>
        <v/>
      </c>
      <c r="H82" s="14"/>
    </row>
    <row r="83" spans="1:8" hidden="1" x14ac:dyDescent="0.25">
      <c r="A83" s="5"/>
      <c r="B8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3" s="2"/>
      <c r="D83" s="2"/>
      <c r="E83" s="2"/>
      <c r="F83" s="8"/>
      <c r="G83" s="11" t="str">
        <f>IF(ТаблицаВыработки[[#This Row],[Тип смены]]="День",2700,IF(ТаблицаВыработки[[#This Row],[Тип смены]]="Ночь",3300,""))</f>
        <v/>
      </c>
      <c r="H83" s="14"/>
    </row>
    <row r="84" spans="1:8" hidden="1" x14ac:dyDescent="0.25">
      <c r="A84" s="5"/>
      <c r="B8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4" s="2"/>
      <c r="D84" s="2"/>
      <c r="E84" s="2"/>
      <c r="F84" s="8"/>
      <c r="G84" s="11" t="str">
        <f>IF(ТаблицаВыработки[[#This Row],[Тип смены]]="День",2700,IF(ТаблицаВыработки[[#This Row],[Тип смены]]="Ночь",3300,""))</f>
        <v/>
      </c>
      <c r="H84" s="14"/>
    </row>
    <row r="85" spans="1:8" hidden="1" x14ac:dyDescent="0.25">
      <c r="A85" s="5"/>
      <c r="B8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5" s="2"/>
      <c r="D85" s="2"/>
      <c r="E85" s="2"/>
      <c r="F85" s="8"/>
      <c r="G85" s="11" t="str">
        <f>IF(ТаблицаВыработки[[#This Row],[Тип смены]]="День",2700,IF(ТаблицаВыработки[[#This Row],[Тип смены]]="Ночь",3300,""))</f>
        <v/>
      </c>
      <c r="H85" s="14"/>
    </row>
    <row r="86" spans="1:8" hidden="1" x14ac:dyDescent="0.25">
      <c r="A86" s="5"/>
      <c r="B8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6" s="2"/>
      <c r="D86" s="2"/>
      <c r="E86" s="2"/>
      <c r="F86" s="8"/>
      <c r="G86" s="11" t="str">
        <f>IF(ТаблицаВыработки[[#This Row],[Тип смены]]="День",2700,IF(ТаблицаВыработки[[#This Row],[Тип смены]]="Ночь",3300,""))</f>
        <v/>
      </c>
      <c r="H86" s="14"/>
    </row>
    <row r="87" spans="1:8" hidden="1" x14ac:dyDescent="0.25">
      <c r="A87" s="5"/>
      <c r="B8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7" s="2"/>
      <c r="D87" s="2"/>
      <c r="E87" s="2"/>
      <c r="F87" s="8"/>
      <c r="G87" s="11" t="str">
        <f>IF(ТаблицаВыработки[[#This Row],[Тип смены]]="День",2700,IF(ТаблицаВыработки[[#This Row],[Тип смены]]="Ночь",3300,""))</f>
        <v/>
      </c>
      <c r="H87" s="14"/>
    </row>
    <row r="88" spans="1:8" hidden="1" x14ac:dyDescent="0.25">
      <c r="A88" s="5"/>
      <c r="B8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8" s="2"/>
      <c r="D88" s="2"/>
      <c r="E88" s="2"/>
      <c r="F88" s="8"/>
      <c r="G88" s="11" t="str">
        <f>IF(ТаблицаВыработки[[#This Row],[Тип смены]]="День",2700,IF(ТаблицаВыработки[[#This Row],[Тип смены]]="Ночь",3300,""))</f>
        <v/>
      </c>
      <c r="H88" s="14"/>
    </row>
    <row r="89" spans="1:8" hidden="1" x14ac:dyDescent="0.25">
      <c r="A89" s="5"/>
      <c r="B8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9" s="2"/>
      <c r="D89" s="2"/>
      <c r="E89" s="2"/>
      <c r="F89" s="8"/>
      <c r="G89" s="11" t="str">
        <f>IF(ТаблицаВыработки[[#This Row],[Тип смены]]="День",2700,IF(ТаблицаВыработки[[#This Row],[Тип смены]]="Ночь",3300,""))</f>
        <v/>
      </c>
      <c r="H89" s="14"/>
    </row>
    <row r="90" spans="1:8" hidden="1" x14ac:dyDescent="0.25">
      <c r="A90" s="5"/>
      <c r="B9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0" s="2"/>
      <c r="D90" s="2"/>
      <c r="E90" s="2"/>
      <c r="F90" s="8"/>
      <c r="G90" s="11" t="str">
        <f>IF(ТаблицаВыработки[[#This Row],[Тип смены]]="День",2700,IF(ТаблицаВыработки[[#This Row],[Тип смены]]="Ночь",3300,""))</f>
        <v/>
      </c>
      <c r="H90" s="14"/>
    </row>
    <row r="91" spans="1:8" hidden="1" x14ac:dyDescent="0.25">
      <c r="A91" s="5"/>
      <c r="B9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1" s="2"/>
      <c r="D91" s="2"/>
      <c r="E91" s="2"/>
      <c r="F91" s="8"/>
      <c r="G91" s="11" t="str">
        <f>IF(ТаблицаВыработки[[#This Row],[Тип смены]]="День",2700,IF(ТаблицаВыработки[[#This Row],[Тип смены]]="Ночь",3300,""))</f>
        <v/>
      </c>
      <c r="H91" s="14"/>
    </row>
    <row r="92" spans="1:8" hidden="1" x14ac:dyDescent="0.25">
      <c r="A92" s="5"/>
      <c r="B9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2" s="2"/>
      <c r="D92" s="2"/>
      <c r="E92" s="2"/>
      <c r="F92" s="8"/>
      <c r="G92" s="11" t="str">
        <f>IF(ТаблицаВыработки[[#This Row],[Тип смены]]="День",2700,IF(ТаблицаВыработки[[#This Row],[Тип смены]]="Ночь",3300,""))</f>
        <v/>
      </c>
      <c r="H92" s="14"/>
    </row>
    <row r="93" spans="1:8" hidden="1" x14ac:dyDescent="0.25">
      <c r="A93" s="5"/>
      <c r="B9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3" s="2"/>
      <c r="D93" s="2"/>
      <c r="E93" s="2"/>
      <c r="F93" s="8"/>
      <c r="G93" s="11" t="str">
        <f>IF(ТаблицаВыработки[[#This Row],[Тип смены]]="День",2700,IF(ТаблицаВыработки[[#This Row],[Тип смены]]="Ночь",3300,""))</f>
        <v/>
      </c>
      <c r="H93" s="14"/>
    </row>
    <row r="94" spans="1:8" hidden="1" x14ac:dyDescent="0.25">
      <c r="A94" s="5"/>
      <c r="B9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4" s="2"/>
      <c r="D94" s="2"/>
      <c r="E94" s="2"/>
      <c r="F94" s="8"/>
      <c r="G94" s="11" t="str">
        <f>IF(ТаблицаВыработки[[#This Row],[Тип смены]]="День",2700,IF(ТаблицаВыработки[[#This Row],[Тип смены]]="Ночь",3300,""))</f>
        <v/>
      </c>
      <c r="H94" s="14"/>
    </row>
    <row r="95" spans="1:8" hidden="1" x14ac:dyDescent="0.25">
      <c r="A95" s="5"/>
      <c r="B9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5" s="2"/>
      <c r="D95" s="2"/>
      <c r="E95" s="2"/>
      <c r="F95" s="8"/>
      <c r="G95" s="11" t="str">
        <f>IF(ТаблицаВыработки[[#This Row],[Тип смены]]="День",2700,IF(ТаблицаВыработки[[#This Row],[Тип смены]]="Ночь",3300,""))</f>
        <v/>
      </c>
      <c r="H95" s="14"/>
    </row>
    <row r="96" spans="1:8" hidden="1" x14ac:dyDescent="0.25">
      <c r="A96" s="5"/>
      <c r="B9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6" s="2"/>
      <c r="D96" s="2"/>
      <c r="E96" s="2"/>
      <c r="F96" s="8"/>
      <c r="G96" s="11" t="str">
        <f>IF(ТаблицаВыработки[[#This Row],[Тип смены]]="День",2700,IF(ТаблицаВыработки[[#This Row],[Тип смены]]="Ночь",3300,""))</f>
        <v/>
      </c>
      <c r="H96" s="14"/>
    </row>
    <row r="97" spans="1:8" hidden="1" x14ac:dyDescent="0.25">
      <c r="A97" s="5"/>
      <c r="B9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7" s="2"/>
      <c r="D97" s="2"/>
      <c r="E97" s="2"/>
      <c r="F97" s="8"/>
      <c r="G97" s="11" t="str">
        <f>IF(ТаблицаВыработки[[#This Row],[Тип смены]]="День",2700,IF(ТаблицаВыработки[[#This Row],[Тип смены]]="Ночь",3300,""))</f>
        <v/>
      </c>
      <c r="H97" s="14"/>
    </row>
    <row r="98" spans="1:8" hidden="1" x14ac:dyDescent="0.25">
      <c r="A98" s="5"/>
      <c r="B9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8" s="2"/>
      <c r="D98" s="2"/>
      <c r="E98" s="2"/>
      <c r="F98" s="8"/>
      <c r="G98" s="11" t="str">
        <f>IF(ТаблицаВыработки[[#This Row],[Тип смены]]="День",2700,IF(ТаблицаВыработки[[#This Row],[Тип смены]]="Ночь",3300,""))</f>
        <v/>
      </c>
      <c r="H98" s="14"/>
    </row>
    <row r="99" spans="1:8" hidden="1" x14ac:dyDescent="0.25">
      <c r="A99" s="5"/>
      <c r="B9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9" s="2"/>
      <c r="D99" s="2"/>
      <c r="E99" s="2"/>
      <c r="F99" s="8"/>
      <c r="G99" s="11" t="str">
        <f>IF(ТаблицаВыработки[[#This Row],[Тип смены]]="День",2700,IF(ТаблицаВыработки[[#This Row],[Тип смены]]="Ночь",3300,""))</f>
        <v/>
      </c>
      <c r="H99" s="14"/>
    </row>
    <row r="100" spans="1:8" hidden="1" x14ac:dyDescent="0.25">
      <c r="A100" s="5"/>
      <c r="B10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0" s="2"/>
      <c r="D100" s="2"/>
      <c r="E100" s="2"/>
      <c r="F100" s="8"/>
      <c r="G100" s="11" t="str">
        <f>IF(ТаблицаВыработки[[#This Row],[Тип смены]]="День",2700,IF(ТаблицаВыработки[[#This Row],[Тип смены]]="Ночь",3300,""))</f>
        <v/>
      </c>
      <c r="H100" s="14"/>
    </row>
    <row r="101" spans="1:8" hidden="1" x14ac:dyDescent="0.25">
      <c r="A101" s="5"/>
      <c r="B10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1" s="2"/>
      <c r="D101" s="2"/>
      <c r="E101" s="2"/>
      <c r="F101" s="8"/>
      <c r="G101" s="11" t="str">
        <f>IF(ТаблицаВыработки[[#This Row],[Тип смены]]="День",2700,IF(ТаблицаВыработки[[#This Row],[Тип смены]]="Ночь",3300,""))</f>
        <v/>
      </c>
      <c r="H101" s="14"/>
    </row>
    <row r="102" spans="1:8" hidden="1" x14ac:dyDescent="0.25">
      <c r="A102" s="5"/>
      <c r="B10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2" s="2"/>
      <c r="D102" s="2"/>
      <c r="E102" s="2"/>
      <c r="F102" s="8"/>
      <c r="G102" s="11" t="str">
        <f>IF(ТаблицаВыработки[[#This Row],[Тип смены]]="День",2700,IF(ТаблицаВыработки[[#This Row],[Тип смены]]="Ночь",3300,""))</f>
        <v/>
      </c>
      <c r="H102" s="14"/>
    </row>
    <row r="103" spans="1:8" hidden="1" x14ac:dyDescent="0.25">
      <c r="A103" s="5"/>
      <c r="B10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3" s="2"/>
      <c r="D103" s="2"/>
      <c r="E103" s="2"/>
      <c r="F103" s="8"/>
      <c r="G103" s="11" t="str">
        <f>IF(ТаблицаВыработки[[#This Row],[Тип смены]]="День",2700,IF(ТаблицаВыработки[[#This Row],[Тип смены]]="Ночь",3300,""))</f>
        <v/>
      </c>
      <c r="H103" s="14"/>
    </row>
    <row r="104" spans="1:8" hidden="1" x14ac:dyDescent="0.25">
      <c r="A104" s="5"/>
      <c r="B10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4" s="2"/>
      <c r="D104" s="2"/>
      <c r="E104" s="2"/>
      <c r="F104" s="8"/>
      <c r="G104" s="11" t="str">
        <f>IF(ТаблицаВыработки[[#This Row],[Тип смены]]="День",2700,IF(ТаблицаВыработки[[#This Row],[Тип смены]]="Ночь",3300,""))</f>
        <v/>
      </c>
      <c r="H104" s="14"/>
    </row>
    <row r="105" spans="1:8" hidden="1" x14ac:dyDescent="0.25">
      <c r="A105" s="5"/>
      <c r="B10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5" s="2"/>
      <c r="D105" s="2"/>
      <c r="E105" s="2"/>
      <c r="F105" s="8"/>
      <c r="G105" s="11" t="str">
        <f>IF(ТаблицаВыработки[[#This Row],[Тип смены]]="День",2700,IF(ТаблицаВыработки[[#This Row],[Тип смены]]="Ночь",3300,""))</f>
        <v/>
      </c>
      <c r="H105" s="14"/>
    </row>
    <row r="106" spans="1:8" hidden="1" x14ac:dyDescent="0.25">
      <c r="A106" s="5"/>
      <c r="B10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6" s="2"/>
      <c r="D106" s="2"/>
      <c r="E106" s="2"/>
      <c r="F106" s="8"/>
      <c r="G106" s="11" t="str">
        <f>IF(ТаблицаВыработки[[#This Row],[Тип смены]]="День",2700,IF(ТаблицаВыработки[[#This Row],[Тип смены]]="Ночь",3300,""))</f>
        <v/>
      </c>
      <c r="H106" s="14"/>
    </row>
    <row r="107" spans="1:8" hidden="1" x14ac:dyDescent="0.25">
      <c r="A107" s="5"/>
      <c r="B10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7" s="2"/>
      <c r="D107" s="2"/>
      <c r="E107" s="2"/>
      <c r="F107" s="8"/>
      <c r="G107" s="11" t="str">
        <f>IF(ТаблицаВыработки[[#This Row],[Тип смены]]="День",2700,IF(ТаблицаВыработки[[#This Row],[Тип смены]]="Ночь",3300,""))</f>
        <v/>
      </c>
      <c r="H107" s="14"/>
    </row>
    <row r="108" spans="1:8" hidden="1" x14ac:dyDescent="0.25">
      <c r="A108" s="5"/>
      <c r="B10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8" s="2"/>
      <c r="D108" s="2"/>
      <c r="E108" s="2"/>
      <c r="F108" s="8"/>
      <c r="G108" s="11" t="str">
        <f>IF(ТаблицаВыработки[[#This Row],[Тип смены]]="День",2700,IF(ТаблицаВыработки[[#This Row],[Тип смены]]="Ночь",3300,""))</f>
        <v/>
      </c>
      <c r="H108" s="14"/>
    </row>
    <row r="109" spans="1:8" hidden="1" x14ac:dyDescent="0.25">
      <c r="A109" s="5"/>
      <c r="B10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9" s="2"/>
      <c r="D109" s="2"/>
      <c r="E109" s="2"/>
      <c r="F109" s="8"/>
      <c r="G109" s="11" t="str">
        <f>IF(ТаблицаВыработки[[#This Row],[Тип смены]]="День",2700,IF(ТаблицаВыработки[[#This Row],[Тип смены]]="Ночь",3300,""))</f>
        <v/>
      </c>
      <c r="H109" s="14"/>
    </row>
    <row r="110" spans="1:8" hidden="1" x14ac:dyDescent="0.25">
      <c r="A110" s="5"/>
      <c r="B11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0" s="2"/>
      <c r="D110" s="2"/>
      <c r="E110" s="2"/>
      <c r="F110" s="8"/>
      <c r="G110" s="11" t="str">
        <f>IF(ТаблицаВыработки[[#This Row],[Тип смены]]="День",2700,IF(ТаблицаВыработки[[#This Row],[Тип смены]]="Ночь",3300,""))</f>
        <v/>
      </c>
      <c r="H110" s="14"/>
    </row>
    <row r="111" spans="1:8" hidden="1" x14ac:dyDescent="0.25">
      <c r="A111" s="5"/>
      <c r="B11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1" s="2"/>
      <c r="D111" s="2"/>
      <c r="E111" s="2"/>
      <c r="F111" s="8"/>
      <c r="G111" s="11" t="str">
        <f>IF(ТаблицаВыработки[[#This Row],[Тип смены]]="День",2700,IF(ТаблицаВыработки[[#This Row],[Тип смены]]="Ночь",3300,""))</f>
        <v/>
      </c>
      <c r="H111" s="14"/>
    </row>
    <row r="112" spans="1:8" hidden="1" x14ac:dyDescent="0.25">
      <c r="A112" s="5"/>
      <c r="B11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2" s="2"/>
      <c r="D112" s="2"/>
      <c r="E112" s="2"/>
      <c r="F112" s="8"/>
      <c r="G112" s="11" t="str">
        <f>IF(ТаблицаВыработки[[#This Row],[Тип смены]]="День",2700,IF(ТаблицаВыработки[[#This Row],[Тип смены]]="Ночь",3300,""))</f>
        <v/>
      </c>
      <c r="H112" s="14"/>
    </row>
    <row r="113" spans="1:8" hidden="1" x14ac:dyDescent="0.25">
      <c r="A113" s="5"/>
      <c r="B11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3" s="2"/>
      <c r="D113" s="2"/>
      <c r="E113" s="2"/>
      <c r="F113" s="8"/>
      <c r="G113" s="11" t="str">
        <f>IF(ТаблицаВыработки[[#This Row],[Тип смены]]="День",2700,IF(ТаблицаВыработки[[#This Row],[Тип смены]]="Ночь",3300,""))</f>
        <v/>
      </c>
      <c r="H113" s="14"/>
    </row>
    <row r="114" spans="1:8" hidden="1" x14ac:dyDescent="0.25">
      <c r="A114" s="5"/>
      <c r="B11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4" s="2"/>
      <c r="D114" s="2"/>
      <c r="E114" s="2"/>
      <c r="F114" s="8"/>
      <c r="G114" s="11" t="str">
        <f>IF(ТаблицаВыработки[[#This Row],[Тип смены]]="День",2700,IF(ТаблицаВыработки[[#This Row],[Тип смены]]="Ночь",3300,""))</f>
        <v/>
      </c>
      <c r="H114" s="14"/>
    </row>
    <row r="115" spans="1:8" hidden="1" x14ac:dyDescent="0.25">
      <c r="A115" s="5"/>
      <c r="B11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5" s="2"/>
      <c r="D115" s="2"/>
      <c r="E115" s="2"/>
      <c r="F115" s="8"/>
      <c r="G115" s="11" t="str">
        <f>IF(ТаблицаВыработки[[#This Row],[Тип смены]]="День",2700,IF(ТаблицаВыработки[[#This Row],[Тип смены]]="Ночь",3300,""))</f>
        <v/>
      </c>
      <c r="H115" s="14"/>
    </row>
    <row r="116" spans="1:8" hidden="1" x14ac:dyDescent="0.25">
      <c r="A116" s="5"/>
      <c r="B11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6" s="2"/>
      <c r="D116" s="2"/>
      <c r="E116" s="2"/>
      <c r="F116" s="8"/>
      <c r="G116" s="11" t="str">
        <f>IF(ТаблицаВыработки[[#This Row],[Тип смены]]="День",2700,IF(ТаблицаВыработки[[#This Row],[Тип смены]]="Ночь",3300,""))</f>
        <v/>
      </c>
      <c r="H116" s="14"/>
    </row>
    <row r="117" spans="1:8" hidden="1" x14ac:dyDescent="0.25">
      <c r="A117" s="5"/>
      <c r="B11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7" s="2"/>
      <c r="D117" s="2"/>
      <c r="E117" s="2"/>
      <c r="F117" s="8"/>
      <c r="G117" s="11" t="str">
        <f>IF(ТаблицаВыработки[[#This Row],[Тип смены]]="День",2700,IF(ТаблицаВыработки[[#This Row],[Тип смены]]="Ночь",3300,""))</f>
        <v/>
      </c>
      <c r="H117" s="14"/>
    </row>
    <row r="118" spans="1:8" hidden="1" x14ac:dyDescent="0.25">
      <c r="A118" s="5"/>
      <c r="B11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8" s="2"/>
      <c r="D118" s="2"/>
      <c r="E118" s="2"/>
      <c r="F118" s="8"/>
      <c r="G118" s="11" t="str">
        <f>IF(ТаблицаВыработки[[#This Row],[Тип смены]]="День",2700,IF(ТаблицаВыработки[[#This Row],[Тип смены]]="Ночь",3300,""))</f>
        <v/>
      </c>
      <c r="H118" s="14"/>
    </row>
    <row r="119" spans="1:8" hidden="1" x14ac:dyDescent="0.25">
      <c r="A119" s="5"/>
      <c r="B11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9" s="2"/>
      <c r="D119" s="2"/>
      <c r="E119" s="2"/>
      <c r="F119" s="8"/>
      <c r="G119" s="11" t="str">
        <f>IF(ТаблицаВыработки[[#This Row],[Тип смены]]="День",2700,IF(ТаблицаВыработки[[#This Row],[Тип смены]]="Ночь",3300,""))</f>
        <v/>
      </c>
      <c r="H119" s="14"/>
    </row>
    <row r="120" spans="1:8" hidden="1" x14ac:dyDescent="0.25">
      <c r="A120" s="5"/>
      <c r="B12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0" s="2"/>
      <c r="D120" s="2"/>
      <c r="E120" s="2"/>
      <c r="F120" s="8"/>
      <c r="G120" s="11" t="str">
        <f>IF(ТаблицаВыработки[[#This Row],[Тип смены]]="День",2700,IF(ТаблицаВыработки[[#This Row],[Тип смены]]="Ночь",3300,""))</f>
        <v/>
      </c>
      <c r="H120" s="14"/>
    </row>
    <row r="121" spans="1:8" hidden="1" x14ac:dyDescent="0.25">
      <c r="A121" s="5"/>
      <c r="B12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1" s="2"/>
      <c r="D121" s="2"/>
      <c r="E121" s="2"/>
      <c r="F121" s="8"/>
      <c r="G121" s="11" t="str">
        <f>IF(ТаблицаВыработки[[#This Row],[Тип смены]]="День",2700,IF(ТаблицаВыработки[[#This Row],[Тип смены]]="Ночь",3300,""))</f>
        <v/>
      </c>
      <c r="H121" s="14"/>
    </row>
    <row r="122" spans="1:8" hidden="1" x14ac:dyDescent="0.25">
      <c r="A122" s="5"/>
      <c r="B12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2" s="2"/>
      <c r="D122" s="2"/>
      <c r="E122" s="2"/>
      <c r="F122" s="8"/>
      <c r="G122" s="11" t="str">
        <f>IF(ТаблицаВыработки[[#This Row],[Тип смены]]="День",2700,IF(ТаблицаВыработки[[#This Row],[Тип смены]]="Ночь",3300,""))</f>
        <v/>
      </c>
      <c r="H122" s="14"/>
    </row>
    <row r="123" spans="1:8" hidden="1" x14ac:dyDescent="0.25">
      <c r="A123" s="5"/>
      <c r="B12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3" s="2"/>
      <c r="D123" s="2"/>
      <c r="E123" s="2"/>
      <c r="F123" s="8"/>
      <c r="G123" s="11" t="str">
        <f>IF(ТаблицаВыработки[[#This Row],[Тип смены]]="День",2700,IF(ТаблицаВыработки[[#This Row],[Тип смены]]="Ночь",3300,""))</f>
        <v/>
      </c>
      <c r="H123" s="14"/>
    </row>
    <row r="124" spans="1:8" hidden="1" x14ac:dyDescent="0.25">
      <c r="A124" s="5"/>
      <c r="B12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4" s="2"/>
      <c r="D124" s="2"/>
      <c r="E124" s="2"/>
      <c r="F124" s="8"/>
      <c r="G124" s="11" t="str">
        <f>IF(ТаблицаВыработки[[#This Row],[Тип смены]]="День",2700,IF(ТаблицаВыработки[[#This Row],[Тип смены]]="Ночь",3300,""))</f>
        <v/>
      </c>
      <c r="H124" s="14"/>
    </row>
    <row r="125" spans="1:8" hidden="1" x14ac:dyDescent="0.25">
      <c r="A125" s="5"/>
      <c r="B12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5" s="2"/>
      <c r="D125" s="2"/>
      <c r="E125" s="2"/>
      <c r="F125" s="8"/>
      <c r="G125" s="11" t="str">
        <f>IF(ТаблицаВыработки[[#This Row],[Тип смены]]="День",2700,IF(ТаблицаВыработки[[#This Row],[Тип смены]]="Ночь",3300,""))</f>
        <v/>
      </c>
      <c r="H125" s="14"/>
    </row>
    <row r="126" spans="1:8" hidden="1" x14ac:dyDescent="0.25">
      <c r="A126" s="5"/>
      <c r="B12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6" s="2"/>
      <c r="D126" s="2"/>
      <c r="E126" s="2"/>
      <c r="F126" s="8"/>
      <c r="G126" s="11" t="str">
        <f>IF(ТаблицаВыработки[[#This Row],[Тип смены]]="День",2700,IF(ТаблицаВыработки[[#This Row],[Тип смены]]="Ночь",3300,""))</f>
        <v/>
      </c>
      <c r="H126" s="14"/>
    </row>
    <row r="127" spans="1:8" hidden="1" x14ac:dyDescent="0.25">
      <c r="A127" s="5"/>
      <c r="B12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7" s="2"/>
      <c r="D127" s="2"/>
      <c r="E127" s="2"/>
      <c r="F127" s="8"/>
      <c r="G127" s="11" t="str">
        <f>IF(ТаблицаВыработки[[#This Row],[Тип смены]]="День",2700,IF(ТаблицаВыработки[[#This Row],[Тип смены]]="Ночь",3300,""))</f>
        <v/>
      </c>
      <c r="H127" s="14"/>
    </row>
    <row r="128" spans="1:8" hidden="1" x14ac:dyDescent="0.25">
      <c r="A128" s="5"/>
      <c r="B12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8" s="2"/>
      <c r="D128" s="2"/>
      <c r="E128" s="2"/>
      <c r="F128" s="8"/>
      <c r="G128" s="11" t="str">
        <f>IF(ТаблицаВыработки[[#This Row],[Тип смены]]="День",2700,IF(ТаблицаВыработки[[#This Row],[Тип смены]]="Ночь",3300,""))</f>
        <v/>
      </c>
      <c r="H128" s="14"/>
    </row>
    <row r="129" spans="1:8" hidden="1" x14ac:dyDescent="0.25">
      <c r="A129" s="5"/>
      <c r="B12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9" s="2"/>
      <c r="D129" s="2"/>
      <c r="E129" s="2"/>
      <c r="F129" s="8"/>
      <c r="G129" s="11" t="str">
        <f>IF(ТаблицаВыработки[[#This Row],[Тип смены]]="День",2700,IF(ТаблицаВыработки[[#This Row],[Тип смены]]="Ночь",3300,""))</f>
        <v/>
      </c>
      <c r="H129" s="14"/>
    </row>
    <row r="130" spans="1:8" hidden="1" x14ac:dyDescent="0.25">
      <c r="A130" s="5"/>
      <c r="B13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0" s="2"/>
      <c r="D130" s="2"/>
      <c r="E130" s="2"/>
      <c r="F130" s="8"/>
      <c r="G130" s="11" t="str">
        <f>IF(ТаблицаВыработки[[#This Row],[Тип смены]]="День",2700,IF(ТаблицаВыработки[[#This Row],[Тип смены]]="Ночь",3300,""))</f>
        <v/>
      </c>
      <c r="H130" s="14"/>
    </row>
    <row r="131" spans="1:8" hidden="1" x14ac:dyDescent="0.25">
      <c r="A131" s="5"/>
      <c r="B13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1" s="2"/>
      <c r="D131" s="2"/>
      <c r="E131" s="2"/>
      <c r="F131" s="8"/>
      <c r="G131" s="11" t="str">
        <f>IF(ТаблицаВыработки[[#This Row],[Тип смены]]="День",2700,IF(ТаблицаВыработки[[#This Row],[Тип смены]]="Ночь",3300,""))</f>
        <v/>
      </c>
      <c r="H131" s="14"/>
    </row>
    <row r="132" spans="1:8" hidden="1" x14ac:dyDescent="0.25">
      <c r="A132" s="5"/>
      <c r="B13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2" s="2"/>
      <c r="D132" s="2"/>
      <c r="E132" s="2"/>
      <c r="F132" s="8"/>
      <c r="G132" s="11" t="str">
        <f>IF(ТаблицаВыработки[[#This Row],[Тип смены]]="День",2700,IF(ТаблицаВыработки[[#This Row],[Тип смены]]="Ночь",3300,""))</f>
        <v/>
      </c>
      <c r="H132" s="14"/>
    </row>
    <row r="133" spans="1:8" hidden="1" x14ac:dyDescent="0.25">
      <c r="A133" s="5"/>
      <c r="B13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3" s="2"/>
      <c r="D133" s="2"/>
      <c r="E133" s="2"/>
      <c r="F133" s="8"/>
      <c r="G133" s="11" t="str">
        <f>IF(ТаблицаВыработки[[#This Row],[Тип смены]]="День",2700,IF(ТаблицаВыработки[[#This Row],[Тип смены]]="Ночь",3300,""))</f>
        <v/>
      </c>
      <c r="H133" s="14"/>
    </row>
    <row r="134" spans="1:8" hidden="1" x14ac:dyDescent="0.25">
      <c r="A134" s="5"/>
      <c r="B13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4" s="2"/>
      <c r="D134" s="2"/>
      <c r="E134" s="2"/>
      <c r="F134" s="8"/>
      <c r="G134" s="11" t="str">
        <f>IF(ТаблицаВыработки[[#This Row],[Тип смены]]="День",2700,IF(ТаблицаВыработки[[#This Row],[Тип смены]]="Ночь",3300,""))</f>
        <v/>
      </c>
      <c r="H134" s="14"/>
    </row>
    <row r="135" spans="1:8" hidden="1" x14ac:dyDescent="0.25">
      <c r="A135" s="5"/>
      <c r="B13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5" s="2"/>
      <c r="D135" s="2"/>
      <c r="E135" s="2"/>
      <c r="F135" s="8"/>
      <c r="G135" s="11" t="str">
        <f>IF(ТаблицаВыработки[[#This Row],[Тип смены]]="День",2700,IF(ТаблицаВыработки[[#This Row],[Тип смены]]="Ночь",3300,""))</f>
        <v/>
      </c>
      <c r="H135" s="14"/>
    </row>
    <row r="136" spans="1:8" hidden="1" x14ac:dyDescent="0.25">
      <c r="A136" s="5"/>
      <c r="B13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6" s="2"/>
      <c r="D136" s="2"/>
      <c r="E136" s="2"/>
      <c r="F136" s="8"/>
      <c r="G136" s="11" t="str">
        <f>IF(ТаблицаВыработки[[#This Row],[Тип смены]]="День",2700,IF(ТаблицаВыработки[[#This Row],[Тип смены]]="Ночь",3300,""))</f>
        <v/>
      </c>
      <c r="H136" s="14"/>
    </row>
    <row r="137" spans="1:8" hidden="1" x14ac:dyDescent="0.25">
      <c r="A137" s="5"/>
      <c r="B13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7" s="2"/>
      <c r="D137" s="2"/>
      <c r="E137" s="2"/>
      <c r="F137" s="8"/>
      <c r="G137" s="11" t="str">
        <f>IF(ТаблицаВыработки[[#This Row],[Тип смены]]="День",2700,IF(ТаблицаВыработки[[#This Row],[Тип смены]]="Ночь",3300,""))</f>
        <v/>
      </c>
      <c r="H137" s="14"/>
    </row>
    <row r="138" spans="1:8" hidden="1" x14ac:dyDescent="0.25">
      <c r="A138" s="5"/>
      <c r="B13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8" s="2"/>
      <c r="D138" s="2"/>
      <c r="E138" s="2"/>
      <c r="F138" s="8"/>
      <c r="G138" s="11" t="str">
        <f>IF(ТаблицаВыработки[[#This Row],[Тип смены]]="День",2700,IF(ТаблицаВыработки[[#This Row],[Тип смены]]="Ночь",3300,""))</f>
        <v/>
      </c>
      <c r="H138" s="14"/>
    </row>
    <row r="139" spans="1:8" hidden="1" x14ac:dyDescent="0.25">
      <c r="A139" s="5"/>
      <c r="B13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9" s="2"/>
      <c r="D139" s="2"/>
      <c r="E139" s="2"/>
      <c r="F139" s="8"/>
      <c r="G139" s="11" t="str">
        <f>IF(ТаблицаВыработки[[#This Row],[Тип смены]]="День",2700,IF(ТаблицаВыработки[[#This Row],[Тип смены]]="Ночь",3300,""))</f>
        <v/>
      </c>
      <c r="H139" s="14"/>
    </row>
    <row r="140" spans="1:8" hidden="1" x14ac:dyDescent="0.25">
      <c r="A140" s="5"/>
      <c r="B14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0" s="2"/>
      <c r="D140" s="2"/>
      <c r="E140" s="2"/>
      <c r="F140" s="8"/>
      <c r="G140" s="11" t="str">
        <f>IF(ТаблицаВыработки[[#This Row],[Тип смены]]="День",2700,IF(ТаблицаВыработки[[#This Row],[Тип смены]]="Ночь",3300,""))</f>
        <v/>
      </c>
      <c r="H140" s="14"/>
    </row>
    <row r="141" spans="1:8" hidden="1" x14ac:dyDescent="0.25">
      <c r="A141" s="5"/>
      <c r="B14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1" s="2"/>
      <c r="D141" s="2"/>
      <c r="E141" s="2"/>
      <c r="F141" s="8"/>
      <c r="G141" s="11" t="str">
        <f>IF(ТаблицаВыработки[[#This Row],[Тип смены]]="День",2700,IF(ТаблицаВыработки[[#This Row],[Тип смены]]="Ночь",3300,""))</f>
        <v/>
      </c>
      <c r="H141" s="14"/>
    </row>
    <row r="142" spans="1:8" hidden="1" x14ac:dyDescent="0.25">
      <c r="A142" s="5"/>
      <c r="B14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2" s="2"/>
      <c r="D142" s="2"/>
      <c r="E142" s="2"/>
      <c r="F142" s="8"/>
      <c r="G142" s="11" t="str">
        <f>IF(ТаблицаВыработки[[#This Row],[Тип смены]]="День",2700,IF(ТаблицаВыработки[[#This Row],[Тип смены]]="Ночь",3300,""))</f>
        <v/>
      </c>
      <c r="H142" s="14"/>
    </row>
    <row r="143" spans="1:8" hidden="1" x14ac:dyDescent="0.25">
      <c r="A143" s="5"/>
      <c r="B14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3" s="2"/>
      <c r="D143" s="2"/>
      <c r="E143" s="2"/>
      <c r="F143" s="8"/>
      <c r="G143" s="11" t="str">
        <f>IF(ТаблицаВыработки[[#This Row],[Тип смены]]="День",2700,IF(ТаблицаВыработки[[#This Row],[Тип смены]]="Ночь",3300,""))</f>
        <v/>
      </c>
      <c r="H143" s="14"/>
    </row>
    <row r="144" spans="1:8" hidden="1" x14ac:dyDescent="0.25">
      <c r="A144" s="5"/>
      <c r="B14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4" s="2"/>
      <c r="D144" s="2"/>
      <c r="E144" s="2"/>
      <c r="F144" s="8"/>
      <c r="G144" s="11" t="str">
        <f>IF(ТаблицаВыработки[[#This Row],[Тип смены]]="День",2700,IF(ТаблицаВыработки[[#This Row],[Тип смены]]="Ночь",3300,""))</f>
        <v/>
      </c>
      <c r="H144" s="14"/>
    </row>
    <row r="145" spans="1:8" hidden="1" x14ac:dyDescent="0.25">
      <c r="A145" s="5"/>
      <c r="B14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5" s="2"/>
      <c r="D145" s="2"/>
      <c r="E145" s="2"/>
      <c r="F145" s="8"/>
      <c r="G145" s="11" t="str">
        <f>IF(ТаблицаВыработки[[#This Row],[Тип смены]]="День",2700,IF(ТаблицаВыработки[[#This Row],[Тип смены]]="Ночь",3300,""))</f>
        <v/>
      </c>
      <c r="H145" s="14"/>
    </row>
    <row r="146" spans="1:8" hidden="1" x14ac:dyDescent="0.25">
      <c r="A146" s="5"/>
      <c r="B14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6" s="2"/>
      <c r="D146" s="2"/>
      <c r="E146" s="2"/>
      <c r="F146" s="8"/>
      <c r="G146" s="11" t="str">
        <f>IF(ТаблицаВыработки[[#This Row],[Тип смены]]="День",2700,IF(ТаблицаВыработки[[#This Row],[Тип смены]]="Ночь",3300,""))</f>
        <v/>
      </c>
      <c r="H146" s="14"/>
    </row>
    <row r="147" spans="1:8" hidden="1" x14ac:dyDescent="0.25">
      <c r="A147" s="5"/>
      <c r="B14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7" s="2"/>
      <c r="D147" s="2"/>
      <c r="E147" s="2"/>
      <c r="F147" s="8"/>
      <c r="G147" s="11" t="str">
        <f>IF(ТаблицаВыработки[[#This Row],[Тип смены]]="День",2700,IF(ТаблицаВыработки[[#This Row],[Тип смены]]="Ночь",3300,""))</f>
        <v/>
      </c>
      <c r="H147" s="14"/>
    </row>
    <row r="148" spans="1:8" hidden="1" x14ac:dyDescent="0.25">
      <c r="A148" s="5"/>
      <c r="B14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8" s="2"/>
      <c r="D148" s="2"/>
      <c r="E148" s="2"/>
      <c r="F148" s="8"/>
      <c r="G148" s="11" t="str">
        <f>IF(ТаблицаВыработки[[#This Row],[Тип смены]]="День",2700,IF(ТаблицаВыработки[[#This Row],[Тип смены]]="Ночь",3300,""))</f>
        <v/>
      </c>
      <c r="H148" s="14"/>
    </row>
    <row r="149" spans="1:8" hidden="1" x14ac:dyDescent="0.25">
      <c r="A149" s="5"/>
      <c r="B14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9" s="2"/>
      <c r="D149" s="2"/>
      <c r="E149" s="2"/>
      <c r="F149" s="8"/>
      <c r="G149" s="11" t="str">
        <f>IF(ТаблицаВыработки[[#This Row],[Тип смены]]="День",2700,IF(ТаблицаВыработки[[#This Row],[Тип смены]]="Ночь",3300,""))</f>
        <v/>
      </c>
      <c r="H149" s="14"/>
    </row>
    <row r="150" spans="1:8" hidden="1" x14ac:dyDescent="0.25">
      <c r="A150" s="5"/>
      <c r="B15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0" s="2"/>
      <c r="D150" s="2"/>
      <c r="E150" s="2"/>
      <c r="F150" s="8"/>
      <c r="G150" s="11" t="str">
        <f>IF(ТаблицаВыработки[[#This Row],[Тип смены]]="День",2700,IF(ТаблицаВыработки[[#This Row],[Тип смены]]="Ночь",3300,""))</f>
        <v/>
      </c>
      <c r="H150" s="14"/>
    </row>
    <row r="151" spans="1:8" hidden="1" x14ac:dyDescent="0.25">
      <c r="A151" s="5"/>
      <c r="B15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1" s="2"/>
      <c r="D151" s="2"/>
      <c r="E151" s="2"/>
      <c r="F151" s="8"/>
      <c r="G151" s="11" t="str">
        <f>IF(ТаблицаВыработки[[#This Row],[Тип смены]]="День",2700,IF(ТаблицаВыработки[[#This Row],[Тип смены]]="Ночь",3300,""))</f>
        <v/>
      </c>
      <c r="H151" s="14"/>
    </row>
    <row r="152" spans="1:8" hidden="1" x14ac:dyDescent="0.25">
      <c r="A152" s="5"/>
      <c r="B15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2" s="2"/>
      <c r="D152" s="2"/>
      <c r="E152" s="2"/>
      <c r="F152" s="8"/>
      <c r="G152" s="11" t="str">
        <f>IF(ТаблицаВыработки[[#This Row],[Тип смены]]="День",2700,IF(ТаблицаВыработки[[#This Row],[Тип смены]]="Ночь",3300,""))</f>
        <v/>
      </c>
      <c r="H152" s="14"/>
    </row>
    <row r="153" spans="1:8" hidden="1" x14ac:dyDescent="0.25">
      <c r="A153" s="5"/>
      <c r="B15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3" s="2"/>
      <c r="D153" s="2"/>
      <c r="E153" s="2"/>
      <c r="F153" s="8"/>
      <c r="G153" s="11" t="str">
        <f>IF(ТаблицаВыработки[[#This Row],[Тип смены]]="День",2700,IF(ТаблицаВыработки[[#This Row],[Тип смены]]="Ночь",3300,""))</f>
        <v/>
      </c>
      <c r="H153" s="14"/>
    </row>
    <row r="154" spans="1:8" hidden="1" x14ac:dyDescent="0.25">
      <c r="A154" s="5"/>
      <c r="B15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4" s="2"/>
      <c r="D154" s="2"/>
      <c r="E154" s="2"/>
      <c r="F154" s="8"/>
      <c r="G154" s="11" t="str">
        <f>IF(ТаблицаВыработки[[#This Row],[Тип смены]]="День",2700,IF(ТаблицаВыработки[[#This Row],[Тип смены]]="Ночь",3300,""))</f>
        <v/>
      </c>
      <c r="H154" s="14"/>
    </row>
    <row r="155" spans="1:8" hidden="1" x14ac:dyDescent="0.25">
      <c r="A155" s="5"/>
      <c r="B15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5" s="2"/>
      <c r="D155" s="2"/>
      <c r="E155" s="2"/>
      <c r="F155" s="8"/>
      <c r="G155" s="11" t="str">
        <f>IF(ТаблицаВыработки[[#This Row],[Тип смены]]="День",2700,IF(ТаблицаВыработки[[#This Row],[Тип смены]]="Ночь",3300,""))</f>
        <v/>
      </c>
      <c r="H155" s="14"/>
    </row>
    <row r="156" spans="1:8" hidden="1" x14ac:dyDescent="0.25">
      <c r="A156" s="5"/>
      <c r="B15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6" s="2"/>
      <c r="D156" s="2"/>
      <c r="E156" s="2"/>
      <c r="F156" s="8"/>
      <c r="G156" s="11" t="str">
        <f>IF(ТаблицаВыработки[[#This Row],[Тип смены]]="День",2700,IF(ТаблицаВыработки[[#This Row],[Тип смены]]="Ночь",3300,""))</f>
        <v/>
      </c>
      <c r="H156" s="14"/>
    </row>
    <row r="157" spans="1:8" hidden="1" x14ac:dyDescent="0.25">
      <c r="A157" s="5"/>
      <c r="B15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7" s="2"/>
      <c r="D157" s="2"/>
      <c r="E157" s="2"/>
      <c r="F157" s="8"/>
      <c r="G157" s="11" t="str">
        <f>IF(ТаблицаВыработки[[#This Row],[Тип смены]]="День",2700,IF(ТаблицаВыработки[[#This Row],[Тип смены]]="Ночь",3300,""))</f>
        <v/>
      </c>
      <c r="H157" s="14"/>
    </row>
    <row r="158" spans="1:8" hidden="1" x14ac:dyDescent="0.25">
      <c r="A158" s="5"/>
      <c r="B15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8" s="2"/>
      <c r="D158" s="2"/>
      <c r="E158" s="2"/>
      <c r="F158" s="8"/>
      <c r="G158" s="11" t="str">
        <f>IF(ТаблицаВыработки[[#This Row],[Тип смены]]="День",2700,IF(ТаблицаВыработки[[#This Row],[Тип смены]]="Ночь",3300,""))</f>
        <v/>
      </c>
      <c r="H158" s="14"/>
    </row>
    <row r="159" spans="1:8" hidden="1" x14ac:dyDescent="0.25">
      <c r="A159" s="5"/>
      <c r="B15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9" s="2"/>
      <c r="D159" s="2"/>
      <c r="E159" s="2"/>
      <c r="F159" s="8"/>
      <c r="G159" s="11" t="str">
        <f>IF(ТаблицаВыработки[[#This Row],[Тип смены]]="День",2700,IF(ТаблицаВыработки[[#This Row],[Тип смены]]="Ночь",3300,""))</f>
        <v/>
      </c>
      <c r="H159" s="14"/>
    </row>
    <row r="160" spans="1:8" hidden="1" x14ac:dyDescent="0.25">
      <c r="A160" s="5"/>
      <c r="B16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0" s="2"/>
      <c r="D160" s="2"/>
      <c r="E160" s="2"/>
      <c r="F160" s="8"/>
      <c r="G160" s="11" t="str">
        <f>IF(ТаблицаВыработки[[#This Row],[Тип смены]]="День",2700,IF(ТаблицаВыработки[[#This Row],[Тип смены]]="Ночь",3300,""))</f>
        <v/>
      </c>
      <c r="H160" s="14"/>
    </row>
    <row r="161" spans="1:8" hidden="1" x14ac:dyDescent="0.25">
      <c r="A161" s="5"/>
      <c r="B16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1" s="2"/>
      <c r="D161" s="2"/>
      <c r="E161" s="2"/>
      <c r="F161" s="8"/>
      <c r="G161" s="11" t="str">
        <f>IF(ТаблицаВыработки[[#This Row],[Тип смены]]="День",2700,IF(ТаблицаВыработки[[#This Row],[Тип смены]]="Ночь",3300,""))</f>
        <v/>
      </c>
      <c r="H161" s="14"/>
    </row>
    <row r="162" spans="1:8" hidden="1" x14ac:dyDescent="0.25">
      <c r="A162" s="5"/>
      <c r="B16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2" s="2"/>
      <c r="D162" s="2"/>
      <c r="E162" s="2"/>
      <c r="F162" s="8"/>
      <c r="G162" s="11" t="str">
        <f>IF(ТаблицаВыработки[[#This Row],[Тип смены]]="День",2700,IF(ТаблицаВыработки[[#This Row],[Тип смены]]="Ночь",3300,""))</f>
        <v/>
      </c>
      <c r="H162" s="14"/>
    </row>
    <row r="163" spans="1:8" hidden="1" x14ac:dyDescent="0.25">
      <c r="A163" s="5"/>
      <c r="B16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3" s="2"/>
      <c r="D163" s="2"/>
      <c r="E163" s="2"/>
      <c r="F163" s="8"/>
      <c r="G163" s="11" t="str">
        <f>IF(ТаблицаВыработки[[#This Row],[Тип смены]]="День",2700,IF(ТаблицаВыработки[[#This Row],[Тип смены]]="Ночь",3300,""))</f>
        <v/>
      </c>
      <c r="H163" s="14"/>
    </row>
    <row r="164" spans="1:8" hidden="1" x14ac:dyDescent="0.25">
      <c r="A164" s="5"/>
      <c r="B16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4" s="2"/>
      <c r="D164" s="2"/>
      <c r="E164" s="2"/>
      <c r="F164" s="8"/>
      <c r="G164" s="11" t="str">
        <f>IF(ТаблицаВыработки[[#This Row],[Тип смены]]="День",2700,IF(ТаблицаВыработки[[#This Row],[Тип смены]]="Ночь",3300,""))</f>
        <v/>
      </c>
      <c r="H164" s="14"/>
    </row>
    <row r="165" spans="1:8" hidden="1" x14ac:dyDescent="0.25">
      <c r="A165" s="5"/>
      <c r="B16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5" s="2"/>
      <c r="D165" s="2"/>
      <c r="E165" s="2"/>
      <c r="F165" s="8"/>
      <c r="G165" s="11" t="str">
        <f>IF(ТаблицаВыработки[[#This Row],[Тип смены]]="День",2700,IF(ТаблицаВыработки[[#This Row],[Тип смены]]="Ночь",3300,""))</f>
        <v/>
      </c>
      <c r="H165" s="14"/>
    </row>
    <row r="166" spans="1:8" hidden="1" x14ac:dyDescent="0.25">
      <c r="A166" s="5"/>
      <c r="B16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6" s="2"/>
      <c r="D166" s="2"/>
      <c r="E166" s="2"/>
      <c r="F166" s="8"/>
      <c r="G166" s="11" t="str">
        <f>IF(ТаблицаВыработки[[#This Row],[Тип смены]]="День",2700,IF(ТаблицаВыработки[[#This Row],[Тип смены]]="Ночь",3300,""))</f>
        <v/>
      </c>
      <c r="H166" s="14"/>
    </row>
    <row r="167" spans="1:8" hidden="1" x14ac:dyDescent="0.25">
      <c r="A167" s="5"/>
      <c r="B16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7" s="2"/>
      <c r="D167" s="2"/>
      <c r="E167" s="2"/>
      <c r="F167" s="8"/>
      <c r="G167" s="11" t="str">
        <f>IF(ТаблицаВыработки[[#This Row],[Тип смены]]="День",2700,IF(ТаблицаВыработки[[#This Row],[Тип смены]]="Ночь",3300,""))</f>
        <v/>
      </c>
      <c r="H167" s="14"/>
    </row>
    <row r="168" spans="1:8" hidden="1" x14ac:dyDescent="0.25">
      <c r="A168" s="5"/>
      <c r="B16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8" s="2"/>
      <c r="D168" s="2"/>
      <c r="E168" s="2"/>
      <c r="F168" s="8"/>
      <c r="G168" s="11" t="str">
        <f>IF(ТаблицаВыработки[[#This Row],[Тип смены]]="День",2700,IF(ТаблицаВыработки[[#This Row],[Тип смены]]="Ночь",3300,""))</f>
        <v/>
      </c>
      <c r="H168" s="14"/>
    </row>
    <row r="169" spans="1:8" hidden="1" x14ac:dyDescent="0.25">
      <c r="A169" s="5"/>
      <c r="B16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9" s="2"/>
      <c r="D169" s="2"/>
      <c r="E169" s="2"/>
      <c r="F169" s="8"/>
      <c r="G169" s="11" t="str">
        <f>IF(ТаблицаВыработки[[#This Row],[Тип смены]]="День",2700,IF(ТаблицаВыработки[[#This Row],[Тип смены]]="Ночь",3300,""))</f>
        <v/>
      </c>
      <c r="H169" s="14"/>
    </row>
    <row r="170" spans="1:8" hidden="1" x14ac:dyDescent="0.25">
      <c r="A170" s="5"/>
      <c r="B17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0" s="2"/>
      <c r="D170" s="2"/>
      <c r="E170" s="2"/>
      <c r="F170" s="8"/>
      <c r="G170" s="11" t="str">
        <f>IF(ТаблицаВыработки[[#This Row],[Тип смены]]="День",2700,IF(ТаблицаВыработки[[#This Row],[Тип смены]]="Ночь",3300,""))</f>
        <v/>
      </c>
      <c r="H170" s="14"/>
    </row>
    <row r="171" spans="1:8" hidden="1" x14ac:dyDescent="0.25">
      <c r="A171" s="5"/>
      <c r="B17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1" s="2"/>
      <c r="D171" s="2"/>
      <c r="E171" s="2"/>
      <c r="F171" s="8"/>
      <c r="G171" s="11" t="str">
        <f>IF(ТаблицаВыработки[[#This Row],[Тип смены]]="День",2700,IF(ТаблицаВыработки[[#This Row],[Тип смены]]="Ночь",3300,""))</f>
        <v/>
      </c>
      <c r="H171" s="14"/>
    </row>
    <row r="172" spans="1:8" hidden="1" x14ac:dyDescent="0.25">
      <c r="A172" s="5"/>
      <c r="B17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2" s="2"/>
      <c r="D172" s="2"/>
      <c r="E172" s="2"/>
      <c r="F172" s="8"/>
      <c r="G172" s="11" t="str">
        <f>IF(ТаблицаВыработки[[#This Row],[Тип смены]]="День",2700,IF(ТаблицаВыработки[[#This Row],[Тип смены]]="Ночь",3300,""))</f>
        <v/>
      </c>
      <c r="H172" s="14"/>
    </row>
    <row r="173" spans="1:8" hidden="1" x14ac:dyDescent="0.25">
      <c r="A173" s="5"/>
      <c r="B17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3" s="2"/>
      <c r="D173" s="2"/>
      <c r="E173" s="2"/>
      <c r="F173" s="8"/>
      <c r="G173" s="11" t="str">
        <f>IF(ТаблицаВыработки[[#This Row],[Тип смены]]="День",2700,IF(ТаблицаВыработки[[#This Row],[Тип смены]]="Ночь",3300,""))</f>
        <v/>
      </c>
      <c r="H173" s="14"/>
    </row>
    <row r="174" spans="1:8" hidden="1" x14ac:dyDescent="0.25">
      <c r="A174" s="5"/>
      <c r="B17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4" s="2"/>
      <c r="D174" s="2"/>
      <c r="E174" s="2"/>
      <c r="F174" s="8"/>
      <c r="G174" s="11" t="str">
        <f>IF(ТаблицаВыработки[[#This Row],[Тип смены]]="День",2700,IF(ТаблицаВыработки[[#This Row],[Тип смены]]="Ночь",3300,""))</f>
        <v/>
      </c>
      <c r="H174" s="14"/>
    </row>
    <row r="175" spans="1:8" hidden="1" x14ac:dyDescent="0.25">
      <c r="A175" s="5"/>
      <c r="B17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5" s="2"/>
      <c r="D175" s="2"/>
      <c r="E175" s="2"/>
      <c r="F175" s="8"/>
      <c r="G175" s="11" t="str">
        <f>IF(ТаблицаВыработки[[#This Row],[Тип смены]]="День",2700,IF(ТаблицаВыработки[[#This Row],[Тип смены]]="Ночь",3300,""))</f>
        <v/>
      </c>
      <c r="H175" s="14"/>
    </row>
    <row r="176" spans="1:8" hidden="1" x14ac:dyDescent="0.25">
      <c r="A176" s="5"/>
      <c r="B17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6" s="2"/>
      <c r="D176" s="2"/>
      <c r="E176" s="2"/>
      <c r="F176" s="8"/>
      <c r="G176" s="11" t="str">
        <f>IF(ТаблицаВыработки[[#This Row],[Тип смены]]="День",2700,IF(ТаблицаВыработки[[#This Row],[Тип смены]]="Ночь",3300,""))</f>
        <v/>
      </c>
      <c r="H176" s="14"/>
    </row>
    <row r="177" spans="1:8" hidden="1" x14ac:dyDescent="0.25">
      <c r="A177" s="5"/>
      <c r="B17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7" s="2"/>
      <c r="D177" s="2"/>
      <c r="E177" s="2"/>
      <c r="F177" s="8"/>
      <c r="G177" s="11" t="str">
        <f>IF(ТаблицаВыработки[[#This Row],[Тип смены]]="День",2700,IF(ТаблицаВыработки[[#This Row],[Тип смены]]="Ночь",3300,""))</f>
        <v/>
      </c>
      <c r="H177" s="14"/>
    </row>
    <row r="178" spans="1:8" hidden="1" x14ac:dyDescent="0.25">
      <c r="A178" s="5"/>
      <c r="B17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8" s="2"/>
      <c r="D178" s="2"/>
      <c r="E178" s="2"/>
      <c r="F178" s="8"/>
      <c r="G178" s="11" t="str">
        <f>IF(ТаблицаВыработки[[#This Row],[Тип смены]]="День",2700,IF(ТаблицаВыработки[[#This Row],[Тип смены]]="Ночь",3300,""))</f>
        <v/>
      </c>
      <c r="H178" s="14"/>
    </row>
    <row r="179" spans="1:8" hidden="1" x14ac:dyDescent="0.25">
      <c r="A179" s="5"/>
      <c r="B17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9" s="2"/>
      <c r="D179" s="2"/>
      <c r="E179" s="2"/>
      <c r="F179" s="8"/>
      <c r="G179" s="11" t="str">
        <f>IF(ТаблицаВыработки[[#This Row],[Тип смены]]="День",2700,IF(ТаблицаВыработки[[#This Row],[Тип смены]]="Ночь",3300,""))</f>
        <v/>
      </c>
      <c r="H179" s="14"/>
    </row>
    <row r="180" spans="1:8" hidden="1" x14ac:dyDescent="0.25">
      <c r="A180" s="5"/>
      <c r="B18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0" s="2"/>
      <c r="D180" s="2"/>
      <c r="E180" s="2"/>
      <c r="F180" s="8"/>
      <c r="G180" s="11" t="str">
        <f>IF(ТаблицаВыработки[[#This Row],[Тип смены]]="День",2700,IF(ТаблицаВыработки[[#This Row],[Тип смены]]="Ночь",3300,""))</f>
        <v/>
      </c>
      <c r="H180" s="14"/>
    </row>
    <row r="181" spans="1:8" hidden="1" x14ac:dyDescent="0.25">
      <c r="A181" s="5"/>
      <c r="B18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1" s="2"/>
      <c r="D181" s="2"/>
      <c r="E181" s="2"/>
      <c r="F181" s="8"/>
      <c r="G181" s="11" t="str">
        <f>IF(ТаблицаВыработки[[#This Row],[Тип смены]]="День",2700,IF(ТаблицаВыработки[[#This Row],[Тип смены]]="Ночь",3300,""))</f>
        <v/>
      </c>
      <c r="H181" s="14"/>
    </row>
    <row r="182" spans="1:8" hidden="1" x14ac:dyDescent="0.25">
      <c r="A182" s="5"/>
      <c r="B18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2" s="2"/>
      <c r="D182" s="2"/>
      <c r="E182" s="2"/>
      <c r="F182" s="8"/>
      <c r="G182" s="11" t="str">
        <f>IF(ТаблицаВыработки[[#This Row],[Тип смены]]="День",2700,IF(ТаблицаВыработки[[#This Row],[Тип смены]]="Ночь",3300,""))</f>
        <v/>
      </c>
      <c r="H182" s="14"/>
    </row>
    <row r="183" spans="1:8" hidden="1" x14ac:dyDescent="0.25">
      <c r="A183" s="5"/>
      <c r="B18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3" s="2"/>
      <c r="D183" s="2"/>
      <c r="E183" s="2"/>
      <c r="F183" s="8"/>
      <c r="G183" s="11" t="str">
        <f>IF(ТаблицаВыработки[[#This Row],[Тип смены]]="День",2700,IF(ТаблицаВыработки[[#This Row],[Тип смены]]="Ночь",3300,""))</f>
        <v/>
      </c>
      <c r="H183" s="14"/>
    </row>
    <row r="184" spans="1:8" hidden="1" x14ac:dyDescent="0.25">
      <c r="A184" s="5"/>
      <c r="B18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4" s="2"/>
      <c r="D184" s="2"/>
      <c r="E184" s="2"/>
      <c r="F184" s="8"/>
      <c r="G184" s="11" t="str">
        <f>IF(ТаблицаВыработки[[#This Row],[Тип смены]]="День",2700,IF(ТаблицаВыработки[[#This Row],[Тип смены]]="Ночь",3300,""))</f>
        <v/>
      </c>
      <c r="H184" s="14"/>
    </row>
    <row r="185" spans="1:8" hidden="1" x14ac:dyDescent="0.25">
      <c r="A185" s="5"/>
      <c r="B18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5" s="2"/>
      <c r="D185" s="2"/>
      <c r="E185" s="2"/>
      <c r="F185" s="8"/>
      <c r="G185" s="11" t="str">
        <f>IF(ТаблицаВыработки[[#This Row],[Тип смены]]="День",2700,IF(ТаблицаВыработки[[#This Row],[Тип смены]]="Ночь",3300,""))</f>
        <v/>
      </c>
      <c r="H185" s="14"/>
    </row>
    <row r="186" spans="1:8" hidden="1" x14ac:dyDescent="0.25">
      <c r="A186" s="5"/>
      <c r="B18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6" s="2"/>
      <c r="D186" s="2"/>
      <c r="E186" s="2"/>
      <c r="F186" s="8"/>
      <c r="G186" s="11" t="str">
        <f>IF(ТаблицаВыработки[[#This Row],[Тип смены]]="День",2700,IF(ТаблицаВыработки[[#This Row],[Тип смены]]="Ночь",3300,""))</f>
        <v/>
      </c>
      <c r="H186" s="14"/>
    </row>
    <row r="187" spans="1:8" hidden="1" x14ac:dyDescent="0.25">
      <c r="A187" s="5"/>
      <c r="B18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7" s="2"/>
      <c r="D187" s="2"/>
      <c r="E187" s="2"/>
      <c r="F187" s="8"/>
      <c r="G187" s="11" t="str">
        <f>IF(ТаблицаВыработки[[#This Row],[Тип смены]]="День",2700,IF(ТаблицаВыработки[[#This Row],[Тип смены]]="Ночь",3300,""))</f>
        <v/>
      </c>
      <c r="H187" s="14"/>
    </row>
    <row r="188" spans="1:8" hidden="1" x14ac:dyDescent="0.25">
      <c r="A188" s="5"/>
      <c r="B18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8" s="2"/>
      <c r="D188" s="2"/>
      <c r="E188" s="2"/>
      <c r="F188" s="8"/>
      <c r="G188" s="11" t="str">
        <f>IF(ТаблицаВыработки[[#This Row],[Тип смены]]="День",2700,IF(ТаблицаВыработки[[#This Row],[Тип смены]]="Ночь",3300,""))</f>
        <v/>
      </c>
      <c r="H188" s="14"/>
    </row>
    <row r="189" spans="1:8" hidden="1" x14ac:dyDescent="0.25">
      <c r="A189" s="5"/>
      <c r="B18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9" s="2"/>
      <c r="D189" s="2"/>
      <c r="E189" s="2"/>
      <c r="F189" s="8"/>
      <c r="G189" s="11" t="str">
        <f>IF(ТаблицаВыработки[[#This Row],[Тип смены]]="День",2700,IF(ТаблицаВыработки[[#This Row],[Тип смены]]="Ночь",3300,""))</f>
        <v/>
      </c>
      <c r="H189" s="14"/>
    </row>
    <row r="190" spans="1:8" hidden="1" x14ac:dyDescent="0.25">
      <c r="A190" s="5"/>
      <c r="B19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0" s="2"/>
      <c r="D190" s="2"/>
      <c r="E190" s="2"/>
      <c r="F190" s="8"/>
      <c r="G190" s="11" t="str">
        <f>IF(ТаблицаВыработки[[#This Row],[Тип смены]]="День",2700,IF(ТаблицаВыработки[[#This Row],[Тип смены]]="Ночь",3300,""))</f>
        <v/>
      </c>
      <c r="H190" s="14"/>
    </row>
    <row r="191" spans="1:8" hidden="1" x14ac:dyDescent="0.25">
      <c r="A191" s="5"/>
      <c r="B19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1" s="2"/>
      <c r="D191" s="2"/>
      <c r="E191" s="2"/>
      <c r="F191" s="8"/>
      <c r="G191" s="11" t="str">
        <f>IF(ТаблицаВыработки[[#This Row],[Тип смены]]="День",2700,IF(ТаблицаВыработки[[#This Row],[Тип смены]]="Ночь",3300,""))</f>
        <v/>
      </c>
      <c r="H191" s="14"/>
    </row>
    <row r="192" spans="1:8" hidden="1" x14ac:dyDescent="0.25">
      <c r="A192" s="5"/>
      <c r="B19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2" s="2"/>
      <c r="D192" s="2"/>
      <c r="E192" s="2"/>
      <c r="F192" s="8"/>
      <c r="G192" s="11" t="str">
        <f>IF(ТаблицаВыработки[[#This Row],[Тип смены]]="День",2700,IF(ТаблицаВыработки[[#This Row],[Тип смены]]="Ночь",3300,""))</f>
        <v/>
      </c>
      <c r="H192" s="14"/>
    </row>
    <row r="193" spans="1:8" hidden="1" x14ac:dyDescent="0.25">
      <c r="A193" s="5"/>
      <c r="B19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3" s="2"/>
      <c r="D193" s="2"/>
      <c r="E193" s="2"/>
      <c r="F193" s="8"/>
      <c r="G193" s="11" t="str">
        <f>IF(ТаблицаВыработки[[#This Row],[Тип смены]]="День",2700,IF(ТаблицаВыработки[[#This Row],[Тип смены]]="Ночь",3300,""))</f>
        <v/>
      </c>
      <c r="H193" s="14"/>
    </row>
    <row r="194" spans="1:8" hidden="1" x14ac:dyDescent="0.25">
      <c r="A194" s="5"/>
      <c r="B19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4" s="2"/>
      <c r="D194" s="2"/>
      <c r="E194" s="2"/>
      <c r="F194" s="8"/>
      <c r="G194" s="11" t="str">
        <f>IF(ТаблицаВыработки[[#This Row],[Тип смены]]="День",2700,IF(ТаблицаВыработки[[#This Row],[Тип смены]]="Ночь",3300,""))</f>
        <v/>
      </c>
      <c r="H194" s="14"/>
    </row>
    <row r="195" spans="1:8" hidden="1" x14ac:dyDescent="0.25">
      <c r="A195" s="5"/>
      <c r="B19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5" s="2"/>
      <c r="D195" s="2"/>
      <c r="E195" s="2"/>
      <c r="F195" s="8"/>
      <c r="G195" s="11" t="str">
        <f>IF(ТаблицаВыработки[[#This Row],[Тип смены]]="День",2700,IF(ТаблицаВыработки[[#This Row],[Тип смены]]="Ночь",3300,""))</f>
        <v/>
      </c>
      <c r="H195" s="14"/>
    </row>
    <row r="196" spans="1:8" hidden="1" x14ac:dyDescent="0.25">
      <c r="A196" s="5"/>
      <c r="B19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6" s="2"/>
      <c r="D196" s="2"/>
      <c r="E196" s="2"/>
      <c r="F196" s="8"/>
      <c r="G196" s="11" t="str">
        <f>IF(ТаблицаВыработки[[#This Row],[Тип смены]]="День",2700,IF(ТаблицаВыработки[[#This Row],[Тип смены]]="Ночь",3300,""))</f>
        <v/>
      </c>
      <c r="H196" s="14"/>
    </row>
    <row r="197" spans="1:8" hidden="1" x14ac:dyDescent="0.25">
      <c r="A197" s="5"/>
      <c r="B19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7" s="2"/>
      <c r="D197" s="2"/>
      <c r="E197" s="2"/>
      <c r="F197" s="8"/>
      <c r="G197" s="11" t="str">
        <f>IF(ТаблицаВыработки[[#This Row],[Тип смены]]="День",2700,IF(ТаблицаВыработки[[#This Row],[Тип смены]]="Ночь",3300,""))</f>
        <v/>
      </c>
      <c r="H197" s="14"/>
    </row>
    <row r="198" spans="1:8" hidden="1" x14ac:dyDescent="0.25">
      <c r="A198" s="5"/>
      <c r="B19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8" s="2"/>
      <c r="D198" s="2"/>
      <c r="E198" s="2"/>
      <c r="F198" s="8"/>
      <c r="G198" s="11" t="str">
        <f>IF(ТаблицаВыработки[[#This Row],[Тип смены]]="День",2700,IF(ТаблицаВыработки[[#This Row],[Тип смены]]="Ночь",3300,""))</f>
        <v/>
      </c>
      <c r="H198" s="14"/>
    </row>
    <row r="199" spans="1:8" hidden="1" x14ac:dyDescent="0.25">
      <c r="A199" s="5"/>
      <c r="B19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9" s="2"/>
      <c r="D199" s="2"/>
      <c r="E199" s="2"/>
      <c r="F199" s="8"/>
      <c r="G199" s="11" t="str">
        <f>IF(ТаблицаВыработки[[#This Row],[Тип смены]]="День",2700,IF(ТаблицаВыработки[[#This Row],[Тип смены]]="Ночь",3300,""))</f>
        <v/>
      </c>
      <c r="H199" s="14"/>
    </row>
    <row r="200" spans="1:8" hidden="1" x14ac:dyDescent="0.25">
      <c r="A200" s="5"/>
      <c r="B20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200" s="2"/>
      <c r="D200" s="2"/>
      <c r="E200" s="2"/>
      <c r="F200" s="8"/>
      <c r="G200" s="11" t="str">
        <f>IF(ТаблицаВыработки[[#This Row],[Тип смены]]="День",2700,IF(ТаблицаВыработки[[#This Row],[Тип смены]]="Ночь",3300,""))</f>
        <v/>
      </c>
      <c r="H200" s="14"/>
    </row>
    <row r="201" spans="1:8" hidden="1" x14ac:dyDescent="0.25">
      <c r="A201" s="6"/>
      <c r="B201" s="17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201" s="3"/>
      <c r="D201" s="3"/>
      <c r="E201" s="3"/>
      <c r="F201" s="9"/>
      <c r="G201" s="12" t="str">
        <f>IF(ТаблицаВыработки[[#This Row],[Тип смены]]="День",2700,IF(ТаблицаВыработки[[#This Row],[Тип смены]]="Ночь",3300,""))</f>
        <v/>
      </c>
      <c r="H201" s="15"/>
    </row>
  </sheetData>
  <phoneticPr fontId="6" type="noConversion"/>
  <dataValidations count="4">
    <dataValidation type="list" allowBlank="1" showInputMessage="1" showErrorMessage="1" promptTitle="Линия" prompt="Выберите Линия 1 или Линия 2" sqref="D2:D201" xr:uid="{915CAD5C-8758-4B87-B501-231D459786B9}">
      <formula1>"Линия 1,Линия 2"</formula1>
    </dataValidation>
    <dataValidation type="list" allowBlank="1" showInputMessage="1" showErrorMessage="1" promptTitle="Тип смены" prompt="Выберите День или Ночь" sqref="C2:C201" xr:uid="{7E543672-FB44-45ED-88D7-8389F4F21559}">
      <formula1>"День,Ночь"</formula1>
    </dataValidation>
    <dataValidation type="list" allowBlank="1" showInputMessage="1" showErrorMessage="1" errorTitle="Некорректный мастер" error="Выберите значение из выпадающего списка." promptTitle="Выберите мастера" prompt="Выберите мастера из списка." sqref="E2:E201" xr:uid="{454BF383-D341-40DA-BD85-275B80EAFAE1}">
      <formula1>MasterList</formula1>
    </dataValidation>
    <dataValidation type="list" allowBlank="1" showInputMessage="1" showErrorMessage="1" errorTitle="Некорректная смена" error="Выберите значение из выпадающего списка." promptTitle="Выберите смену" prompt="Выберите номер смены из списка." sqref="F2:F201" xr:uid="{F897AD2B-867D-452E-BE47-D077B1B9649D}">
      <formula1>ShiftList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97B7-E4F7-4F64-BB5E-0D5AF284C371}">
  <dimension ref="A1:F20"/>
  <sheetViews>
    <sheetView workbookViewId="0">
      <pane ySplit="3" topLeftCell="A4" activePane="bottomLeft" state="frozen"/>
      <selection pane="bottomLeft" activeCell="D23" sqref="D23"/>
    </sheetView>
  </sheetViews>
  <sheetFormatPr defaultRowHeight="15" x14ac:dyDescent="0.25"/>
  <cols>
    <col min="1" max="1" width="14.42578125" bestFit="1" customWidth="1"/>
    <col min="2" max="2" width="17.28515625" bestFit="1" customWidth="1"/>
    <col min="3" max="3" width="10.85546875" bestFit="1" customWidth="1"/>
    <col min="4" max="4" width="38" bestFit="1" customWidth="1"/>
    <col min="5" max="5" width="10.5703125" bestFit="1" customWidth="1"/>
  </cols>
  <sheetData>
    <row r="1" spans="1:6" ht="21" x14ac:dyDescent="0.35">
      <c r="A1" s="32" t="s">
        <v>44</v>
      </c>
      <c r="B1" s="33"/>
      <c r="C1" s="33"/>
      <c r="D1" s="33"/>
      <c r="E1" s="33"/>
      <c r="F1" s="33"/>
    </row>
    <row r="3" spans="1:6" x14ac:dyDescent="0.25">
      <c r="A3" s="23" t="s">
        <v>43</v>
      </c>
      <c r="B3" s="23" t="s">
        <v>45</v>
      </c>
      <c r="D3" s="20" t="s">
        <v>46</v>
      </c>
      <c r="E3" s="21">
        <f>A4</f>
        <v>46174</v>
      </c>
    </row>
    <row r="4" spans="1:6" x14ac:dyDescent="0.25">
      <c r="A4" s="18">
        <f>DATE(2026,6,1)</f>
        <v>46174</v>
      </c>
      <c r="B4" s="19">
        <v>160000</v>
      </c>
    </row>
    <row r="5" spans="1:6" x14ac:dyDescent="0.25">
      <c r="D5" s="25" t="s">
        <v>45</v>
      </c>
      <c r="E5" s="28">
        <f>_xlfn.XLOOKUP($E$3,ПланПоМесяцам[Месяц],ПланПоМесяцам[План месяца],0)</f>
        <v>160000</v>
      </c>
    </row>
    <row r="6" spans="1:6" x14ac:dyDescent="0.25">
      <c r="D6" s="25" t="s">
        <v>47</v>
      </c>
      <c r="E6" s="28">
        <f>SUMIFS(ТаблицаВыработки[Факт],ТаблицаВыработки[Месяц],$E$3)</f>
        <v>80914</v>
      </c>
    </row>
    <row r="7" spans="1:6" x14ac:dyDescent="0.25">
      <c r="A7" s="27" t="s">
        <v>2</v>
      </c>
      <c r="B7" s="27" t="s">
        <v>5</v>
      </c>
      <c r="C7" s="27" t="s">
        <v>55</v>
      </c>
      <c r="D7" s="24" t="s">
        <v>48</v>
      </c>
      <c r="E7" s="28">
        <f>E5-E6</f>
        <v>79086</v>
      </c>
    </row>
    <row r="8" spans="1:6" x14ac:dyDescent="0.25">
      <c r="A8" s="26" t="str" cm="1">
        <f t="array" ref="A8:A11">_xlfn._xlws.SORT(_xlfn.UNIQUE(_xlfn._xlws.FILTER(ТаблицаВыработки[Мастер],ТаблицаВыработки[Месяц]=$E$3)))</f>
        <v>Бекбосынов Р.</v>
      </c>
      <c r="B8" s="30">
        <f>IF(A8="","",SUMIFS(ТаблицаВыработки[Факт],ТаблицаВыработки[Месяц],$E$3,ТаблицаВыработки[Мастер],A8))</f>
        <v>15446</v>
      </c>
      <c r="C8" s="31">
        <f t="shared" ref="C8:C20" si="0">IF(A8="","",B8/$E$5)</f>
        <v>9.6537499999999998E-2</v>
      </c>
      <c r="D8" s="24" t="s">
        <v>49</v>
      </c>
      <c r="E8" s="29">
        <f>E6/E5</f>
        <v>0.50571250000000001</v>
      </c>
    </row>
    <row r="9" spans="1:6" x14ac:dyDescent="0.25">
      <c r="A9" s="26" t="str">
        <v>Дауылбай М.</v>
      </c>
      <c r="B9" s="30">
        <f>IF(A9="","",SUMIFS(ТаблицаВыработки[Факт],ТаблицаВыработки[Месяц],$E$3,ТаблицаВыработки[Мастер],A9))</f>
        <v>23598</v>
      </c>
      <c r="C9" s="31">
        <f t="shared" si="0"/>
        <v>0.14748749999999999</v>
      </c>
      <c r="D9" s="24" t="s">
        <v>50</v>
      </c>
      <c r="E9" s="28">
        <f>COUNTIFS(ТаблицаВыработки[Месяц],$E$3,ТаблицаВыработки[Факт],"&gt;0")</f>
        <v>39</v>
      </c>
    </row>
    <row r="10" spans="1:6" x14ac:dyDescent="0.25">
      <c r="A10" s="26" t="str">
        <v>Монаев С.</v>
      </c>
      <c r="B10" s="30">
        <f>IF(A10="","",SUMIFS(ТаблицаВыработки[Факт],ТаблицаВыработки[Месяц],$E$3,ТаблицаВыработки[Мастер],A10))</f>
        <v>22156</v>
      </c>
      <c r="C10" s="31">
        <f t="shared" si="0"/>
        <v>0.13847499999999999</v>
      </c>
      <c r="D10" s="24" t="s">
        <v>51</v>
      </c>
      <c r="E10" s="28">
        <f>IF(E9=0,0,E6/E9)</f>
        <v>2074.7179487179487</v>
      </c>
    </row>
    <row r="11" spans="1:6" x14ac:dyDescent="0.25">
      <c r="A11" s="26" t="str">
        <v>Султанулы С.</v>
      </c>
      <c r="B11" s="30">
        <f>IF(A11="","",SUMIFS(ТаблицаВыработки[Факт],ТаблицаВыработки[Месяц],$E$3,ТаблицаВыработки[Мастер],A11))</f>
        <v>19714</v>
      </c>
      <c r="C11" s="31">
        <f t="shared" si="0"/>
        <v>0.1232125</v>
      </c>
      <c r="D11" s="24" t="s">
        <v>52</v>
      </c>
      <c r="E11" s="28">
        <f>COUNTIF(ТаблицаВыработки[Месяц],$E$3)</f>
        <v>55</v>
      </c>
    </row>
    <row r="12" spans="1:6" x14ac:dyDescent="0.25">
      <c r="A12" s="26"/>
      <c r="B12" s="30" t="str">
        <f>IF(A12="","",SUMIFS(ТаблицаВыработки[Факт],ТаблицаВыработки[Месяц],$E$3,ТаблицаВыработки[Мастер],A12))</f>
        <v/>
      </c>
      <c r="C12" s="31" t="str">
        <f t="shared" si="0"/>
        <v/>
      </c>
      <c r="D12" s="24" t="s">
        <v>53</v>
      </c>
      <c r="E12" s="28">
        <f>COUNTIFS(ТаблицаВыработки[Месяц],$E$3,ТаблицаВыработки[Факт],"")</f>
        <v>16</v>
      </c>
    </row>
    <row r="13" spans="1:6" x14ac:dyDescent="0.25">
      <c r="A13" s="26"/>
      <c r="B13" s="30" t="str">
        <f>IF(A13="","",SUMIFS(ТаблицаВыработки[Факт],ТаблицаВыработки[Месяц],$E$3,ТаблицаВыработки[Мастер],A13))</f>
        <v/>
      </c>
      <c r="C13" s="31" t="str">
        <f t="shared" si="0"/>
        <v/>
      </c>
      <c r="D13" s="24" t="s">
        <v>54</v>
      </c>
      <c r="E13" s="28">
        <f>IF(E12=0,0,E7/E12)</f>
        <v>4942.875</v>
      </c>
    </row>
    <row r="14" spans="1:6" x14ac:dyDescent="0.25">
      <c r="A14" s="26"/>
      <c r="B14" s="30" t="str">
        <f>IF(A14="","",SUMIFS(ТаблицаВыработки[Факт],ТаблицаВыработки[Месяц],$E$3,ТаблицаВыработки[Мастер],A14))</f>
        <v/>
      </c>
      <c r="C14" s="31" t="str">
        <f t="shared" si="0"/>
        <v/>
      </c>
    </row>
    <row r="15" spans="1:6" x14ac:dyDescent="0.25">
      <c r="A15" s="26"/>
      <c r="B15" s="30" t="str">
        <f>IF(A15="","",SUMIFS(ТаблицаВыработки[Факт],ТаблицаВыработки[Месяц],$E$3,ТаблицаВыработки[Мастер],A15))</f>
        <v/>
      </c>
      <c r="C15" s="31" t="str">
        <f t="shared" si="0"/>
        <v/>
      </c>
    </row>
    <row r="16" spans="1:6" x14ac:dyDescent="0.25">
      <c r="A16" s="26"/>
      <c r="B16" s="30" t="str">
        <f>IF(A16="","",SUMIFS(ТаблицаВыработки[Факт],ТаблицаВыработки[Месяц],$E$3,ТаблицаВыработки[Мастер],A16))</f>
        <v/>
      </c>
      <c r="C16" s="31" t="str">
        <f t="shared" si="0"/>
        <v/>
      </c>
    </row>
    <row r="17" spans="1:3" x14ac:dyDescent="0.25">
      <c r="A17" s="26"/>
      <c r="B17" s="30" t="str">
        <f>IF(A17="","",SUMIFS(ТаблицаВыработки[Факт],ТаблицаВыработки[Месяц],$E$3,ТаблицаВыработки[Мастер],A17))</f>
        <v/>
      </c>
      <c r="C17" s="31" t="str">
        <f t="shared" si="0"/>
        <v/>
      </c>
    </row>
    <row r="18" spans="1:3" x14ac:dyDescent="0.25">
      <c r="A18" s="26"/>
      <c r="B18" s="30" t="str">
        <f>IF(A18="","",SUMIFS(ТаблицаВыработки[Факт],ТаблицаВыработки[Месяц],$E$3,ТаблицаВыработки[Мастер],A18))</f>
        <v/>
      </c>
      <c r="C18" s="31" t="str">
        <f t="shared" si="0"/>
        <v/>
      </c>
    </row>
    <row r="19" spans="1:3" x14ac:dyDescent="0.25">
      <c r="A19" s="26"/>
      <c r="B19" s="30" t="str">
        <f>IF(A19="","",SUMIFS(ТаблицаВыработки[Факт],ТаблицаВыработки[Месяц],$E$3,ТаблицаВыработки[Мастер],A19))</f>
        <v/>
      </c>
      <c r="C19" s="31" t="str">
        <f t="shared" si="0"/>
        <v/>
      </c>
    </row>
    <row r="20" spans="1:3" x14ac:dyDescent="0.25">
      <c r="A20" s="26"/>
      <c r="B20" s="30" t="str">
        <f>IF(A20="","",SUMIFS(ТаблицаВыработки[Факт],ТаблицаВыработки[Месяц],$E$3,ТаблицаВыработки[Мастер],A20))</f>
        <v/>
      </c>
      <c r="C20" s="31" t="str">
        <f t="shared" si="0"/>
        <v/>
      </c>
    </row>
  </sheetData>
  <mergeCells count="1">
    <mergeCell ref="A1:F1"/>
  </mergeCells>
  <dataValidations count="1">
    <dataValidation type="list" allowBlank="1" showInputMessage="1" showErrorMessage="1" promptTitle="Месяц" prompt="Выберите месяц из списка плана" sqref="E3" xr:uid="{DA9F4B12-5C42-43B2-BF6D-C6A18B4C88A5}">
      <formula1>$A$4:$A$100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ED59-CA0A-4FA4-9170-D479C2B49E36}">
  <dimension ref="A1:B5"/>
  <sheetViews>
    <sheetView workbookViewId="0"/>
  </sheetViews>
  <sheetFormatPr defaultRowHeight="15" x14ac:dyDescent="0.25"/>
  <cols>
    <col min="1" max="1" width="14.42578125" bestFit="1" customWidth="1"/>
    <col min="2" max="2" width="7" bestFit="1" customWidth="1"/>
  </cols>
  <sheetData>
    <row r="1" spans="1:2" x14ac:dyDescent="0.25">
      <c r="A1" s="22" t="s">
        <v>2</v>
      </c>
      <c r="B1" s="22" t="s">
        <v>3</v>
      </c>
    </row>
    <row r="2" spans="1:2" x14ac:dyDescent="0.25">
      <c r="A2" t="s">
        <v>14</v>
      </c>
      <c r="B2">
        <v>1</v>
      </c>
    </row>
    <row r="3" spans="1:2" x14ac:dyDescent="0.25">
      <c r="A3" t="s">
        <v>10</v>
      </c>
      <c r="B3">
        <v>2</v>
      </c>
    </row>
    <row r="4" spans="1:2" x14ac:dyDescent="0.25">
      <c r="A4" t="s">
        <v>12</v>
      </c>
      <c r="B4">
        <v>3</v>
      </c>
    </row>
    <row r="5" spans="1:2" x14ac:dyDescent="0.25">
      <c r="A5" t="s">
        <v>8</v>
      </c>
      <c r="B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96750-7CB4-47DD-86E8-9FA153E82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Выработка</vt:lpstr>
      <vt:lpstr>Итоги</vt:lpstr>
      <vt:lpstr>Списки</vt:lpstr>
      <vt:lpstr>MasterList</vt:lpstr>
      <vt:lpstr>ShiftList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LEVDA</cp:lastModifiedBy>
  <dcterms:created xsi:type="dcterms:W3CDTF">2026-06-23T10:47:46Z</dcterms:created>
  <dcterms:modified xsi:type="dcterms:W3CDTF">2026-06-25T06:56:38Z</dcterms:modified>
</cp:coreProperties>
</file>